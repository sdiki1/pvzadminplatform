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РАФИК" sheetId="1" r:id="rId5"/>
    <sheet state="visible" name="Статистика по выдаче и приёмке" sheetId="2" r:id="rId6"/>
    <sheet state="visible" name="БРАК и НЕСООТВЕТСТВИЕ" sheetId="3" r:id="rId7"/>
    <sheet state="visible" name="SOS ситуации" sheetId="4" r:id="rId8"/>
    <sheet state="visible" name="Заказ Расходников ГОГОЛЯ 18" sheetId="5" r:id="rId9"/>
    <sheet state="visible" name="Заказ Расходников МАЛЬСКОГО 5А" sheetId="6" r:id="rId10"/>
    <sheet state="visible" name="Заказ Расходников ЛЕНИНА 114" sheetId="7" r:id="rId11"/>
    <sheet state="visible" name="Заказ Расходников Ленина 61" sheetId="8" r:id="rId12"/>
    <sheet state="visible" name="поставки Ленина 114" sheetId="9" r:id="rId13"/>
    <sheet state="visible" name="Маркетинг" sheetId="10" r:id="rId14"/>
    <sheet state="visible" name="Заказ РасходникоВ Белинского 46" sheetId="11" r:id="rId15"/>
  </sheets>
  <definedNames>
    <definedName hidden="1" localSheetId="1" name="_xlnm._FilterDatabase">'Статистика по выдаче и приёмке'!$A$268:$DR$274</definedName>
  </definedNames>
  <calcPr/>
</workbook>
</file>

<file path=xl/sharedStrings.xml><?xml version="1.0" encoding="utf-8"?>
<sst xmlns="http://schemas.openxmlformats.org/spreadsheetml/2006/main" count="33114" uniqueCount="7199">
  <si>
    <t>НОЯБРЬ 2024</t>
  </si>
  <si>
    <t xml:space="preserve"> </t>
  </si>
  <si>
    <t>ПВЗ №1 Гоголя 18</t>
  </si>
  <si>
    <t>Дмитрий Литвяк</t>
  </si>
  <si>
    <t>Юлия Тангатарова</t>
  </si>
  <si>
    <t>Виктория Щербачёва</t>
  </si>
  <si>
    <t>Виктория Горшкова</t>
  </si>
  <si>
    <t>Арина Перевозкина</t>
  </si>
  <si>
    <t>ПВЗ №2 Ленина 114</t>
  </si>
  <si>
    <t>Виктория Лазурченкова</t>
  </si>
  <si>
    <t>Виктория Белых</t>
  </si>
  <si>
    <t>Илья Тарасенков</t>
  </si>
  <si>
    <t>ПВЗ №3 Мальского 5а</t>
  </si>
  <si>
    <t>ДЕКАБРЬ 2024</t>
  </si>
  <si>
    <t>Вика Горшкова</t>
  </si>
  <si>
    <t>Закиров Егор</t>
  </si>
  <si>
    <t>Влад Осипов</t>
  </si>
  <si>
    <t>Полина Имаева</t>
  </si>
  <si>
    <t>Надежда Давыдова</t>
  </si>
  <si>
    <t>ЯНВАРЬ 2025</t>
  </si>
  <si>
    <t>Егор / Полина/ Вика Лазурченкова</t>
  </si>
  <si>
    <t>Катя Комарова</t>
  </si>
  <si>
    <t>Матвей Белоусов</t>
  </si>
  <si>
    <t>Дарья Шешукова</t>
  </si>
  <si>
    <t>Майя Потапова</t>
  </si>
  <si>
    <t>ПВЗ №4 Белинского 46А</t>
  </si>
  <si>
    <t>ФЕВРАЛЬ 2025</t>
  </si>
  <si>
    <t>Алексей Мирошниченко</t>
  </si>
  <si>
    <t>Екатерина Звонарёва</t>
  </si>
  <si>
    <t>Даниил Жевлаков</t>
  </si>
  <si>
    <t>Арина</t>
  </si>
  <si>
    <t>Александра Колова</t>
  </si>
  <si>
    <t>Алексей Лещёв</t>
  </si>
  <si>
    <t>МАРТ 2025</t>
  </si>
  <si>
    <t>Александра Лобигер</t>
  </si>
  <si>
    <t>Берданова Ираида</t>
  </si>
  <si>
    <t>Чижов Захар</t>
  </si>
  <si>
    <t xml:space="preserve">Берданова Ираида  </t>
  </si>
  <si>
    <t>Алексей Лещев</t>
  </si>
  <si>
    <t>АПРЕЛЬ 2025</t>
  </si>
  <si>
    <t>Ираида Берданова</t>
  </si>
  <si>
    <t>Александра Берег</t>
  </si>
  <si>
    <t>Дегтерева Юля</t>
  </si>
  <si>
    <t>ПВЗ №4 Ленина 61</t>
  </si>
  <si>
    <t>Виктор Смирнов</t>
  </si>
  <si>
    <t>Колова Александра</t>
  </si>
  <si>
    <t>МАЙ 2025</t>
  </si>
  <si>
    <t>Дмитрий Давыдов</t>
  </si>
  <si>
    <t>Ираида</t>
  </si>
  <si>
    <t>ПВЗ №5 Ленина 61</t>
  </si>
  <si>
    <t>ИЮНЬ 2025</t>
  </si>
  <si>
    <t>Анна Гвоздева</t>
  </si>
  <si>
    <t>Князев Алексей</t>
  </si>
  <si>
    <t>Алёна Стажёр</t>
  </si>
  <si>
    <t>Дарья Капралова</t>
  </si>
  <si>
    <t>Валерия Павлова</t>
  </si>
  <si>
    <t>ИЮЛЬ 2025</t>
  </si>
  <si>
    <t>Алина Картушина</t>
  </si>
  <si>
    <t>Иван Корнилов</t>
  </si>
  <si>
    <t>Варвара</t>
  </si>
  <si>
    <t>Валерия</t>
  </si>
  <si>
    <t>Голубева Варвара</t>
  </si>
  <si>
    <t>Анастасия Рожина</t>
  </si>
  <si>
    <t>АВГУСТ 2025</t>
  </si>
  <si>
    <t>Алескандра Колова</t>
  </si>
  <si>
    <t>Кира Чумакова</t>
  </si>
  <si>
    <t>Давыдова Надежда</t>
  </si>
  <si>
    <t>Колупаева Анна</t>
  </si>
  <si>
    <t>Бархатова Анна</t>
  </si>
  <si>
    <t>Влад Зиганшин</t>
  </si>
  <si>
    <t>Юлия Ларина</t>
  </si>
  <si>
    <t>СЕНТЯБРЬ 2025</t>
  </si>
  <si>
    <t>Сотрудник</t>
  </si>
  <si>
    <t>Поло/свитшот/худи</t>
  </si>
  <si>
    <t>Цена</t>
  </si>
  <si>
    <t>Вычет из з/п месяц</t>
  </si>
  <si>
    <t>С</t>
  </si>
  <si>
    <t xml:space="preserve">С </t>
  </si>
  <si>
    <t>Анна Бархатова</t>
  </si>
  <si>
    <t>С подмена</t>
  </si>
  <si>
    <t>Захар Чижов</t>
  </si>
  <si>
    <t>9.00-14.00 / 19.00-21.00</t>
  </si>
  <si>
    <t>С+Стажер</t>
  </si>
  <si>
    <t>ПОДМЕНА 14.00-19.00</t>
  </si>
  <si>
    <t>П/10:00-14:00</t>
  </si>
  <si>
    <t>Подмена</t>
  </si>
  <si>
    <t xml:space="preserve">С/ подмена </t>
  </si>
  <si>
    <t>С/подмена</t>
  </si>
  <si>
    <t>П/10-11:00</t>
  </si>
  <si>
    <t>Ксения Кузьменкова</t>
  </si>
  <si>
    <t>П /    11:00-21:00</t>
  </si>
  <si>
    <t>П/14:00-21:00</t>
  </si>
  <si>
    <t>15:00-18:00</t>
  </si>
  <si>
    <t>С/16:00-21:00</t>
  </si>
  <si>
    <r>
      <rPr>
        <rFont val="Arial"/>
        <color theme="1"/>
        <sz val="14.0"/>
      </rPr>
      <t>С</t>
    </r>
    <r>
      <rPr>
        <rFont val="Arial"/>
        <b/>
        <color rgb="FFFF0000"/>
        <sz val="14.0"/>
      </rPr>
      <t>/ОП 8мин</t>
    </r>
  </si>
  <si>
    <t>10:00-16:00 подмена</t>
  </si>
  <si>
    <r>
      <rPr>
        <rFont val="Arial"/>
        <color theme="1"/>
        <sz val="14.0"/>
      </rPr>
      <t>С 10:30</t>
    </r>
    <r>
      <rPr>
        <rFont val="Arial"/>
        <color theme="1"/>
        <sz val="14.0"/>
      </rPr>
      <t xml:space="preserve"> - 21:00</t>
    </r>
  </si>
  <si>
    <t>П/9-10:30</t>
  </si>
  <si>
    <t>С Подмена</t>
  </si>
  <si>
    <t>ЧТ</t>
  </si>
  <si>
    <t>ПТ</t>
  </si>
  <si>
    <t>СБ</t>
  </si>
  <si>
    <t>ВС</t>
  </si>
  <si>
    <t>ПН</t>
  </si>
  <si>
    <t>ВТ</t>
  </si>
  <si>
    <t>СР</t>
  </si>
  <si>
    <r>
      <rPr>
        <rFont val="Arial"/>
        <b/>
        <color rgb="FF000000"/>
        <sz val="12.0"/>
      </rPr>
      <t xml:space="preserve">ПВЗ №1 Гоголя 18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</si>
  <si>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П</t>
  </si>
  <si>
    <t>С/Влада</t>
  </si>
  <si>
    <t>14:00- 21:00 ОП/4 часа</t>
  </si>
  <si>
    <r>
      <t>С/</t>
    </r>
    <r>
      <rPr>
        <rFont val="Arial"/>
        <b/>
        <color rgb="FFFF0000"/>
        <sz val="14.0"/>
      </rPr>
      <t>ОП 21мин</t>
    </r>
  </si>
  <si>
    <t>П/ 12:30-14:00</t>
  </si>
  <si>
    <t>П/ 11:00-12:30</t>
  </si>
  <si>
    <t>П/Анна Колупаева</t>
  </si>
  <si>
    <t xml:space="preserve">П/Анна Низовкина </t>
  </si>
  <si>
    <t>Подмена Дав Дм</t>
  </si>
  <si>
    <r>
      <rPr>
        <rFont val="Arial"/>
        <b/>
        <color rgb="FF000000"/>
        <sz val="12.0"/>
      </rPr>
      <t xml:space="preserve">ПВЗ №2 Ленина 114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</si>
  <si>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Жевлаков Даниил</t>
  </si>
  <si>
    <t>Дима Давыдов Подмена</t>
  </si>
  <si>
    <r>
      <rPr>
        <rFont val="Arial"/>
        <b/>
        <color rgb="FF000000"/>
        <sz val="12.0"/>
      </rPr>
      <t xml:space="preserve">ПВЗ №3 Мальского 5а                       </t>
    </r>
    <r>
      <rPr>
        <rFont val="Arial"/>
        <b/>
        <color rgb="FFFF0000"/>
        <sz val="14.0"/>
      </rPr>
      <t>РАБОЧИЙ ДЕНЬ С 9:45 с этого времени более 5 минут -начисляется опоздание</t>
    </r>
  </si>
  <si>
    <r>
      <rPr>
        <rFont val="Arial"/>
        <color theme="1"/>
        <sz val="14.0"/>
      </rPr>
      <t>С/</t>
    </r>
    <r>
      <rPr>
        <rFont val="Arial"/>
        <b/>
        <color rgb="FFFF0000"/>
        <sz val="14.0"/>
      </rPr>
      <t>ОП 26 мин</t>
    </r>
  </si>
  <si>
    <t>С / ОП 10 мин</t>
  </si>
  <si>
    <t>С / ОП 25 мин</t>
  </si>
  <si>
    <t>С / ОП 20 мин</t>
  </si>
  <si>
    <t>С / ОП 25 минут</t>
  </si>
  <si>
    <t>С / ОП 15 мин</t>
  </si>
  <si>
    <t>С / ОП 50 мин</t>
  </si>
  <si>
    <t xml:space="preserve">С / ОП 20 минут </t>
  </si>
  <si>
    <t>Леша К.</t>
  </si>
  <si>
    <r>
      <rPr>
        <rFont val="Arial"/>
        <b/>
        <color rgb="FF000000"/>
        <sz val="12.0"/>
      </rPr>
      <t xml:space="preserve">ПВЗ №4 Белинского 46А                 </t>
    </r>
    <r>
      <rPr>
        <rFont val="Arial"/>
        <b/>
        <color rgb="FFFF0000"/>
        <sz val="12.0"/>
      </rPr>
      <t xml:space="preserve"> </t>
    </r>
    <r>
      <rPr>
        <rFont val="Arial"/>
        <b/>
        <color rgb="FFFF0000"/>
        <sz val="14.0"/>
      </rPr>
      <t>РАБОЧИЙ ДЕНЬ С 9:45 далее с этого времени более 5 минут -начисляется опоздание</t>
    </r>
  </si>
  <si>
    <t>с</t>
  </si>
  <si>
    <t xml:space="preserve">с +1.3 часа проблемы с сигнализацией </t>
  </si>
  <si>
    <t>16:30-21:00</t>
  </si>
  <si>
    <t xml:space="preserve">с </t>
  </si>
  <si>
    <t>с / ОП 35 мин</t>
  </si>
  <si>
    <t xml:space="preserve">С / ОП 35минут </t>
  </si>
  <si>
    <t>с / ОП 15 мин</t>
  </si>
  <si>
    <t>Подмена Давыдов Д</t>
  </si>
  <si>
    <t>п/10:00-16:30</t>
  </si>
  <si>
    <t>Зиганшин Влад</t>
  </si>
  <si>
    <r>
      <rPr>
        <rFont val="Arial"/>
        <color theme="1"/>
        <sz val="14.0"/>
      </rPr>
      <t>С/</t>
    </r>
    <r>
      <rPr>
        <rFont val="Arial"/>
        <b/>
        <color rgb="FFFF0000"/>
        <sz val="14.0"/>
      </rPr>
      <t>ОП 29мин</t>
    </r>
  </si>
  <si>
    <r>
      <rPr>
        <rFont val="Arial"/>
        <b/>
        <color rgb="FF000000"/>
        <sz val="12.0"/>
      </rPr>
      <t xml:space="preserve">ПВЗ №5 Ленина 61                          </t>
    </r>
    <r>
      <rPr>
        <rFont val="Arial"/>
        <b/>
        <color rgb="FFFF0000"/>
        <sz val="14.0"/>
      </rPr>
      <t>РАБОЧИЙ ДЕНЬ С 9:00 с этого времени более 5 минут -начисляется опоздание</t>
    </r>
  </si>
  <si>
    <t>Ларина Юлия</t>
  </si>
  <si>
    <t>Мария Бахтина</t>
  </si>
  <si>
    <t>С/Подмена</t>
  </si>
  <si>
    <r>
      <t>С/</t>
    </r>
    <r>
      <rPr>
        <rFont val="Arial"/>
        <b/>
        <color rgb="FFFF0000"/>
        <sz val="14.0"/>
      </rPr>
      <t>ОП 30мин</t>
    </r>
  </si>
  <si>
    <t>Анна Низовкина</t>
  </si>
  <si>
    <t>НОЯБРЬ 2025</t>
  </si>
  <si>
    <t>ОКТЯБРЬ 2025</t>
  </si>
  <si>
    <r>
      <rPr>
        <rFont val="Arial"/>
        <b/>
        <color rgb="FF000000"/>
        <sz val="12.0"/>
      </rPr>
      <t xml:space="preserve">ПВЗ №1 Гоголя 18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</si>
  <si>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Александрова Анна</t>
  </si>
  <si>
    <t>Ксюша</t>
  </si>
  <si>
    <t>ПОДМЕНЫ</t>
  </si>
  <si>
    <t>Надежда Д</t>
  </si>
  <si>
    <t>Дима Д</t>
  </si>
  <si>
    <r>
      <rPr>
        <rFont val="Arial"/>
        <b/>
        <color rgb="FF000000"/>
        <sz val="12.0"/>
      </rPr>
      <t xml:space="preserve">ПВЗ №2 Ленина 114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</si>
  <si>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Кира до 15:00/  Даня</t>
  </si>
  <si>
    <t>ПОМОЩНИК С 17:00 ДО 21:00</t>
  </si>
  <si>
    <t>Колупаева Любовь</t>
  </si>
  <si>
    <t>Колупаева Любовь (с 19 до 21)</t>
  </si>
  <si>
    <t>Никита с 17:00 до 21:00</t>
  </si>
  <si>
    <t>Колупаева Любовь (с 17 до 20)</t>
  </si>
  <si>
    <t>Захар</t>
  </si>
  <si>
    <t xml:space="preserve">Никита </t>
  </si>
  <si>
    <t>Никита</t>
  </si>
  <si>
    <t>Колупаева Любовь 2 часа</t>
  </si>
  <si>
    <r>
      <rPr>
        <rFont val="Arial"/>
        <b/>
        <color rgb="FF000000"/>
        <sz val="12.0"/>
      </rPr>
      <t xml:space="preserve">ПВЗ №3 Мальского 5а                       </t>
    </r>
    <r>
      <rPr>
        <rFont val="Arial"/>
        <b/>
        <color rgb="FFFF0000"/>
        <sz val="14.0"/>
      </rPr>
      <t>РАБОЧИЙ ДЕНЬ С 9:45 с этого времени более 5 минут -начисляется опоздание</t>
    </r>
  </si>
  <si>
    <t>Никита (17:00-18:14)</t>
  </si>
  <si>
    <r>
      <rPr>
        <rFont val="Arial"/>
        <b/>
        <color rgb="FF000000"/>
        <sz val="12.0"/>
      </rPr>
      <t xml:space="preserve">ПВЗ №4 Белинского 46А                 </t>
    </r>
    <r>
      <rPr>
        <rFont val="Arial"/>
        <b/>
        <color rgb="FFFF0000"/>
        <sz val="12.0"/>
      </rPr>
      <t xml:space="preserve"> </t>
    </r>
    <r>
      <rPr>
        <rFont val="Arial"/>
        <b/>
        <color rgb="FFFF0000"/>
        <sz val="14.0"/>
      </rPr>
      <t>РАБОЧИЙ ДЕНЬ С 9:45 далее с этого времени более 5 минут -начисляется опоздание</t>
    </r>
  </si>
  <si>
    <r>
      <rPr>
        <rFont val="Arial"/>
        <color theme="1"/>
        <sz val="14.0"/>
      </rPr>
      <t>С/</t>
    </r>
    <r>
      <rPr>
        <rFont val="Arial"/>
        <b/>
        <color rgb="FFFF0000"/>
        <sz val="14.0"/>
      </rPr>
      <t>ОП 13 мин</t>
    </r>
  </si>
  <si>
    <r>
      <rPr>
        <rFont val="Arial"/>
        <color theme="1"/>
        <sz val="14.0"/>
      </rPr>
      <t>С/</t>
    </r>
    <r>
      <rPr>
        <rFont val="Arial"/>
        <color rgb="FFFF0000"/>
        <sz val="14.0"/>
      </rPr>
      <t>ОП 7 мин</t>
    </r>
  </si>
  <si>
    <t>П/Дима</t>
  </si>
  <si>
    <r>
      <rPr>
        <rFont val="Arial"/>
        <color theme="1"/>
        <sz val="14.0"/>
      </rPr>
      <t>С/</t>
    </r>
    <r>
      <rPr>
        <rFont val="Arial"/>
        <color rgb="FFFF0000"/>
        <sz val="14.0"/>
      </rPr>
      <t>ОП 72 мин</t>
    </r>
  </si>
  <si>
    <r>
      <t>С/</t>
    </r>
    <r>
      <rPr>
        <rFont val="Arial"/>
        <color rgb="FFFF0000"/>
        <sz val="14.0"/>
      </rPr>
      <t>ОП 20 мин</t>
    </r>
  </si>
  <si>
    <t>Виктория Черная</t>
  </si>
  <si>
    <t xml:space="preserve"> 9:45-16:10 Вика/Никита до 21:00</t>
  </si>
  <si>
    <t>илона</t>
  </si>
  <si>
    <r>
      <rPr>
        <rFont val="Arial"/>
        <b/>
        <color rgb="FF000000"/>
        <sz val="12.0"/>
      </rPr>
      <t xml:space="preserve">ПВЗ №5 Ленина 61                          </t>
    </r>
    <r>
      <rPr>
        <rFont val="Arial"/>
        <b/>
        <color rgb="FFFF0000"/>
        <sz val="14.0"/>
      </rPr>
      <t>РАБОЧИЙ ДЕНЬ С 9:00 с этого времени более 5 минут -начисляется опоздание</t>
    </r>
  </si>
  <si>
    <t>с 17.00 до 21.00</t>
  </si>
  <si>
    <t>C</t>
  </si>
  <si>
    <t>Никонова Елизавета</t>
  </si>
  <si>
    <t>Захар Ч</t>
  </si>
  <si>
    <t>Владик 9.00-12.00</t>
  </si>
  <si>
    <t>Надежда</t>
  </si>
  <si>
    <t>Захар 12:00-17:00</t>
  </si>
  <si>
    <t>РЕЗЕРВ</t>
  </si>
  <si>
    <t>Анна Н.</t>
  </si>
  <si>
    <t>Ксения К.</t>
  </si>
  <si>
    <t>Чижов З.</t>
  </si>
  <si>
    <t>Кира Ч.</t>
  </si>
  <si>
    <t>Никита.Х</t>
  </si>
  <si>
    <t>Илона</t>
  </si>
  <si>
    <t>ДЕКАБРЬ 2025</t>
  </si>
  <si>
    <r>
      <rPr>
        <rFont val="Arial"/>
        <b/>
        <color rgb="FF000000"/>
        <sz val="12.0"/>
      </rPr>
      <t xml:space="preserve">ПВЗ №1 Гоголя 18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</si>
  <si>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С/9:00-15:00</t>
  </si>
  <si>
    <t>Варя</t>
  </si>
  <si>
    <t>Аня Н 15:00-21:00</t>
  </si>
  <si>
    <t xml:space="preserve">Влад 9:00-15:00 Ксения 15:00-21:00 </t>
  </si>
  <si>
    <t>17:00-21:00 Ксюша</t>
  </si>
  <si>
    <t>Ксюша 17:00-21:00</t>
  </si>
  <si>
    <r>
      <rPr>
        <rFont val="Arial"/>
        <b/>
        <color rgb="FF000000"/>
        <sz val="12.0"/>
      </rPr>
      <t xml:space="preserve">ПВЗ №2 Ленина 114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</si>
  <si>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Даша</t>
  </si>
  <si>
    <t>9:00-18:00</t>
  </si>
  <si>
    <t>Даша до 15:00</t>
  </si>
  <si>
    <t>Захар 18:00-21:00</t>
  </si>
  <si>
    <t>Захар 15:00-21:00</t>
  </si>
  <si>
    <t>Люба</t>
  </si>
  <si>
    <t>Люба 19-21</t>
  </si>
  <si>
    <t>Антон 17:40-21</t>
  </si>
  <si>
    <t>Никита 17-19</t>
  </si>
  <si>
    <t xml:space="preserve">Даша </t>
  </si>
  <si>
    <t>Люба 19:15 - 21:00</t>
  </si>
  <si>
    <r>
      <rPr>
        <rFont val="Arial"/>
        <b/>
        <color rgb="FF000000"/>
        <sz val="12.0"/>
      </rPr>
      <t xml:space="preserve">ПВЗ №3 Мальского 5а                       </t>
    </r>
    <r>
      <rPr>
        <rFont val="Arial"/>
        <b/>
        <color rgb="FFFF0000"/>
        <sz val="14.0"/>
      </rPr>
      <t>РАБОЧИЙ ДЕНЬ С 9:45 с этого времени более 5 минут -начисляется опоздание</t>
    </r>
  </si>
  <si>
    <t>с 10:00 до 13:00</t>
  </si>
  <si>
    <t>Даниил</t>
  </si>
  <si>
    <t>Даша до 17:00\Варя</t>
  </si>
  <si>
    <t>Дима</t>
  </si>
  <si>
    <t>с 13:00 до 21:00</t>
  </si>
  <si>
    <r>
      <rPr>
        <rFont val="Arial"/>
        <b/>
        <color rgb="FF000000"/>
        <sz val="12.0"/>
      </rPr>
      <t xml:space="preserve">ПВЗ №4 Белинского 46А                 </t>
    </r>
    <r>
      <rPr>
        <rFont val="Arial"/>
        <b/>
        <color rgb="FFFF0000"/>
        <sz val="12.0"/>
      </rPr>
      <t xml:space="preserve"> </t>
    </r>
    <r>
      <rPr>
        <rFont val="Arial"/>
        <b/>
        <color rgb="FFFF0000"/>
        <sz val="14.0"/>
      </rPr>
      <t>РАБОЧИЙ ДЕНЬ С 9:45 далее с этого времени более 5 минут -начисляется опоздание</t>
    </r>
  </si>
  <si>
    <r>
      <rPr>
        <rFont val="Arial"/>
        <color theme="1"/>
        <sz val="14.0"/>
      </rPr>
      <t>с /</t>
    </r>
    <r>
      <rPr>
        <rFont val="Arial"/>
        <color rgb="FFFF0000"/>
        <sz val="14.0"/>
      </rPr>
      <t>ОП 1:15</t>
    </r>
  </si>
  <si>
    <t>Федина Илона</t>
  </si>
  <si>
    <t>Дария Перевалова</t>
  </si>
  <si>
    <t>Илона до 14:30\ Варя до 21:00</t>
  </si>
  <si>
    <t>Даша с 16:00</t>
  </si>
  <si>
    <r>
      <rPr>
        <rFont val="Arial"/>
        <b/>
        <color rgb="FF000000"/>
        <sz val="12.0"/>
      </rPr>
      <t xml:space="preserve">ПВЗ №5 Ленина 61                          </t>
    </r>
    <r>
      <rPr>
        <rFont val="Arial"/>
        <b/>
        <color rgb="FFFF0000"/>
        <sz val="14.0"/>
      </rPr>
      <t>РАБОЧИЙ ДЕНЬ С 9:00 с этого времени более 5 минут -начисляется опоздание</t>
    </r>
  </si>
  <si>
    <t>С (с 12:00-21:00)</t>
  </si>
  <si>
    <t>С (с 09:00-12:00)</t>
  </si>
  <si>
    <t>Князев А.</t>
  </si>
  <si>
    <t>.</t>
  </si>
  <si>
    <t>ЯНВАРЬ 2026</t>
  </si>
  <si>
    <r>
      <rPr>
        <rFont val="Arial"/>
        <b/>
        <color rgb="FF000000"/>
        <sz val="12.0"/>
      </rPr>
      <t xml:space="preserve">ПВЗ №1 Гоголя 18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</si>
  <si>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r>
      <rPr>
        <rFont val="Arial"/>
        <color rgb="FFFF0000"/>
        <sz val="14.0"/>
      </rPr>
      <t xml:space="preserve">РАБОЧИЙ ДЕНЬ С 9:50 ДЛЯ ВСЕХ ПВЗ </t>
    </r>
    <r>
      <rPr>
        <rFont val="Arial"/>
        <color rgb="FF00FF00"/>
        <sz val="14.0"/>
      </rPr>
      <t>ночных поставок не будет</t>
    </r>
  </si>
  <si>
    <t>С 3 ЯНВАРЯ РАБОЧИЙ ДЕНЬ В ОБЫЧНОМ ГРАФИКЕ</t>
  </si>
  <si>
    <t>П 9:00-17:00</t>
  </si>
  <si>
    <t>9:00-14:00</t>
  </si>
  <si>
    <t>Кристина Федорова</t>
  </si>
  <si>
    <t>14:00-21:00</t>
  </si>
  <si>
    <t>дима</t>
  </si>
  <si>
    <r>
      <rPr>
        <rFont val="Arial"/>
        <b/>
        <color rgb="FF000000"/>
        <sz val="12.0"/>
      </rPr>
      <t xml:space="preserve">ПВЗ №2 Ленина 114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</si>
  <si>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r>
      <rPr>
        <rFont val="Arial"/>
        <b/>
        <color rgb="FF000000"/>
        <sz val="12.0"/>
      </rPr>
      <t xml:space="preserve">ПВЗ №3 Мальского 5а                       </t>
    </r>
    <r>
      <rPr>
        <rFont val="Arial"/>
        <b/>
        <color rgb="FFFF0000"/>
        <sz val="14.0"/>
      </rPr>
      <t>РАБОЧИЙ ДЕНЬ С 9:45 с этого времени более 5 минут -начисляется опоздание</t>
    </r>
  </si>
  <si>
    <t>Перевалова Дария</t>
  </si>
  <si>
    <t>Ирраида до 16/Захар</t>
  </si>
  <si>
    <r>
      <rPr>
        <rFont val="Arial"/>
        <b/>
        <color rgb="FF000000"/>
        <sz val="12.0"/>
      </rPr>
      <t xml:space="preserve">ПВЗ №4 Белинского 46А                 </t>
    </r>
    <r>
      <rPr>
        <rFont val="Arial"/>
        <b/>
        <color rgb="FFFF0000"/>
        <sz val="12.0"/>
      </rPr>
      <t xml:space="preserve"> </t>
    </r>
    <r>
      <rPr>
        <rFont val="Arial"/>
        <b/>
        <color rgb="FFFF0000"/>
        <sz val="14.0"/>
      </rPr>
      <t>РАБОЧИЙ ДЕНЬ С 9:45 далее с этого времени более 5 минут -начисляется опоздание</t>
    </r>
  </si>
  <si>
    <t>10-17</t>
  </si>
  <si>
    <t>17-21 дима</t>
  </si>
  <si>
    <r>
      <rPr>
        <rFont val="Arial"/>
        <b/>
        <color rgb="FF000000"/>
        <sz val="12.0"/>
      </rPr>
      <t xml:space="preserve">ПВЗ №5 Ленина 61                          </t>
    </r>
    <r>
      <rPr>
        <rFont val="Arial"/>
        <b/>
        <color rgb="FFFF0000"/>
        <sz val="14.0"/>
      </rPr>
      <t>РАБОЧИЙ ДЕНЬ С 9:00 с этого времени более 5 минут -начисляется опоздание</t>
    </r>
  </si>
  <si>
    <t>Кира до 14:40/люба до 20:00/даня</t>
  </si>
  <si>
    <t>С11.00-12.00</t>
  </si>
  <si>
    <t>Влад Устьянцев</t>
  </si>
  <si>
    <r>
      <t>С</t>
    </r>
    <r>
      <rPr>
        <rFont val="Arial"/>
        <color rgb="FFFF0000"/>
        <sz val="14.0"/>
      </rPr>
      <t>/ОП 75мин</t>
    </r>
    <r>
      <rPr>
        <rFont val="Arial"/>
        <color theme="1"/>
        <sz val="14.0"/>
      </rPr>
      <t xml:space="preserve"> </t>
    </r>
  </si>
  <si>
    <t>ФЕВРАЛЬ 2026</t>
  </si>
  <si>
    <r>
      <rPr>
        <rFont val="Arial"/>
        <b/>
        <color rgb="FF000000"/>
        <sz val="12.0"/>
      </rPr>
      <t xml:space="preserve">ПВЗ №1 Гоголя 18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</si>
  <si>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считаем полую смену Саше</t>
  </si>
  <si>
    <t>Даня</t>
  </si>
  <si>
    <t>18:30-21:00 Ксюша</t>
  </si>
  <si>
    <r>
      <rPr>
        <rFont val="Arial"/>
        <b/>
        <color rgb="FF000000"/>
        <sz val="12.0"/>
      </rPr>
      <t xml:space="preserve">ПВЗ №2 Ленина 114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</si>
  <si>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r>
      <rPr>
        <rFont val="Arial"/>
        <b/>
        <color rgb="FF000000"/>
        <sz val="12.0"/>
      </rPr>
      <t xml:space="preserve">ПВЗ №3 Мальского 5а                       </t>
    </r>
    <r>
      <rPr>
        <rFont val="Arial"/>
        <b/>
        <color rgb="FFFF0000"/>
        <sz val="14.0"/>
      </rPr>
      <t>РАБОЧИЙ ДЕНЬ С 9:45 с этого времени более 5 минут -начисляется опоздание</t>
    </r>
  </si>
  <si>
    <r>
      <rPr>
        <rFont val="Arial"/>
        <b/>
        <color rgb="FF000000"/>
        <sz val="12.0"/>
      </rPr>
      <t xml:space="preserve">ПВЗ №4 Белинского 46А                 </t>
    </r>
    <r>
      <rPr>
        <rFont val="Arial"/>
        <b/>
        <color rgb="FFFF0000"/>
        <sz val="12.0"/>
      </rPr>
      <t xml:space="preserve"> </t>
    </r>
    <r>
      <rPr>
        <rFont val="Arial"/>
        <b/>
        <color rgb="FFFF0000"/>
        <sz val="14.0"/>
      </rPr>
      <t>РАБОЧИЙ ДЕНЬ С 9:45 далее с этого времени более 5 минут -начисляется опоздание</t>
    </r>
  </si>
  <si>
    <t>с 19-21</t>
  </si>
  <si>
    <t>Варя Голубева</t>
  </si>
  <si>
    <t>Дима с 10-19</t>
  </si>
  <si>
    <r>
      <rPr>
        <rFont val="Arial"/>
        <b/>
        <color rgb="FF000000"/>
        <sz val="12.0"/>
      </rPr>
      <t xml:space="preserve">ПВЗ №5 Ленина 61                          </t>
    </r>
    <r>
      <rPr>
        <rFont val="Arial"/>
        <b/>
        <color rgb="FFFF0000"/>
        <sz val="14.0"/>
      </rPr>
      <t>РАБОЧИЙ ДЕНЬ С 9:00 с этого времени более 5 минут -начисляется опоздание</t>
    </r>
  </si>
  <si>
    <t>19-21</t>
  </si>
  <si>
    <t>Дима 9-19</t>
  </si>
  <si>
    <t xml:space="preserve">Дима </t>
  </si>
  <si>
    <t>МАРТ 2026</t>
  </si>
  <si>
    <r>
      <rPr>
        <rFont val="Arial"/>
        <b/>
        <color rgb="FF000000"/>
        <sz val="12.0"/>
      </rPr>
      <t xml:space="preserve">ПВЗ №1 Гоголя 18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</si>
  <si>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12-21</t>
  </si>
  <si>
    <t>Дима Давыдов</t>
  </si>
  <si>
    <r>
      <rPr>
        <rFont val="Arial"/>
        <b/>
        <color rgb="FF000000"/>
        <sz val="12.0"/>
      </rPr>
      <t xml:space="preserve">ПВЗ №2 Ленина 114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</si>
  <si>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t>С + стажер</t>
  </si>
  <si>
    <t xml:space="preserve">С+ стажер </t>
  </si>
  <si>
    <t>С+Стажёр</t>
  </si>
  <si>
    <r>
      <rPr>
        <rFont val="Arial"/>
        <b/>
        <color rgb="FF000000"/>
        <sz val="12.0"/>
      </rPr>
      <t xml:space="preserve">ПВЗ №3 Мальского 5а                       </t>
    </r>
    <r>
      <rPr>
        <rFont val="Arial"/>
        <b/>
        <color rgb="FFFF0000"/>
        <sz val="14.0"/>
      </rPr>
      <t>РАБОЧИЙ ДЕНЬ С 9:45 с этого времени более 5 минут -начисляется опоздание</t>
    </r>
  </si>
  <si>
    <t>С 10:00-16:00</t>
  </si>
  <si>
    <t>С 14:00-21:00</t>
  </si>
  <si>
    <t>Аня Н.</t>
  </si>
  <si>
    <t>Дима 16:00-21:00</t>
  </si>
  <si>
    <t>Дима 10:00-14:00</t>
  </si>
  <si>
    <r>
      <rPr>
        <rFont val="Arial"/>
        <b/>
        <color rgb="FF000000"/>
        <sz val="12.0"/>
      </rPr>
      <t xml:space="preserve">ПВЗ №5 Ленина 61                          </t>
    </r>
    <r>
      <rPr>
        <rFont val="Arial"/>
        <b/>
        <color rgb="FFFF0000"/>
        <sz val="14.0"/>
      </rPr>
      <t>РАБОЧИЙ ДЕНЬ С 9:00 с этого времени более 5 минут -начисляется опоздание</t>
    </r>
  </si>
  <si>
    <t>с 9 до 12</t>
  </si>
  <si>
    <t>с 12до 21</t>
  </si>
  <si>
    <t>АПРЕЛЬ 2026</t>
  </si>
  <si>
    <r>
      <rPr>
        <rFont val="Arial"/>
        <b/>
        <color rgb="FF000000"/>
        <sz val="12.0"/>
      </rPr>
      <t xml:space="preserve">ПВЗ №1 Гоголя 18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</si>
  <si>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r>
      <rPr>
        <rFont val="Arial"/>
        <b/>
        <color rgb="FF000000"/>
        <sz val="12.0"/>
      </rPr>
      <t xml:space="preserve">ПВЗ №2 Ленина 114                       </t>
    </r>
    <r>
      <rPr>
        <rFont val="Arial"/>
        <b/>
        <color rgb="FFFF0000"/>
        <sz val="14.0"/>
      </rPr>
      <t xml:space="preserve">   РАБОЧИЙ ДЕНЬ С 9:00 с этого времени более 5 минут -начисляется опоздание</t>
    </r>
  </si>
  <si>
    <r>
      <rPr>
        <rFont val="Arial"/>
        <b/>
        <color rgb="FF000000"/>
        <sz val="12.0"/>
      </rPr>
      <t xml:space="preserve">ПВЗ №3 Мальского 5а                       </t>
    </r>
    <r>
      <rPr>
        <rFont val="Arial"/>
        <b/>
        <color rgb="FFFF0000"/>
        <sz val="14.0"/>
      </rPr>
      <t>РАБОЧИЙ ДЕНЬ С 9:45 с этого времени более 5 минут -начисляется опоздание</t>
    </r>
  </si>
  <si>
    <t>Влад</t>
  </si>
  <si>
    <r>
      <rPr>
        <rFont val="Arial"/>
        <b/>
        <color rgb="FF000000"/>
        <sz val="12.0"/>
      </rPr>
      <t xml:space="preserve">ПВЗ №5 Ленина 61                          </t>
    </r>
    <r>
      <rPr>
        <rFont val="Arial"/>
        <b/>
        <color rgb="FFFF0000"/>
        <sz val="14.0"/>
      </rPr>
      <t>РАБОЧИЙ ДЕНЬ С 9:00 с этого времени более 5 минут -начисляется опоздание</t>
    </r>
  </si>
  <si>
    <t>Дата</t>
  </si>
  <si>
    <t xml:space="preserve">Товаров отдали </t>
  </si>
  <si>
    <t>Клиентов в день</t>
  </si>
  <si>
    <t>Статистика приёмки</t>
  </si>
  <si>
    <t>Товаров отдали</t>
  </si>
  <si>
    <t>Таваров отдали</t>
  </si>
  <si>
    <t xml:space="preserve"> МАРТ</t>
  </si>
  <si>
    <t>ПВЗ №4 Белинского 46</t>
  </si>
  <si>
    <t>АПРЕЛЬ</t>
  </si>
  <si>
    <t>а</t>
  </si>
  <si>
    <t>МАЙ</t>
  </si>
  <si>
    <t>ИЮЛЬ</t>
  </si>
  <si>
    <t>Г</t>
  </si>
  <si>
    <t>Г/Л</t>
  </si>
  <si>
    <t>Л</t>
  </si>
  <si>
    <t>К</t>
  </si>
  <si>
    <t>ИК</t>
  </si>
  <si>
    <t>выдача</t>
  </si>
  <si>
    <t>приёмка</t>
  </si>
  <si>
    <t>Корнилов</t>
  </si>
  <si>
    <t>Лобигер</t>
  </si>
  <si>
    <t>Картушина</t>
  </si>
  <si>
    <t>Ч</t>
  </si>
  <si>
    <t>В</t>
  </si>
  <si>
    <t>В/Ч</t>
  </si>
  <si>
    <t>Ч/В</t>
  </si>
  <si>
    <t>Чижов</t>
  </si>
  <si>
    <t>Голубева</t>
  </si>
  <si>
    <t>К/Князев</t>
  </si>
  <si>
    <t>Князев/К</t>
  </si>
  <si>
    <t>ДД</t>
  </si>
  <si>
    <t>НД</t>
  </si>
  <si>
    <t>Колова</t>
  </si>
  <si>
    <t>Капралова</t>
  </si>
  <si>
    <t>Князев</t>
  </si>
  <si>
    <t>Капралова/Князев</t>
  </si>
  <si>
    <t>И</t>
  </si>
  <si>
    <t>И/Г</t>
  </si>
  <si>
    <t>Рожина</t>
  </si>
  <si>
    <t>Имаева</t>
  </si>
  <si>
    <t>Павлова</t>
  </si>
  <si>
    <t>АВГУСТ</t>
  </si>
  <si>
    <t>Л/Колова</t>
  </si>
  <si>
    <t>ДН</t>
  </si>
  <si>
    <t>Выдача</t>
  </si>
  <si>
    <t>*СплАымАА</t>
  </si>
  <si>
    <t>Чумакова</t>
  </si>
  <si>
    <t>Давыдова Н</t>
  </si>
  <si>
    <t>Б</t>
  </si>
  <si>
    <t>Берданова</t>
  </si>
  <si>
    <t>Колупаева</t>
  </si>
  <si>
    <t>Давыдов Д</t>
  </si>
  <si>
    <t>Давыдова  Н</t>
  </si>
  <si>
    <t>Бархатова</t>
  </si>
  <si>
    <t>Д</t>
  </si>
  <si>
    <t>Д/К</t>
  </si>
  <si>
    <t>З</t>
  </si>
  <si>
    <t>К/З</t>
  </si>
  <si>
    <t>ЮЛ</t>
  </si>
  <si>
    <t>Зиганшин</t>
  </si>
  <si>
    <t>Ларина</t>
  </si>
  <si>
    <t>259102412_20383_601659_1</t>
  </si>
  <si>
    <t>СЕНТЯБРЬ</t>
  </si>
  <si>
    <t>АЛ</t>
  </si>
  <si>
    <t>АБ</t>
  </si>
  <si>
    <t>ЧЗ</t>
  </si>
  <si>
    <t>ИБ</t>
  </si>
  <si>
    <t>АК</t>
  </si>
  <si>
    <t>Колова А.</t>
  </si>
  <si>
    <t>ИБ/АК</t>
  </si>
  <si>
    <t>ВЗ</t>
  </si>
  <si>
    <t>КА</t>
  </si>
  <si>
    <t>КК</t>
  </si>
  <si>
    <t>ЮЛ/ДШ</t>
  </si>
  <si>
    <t>ДШ</t>
  </si>
  <si>
    <t>НД/ЧЗ</t>
  </si>
  <si>
    <t>Шешукова</t>
  </si>
  <si>
    <t>КЧ</t>
  </si>
  <si>
    <t>АЛ/КЧ</t>
  </si>
  <si>
    <t>ЮЛ/АК</t>
  </si>
  <si>
    <t>ксюша</t>
  </si>
  <si>
    <t>ОКТЯБРЬ</t>
  </si>
  <si>
    <t>ДЖ</t>
  </si>
  <si>
    <t>Захар/Даня/Иван с 14 до 21</t>
  </si>
  <si>
    <t>Анна Колупаева</t>
  </si>
  <si>
    <t>Влада</t>
  </si>
  <si>
    <t>Жевлаков</t>
  </si>
  <si>
    <t>Кузьменкова</t>
  </si>
  <si>
    <t>Низовкина</t>
  </si>
  <si>
    <t>Давыдов</t>
  </si>
  <si>
    <t>ДЖ/ КЧ</t>
  </si>
  <si>
    <t>МБ</t>
  </si>
  <si>
    <t>АН</t>
  </si>
  <si>
    <t>Бахтина</t>
  </si>
  <si>
    <t>НОЯБРЬ</t>
  </si>
  <si>
    <t>АА</t>
  </si>
  <si>
    <t>Приёмка</t>
  </si>
  <si>
    <t>Александрова</t>
  </si>
  <si>
    <t>ВЧ</t>
  </si>
  <si>
    <t>Черная</t>
  </si>
  <si>
    <t>НЕ</t>
  </si>
  <si>
    <t>-</t>
  </si>
  <si>
    <t>НХ</t>
  </si>
  <si>
    <t xml:space="preserve">ДЕКАБРЬ </t>
  </si>
  <si>
    <t>АЛ/АН</t>
  </si>
  <si>
    <t>ВЗ / КК с 15:00</t>
  </si>
  <si>
    <t>ГВ</t>
  </si>
  <si>
    <t>АЛ/КК</t>
  </si>
  <si>
    <t>ПД</t>
  </si>
  <si>
    <t>Перевалова</t>
  </si>
  <si>
    <t>АК/ЧЗ</t>
  </si>
  <si>
    <t>ПД/Варя</t>
  </si>
  <si>
    <t>Вика</t>
  </si>
  <si>
    <t>Илона/Варя</t>
  </si>
  <si>
    <t>Федина</t>
  </si>
  <si>
    <t>Лёша</t>
  </si>
  <si>
    <t>ЯНВАРЬ</t>
  </si>
  <si>
    <t>КФ</t>
  </si>
  <si>
    <t>АЛ/КФ</t>
  </si>
  <si>
    <t>Фёдорова</t>
  </si>
  <si>
    <t>АК-ДЖ</t>
  </si>
  <si>
    <t>Колупаева А</t>
  </si>
  <si>
    <t>ИБ/ЧЗ</t>
  </si>
  <si>
    <t>КЛ</t>
  </si>
  <si>
    <t>ДП</t>
  </si>
  <si>
    <t>Колупаева Л</t>
  </si>
  <si>
    <t>Варя/Дима</t>
  </si>
  <si>
    <t>курьеры</t>
  </si>
  <si>
    <t>люба/даня</t>
  </si>
  <si>
    <t>ВУ</t>
  </si>
  <si>
    <t>Устьянцев</t>
  </si>
  <si>
    <t>ФЕВРАЛЬ</t>
  </si>
  <si>
    <t>ИФ</t>
  </si>
  <si>
    <t>Федорова К</t>
  </si>
  <si>
    <t>Федина И</t>
  </si>
  <si>
    <t xml:space="preserve">Перевалова </t>
  </si>
  <si>
    <t>курьеры 9:38</t>
  </si>
  <si>
    <t>ВУ/Дима</t>
  </si>
  <si>
    <t>ФИ</t>
  </si>
  <si>
    <t>МАРТ</t>
  </si>
  <si>
    <t>АК/ДД</t>
  </si>
  <si>
    <t>ДД/АК</t>
  </si>
  <si>
    <t>АН+ИФ</t>
  </si>
  <si>
    <t>АВ</t>
  </si>
  <si>
    <t>Ленина 114</t>
  </si>
  <si>
    <t>Обнаружен сотрудником при возврате товара</t>
  </si>
  <si>
    <t>14.02.26</t>
  </si>
  <si>
    <t xml:space="preserve">Разрезана упаковка </t>
  </si>
  <si>
    <t>Оформлен как брак</t>
  </si>
  <si>
    <t>227р</t>
  </si>
  <si>
    <t xml:space="preserve">Жевлаков Даниил Анатольевич </t>
  </si>
  <si>
    <t>Гоголя 18</t>
  </si>
  <si>
    <t>обнаружен клиентом</t>
  </si>
  <si>
    <t>Вместо белой футболки пришла чёрная</t>
  </si>
  <si>
    <t>оформила товар как несоответствие</t>
  </si>
  <si>
    <t>1878р</t>
  </si>
  <si>
    <t>ОБРАЗЕЦ</t>
  </si>
  <si>
    <t>обнаружен сотрудником при приёмке товара</t>
  </si>
  <si>
    <t>Йогуртовый гель лак (отломана крышка, весь гель лак разлился)</t>
  </si>
  <si>
    <t>При приёмке простанировала товар в разделе брак, фото брака прикрепила, комментарий добавила</t>
  </si>
  <si>
    <t>184р</t>
  </si>
  <si>
    <t>Обнаружен клиентом при получении товара</t>
  </si>
  <si>
    <t>Туалетная вода женская Pur Blanca 45 мл Эйвон оригинал</t>
  </si>
  <si>
    <t>637 р</t>
  </si>
  <si>
    <t>Горшкова Виктория Олеговна</t>
  </si>
  <si>
    <t>Спрей мист для тела и волос Lost Cherry.
Товар был обнаружен разлит при приемке.</t>
  </si>
  <si>
    <t>При выдаче товара постановление метки о браке, отказ клиента, заполнение формы о браке товара, прикрепление фото и добавление в ВК.</t>
  </si>
  <si>
    <t>184 р.</t>
  </si>
  <si>
    <t>Обнаружен сотрудником при приёмке товара</t>
  </si>
  <si>
    <t xml:space="preserve">Маска для роста волос и шампунь Grow Pro MIXIT. Не соответствует комплектации заявленной производителем. </t>
  </si>
  <si>
    <t xml:space="preserve">Оформила товар как несоответствие </t>
  </si>
  <si>
    <t>1223 р.</t>
  </si>
  <si>
    <t xml:space="preserve">Обнаружен сотрудником при выдаче товара </t>
  </si>
  <si>
    <t>Мужской гель для душа и шампунь 2 в 1 REXONA. Товар был разлит, обнаружен при выдаче товара</t>
  </si>
  <si>
    <t>471 р.</t>
  </si>
  <si>
    <t xml:space="preserve"> Топ Карниз/Рулоновые шторы несоответствовал описанию</t>
  </si>
  <si>
    <t>Оформила как возврат</t>
  </si>
  <si>
    <t>1521р</t>
  </si>
  <si>
    <t>Белых Виктория Александровна</t>
  </si>
  <si>
    <t>Жидеое мыло для рук 1л был разлит в упаковке</t>
  </si>
  <si>
    <t>Оформила как брак</t>
  </si>
  <si>
    <t>237р</t>
  </si>
  <si>
    <t xml:space="preserve"> Обнаружен клиентом при получении товара</t>
  </si>
  <si>
    <t>Флюид для волос от секущихся кончиков несмывающий</t>
  </si>
  <si>
    <t>392р</t>
  </si>
  <si>
    <t>Духи Lost Cherry, 30 мл были разлиты в упаковке</t>
  </si>
  <si>
    <t>Оформила тавар как брак</t>
  </si>
  <si>
    <t>444р</t>
  </si>
  <si>
    <t>Обнаруже клиентом при получении товара</t>
  </si>
  <si>
    <t>Комплекто на выпеску с конвертом в афто кресло зимний несоответствовал описанию</t>
  </si>
  <si>
    <t>7110р</t>
  </si>
  <si>
    <t>Спортивный костюм тройка утеплённый осень-зима был порван</t>
  </si>
  <si>
    <t>5528р</t>
  </si>
  <si>
    <t>Настольная детская игра для компании
 Крокодил
Несоответсвие товара. Вместо крокодила
 пришел космонавт</t>
  </si>
  <si>
    <t>255 р</t>
  </si>
  <si>
    <t>Литвяк Дмитрий Константинович</t>
  </si>
  <si>
    <t>TOMMY LIFE
Футболка
Товар пришел не того цвета.</t>
  </si>
  <si>
    <t>3717 р</t>
  </si>
  <si>
    <t>Набор высоких стаканов для напитков воды и сока. Один из стаканов пришел разбитый</t>
  </si>
  <si>
    <t>319 р</t>
  </si>
  <si>
    <t>Dream For Me
Салфетница на стол интерьерная золотая
сколы стеклышек</t>
  </si>
  <si>
    <t>1089 р</t>
  </si>
  <si>
    <t>Возврат товара из дома</t>
  </si>
  <si>
    <t>Irbis
Opиoн</t>
  </si>
  <si>
    <t>195 р</t>
  </si>
  <si>
    <t>Обнаружен клиентом при выдаче товара</t>
  </si>
  <si>
    <t>Плащ женский</t>
  </si>
  <si>
    <t>835 р</t>
  </si>
  <si>
    <t>Щербачева Виктория Алексеевна</t>
  </si>
  <si>
    <t>Обнаружен сотрудником при приемке товара</t>
  </si>
  <si>
    <t>Wella Professionals Спрей EIMI легкой фиксации термозащитный thermal image</t>
  </si>
  <si>
    <t xml:space="preserve">Оформлен как брак </t>
  </si>
  <si>
    <t>1190 р</t>
  </si>
  <si>
    <t>Тарелка фарфоровая обеденная «Лакомка» d=20,5 см</t>
  </si>
  <si>
    <t>334 р</t>
  </si>
  <si>
    <t>гоголя 18</t>
  </si>
  <si>
    <t xml:space="preserve">    Обнаружен клиентом при выдаче товара</t>
  </si>
  <si>
    <t xml:space="preserve"> ИП СЫДЫКЖАН КЫЗЫ ПЕРИЗАТ  топ на завязках</t>
  </si>
  <si>
    <t xml:space="preserve">  Оформлен как брак</t>
  </si>
  <si>
    <t>209 р</t>
  </si>
  <si>
    <t xml:space="preserve"> Щербачева  Виктория  Алексеевна</t>
  </si>
  <si>
    <t xml:space="preserve"> Гоголя 18</t>
  </si>
  <si>
    <t xml:space="preserve">   Защитное стекло(2шт)</t>
  </si>
  <si>
    <t xml:space="preserve"> Оформлен как брак</t>
  </si>
  <si>
    <t xml:space="preserve"> щербачева  Виктория  Алексеевна</t>
  </si>
  <si>
    <t>Спортивные брюки для детей, товар с дыркой</t>
  </si>
  <si>
    <t>1558р</t>
  </si>
  <si>
    <t xml:space="preserve">Лазурченкова Виктория Дмитриевна </t>
  </si>
  <si>
    <t>Поводок для собак</t>
  </si>
  <si>
    <t>Аптечка для школы и детского сада, школьного кабинета</t>
  </si>
  <si>
    <t>оформлен как брак</t>
  </si>
  <si>
    <t>1776 р</t>
  </si>
  <si>
    <t>ленина 114</t>
  </si>
  <si>
    <t>маска для волос</t>
  </si>
  <si>
    <t>860 р</t>
  </si>
  <si>
    <t>Обнаружен клиентом при полученнии товара</t>
  </si>
  <si>
    <t>Щетка для оовуви и одежды с дозатором</t>
  </si>
  <si>
    <t>130 р</t>
  </si>
  <si>
    <t>Парфюмерная вода</t>
  </si>
  <si>
    <t>оформлен как бракк</t>
  </si>
  <si>
    <t>3709 р</t>
  </si>
  <si>
    <t xml:space="preserve">                                     сс-крем</t>
  </si>
  <si>
    <t>881 р</t>
  </si>
  <si>
    <t>Импульсивный массажер дарсонваль для лица и волос</t>
  </si>
  <si>
    <t>офрмлен как брак</t>
  </si>
  <si>
    <t>928 р</t>
  </si>
  <si>
    <t xml:space="preserve"> Возврат товара из дома</t>
  </si>
  <si>
    <t xml:space="preserve"> Коврики в машину</t>
  </si>
  <si>
    <t xml:space="preserve"> оформлен как брак</t>
  </si>
  <si>
    <t>щербачева Виктория Алексеевна</t>
  </si>
  <si>
    <t>Набор кружек</t>
  </si>
  <si>
    <t>1030 р</t>
  </si>
  <si>
    <t xml:space="preserve"> Кеды летние</t>
  </si>
  <si>
    <t>глаза для приманок красные</t>
  </si>
  <si>
    <t>Кошачьи нежности Алмазная мозаика на подрамнике 40х50</t>
  </si>
  <si>
    <t>460 р</t>
  </si>
  <si>
    <t>Куртка пуховик длинный с капюшоном</t>
  </si>
  <si>
    <t>5884 р</t>
  </si>
  <si>
    <t xml:space="preserve"> Обогреватель тепловентилятор</t>
  </si>
  <si>
    <t>Джинсы мом с высокой посадкой</t>
  </si>
  <si>
    <t>2719 р</t>
  </si>
  <si>
    <t>Зубные щетки NANO MASSAGE набор из 4шт. разного цвета</t>
  </si>
  <si>
    <t>310р</t>
  </si>
  <si>
    <t xml:space="preserve"> Защитное стекло на Xiaomi Redmi 13C</t>
  </si>
  <si>
    <t>146р</t>
  </si>
  <si>
    <t>Набор досок разделочных</t>
  </si>
  <si>
    <t>330р</t>
  </si>
  <si>
    <t xml:space="preserve">Трусы </t>
  </si>
  <si>
    <t>Маска DR Даня Кашин</t>
  </si>
  <si>
    <t>Кроссовки зимние мужские</t>
  </si>
  <si>
    <t>беспроводная колонка блютуз с 2</t>
  </si>
  <si>
    <t>2024 р</t>
  </si>
  <si>
    <t>платье</t>
  </si>
  <si>
    <t>Тапочки резиновые</t>
  </si>
  <si>
    <t>332 р</t>
  </si>
  <si>
    <t>костюм кожаный с юбкой мини и жакетом</t>
  </si>
  <si>
    <t>Оригинальный подарочный набор для виски</t>
  </si>
  <si>
    <t>480 р</t>
  </si>
  <si>
    <t>2370 р</t>
  </si>
  <si>
    <t>Лонсглив облегающий удлиненный с вырезом для пальца</t>
  </si>
  <si>
    <t>1127р</t>
  </si>
  <si>
    <t>ароматизатор для дома с палочками</t>
  </si>
  <si>
    <t>264 р</t>
  </si>
  <si>
    <t>Микрокорд</t>
  </si>
  <si>
    <t>314 р</t>
  </si>
  <si>
    <t>органайзер кухонный подставка для крышек</t>
  </si>
  <si>
    <t>327р</t>
  </si>
  <si>
    <t>Налокотник ортопедический</t>
  </si>
  <si>
    <t>335р</t>
  </si>
  <si>
    <t>Толстовка оверсайз олимпийка на молнии серая</t>
  </si>
  <si>
    <t>5012р</t>
  </si>
  <si>
    <t>Гирлянда на ёлку роса 100м зеленый провод</t>
  </si>
  <si>
    <t>808 р</t>
  </si>
  <si>
    <t>Спортивный костюм на флисе теплый</t>
  </si>
  <si>
    <t>3907 р</t>
  </si>
  <si>
    <t xml:space="preserve">Оргстекло акриловое </t>
  </si>
  <si>
    <t>764 р</t>
  </si>
  <si>
    <t xml:space="preserve">Закиров Егор Денисович </t>
  </si>
  <si>
    <t xml:space="preserve">Брюки кожаные экокожа </t>
  </si>
  <si>
    <t>991р</t>
  </si>
  <si>
    <t>Щетка для машины от снега</t>
  </si>
  <si>
    <t>234р</t>
  </si>
  <si>
    <t>Лак для волос ProVitaminB5 Экстрасильная фиксация, 265мл 3шт</t>
  </si>
  <si>
    <t>435 р</t>
  </si>
  <si>
    <t xml:space="preserve">Домашний халат на молнии </t>
  </si>
  <si>
    <t>897р</t>
  </si>
  <si>
    <t>Светильник настольный прикроватный с абажуром</t>
  </si>
  <si>
    <t>779 р</t>
  </si>
  <si>
    <t xml:space="preserve">платье новогоднее вечернее
 со стразами и с разрезом на ноге </t>
  </si>
  <si>
    <t>Рубашка школьная воротник стойка новогодняя</t>
  </si>
  <si>
    <t xml:space="preserve">оформлен как брак </t>
  </si>
  <si>
    <t>711 ₽</t>
  </si>
  <si>
    <t>Бокалы для вина 780 мл</t>
  </si>
  <si>
    <t>1441 р</t>
  </si>
  <si>
    <t>Утягивающие стринги с высокой талией</t>
  </si>
  <si>
    <t>547р</t>
  </si>
  <si>
    <t>Сказки.Рисунки В.Сутеева</t>
  </si>
  <si>
    <t>992р</t>
  </si>
  <si>
    <t xml:space="preserve">Обнаруженно до приема товара </t>
  </si>
  <si>
    <t>Лак акриловый матовый для творчества 750 мл</t>
  </si>
  <si>
    <t>386 ₽</t>
  </si>
  <si>
    <t>Качели подвесные</t>
  </si>
  <si>
    <t>2137 р</t>
  </si>
  <si>
    <t>Джемпер мужской больших размеров теплый вязаный бежевый</t>
  </si>
  <si>
    <t>1873р</t>
  </si>
  <si>
    <t>Спортивный костюм флисовый теплый на молнии</t>
  </si>
  <si>
    <t>2848р</t>
  </si>
  <si>
    <t>Платье коктейльное вечернее</t>
  </si>
  <si>
    <t>3030р</t>
  </si>
  <si>
    <t>Мальского 5а</t>
  </si>
  <si>
    <t>Футболка</t>
  </si>
  <si>
    <t>904 р</t>
  </si>
  <si>
    <t>Колье на шею с жемчугом вечернее новогоднее</t>
  </si>
  <si>
    <t xml:space="preserve">
549 ₽</t>
  </si>
  <si>
    <t>1427 р</t>
  </si>
  <si>
    <t>Давыдова Надежда Ивановна</t>
  </si>
  <si>
    <t>Нарядная блузка с широким рукавом офисная</t>
  </si>
  <si>
    <t>1483р</t>
  </si>
  <si>
    <t>Набор духов масляных пробники</t>
  </si>
  <si>
    <t>298р</t>
  </si>
  <si>
    <t>Набор фиалочниц 750мл Антик, 12шт в комплекте</t>
  </si>
  <si>
    <t>646 ₽</t>
  </si>
  <si>
    <t>Палка гимнастическая 80 см пластиковая ЛФК тренажер бодибар</t>
  </si>
  <si>
    <t>198р</t>
  </si>
  <si>
    <t xml:space="preserve">Давыдова Надежда Ивановна </t>
  </si>
  <si>
    <t>Кружка-хамелеон Знак зодиака Лев</t>
  </si>
  <si>
    <t>735 р</t>
  </si>
  <si>
    <t>Юбка плиссе длинная жатка солнце</t>
  </si>
  <si>
    <t>Стеклянные контейнеры для сыпучих продуктов и хранения круп</t>
  </si>
  <si>
    <t>3062р</t>
  </si>
  <si>
    <t>Костюм двойка лапша летний</t>
  </si>
  <si>
    <t>Кремы для рук увлажняющие набор 5 шт</t>
  </si>
  <si>
    <t>183 р</t>
  </si>
  <si>
    <t xml:space="preserve">Чайная пара, чашки для чая с блюдцем </t>
  </si>
  <si>
    <t>1964 р</t>
  </si>
  <si>
    <t xml:space="preserve">Вечерние серьги длинные бижутерия </t>
  </si>
  <si>
    <t>291 р</t>
  </si>
  <si>
    <t xml:space="preserve">Горшкова Виктория Олеговна </t>
  </si>
  <si>
    <t xml:space="preserve">Обнаружен клиентом при получении товара </t>
  </si>
  <si>
    <t>Колготки матовые 30 Ден</t>
  </si>
  <si>
    <t xml:space="preserve">352 р </t>
  </si>
  <si>
    <t>Тюль в гостиную 300x240</t>
  </si>
  <si>
    <t>596р</t>
  </si>
  <si>
    <t xml:space="preserve">Прокладки женские ультратонкие </t>
  </si>
  <si>
    <t>230 р</t>
  </si>
  <si>
    <t>Новогодний подарочный набор 2026 гель бальзамы и крема</t>
  </si>
  <si>
    <t>249р</t>
  </si>
  <si>
    <t xml:space="preserve">Быстрая зарядка для телефона </t>
  </si>
  <si>
    <t>343 р</t>
  </si>
  <si>
    <t>Лазерный уровень нивелир</t>
  </si>
  <si>
    <t>4427 р</t>
  </si>
  <si>
    <t>Джинсы широкие трубы с высокой посадкой</t>
  </si>
  <si>
    <t>5898р</t>
  </si>
  <si>
    <t>Новогодние игрушки на ёлку набор</t>
  </si>
  <si>
    <t>590 р</t>
  </si>
  <si>
    <t>Постельное белье 2-спальное</t>
  </si>
  <si>
    <t>936 р</t>
  </si>
  <si>
    <t>набор из 3х + подарок</t>
  </si>
  <si>
    <t>2181 р</t>
  </si>
  <si>
    <t>Игрушка для собак щенков</t>
  </si>
  <si>
    <t>278 р</t>
  </si>
  <si>
    <t>обнаружен клиентом при получении товара</t>
  </si>
  <si>
    <t>Статуэтка декоративная фигурка Ангел</t>
  </si>
  <si>
    <t>Духи Cigar's Tobacco 100 мл</t>
  </si>
  <si>
    <t>Бюстгальтер пушап с застежкой спереди силиконовые бретели</t>
  </si>
  <si>
    <t>1346р</t>
  </si>
  <si>
    <t>Плед пушистый евро 220х240</t>
  </si>
  <si>
    <t>2284 р</t>
  </si>
  <si>
    <t xml:space="preserve">Бокал для вина с надписью </t>
  </si>
  <si>
    <t>2372р</t>
  </si>
  <si>
    <t>Ёлочная игрушка новогоднее украшение стеклянный шар</t>
  </si>
  <si>
    <t>244 р</t>
  </si>
  <si>
    <t>обнаружен клиентом при выдаче товара</t>
  </si>
  <si>
    <t xml:space="preserve">Театр на столе Волк и семеро козлят </t>
  </si>
  <si>
    <t>458р</t>
  </si>
  <si>
    <t xml:space="preserve">Блузка нарядная офисная на праздник с рукавом </t>
  </si>
  <si>
    <t>995р</t>
  </si>
  <si>
    <t>осыпались блестки</t>
  </si>
  <si>
    <t>Колупаева Анна Викторовна</t>
  </si>
  <si>
    <t>Полотенце вытянуты нити</t>
  </si>
  <si>
    <t>Возврат из дома по одобренной заявке</t>
  </si>
  <si>
    <t>не держит замок</t>
  </si>
  <si>
    <t>Белинского 46а</t>
  </si>
  <si>
    <t>не соответствует размер обуви</t>
  </si>
  <si>
    <t>4070р</t>
  </si>
  <si>
    <t>Давыдов Дмитрий Андреевич</t>
  </si>
  <si>
    <t>испорчена заводская упаковка</t>
  </si>
  <si>
    <t>418р</t>
  </si>
  <si>
    <t>Колова Александра Александровна</t>
  </si>
  <si>
    <t>Tori Гель для стирки цветного белья 5л 165 стирок</t>
  </si>
  <si>
    <t>437 р</t>
  </si>
  <si>
    <t>Имаева Полина Валерьевна</t>
  </si>
  <si>
    <t>Обнаружен клиентом при при получении товара</t>
  </si>
  <si>
    <t>MIA-AMORE\ Пеньюар</t>
  </si>
  <si>
    <t>5035 р</t>
  </si>
  <si>
    <t>Обнаружем клиентом при получении товара</t>
  </si>
  <si>
    <t>Баскетбольная форма детская Россия</t>
  </si>
  <si>
    <t>1038 р</t>
  </si>
  <si>
    <t>Костюм домашний с велосипедками в рубчик</t>
  </si>
  <si>
    <t>1616р</t>
  </si>
  <si>
    <t>Обнаражен клиентом при получении товара</t>
  </si>
  <si>
    <t>Ластик для депиляции</t>
  </si>
  <si>
    <t>221р</t>
  </si>
  <si>
    <t xml:space="preserve">Юбка мини короткая теплая замшевая </t>
  </si>
  <si>
    <t>1584р</t>
  </si>
  <si>
    <t>Сумка через плечо</t>
  </si>
  <si>
    <t>1323р</t>
  </si>
  <si>
    <t>Карандаш для глаз мягкий стойкий тон 15</t>
  </si>
  <si>
    <t>250р</t>
  </si>
  <si>
    <t>Ножка опора М6 х30 регулируемая с резьбой- 4шт.</t>
  </si>
  <si>
    <t>218р</t>
  </si>
  <si>
    <t>Зонт автомат</t>
  </si>
  <si>
    <t>1027 р</t>
  </si>
  <si>
    <t xml:space="preserve"> Обнаружен сотрудником при оформлении возврата</t>
  </si>
  <si>
    <t>Платье женское</t>
  </si>
  <si>
    <t>3600 р</t>
  </si>
  <si>
    <t>шапка зимняя меховая со стразами</t>
  </si>
  <si>
    <t>2365 р</t>
  </si>
  <si>
    <t>Горшкова Виктоия Олеговна</t>
  </si>
  <si>
    <t xml:space="preserve">уголок для плинтуса заглушки для плинтусов </t>
  </si>
  <si>
    <t>161р</t>
  </si>
  <si>
    <t xml:space="preserve">Платье женское праздничное с длинными рукавами и пайетками </t>
  </si>
  <si>
    <t>Оформлен как бак</t>
  </si>
  <si>
    <t>2703р</t>
  </si>
  <si>
    <t xml:space="preserve">Комплект комбинезона для взрослых и девочек </t>
  </si>
  <si>
    <t>7145р</t>
  </si>
  <si>
    <t>Кухонный модуль</t>
  </si>
  <si>
    <t>1504 р</t>
  </si>
  <si>
    <t>Фоторамка</t>
  </si>
  <si>
    <t>420р</t>
  </si>
  <si>
    <t xml:space="preserve">Флисовая толстовка больших размеров </t>
  </si>
  <si>
    <t>2940р</t>
  </si>
  <si>
    <t xml:space="preserve">Щербачева Виктория Алексеевна </t>
  </si>
  <si>
    <t>интенсивный увлажняющий крем soft 75мл</t>
  </si>
  <si>
    <t>272р</t>
  </si>
  <si>
    <t>потапова майя алексеевна</t>
  </si>
  <si>
    <t>Обнаружен сотрудником при выдаче товара</t>
  </si>
  <si>
    <t xml:space="preserve">Консилер 01 для лица и глаз корректор </t>
  </si>
  <si>
    <t>153р</t>
  </si>
  <si>
    <t xml:space="preserve">маски для лица косметические тканевые </t>
  </si>
  <si>
    <t>156р</t>
  </si>
  <si>
    <t xml:space="preserve">Кольцо в форме мятого сердца </t>
  </si>
  <si>
    <t>176р</t>
  </si>
  <si>
    <t xml:space="preserve">Брючный костюм с жилетом </t>
  </si>
  <si>
    <t>4044 р</t>
  </si>
  <si>
    <t>Щётка автомобильная от снега</t>
  </si>
  <si>
    <t>1248 р</t>
  </si>
  <si>
    <t xml:space="preserve">Обнаружен клиентом при получение товара </t>
  </si>
  <si>
    <t xml:space="preserve">Кожаная юбка мини короткая </t>
  </si>
  <si>
    <t>1925р</t>
  </si>
  <si>
    <t>Платье</t>
  </si>
  <si>
    <t>1403 р</t>
  </si>
  <si>
    <t>Костюм женский спортивный, домашний костюм</t>
  </si>
  <si>
    <t>1 427 ₽</t>
  </si>
  <si>
    <t>Долгая Прогулка</t>
  </si>
  <si>
    <t>317 ₽</t>
  </si>
  <si>
    <t>Блузка праздничная нарядная с рукавом фонариком</t>
  </si>
  <si>
    <t>Комарова Екатерина</t>
  </si>
  <si>
    <t>Палочки для аромадиффузора "Спиральки и шарики" набор 6 шт</t>
  </si>
  <si>
    <t>180р</t>
  </si>
  <si>
    <t>Кардиган длинный оверсайз вязаный на запах</t>
  </si>
  <si>
    <t>3 160 ₽</t>
  </si>
  <si>
    <t xml:space="preserve">Заколка для густых волос с жемчугом </t>
  </si>
  <si>
    <t>264р</t>
  </si>
  <si>
    <t>smell sale / RUMZ AL RASASI 9325-POUR ELLE ZEB 50ml</t>
  </si>
  <si>
    <t xml:space="preserve">Домашний костюм с брюками </t>
  </si>
  <si>
    <t>1599р</t>
  </si>
  <si>
    <t xml:space="preserve">Трусы боксеры подростковые для мальчика </t>
  </si>
  <si>
    <t>498р</t>
  </si>
  <si>
    <t>Золотая подвеска кулон из золота 585 пробы</t>
  </si>
  <si>
    <t>12000р-13000р</t>
  </si>
  <si>
    <t>Сыворотка для волос для восстановления и ухода термозащитная</t>
  </si>
  <si>
    <t xml:space="preserve">обнаружен клиентом при получении товара </t>
  </si>
  <si>
    <t>Костюм двойка вязаный</t>
  </si>
  <si>
    <t>2 006 ₽</t>
  </si>
  <si>
    <t>Фонарь налобный аккумуляторный мощный</t>
  </si>
  <si>
    <t>508 р</t>
  </si>
  <si>
    <t>Шапка женская осенняя зимняя из ангоры</t>
  </si>
  <si>
    <t>оформен как брак</t>
  </si>
  <si>
    <t>858 р</t>
  </si>
  <si>
    <t>Бюстгальтер</t>
  </si>
  <si>
    <t>Джинсы для беременных мом зауженные прямые</t>
  </si>
  <si>
    <t>1671 р</t>
  </si>
  <si>
    <t>Набор горшков с прикорневым поливом 2,5л</t>
  </si>
  <si>
    <t>374 р</t>
  </si>
  <si>
    <t>Термоноски зимние высокие набор 6 пара</t>
  </si>
  <si>
    <t>Тетрадь 2 штуки 96 листов А4 в линию на гребне</t>
  </si>
  <si>
    <t>418  р</t>
  </si>
  <si>
    <t>Топ бюстье хлопковый на тонких бретельках</t>
  </si>
  <si>
    <t>1004р</t>
  </si>
  <si>
    <t xml:space="preserve">Быстрая зарядка для lPhone 20W комплект устройства </t>
  </si>
  <si>
    <t>417р</t>
  </si>
  <si>
    <t>Спрей для удаления въевшегося жира 450 мл 2 шт.</t>
  </si>
  <si>
    <t>Зимняя шапка мужская, бини, на флисе, с помпоном</t>
  </si>
  <si>
    <t>641р</t>
  </si>
  <si>
    <t>Турка электрическая. Кофеварка</t>
  </si>
  <si>
    <t>608р</t>
  </si>
  <si>
    <t xml:space="preserve">Шелковая пижама со штанами </t>
  </si>
  <si>
    <t>1366р</t>
  </si>
  <si>
    <t xml:space="preserve">Щербачева Виктория Алекеевна </t>
  </si>
  <si>
    <t>Фонарик аккумуляторный ручной с функцией Рower Bank</t>
  </si>
  <si>
    <t>793р</t>
  </si>
  <si>
    <t xml:space="preserve">Обнаружен сотрудников при выдачи товара </t>
  </si>
  <si>
    <t xml:space="preserve">Джоггеры спортивные штаны утепленные на флисе </t>
  </si>
  <si>
    <t>1154р</t>
  </si>
  <si>
    <t xml:space="preserve">Обувь для собак мелких пород зимняя </t>
  </si>
  <si>
    <t>971р</t>
  </si>
  <si>
    <t>Тушь для ресниц Лаф Супер-объем черная 11.4г</t>
  </si>
  <si>
    <t>1544р</t>
  </si>
  <si>
    <t>Обнаружен клиентом при получении</t>
  </si>
  <si>
    <t>ParaMagic\ Шар натуральный камень Лепидолит</t>
  </si>
  <si>
    <t>2880р</t>
  </si>
  <si>
    <t xml:space="preserve">Имаева Полина Валерьевна </t>
  </si>
  <si>
    <t>PUSSY POWER\ Леггинсы спортивные утягивающие с высокой посадкой</t>
  </si>
  <si>
    <t>448р</t>
  </si>
  <si>
    <t>Ленина 61</t>
  </si>
  <si>
    <t>Жирное пятно на пуховике. Из пуховика торчат нитки.</t>
  </si>
  <si>
    <t>27760р</t>
  </si>
  <si>
    <t>Чехол на Samsung Galaxy A35 5G с рисунком</t>
  </si>
  <si>
    <t>357 р</t>
  </si>
  <si>
    <t>Чехол на автомобильный смарт ключ Skoda</t>
  </si>
  <si>
    <t>408р</t>
  </si>
  <si>
    <t>Лещёв Алексей</t>
  </si>
  <si>
    <t>Диско шар проектор лазерный</t>
  </si>
  <si>
    <t>496р</t>
  </si>
  <si>
    <t>Лоток для бумаг вертикальный</t>
  </si>
  <si>
    <t>351р</t>
  </si>
  <si>
    <t xml:space="preserve">Подарок на 8 марта полотенца кухонные из микрофибры </t>
  </si>
  <si>
    <t>531р</t>
  </si>
  <si>
    <t xml:space="preserve">Платье летнее на запах нарядное миди </t>
  </si>
  <si>
    <t>1467р</t>
  </si>
  <si>
    <t>Обнаружен менеджером при оформении возврата</t>
  </si>
  <si>
    <t>Куртка демисезонная</t>
  </si>
  <si>
    <t>4897 р</t>
  </si>
  <si>
    <t>Обнаружен менеджером при выдаче товара</t>
  </si>
  <si>
    <t xml:space="preserve">Бумага а4 для принтера белая 500 листов,5 шт </t>
  </si>
  <si>
    <t>1824р</t>
  </si>
  <si>
    <t xml:space="preserve">Форма для выпечки и запекания керамическая </t>
  </si>
  <si>
    <t>1384р</t>
  </si>
  <si>
    <t>Брелок локатор для ключей</t>
  </si>
  <si>
    <t>Колготки DONNA 40 den для беременных</t>
  </si>
  <si>
    <t>745 р.</t>
  </si>
  <si>
    <t>Мирошниченко Алексей Владимирович</t>
  </si>
  <si>
    <t>MEDIAGADGET Защитное стекло для Xiaomi Mi 9 lite</t>
  </si>
  <si>
    <t>25 р.</t>
  </si>
  <si>
    <t xml:space="preserve">Обнаружен сотрудником при оформлении возврата </t>
  </si>
  <si>
    <t>Рамка со стеклом для икон 15х18</t>
  </si>
  <si>
    <t>316р</t>
  </si>
  <si>
    <t>Костюм трикотажный с брюками</t>
  </si>
  <si>
    <t>1 395 ₽</t>
  </si>
  <si>
    <t>Подгузники для взрослых М 30шт</t>
  </si>
  <si>
    <t>1200р</t>
  </si>
  <si>
    <t xml:space="preserve">Подгузники для взрослых М 30шт </t>
  </si>
  <si>
    <t xml:space="preserve">Пусковое реле РКТ-3 холодильника Атлант </t>
  </si>
  <si>
    <t>528р</t>
  </si>
  <si>
    <t xml:space="preserve">Очки защитные прозрачные </t>
  </si>
  <si>
    <t>278р</t>
  </si>
  <si>
    <t xml:space="preserve">Юбка трикотажная на резинке длинная </t>
  </si>
  <si>
    <t>2600р</t>
  </si>
  <si>
    <t xml:space="preserve">Туника удлиненная BROSKO </t>
  </si>
  <si>
    <t>1423р</t>
  </si>
  <si>
    <t>MULT с картой чехол на Redmi Note 13 Pro</t>
  </si>
  <si>
    <t>540р</t>
  </si>
  <si>
    <t>Носки высокие спортивные набор</t>
  </si>
  <si>
    <t>382р</t>
  </si>
  <si>
    <t>SALE_SHOP/Джинсы мом с высокой посадкой</t>
  </si>
  <si>
    <t>3191р</t>
  </si>
  <si>
    <t>WAY TO STATE/Купальник слитный на завязках</t>
  </si>
  <si>
    <t>649р</t>
  </si>
  <si>
    <t>Колготки для беременных</t>
  </si>
  <si>
    <t>751 р</t>
  </si>
  <si>
    <t xml:space="preserve">Набор нано для пяток-депилятор 2в1 терка крем стик </t>
  </si>
  <si>
    <t>181р</t>
  </si>
  <si>
    <t xml:space="preserve">Зимние ботинки на овчине </t>
  </si>
  <si>
    <t>1517р</t>
  </si>
  <si>
    <t xml:space="preserve">Обнаружен сотрудником при оформлении возврата товара </t>
  </si>
  <si>
    <t xml:space="preserve">Белая школьная Рубашка оверсайз </t>
  </si>
  <si>
    <t>1080р</t>
  </si>
  <si>
    <t xml:space="preserve">Обнаружен сотрудников при оформлении возврата </t>
  </si>
  <si>
    <t xml:space="preserve">Очки солнцезащитные черные унисекс </t>
  </si>
  <si>
    <t>682р</t>
  </si>
  <si>
    <t xml:space="preserve">Очки солнцезащитные с поляризацией </t>
  </si>
  <si>
    <t>563р</t>
  </si>
  <si>
    <t>Блюдо-этажерка 3-х ярусная</t>
  </si>
  <si>
    <t>2016 р</t>
  </si>
  <si>
    <t xml:space="preserve">Жилет утепленный стеганый дутый </t>
  </si>
  <si>
    <t>1507р</t>
  </si>
  <si>
    <t>Юбка карандаш трикотажная миди</t>
  </si>
  <si>
    <t>1604р</t>
  </si>
  <si>
    <t>Хлопушка для праздника конфети</t>
  </si>
  <si>
    <t>Комплект нижнего белья</t>
  </si>
  <si>
    <t xml:space="preserve">Пуховик Зимний </t>
  </si>
  <si>
    <t>2719р</t>
  </si>
  <si>
    <t>Жевлаков Даниил Анатольевич</t>
  </si>
  <si>
    <t>Увлажнитель аромадиффузор воздуха</t>
  </si>
  <si>
    <t>800р</t>
  </si>
  <si>
    <t xml:space="preserve">Обнаружен сотрудником при выдачи товара </t>
  </si>
  <si>
    <t xml:space="preserve">Блузка Катарина </t>
  </si>
  <si>
    <t>861р</t>
  </si>
  <si>
    <t xml:space="preserve">Трусы плавки хлопок </t>
  </si>
  <si>
    <t>422р</t>
  </si>
  <si>
    <t xml:space="preserve">Подарочный золотой кубок-звезда для награждения </t>
  </si>
  <si>
    <t>256р</t>
  </si>
  <si>
    <t>Обнауржен клиентом при получении товара</t>
  </si>
  <si>
    <t>Полка для ванной без сверления настенная, пластиковая 2шт</t>
  </si>
  <si>
    <t>365р</t>
  </si>
  <si>
    <t>Платье сетка длинное миди футляр</t>
  </si>
  <si>
    <t>1724р</t>
  </si>
  <si>
    <t>Фитосветильник для растений и рассады 9 Вт 573 мм</t>
  </si>
  <si>
    <t>Сапоги на шпильке демисезонные трубы</t>
  </si>
  <si>
    <t>Металлический стеллаж в ванную над стиральной машинкой</t>
  </si>
  <si>
    <t>1449 р</t>
  </si>
  <si>
    <t>Защитное стекло Poco x3, x3 Pro, Redmi Note 9 Pro, Note 9s</t>
  </si>
  <si>
    <t>Оформлен в брак</t>
  </si>
  <si>
    <t xml:space="preserve">Пряжа для вязания </t>
  </si>
  <si>
    <t>960р</t>
  </si>
  <si>
    <t>Органайзер для канцтоваров "Верь в чудо".единорог</t>
  </si>
  <si>
    <t>354р</t>
  </si>
  <si>
    <t>Брюки кюлоты женские белые широкие палаццо</t>
  </si>
  <si>
    <t>1325р</t>
  </si>
  <si>
    <t>Вертикальный проводной пылесос</t>
  </si>
  <si>
    <t>3600р</t>
  </si>
  <si>
    <t>Гель для бровей и ресниц Активатор роста</t>
  </si>
  <si>
    <t>Куртка весенняя для подростка</t>
  </si>
  <si>
    <t>халат домашний теплый с капюшоном</t>
  </si>
  <si>
    <t>Обнаружен сотрудиком при оформлении возврата</t>
  </si>
  <si>
    <t>Дубленка авиатор</t>
  </si>
  <si>
    <t>Обнаружен сотрудикном при оформлении возврата</t>
  </si>
  <si>
    <t>Брюки клеш классические</t>
  </si>
  <si>
    <t>Обнуружен клиентом при получении товара</t>
  </si>
  <si>
    <t>Футболка семейная светящийся принт Буду вести себя хорошо</t>
  </si>
  <si>
    <t>Обнаружен сотрудником при возврате товавра</t>
  </si>
  <si>
    <t xml:space="preserve">Платье на одно плечо </t>
  </si>
  <si>
    <t>524р</t>
  </si>
  <si>
    <t>Сумка miu miu</t>
  </si>
  <si>
    <t>2623р</t>
  </si>
  <si>
    <t>Пенка-мусс для умывания Черный Жемчуг Очищение+уход, 150мл</t>
  </si>
  <si>
    <t>635р</t>
  </si>
  <si>
    <t>Платье вечернее женское</t>
  </si>
  <si>
    <t>1250р</t>
  </si>
  <si>
    <t>Подарочный набор для творчества и рисования</t>
  </si>
  <si>
    <t>657р</t>
  </si>
  <si>
    <t xml:space="preserve">Обнаружен сотрудником при возврате товара </t>
  </si>
  <si>
    <t xml:space="preserve">Машинка на пульте управления для дрифта быстрая </t>
  </si>
  <si>
    <t>2800р</t>
  </si>
  <si>
    <t>Видеорегистратор для автомобиля с камерой заднего вида  3 в 1</t>
  </si>
  <si>
    <t>1421р</t>
  </si>
  <si>
    <t>Обнаружен клиентом при получени товара</t>
  </si>
  <si>
    <t>Поводок рулетка для мелких и крупных собак до 50 кг</t>
  </si>
  <si>
    <t>927р</t>
  </si>
  <si>
    <t>Фильтр для пылесоса Bosch серии GL-30, BGL3, BGL4, BGL8</t>
  </si>
  <si>
    <t>269р</t>
  </si>
  <si>
    <t xml:space="preserve">лоток для кошек закрытый большой домик с бортами </t>
  </si>
  <si>
    <t>1208р</t>
  </si>
  <si>
    <t>ST LLC
Шуруповерт аккумуляторный ударный</t>
  </si>
  <si>
    <t>5531р</t>
  </si>
  <si>
    <t>Пеньюар с сердечками красный</t>
  </si>
  <si>
    <t>1468р</t>
  </si>
  <si>
    <t>Кожаный ремень из натуральной кожи top layter</t>
  </si>
  <si>
    <t>903 р</t>
  </si>
  <si>
    <t>платье женское (чёрное/розовое)</t>
  </si>
  <si>
    <t>482 р</t>
  </si>
  <si>
    <t>Подарочная коробка складная для упаковки товара</t>
  </si>
  <si>
    <t>132р</t>
  </si>
  <si>
    <t xml:space="preserve">Худи оверсайз с капюшоном </t>
  </si>
  <si>
    <t>921р</t>
  </si>
  <si>
    <t xml:space="preserve">Стойкая крем-краска для бровей Горький шоколад </t>
  </si>
  <si>
    <t>171р</t>
  </si>
  <si>
    <t xml:space="preserve">Поло с длинным рукавом </t>
  </si>
  <si>
    <t>1528р</t>
  </si>
  <si>
    <t>боди утягивающее с длинным рукавом блузка нарядная</t>
  </si>
  <si>
    <t>Трусы боксеры с принтом</t>
  </si>
  <si>
    <t>379р</t>
  </si>
  <si>
    <t>Заколка зажим со стразами овальная золотистая</t>
  </si>
  <si>
    <t>505 р</t>
  </si>
  <si>
    <t>Насос сливной Бош</t>
  </si>
  <si>
    <t>1481 р</t>
  </si>
  <si>
    <t>Куртка пуховик демисезонный с капюшоном</t>
  </si>
  <si>
    <t>2240р</t>
  </si>
  <si>
    <t>Обнаружен сотрудником при проверке товара</t>
  </si>
  <si>
    <t>Джинсы клеш от колена стрейч</t>
  </si>
  <si>
    <t>670 р</t>
  </si>
  <si>
    <t>Бальзам для губ Care In Colours</t>
  </si>
  <si>
    <t>370 р</t>
  </si>
  <si>
    <t>обнаружен сотрудником при проверке товара</t>
  </si>
  <si>
    <t>Кеды</t>
  </si>
  <si>
    <t>1164 р</t>
  </si>
  <si>
    <t>Обнаружен клиентом при проверке товара</t>
  </si>
  <si>
    <t>Жилет костюм удлененный</t>
  </si>
  <si>
    <t>2457р</t>
  </si>
  <si>
    <t>Набор тени для век COLOR MANIA</t>
  </si>
  <si>
    <t>383 р</t>
  </si>
  <si>
    <t>Набор инструментов WR-46</t>
  </si>
  <si>
    <t>954 р</t>
  </si>
  <si>
    <t>Комбинезон из вязаного флиса</t>
  </si>
  <si>
    <t>1567р</t>
  </si>
  <si>
    <t>Набор фигурок Соник / Sonic 8шт (13см, пакет)</t>
  </si>
  <si>
    <t>1443р</t>
  </si>
  <si>
    <t>Стрипы ботильоны тройки</t>
  </si>
  <si>
    <t>7454 р</t>
  </si>
  <si>
    <t>горшкова Виктория Олеговна</t>
  </si>
  <si>
    <t>Водонагреватель проточный кран электрический LED дисплей</t>
  </si>
  <si>
    <t>1351 р</t>
  </si>
  <si>
    <t xml:space="preserve">Солнцезащитные очки круглые </t>
  </si>
  <si>
    <t>341р</t>
  </si>
  <si>
    <t>Сумка для телефона кожа</t>
  </si>
  <si>
    <t>Кроссовки для женщин</t>
  </si>
  <si>
    <t>617 р</t>
  </si>
  <si>
    <t>Кроп топ с рукавами клеш вечерний укороченный y2k 2024</t>
  </si>
  <si>
    <t>883 р</t>
  </si>
  <si>
    <t>Ветровка женская больших размеров</t>
  </si>
  <si>
    <t>3 637р</t>
  </si>
  <si>
    <t>Сарафан длинный свободный из вискозы</t>
  </si>
  <si>
    <t>791р</t>
  </si>
  <si>
    <t>Зимние ботинки замшевые на толстой подошве</t>
  </si>
  <si>
    <t>3756р</t>
  </si>
  <si>
    <t>Корея оригинал.Крем для лица,Корея 80Змея Омолаживающий</t>
  </si>
  <si>
    <t>196Р</t>
  </si>
  <si>
    <t>Белинского 46А</t>
  </si>
  <si>
    <t>Вафельница электрическая для венских вафель</t>
  </si>
  <si>
    <t>Лещёв Алексей Николаевич</t>
  </si>
  <si>
    <t>Футболка однотонная с принтом хлопок</t>
  </si>
  <si>
    <t>499р</t>
  </si>
  <si>
    <t>Кросс-боди через плечо маленькая черная сумка</t>
  </si>
  <si>
    <t>964 ₽</t>
  </si>
  <si>
    <t>706 р</t>
  </si>
  <si>
    <t>тонкий джемпер</t>
  </si>
  <si>
    <t>1617 р</t>
  </si>
  <si>
    <t>купальник</t>
  </si>
  <si>
    <t xml:space="preserve">Хрустальные бокалы для коньяка 200 мл.6 шт </t>
  </si>
  <si>
    <t>4903р</t>
  </si>
  <si>
    <t>Обнаружен сотрудником при оформлении возврата</t>
  </si>
  <si>
    <t>Гайковерт аккумуляторный ударный</t>
  </si>
  <si>
    <t>4077р</t>
  </si>
  <si>
    <t xml:space="preserve">Обнаружен сотрудником при проверки товара </t>
  </si>
  <si>
    <t xml:space="preserve">Таблетница утро-день-ночь </t>
  </si>
  <si>
    <t>358р</t>
  </si>
  <si>
    <t xml:space="preserve">Серьги крупные круглые </t>
  </si>
  <si>
    <t>244р</t>
  </si>
  <si>
    <t xml:space="preserve">Обнаруженно клиентом при получении товара </t>
  </si>
  <si>
    <t>Пенал школьный подростковый, органайзер для канцелярии</t>
  </si>
  <si>
    <t>381 ₽</t>
  </si>
  <si>
    <t>потертость на каблуке</t>
  </si>
  <si>
    <t>Обнаружено сотрудником при проверке товара</t>
  </si>
  <si>
    <t>Премиальное платье футляр из костюмной ткани с подкладкой</t>
  </si>
  <si>
    <t>8849 р</t>
  </si>
  <si>
    <t>горшкова виктория олеговна</t>
  </si>
  <si>
    <t>Брюки спортивные на резинке джоггеры с карманами</t>
  </si>
  <si>
    <t>878 р</t>
  </si>
  <si>
    <t>Ботфорты чулки на каблуке демисезонные</t>
  </si>
  <si>
    <t>5387 р</t>
  </si>
  <si>
    <t>Брюки классика прямые чиносы свободные</t>
  </si>
  <si>
    <t>2886 р</t>
  </si>
  <si>
    <t>Куртка</t>
  </si>
  <si>
    <t>2013 р</t>
  </si>
  <si>
    <t>Парик на сетке прямой.</t>
  </si>
  <si>
    <t>Обаружен клиентом при получении товара</t>
  </si>
  <si>
    <t>Теплый спортивный костюм оверсайз с начесом</t>
  </si>
  <si>
    <t>1822р</t>
  </si>
  <si>
    <t>Обаружен сотрудиком при возврате товара</t>
  </si>
  <si>
    <t>Puma 180 sk8 tones Кроссовки</t>
  </si>
  <si>
    <t>3601р</t>
  </si>
  <si>
    <t>Измельчитель электрический</t>
  </si>
  <si>
    <t>928р</t>
  </si>
  <si>
    <t>Корсетный топ на тонких бретелях</t>
  </si>
  <si>
    <t>686р</t>
  </si>
  <si>
    <t>Джинсы с высокой посадкой палаццо</t>
  </si>
  <si>
    <t>2970р</t>
  </si>
  <si>
    <t>ботинки демисезонные кожаные утепленные</t>
  </si>
  <si>
    <t>3779р</t>
  </si>
  <si>
    <t>Пиратская шляпа карнавальная</t>
  </si>
  <si>
    <t>426р</t>
  </si>
  <si>
    <t>Туфли на высоком каблуке вечерние</t>
  </si>
  <si>
    <t>1749р</t>
  </si>
  <si>
    <t>Платье вечернее праздничное</t>
  </si>
  <si>
    <t>Тапочки домашние шлепки с открытым носом подарок 8 марта</t>
  </si>
  <si>
    <t>Обнаружен клиентом при возврате товара</t>
  </si>
  <si>
    <t>Спортивный костюм</t>
  </si>
  <si>
    <t>1262р</t>
  </si>
  <si>
    <t>Обнаружен сотрудиком при возврате товара</t>
  </si>
  <si>
    <t>Угги челси замшевые зимние короткие на платформе</t>
  </si>
  <si>
    <t>929р</t>
  </si>
  <si>
    <t>Антиперспирант шариковый "Черное и белое" 50 мл</t>
  </si>
  <si>
    <t>167р</t>
  </si>
  <si>
    <t>Бюстгальтер бесшовный бандо невидимка повседневный балконет</t>
  </si>
  <si>
    <t>707р</t>
  </si>
  <si>
    <t>Купальник слитый для бассейна</t>
  </si>
  <si>
    <t>1316р</t>
  </si>
  <si>
    <t>Чижов Захар Михайлович</t>
  </si>
  <si>
    <t>Кружка для чая походная 400 мл эмалированная, черный</t>
  </si>
  <si>
    <t>324 р</t>
  </si>
  <si>
    <t>Бутылка для воды спортивная детская 500мл</t>
  </si>
  <si>
    <t>688р</t>
  </si>
  <si>
    <t>Обнаружен клиетом при проверке товара</t>
  </si>
  <si>
    <t>Набор картриджей для перьевой ручки, 15 шт, черные</t>
  </si>
  <si>
    <t>обнаружен клиентом при проверке товара</t>
  </si>
  <si>
    <t>Контейнер с крышкой для хранения зелени с дуршлагом</t>
  </si>
  <si>
    <t>461р</t>
  </si>
  <si>
    <t>онаружен клиентом при выдаче товара</t>
  </si>
  <si>
    <t>Румяна, Peach, 9,2 г</t>
  </si>
  <si>
    <t>722 р</t>
  </si>
  <si>
    <t>Куртка ветровка STELLA</t>
  </si>
  <si>
    <t>Самокат детский трехколесный</t>
  </si>
  <si>
    <t>4998 р</t>
  </si>
  <si>
    <t>Флюид для секущихся кончиков волос 80мл</t>
  </si>
  <si>
    <t xml:space="preserve">Оформлен как рак </t>
  </si>
  <si>
    <t>455р</t>
  </si>
  <si>
    <t>Костюм спортивный на флисе</t>
  </si>
  <si>
    <t>1881р</t>
  </si>
  <si>
    <t>Платье вечернее шелковое на запах</t>
  </si>
  <si>
    <t>558р</t>
  </si>
  <si>
    <t>Юбка шорты для танцев спортивная пляжная</t>
  </si>
  <si>
    <t>1646р</t>
  </si>
  <si>
    <t>Рамка для фото А3 30х40см пластик  белая</t>
  </si>
  <si>
    <t>329р</t>
  </si>
  <si>
    <t xml:space="preserve">Купальник раздельный </t>
  </si>
  <si>
    <t>1519р</t>
  </si>
  <si>
    <t xml:space="preserve">Щерюачева Виктория Алексеевна </t>
  </si>
  <si>
    <t>Пальто зимнее детское</t>
  </si>
  <si>
    <t xml:space="preserve">Трусы девочки набор 5 шт </t>
  </si>
  <si>
    <t>445р</t>
  </si>
  <si>
    <t xml:space="preserve">Обнаружен клиентом выдаче товара </t>
  </si>
  <si>
    <t xml:space="preserve">Термос походный 0.5 л с кружками подарочный набор </t>
  </si>
  <si>
    <t>625р</t>
  </si>
  <si>
    <t>обнаружен клиентом при получении  товара</t>
  </si>
  <si>
    <t xml:space="preserve">Шапка </t>
  </si>
  <si>
    <t>896р</t>
  </si>
  <si>
    <t>Капсулы для антивозрастного  ухода 2.7мл</t>
  </si>
  <si>
    <t>296р</t>
  </si>
  <si>
    <t>Манишка вязаная зимняя</t>
  </si>
  <si>
    <t>761р</t>
  </si>
  <si>
    <t>Брюки классические палаццо</t>
  </si>
  <si>
    <t>2211р</t>
  </si>
  <si>
    <t xml:space="preserve">Босоногие ботинки весенние </t>
  </si>
  <si>
    <t>5213р</t>
  </si>
  <si>
    <t>Вечернее платье футляр офисное</t>
  </si>
  <si>
    <t>633р</t>
  </si>
  <si>
    <t>STUDIO 3D осветление - до 10 уровней осветления</t>
  </si>
  <si>
    <t>364 р</t>
  </si>
  <si>
    <t>Сахарница стеклянная с крышкой ложкой ёмкость для соли меда</t>
  </si>
  <si>
    <t>307р</t>
  </si>
  <si>
    <t>455 р</t>
  </si>
  <si>
    <t>Босоножки для девочки летние открытые на липучке</t>
  </si>
  <si>
    <t>1152р</t>
  </si>
  <si>
    <t>2790971 5106</t>
  </si>
  <si>
    <t>Фигурка-игрушка Хатсуне Мику</t>
  </si>
  <si>
    <t>452 р</t>
  </si>
  <si>
    <t>Полки для ванной угловые 2 штуки</t>
  </si>
  <si>
    <t>773р</t>
  </si>
  <si>
    <t xml:space="preserve">
Полка прямая для ванной и кухни 2 штуки</t>
  </si>
  <si>
    <t>584р</t>
  </si>
  <si>
    <t>3171654 9258</t>
  </si>
  <si>
    <t>Самосвал дорожный 9399</t>
  </si>
  <si>
    <t>1029 р</t>
  </si>
  <si>
    <t>3166143 9796</t>
  </si>
  <si>
    <t>Ваза для цветов из стекла</t>
  </si>
  <si>
    <t>351 р</t>
  </si>
  <si>
    <t>Ключ автомобильный для домкрата</t>
  </si>
  <si>
    <t>1974р</t>
  </si>
  <si>
    <t xml:space="preserve">Платок легкий газовый Павлин </t>
  </si>
  <si>
    <t>564р</t>
  </si>
  <si>
    <t xml:space="preserve">Трусы 4шт </t>
  </si>
  <si>
    <t>196р</t>
  </si>
  <si>
    <t>Чайник электрический с подсветкой умный 2 л</t>
  </si>
  <si>
    <t>1403р</t>
  </si>
  <si>
    <t>Юбка атласная прямая в офис</t>
  </si>
  <si>
    <t>1019р</t>
  </si>
  <si>
    <t>Берданова Ираида Андреевна</t>
  </si>
  <si>
    <t>Спортивный костюм весенний на молнии больших размеров</t>
  </si>
  <si>
    <t>3239р</t>
  </si>
  <si>
    <t>Куртка демисезонная с капюшоном</t>
  </si>
  <si>
    <t>4793р</t>
  </si>
  <si>
    <t>Белое платье с разрезами</t>
  </si>
  <si>
    <t>763р</t>
  </si>
  <si>
    <t>Онаружен сотрудником при возрате товара</t>
  </si>
  <si>
    <t>Хемлагад ковш икеа</t>
  </si>
  <si>
    <t>1555р</t>
  </si>
  <si>
    <t>Толстовка флисовая на молнии</t>
  </si>
  <si>
    <t>1372р</t>
  </si>
  <si>
    <t>Платье нарядное мини с открытыми плечами</t>
  </si>
  <si>
    <t>4084р</t>
  </si>
  <si>
    <t xml:space="preserve">Обнаружен клиентом получении товара </t>
  </si>
  <si>
    <t xml:space="preserve">Ремешокдля часов кожаный </t>
  </si>
  <si>
    <t>459р</t>
  </si>
  <si>
    <t>Обнаружен сотрудником при возрате товара</t>
  </si>
  <si>
    <t>Шапка бини зимняя весенняя</t>
  </si>
  <si>
    <t>759р</t>
  </si>
  <si>
    <t xml:space="preserve">Игрушка Мялка Сквиш Череп </t>
  </si>
  <si>
    <t>220р</t>
  </si>
  <si>
    <t xml:space="preserve">Комкующийся ТОФУ зеленый чай </t>
  </si>
  <si>
    <t>532р</t>
  </si>
  <si>
    <t xml:space="preserve">Ваза декоративная бело-розовая Пуанты для сухоцветов </t>
  </si>
  <si>
    <t>526р</t>
  </si>
  <si>
    <t xml:space="preserve">Куртка джинсовая с капюшоном </t>
  </si>
  <si>
    <t>3053р</t>
  </si>
  <si>
    <t>Контейнер для мусора в автомобильный подстаканник</t>
  </si>
  <si>
    <t>332р</t>
  </si>
  <si>
    <t xml:space="preserve">Тушь для ресниц экстра обьем разделение изгиб </t>
  </si>
  <si>
    <t>343р</t>
  </si>
  <si>
    <t>Слитный Купальник</t>
  </si>
  <si>
    <t>733 р</t>
  </si>
  <si>
    <t>Кружка с приколом "Не обижайся"</t>
  </si>
  <si>
    <t>Лоферы на низком каблуке натуральная кожа</t>
  </si>
  <si>
    <t>2456р</t>
  </si>
  <si>
    <t xml:space="preserve">Ботинки </t>
  </si>
  <si>
    <t>19026р</t>
  </si>
  <si>
    <t xml:space="preserve">Теплый свитшот-поло с принтом и начесом </t>
  </si>
  <si>
    <t>755р</t>
  </si>
  <si>
    <t xml:space="preserve">Бомпер утепленный оверсайз </t>
  </si>
  <si>
    <t>4674р</t>
  </si>
  <si>
    <t>Мусорное ведро для кухни и туалета с крышкой</t>
  </si>
  <si>
    <t>985 р</t>
  </si>
  <si>
    <t>Акриловая фигурка Клинок рассекающий демонов</t>
  </si>
  <si>
    <t>303 р</t>
  </si>
  <si>
    <t>Вязаный костюм с юбкой</t>
  </si>
  <si>
    <t>2339р</t>
  </si>
  <si>
    <t>Обнаружен клиентм при получении товара</t>
  </si>
  <si>
    <t>Брюки вельветовые джоггеры на резинке</t>
  </si>
  <si>
    <t>1257р</t>
  </si>
  <si>
    <t>Резинки для волос с натуральным мехом</t>
  </si>
  <si>
    <t>247 р</t>
  </si>
  <si>
    <t>Пижама детская со штанами сердечки</t>
  </si>
  <si>
    <t>1521 р</t>
  </si>
  <si>
    <t>Футболка-поло базовая с воротником белая</t>
  </si>
  <si>
    <t>1409р</t>
  </si>
  <si>
    <t>Бронзер с эффектом сияния + подарок</t>
  </si>
  <si>
    <t>Стулья для кухни 2шт</t>
  </si>
  <si>
    <t>13050р</t>
  </si>
  <si>
    <t>Джинсы</t>
  </si>
  <si>
    <t xml:space="preserve">Резиновые сапоги ЭВА </t>
  </si>
  <si>
    <t>1049р</t>
  </si>
  <si>
    <t>Набор дополнительных перьев для ручкки, 3 шт</t>
  </si>
  <si>
    <t>228р</t>
  </si>
  <si>
    <t xml:space="preserve">Обложка для паспорта и автодокументов </t>
  </si>
  <si>
    <t>645р</t>
  </si>
  <si>
    <t xml:space="preserve">Толстовка  </t>
  </si>
  <si>
    <t>2086р</t>
  </si>
  <si>
    <t xml:space="preserve">Щербачева Виктория Алексеева </t>
  </si>
  <si>
    <t xml:space="preserve">Нарядная блузка с длинным рукавом </t>
  </si>
  <si>
    <t>2140р</t>
  </si>
  <si>
    <t>Оюнаружен клиентом при получении товара</t>
  </si>
  <si>
    <t>21.03,25</t>
  </si>
  <si>
    <t>Сандали для малышей</t>
  </si>
  <si>
    <t>Ароматизатор для дома</t>
  </si>
  <si>
    <t>346р</t>
  </si>
  <si>
    <t>Жилетка утепленная демисезонная</t>
  </si>
  <si>
    <t>2672р</t>
  </si>
  <si>
    <t>66220BA8B9C96</t>
  </si>
  <si>
    <t>Брюки карго джоггеры широкие</t>
  </si>
  <si>
    <t>993р</t>
  </si>
  <si>
    <t>Белые брюки Cargo с поясом и фастексом</t>
  </si>
  <si>
    <t>495р</t>
  </si>
  <si>
    <t>Декоративный камень из гипса "Сланец"</t>
  </si>
  <si>
    <t>1106р</t>
  </si>
  <si>
    <t>Пудра для лица 3 в 1 антибактериальная матирующая тон 001</t>
  </si>
  <si>
    <t>402р</t>
  </si>
  <si>
    <t>Декоративное панно на стену</t>
  </si>
  <si>
    <t>494р</t>
  </si>
  <si>
    <t>Увлажняющий тональный крем коллаген Корея оригинал 13</t>
  </si>
  <si>
    <t>654 р.</t>
  </si>
  <si>
    <t>Костюм футер</t>
  </si>
  <si>
    <t>539 р.</t>
  </si>
  <si>
    <t>Обнаружено сотрудником при приемке товара</t>
  </si>
  <si>
    <t>Краска резиновая SOLEX зеленая 3кг.</t>
  </si>
  <si>
    <t>1185 р.</t>
  </si>
  <si>
    <t>Мягкая игрушка Кот батон британец 70 см</t>
  </si>
  <si>
    <t>648р</t>
  </si>
  <si>
    <t xml:space="preserve">Платье дизайнерское деловое </t>
  </si>
  <si>
    <t>6877р</t>
  </si>
  <si>
    <t xml:space="preserve">Стаканы одноразовые под рассаду 500мл 100шт черные </t>
  </si>
  <si>
    <t xml:space="preserve">Брюки джоггеры утепленные ткань-Турция </t>
  </si>
  <si>
    <t>893р</t>
  </si>
  <si>
    <t>Пальто стеганое плащ стеганый куртка</t>
  </si>
  <si>
    <t>1386 р</t>
  </si>
  <si>
    <t>Футболка хлопок оверсайз набор 2шт</t>
  </si>
  <si>
    <t>503р</t>
  </si>
  <si>
    <t>Платье экокожа облегающее вечернее офисное</t>
  </si>
  <si>
    <t>4794р</t>
  </si>
  <si>
    <t>плакат настенный солнце птицы набор</t>
  </si>
  <si>
    <t>333р</t>
  </si>
  <si>
    <t>Блузка летняя удлиненная футболка оверсайз</t>
  </si>
  <si>
    <t>1588р</t>
  </si>
  <si>
    <t>Джинсовое платье рубашка оверсайз</t>
  </si>
  <si>
    <t>3197р</t>
  </si>
  <si>
    <t>Брюки палаццо на резинке</t>
  </si>
  <si>
    <t>542р</t>
  </si>
  <si>
    <t>Брюки палаццо из легкой ткани</t>
  </si>
  <si>
    <t>849р</t>
  </si>
  <si>
    <t>Ручка дверная межкомнатная с защелкой кноб</t>
  </si>
  <si>
    <t>858р</t>
  </si>
  <si>
    <t>Лонгслив обтягивающий трикотажный кофта с вырезом для пальца</t>
  </si>
  <si>
    <t>1687р</t>
  </si>
  <si>
    <t>Обнаружено клиентом при получении товара</t>
  </si>
  <si>
    <t>Туфли лодочки на низком каблуке</t>
  </si>
  <si>
    <t>2938р</t>
  </si>
  <si>
    <t>Штаны широкие спортивные утепленные с начесом оверсайз</t>
  </si>
  <si>
    <t>2034р</t>
  </si>
  <si>
    <t>Брюки бананы укороченные 7/8 на резинке ECRU трикотажные</t>
  </si>
  <si>
    <t>1470р</t>
  </si>
  <si>
    <t>Сапоги осенние высокие замшевые на шпильке весенние</t>
  </si>
  <si>
    <t>3920 р</t>
  </si>
  <si>
    <t>Кофта на каждый день</t>
  </si>
  <si>
    <t>1062р</t>
  </si>
  <si>
    <t xml:space="preserve">Обнаруен клиентом при получени товара </t>
  </si>
  <si>
    <t>Футболка хлопковая с принтом</t>
  </si>
  <si>
    <t>317Р</t>
  </si>
  <si>
    <t>жевлаков Даниил Анатольевич</t>
  </si>
  <si>
    <t>Сапоги резиновые женские весенние бежевые</t>
  </si>
  <si>
    <t>1860Р</t>
  </si>
  <si>
    <t xml:space="preserve">лак для волос экстрасильная </t>
  </si>
  <si>
    <t>1419р</t>
  </si>
  <si>
    <t>Костюм с брюками праздничный вечерний шелковый</t>
  </si>
  <si>
    <t>3458 р.</t>
  </si>
  <si>
    <t xml:space="preserve">Туфли на высоком каблуке </t>
  </si>
  <si>
    <t>2706р</t>
  </si>
  <si>
    <t>футболка детская оверсайз</t>
  </si>
  <si>
    <t>210р</t>
  </si>
  <si>
    <t>Спортивные штаны без начеса</t>
  </si>
  <si>
    <t>Карандаш для глаз Avon тон Космический коричневый</t>
  </si>
  <si>
    <t>301 р</t>
  </si>
  <si>
    <t>Куртка ветровка укороченный бомбер</t>
  </si>
  <si>
    <t>3099р</t>
  </si>
  <si>
    <t>Халат домашний на молнии хлопок больших размеров</t>
  </si>
  <si>
    <t>735р</t>
  </si>
  <si>
    <t>Обнаруден сотрудником при возврате товара</t>
  </si>
  <si>
    <t>Топ американка на запах с вырезом</t>
  </si>
  <si>
    <t>Босоножки вечерние на каблуке</t>
  </si>
  <si>
    <t>1284р</t>
  </si>
  <si>
    <t>Копилка Для Девочки "Я коплю" подарок школьнице</t>
  </si>
  <si>
    <t>195р</t>
  </si>
  <si>
    <t>Очки для зрения -1 РЦ 62-64</t>
  </si>
  <si>
    <t>624р</t>
  </si>
  <si>
    <t>Ботинки женские демисезонные</t>
  </si>
  <si>
    <t>3294р</t>
  </si>
  <si>
    <t>Гель для душа увлажняющий парфюмированный</t>
  </si>
  <si>
    <t>427р.</t>
  </si>
  <si>
    <t>Брюки палаццо широкие летние</t>
  </si>
  <si>
    <t>654р.</t>
  </si>
  <si>
    <t>Полуботинки лаковые</t>
  </si>
  <si>
    <t>2774р.</t>
  </si>
  <si>
    <t>Кофта теплая вязаная больших размеров нарядная/ заводской брак, разошлись нитки на воротнике</t>
  </si>
  <si>
    <t>1382р.</t>
  </si>
  <si>
    <t>Кеды классические с сердечком на плоской подошве</t>
  </si>
  <si>
    <t>671р</t>
  </si>
  <si>
    <t>Гель концентрат для стирки Sensitive, 2х2,6л</t>
  </si>
  <si>
    <t>1509р</t>
  </si>
  <si>
    <t>Комод деревянный для вещей узкий</t>
  </si>
  <si>
    <t>3122р</t>
  </si>
  <si>
    <t>Средство для мытья посуды, 1,5 л.</t>
  </si>
  <si>
    <t>286р</t>
  </si>
  <si>
    <t>Кроссовки Adidas осенние</t>
  </si>
  <si>
    <t>1326р</t>
  </si>
  <si>
    <t>Лоферы туфли на платформе</t>
  </si>
  <si>
    <t>2 948р</t>
  </si>
  <si>
    <t>Дегтерева Юлдузхон Бурибековна</t>
  </si>
  <si>
    <t>Кроссовки</t>
  </si>
  <si>
    <t>572 р</t>
  </si>
  <si>
    <t>Платье вечернее мини черное</t>
  </si>
  <si>
    <t>1236р</t>
  </si>
  <si>
    <t>Очки солнцезащитные модные (тренд 2025)</t>
  </si>
  <si>
    <t>1070р</t>
  </si>
  <si>
    <t>Брюки клеш для девочки на резинке в рубчик</t>
  </si>
  <si>
    <t>1023р</t>
  </si>
  <si>
    <t>Платье вечернее праздничное - Franches`ka</t>
  </si>
  <si>
    <t>5880р</t>
  </si>
  <si>
    <t>Спортивный костюм на замке</t>
  </si>
  <si>
    <t>4707 р</t>
  </si>
  <si>
    <t>Кроссовки женские демисезонные белые</t>
  </si>
  <si>
    <t>2083р</t>
  </si>
  <si>
    <t>Кроссовки TENSAUR RUN 2.0 CF K</t>
  </si>
  <si>
    <t>2205р</t>
  </si>
  <si>
    <t>Туфли лоферы классические из натуральной кожи тигина</t>
  </si>
  <si>
    <t>3931р</t>
  </si>
  <si>
    <t>Кроссовки и кеды PUMA 180 Tones спорт замша дутые</t>
  </si>
  <si>
    <t>3645р</t>
  </si>
  <si>
    <t>обнаружен сотрудником при выдаче товара</t>
  </si>
  <si>
    <t>Пряжа пух норки 2 мотка 853 хаки</t>
  </si>
  <si>
    <t>497 р</t>
  </si>
  <si>
    <t>1068р</t>
  </si>
  <si>
    <t>Блузка нарядная больших размеров</t>
  </si>
  <si>
    <t>1462р.</t>
  </si>
  <si>
    <t>Стол кухонный прямоугольный ( 90х60х75 см)</t>
  </si>
  <si>
    <t>3667р.</t>
  </si>
  <si>
    <t xml:space="preserve">Ботинки демисезонные натуральная кожа
</t>
  </si>
  <si>
    <t>4419р</t>
  </si>
  <si>
    <t>Лёгкие вейдерсы с сапогами нового поколения</t>
  </si>
  <si>
    <t>6377р</t>
  </si>
  <si>
    <t>Шапка-шлем весенний с хлопковым подкладом</t>
  </si>
  <si>
    <t>610 р</t>
  </si>
  <si>
    <t>Трусы набор больших размеров хлопок высокие</t>
  </si>
  <si>
    <t>450р</t>
  </si>
  <si>
    <t>Рубашка в клетку оверсайз удлиненная</t>
  </si>
  <si>
    <t>2231 р</t>
  </si>
  <si>
    <t>Купальник раздельный с высокой посадкой 3 В 1</t>
  </si>
  <si>
    <t xml:space="preserve">475р </t>
  </si>
  <si>
    <t>Очки корригирующие, с диоптрией +2.5</t>
  </si>
  <si>
    <t>424 р</t>
  </si>
  <si>
    <t>Толстовка мужская</t>
  </si>
  <si>
    <t>Футболка оверсайз с принтом у2к</t>
  </si>
  <si>
    <t>1 250</t>
  </si>
  <si>
    <t>Горизонтальный чехол сумка для смартфона</t>
  </si>
  <si>
    <t>376р.</t>
  </si>
  <si>
    <t>Кружка (Товар 18+)</t>
  </si>
  <si>
    <t>462р.</t>
  </si>
  <si>
    <t>Сапоги демисезонные трубы на каблуке натуральная кожа</t>
  </si>
  <si>
    <t>7 008</t>
  </si>
  <si>
    <t>Кроссовки TERREX AX4</t>
  </si>
  <si>
    <t>6 858</t>
  </si>
  <si>
    <t>Туфли нарядные</t>
  </si>
  <si>
    <t>1285р</t>
  </si>
  <si>
    <t>Лоферы кожаные женские черные платформа</t>
  </si>
  <si>
    <t>Шкаф пенал напольный деревянный с дверками</t>
  </si>
  <si>
    <t>1882р</t>
  </si>
  <si>
    <t xml:space="preserve">Бюстгальтер </t>
  </si>
  <si>
    <t>865р</t>
  </si>
  <si>
    <t>Юбка миди</t>
  </si>
  <si>
    <t>Леди Баг костюм</t>
  </si>
  <si>
    <t>1176р</t>
  </si>
  <si>
    <t>Кастрюля с ручками, 1.2 л</t>
  </si>
  <si>
    <t>589р</t>
  </si>
  <si>
    <t>Водолазка в рубчик</t>
  </si>
  <si>
    <t>370р</t>
  </si>
  <si>
    <t>Ремень женский натуральная кожа джинсовый</t>
  </si>
  <si>
    <t>1121 р</t>
  </si>
  <si>
    <t>Куртка бомбер укороченный кожаный</t>
  </si>
  <si>
    <t>4446р.</t>
  </si>
  <si>
    <t>Кроссовки натуральная кожа платформа</t>
  </si>
  <si>
    <t>5300р</t>
  </si>
  <si>
    <t>Полка для кухни 2-х ярусная органайзер для ванной</t>
  </si>
  <si>
    <t>388р</t>
  </si>
  <si>
    <t>Очки детские солнцезащитные</t>
  </si>
  <si>
    <t>230р</t>
  </si>
  <si>
    <t>Жидкие блестящие тени для век глиттер Glitter Rock</t>
  </si>
  <si>
    <t>327р.</t>
  </si>
  <si>
    <t>Набор кухонных принадлежностей "Айсберг волны"</t>
  </si>
  <si>
    <t>408р.</t>
  </si>
  <si>
    <t>Пластиковая переноска для кошек и собак большая</t>
  </si>
  <si>
    <t>1672р</t>
  </si>
  <si>
    <t>Респиратор Исток-300/400 (РПГ-67) А1В1</t>
  </si>
  <si>
    <t>291р</t>
  </si>
  <si>
    <t xml:space="preserve">Набор кухонных вафельных полотенец
</t>
  </si>
  <si>
    <t>442р</t>
  </si>
  <si>
    <t>3141905 6251</t>
  </si>
  <si>
    <t>Машинка радиоуправляемая робот трансформер</t>
  </si>
  <si>
    <t>844р</t>
  </si>
  <si>
    <t>Набор чашек Empire 4 штуки</t>
  </si>
  <si>
    <t>1889р</t>
  </si>
  <si>
    <t>Шампунь HV против выпадения волос 400мл.</t>
  </si>
  <si>
    <t>646р</t>
  </si>
  <si>
    <t>Текстильные дышащие в сетку кроссовки высокие</t>
  </si>
  <si>
    <t>1978р</t>
  </si>
  <si>
    <t>Чайный набор на 4 персоны "Bohemian birds" 280 мл</t>
  </si>
  <si>
    <t>Офорлмен как брак</t>
  </si>
  <si>
    <t>1862р</t>
  </si>
  <si>
    <t>Таблетки для посудомоечных машин ULTRA POWER, 110 шт.</t>
  </si>
  <si>
    <t>1276р</t>
  </si>
  <si>
    <t>Крафт пакет подарочный с днем рождения Винни Пух</t>
  </si>
  <si>
    <t>94р</t>
  </si>
  <si>
    <t>Кроссовки женские спортивные</t>
  </si>
  <si>
    <t>2535р.</t>
  </si>
  <si>
    <t>Шарики воздушные набор 40 шт</t>
  </si>
  <si>
    <t>279 р</t>
  </si>
  <si>
    <t>1035р</t>
  </si>
  <si>
    <t>Туфли кожаные на широкую ногу</t>
  </si>
  <si>
    <t>3868р</t>
  </si>
  <si>
    <t>Джинсы широкие багги с высокой посадкой</t>
  </si>
  <si>
    <t>2635р</t>
  </si>
  <si>
    <t xml:space="preserve">Фонари габаритные передний/задний для велосипеда RUSH HOUR </t>
  </si>
  <si>
    <t>318р</t>
  </si>
  <si>
    <t>Лимонадница, емкость для напитков с краном</t>
  </si>
  <si>
    <t>518р</t>
  </si>
  <si>
    <t>Кроссовки на толстой подошве демисезонные</t>
  </si>
  <si>
    <t>1675 р</t>
  </si>
  <si>
    <t>Костюм спортивный летний с брюками и футболкой оверсайз</t>
  </si>
  <si>
    <t>1773р</t>
  </si>
  <si>
    <t>Жидкий пластырь спрей Лейкопластырь с пантенолом и серебром</t>
  </si>
  <si>
    <t>372р</t>
  </si>
  <si>
    <t>Футболка базовая большие размеры</t>
  </si>
  <si>
    <t>748р</t>
  </si>
  <si>
    <t>Чайник заварочный стеклянный с ситечком для чая 1000 мл</t>
  </si>
  <si>
    <t>815р</t>
  </si>
  <si>
    <t>Шампунь для волос и бальзам восстанавливающий Hair Expert</t>
  </si>
  <si>
    <t>770Р</t>
  </si>
  <si>
    <t>Халат домашний махровый ELEGANCE LINE</t>
  </si>
  <si>
    <t>5115р</t>
  </si>
  <si>
    <t>кроссовки мокасины слипоны легкие</t>
  </si>
  <si>
    <t>2171р</t>
  </si>
  <si>
    <t>Юбка шорты женские классические офисные удлиненные</t>
  </si>
  <si>
    <t>1194 р</t>
  </si>
  <si>
    <t>Спортивный костюм на молнии с большими размерами</t>
  </si>
  <si>
    <t>3277р</t>
  </si>
  <si>
    <t>Прозрачная рубашка удлиненная</t>
  </si>
  <si>
    <t>2535р</t>
  </si>
  <si>
    <t>Очки солнцезащитные карнавальные Гигант 27 см.</t>
  </si>
  <si>
    <t>Оформелн как брак</t>
  </si>
  <si>
    <t>362р</t>
  </si>
  <si>
    <t>Набор для специй и приправ</t>
  </si>
  <si>
    <t>Обнаружен клиентом при поулчении твоара</t>
  </si>
  <si>
    <t>Термос походный подарочный</t>
  </si>
  <si>
    <t>Серьги большие крупные круглые</t>
  </si>
  <si>
    <t>284р</t>
  </si>
  <si>
    <t>Серьги длинные висячие</t>
  </si>
  <si>
    <t>385р</t>
  </si>
  <si>
    <t>резинки для волос</t>
  </si>
  <si>
    <t>Куртка демисезонная с капюшоном оверсайз</t>
  </si>
  <si>
    <t>7269р</t>
  </si>
  <si>
    <t>Кроссовки Shox TL Metallic Hemimate white</t>
  </si>
  <si>
    <t>3534р.</t>
  </si>
  <si>
    <t>Крем для лица "Сто Рецептов Красоты" Источник увлажнения50мл</t>
  </si>
  <si>
    <t>292р</t>
  </si>
  <si>
    <t>Платье праздничное</t>
  </si>
  <si>
    <t>2039р</t>
  </si>
  <si>
    <t>Аптечка органайзер домашняя 3 яруса</t>
  </si>
  <si>
    <t>1067р</t>
  </si>
  <si>
    <t>Лоферы из натуральной замши Loro Piana</t>
  </si>
  <si>
    <t>3 844 ₽</t>
  </si>
  <si>
    <t>Светодиодная фара ближнего ДХО 12-24V 2шт</t>
  </si>
  <si>
    <t>973р</t>
  </si>
  <si>
    <t>Обогреватель конвектор электрический напольный 1800 Вт</t>
  </si>
  <si>
    <t>2459р</t>
  </si>
  <si>
    <t>Бомбер утепленный демисезонный ветровка</t>
  </si>
  <si>
    <t>3731р</t>
  </si>
  <si>
    <t>Футболка мужская оверсайз однотонная плотная базовая хлопок</t>
  </si>
  <si>
    <t>1479р</t>
  </si>
  <si>
    <t xml:space="preserve">Купальник слитный с юбкой
</t>
  </si>
  <si>
    <t>2178р</t>
  </si>
  <si>
    <t xml:space="preserve">Босоножки сандалии летние натуральная кожа
</t>
  </si>
  <si>
    <t>4766р</t>
  </si>
  <si>
    <t>Тарелка набор 6шт плоские десертные 20 см Meadow flowers</t>
  </si>
  <si>
    <t>1173 р</t>
  </si>
  <si>
    <t>ELDC/кроссовки</t>
  </si>
  <si>
    <t>1965р</t>
  </si>
  <si>
    <t>643р.</t>
  </si>
  <si>
    <t>3145039 9469</t>
  </si>
  <si>
    <t>Профессиональная расческа для волос R412</t>
  </si>
  <si>
    <t>Игла для мечей</t>
  </si>
  <si>
    <t>926р.</t>
  </si>
  <si>
    <t>Подарочный набор для женщин Крестной</t>
  </si>
  <si>
    <t>1094р</t>
  </si>
  <si>
    <t>Штора для ванной 170х180см полиэстер</t>
  </si>
  <si>
    <t>433р</t>
  </si>
  <si>
    <t>3192384 1107</t>
  </si>
  <si>
    <t>Пижама домашняя брюки хлопковые легкие</t>
  </si>
  <si>
    <t>1532р</t>
  </si>
  <si>
    <t>Значки, День победы, 9 Мая, набор 5шт</t>
  </si>
  <si>
    <t>Кашпо подвесное уличное для цветов набор 4 шт по 7 литров</t>
  </si>
  <si>
    <t>Кроссовки женские</t>
  </si>
  <si>
    <t>2166р</t>
  </si>
  <si>
    <t>Сандалии ортопедические кожа</t>
  </si>
  <si>
    <t>3257р</t>
  </si>
  <si>
    <t>Шлейф для программатора динамик для iPhone 12 12 Pro</t>
  </si>
  <si>
    <t>2011р</t>
  </si>
  <si>
    <t>Футболка поло базовя с воротником хлопок</t>
  </si>
  <si>
    <t>1061р</t>
  </si>
  <si>
    <t>Кобура поясная для пистолета ПМ со скобой</t>
  </si>
  <si>
    <t>774р</t>
  </si>
  <si>
    <t>Онаружен сотрудником при возврате товара</t>
  </si>
  <si>
    <t>Кроссовки на платформе</t>
  </si>
  <si>
    <t>Оформен как брак</t>
  </si>
  <si>
    <t>1495р</t>
  </si>
  <si>
    <t>Кастрюля стеклянная для газовых плит</t>
  </si>
  <si>
    <t>551 ₽</t>
  </si>
  <si>
    <t>Футболка базовая однотонная</t>
  </si>
  <si>
    <t>391р.</t>
  </si>
  <si>
    <t>Перчатки мотоциклетные Scooby</t>
  </si>
  <si>
    <t>4160р</t>
  </si>
  <si>
    <t>4800р</t>
  </si>
  <si>
    <t>Кроссовки детские спортивные</t>
  </si>
  <si>
    <t>1767р</t>
  </si>
  <si>
    <t>Часы настольные интерьерные бесшумные 43х25 см</t>
  </si>
  <si>
    <t>732р</t>
  </si>
  <si>
    <t>Блузка рубашка вечерняя повседневная. Клиент отказался на камеру</t>
  </si>
  <si>
    <t>1097р</t>
  </si>
  <si>
    <t>Брюки летние классические легкие</t>
  </si>
  <si>
    <t>2691 р</t>
  </si>
  <si>
    <t>Платье женское вечернее праздничное</t>
  </si>
  <si>
    <t>6193 р</t>
  </si>
  <si>
    <t>Лоток для собак под пеленку 60*90</t>
  </si>
  <si>
    <t>2342р</t>
  </si>
  <si>
    <t>Кроссовки yeezy boost 350</t>
  </si>
  <si>
    <t>2496р</t>
  </si>
  <si>
    <t>Кроссовки для подростка на массивной подошве</t>
  </si>
  <si>
    <t>1374р</t>
  </si>
  <si>
    <t>3190216 2175</t>
  </si>
  <si>
    <t>Салатник керамический Пасха "Sunday" 21,5х7.5 см 1200 мл</t>
  </si>
  <si>
    <t>Тарелка набор 6 шт плоские обеденные 23 см Meadow flowers</t>
  </si>
  <si>
    <t>1424р</t>
  </si>
  <si>
    <t>3218847 3492</t>
  </si>
  <si>
    <t>Набор десертных тарелок на 6 персон</t>
  </si>
  <si>
    <t>712р</t>
  </si>
  <si>
    <t>Кружки для чая набор 6 штук 360 мл</t>
  </si>
  <si>
    <t>1042р</t>
  </si>
  <si>
    <t>Пижама с бриджами хлопок трикотажная хб</t>
  </si>
  <si>
    <t>869 р</t>
  </si>
  <si>
    <t>Кроссовки повседневные на высокой подошве</t>
  </si>
  <si>
    <t>2069р</t>
  </si>
  <si>
    <t>Кроссовки весенние</t>
  </si>
  <si>
    <t>2289р</t>
  </si>
  <si>
    <t>Спортивный костюм на молнии с капюшоном</t>
  </si>
  <si>
    <t>2640р</t>
  </si>
  <si>
    <t>Лобигер Александра Александровна</t>
  </si>
  <si>
    <t>3141560 4701</t>
  </si>
  <si>
    <t>Ветровка удлиненная с капюшоном весенняя</t>
  </si>
  <si>
    <t>4040р</t>
  </si>
  <si>
    <t>Купальник раздельный утягивающий с шортами и чашками</t>
  </si>
  <si>
    <t>1288р</t>
  </si>
  <si>
    <t>Плед покрывало на кровать и диван 180х200 флис мягкий</t>
  </si>
  <si>
    <t>376р</t>
  </si>
  <si>
    <t>2634714 5102</t>
  </si>
  <si>
    <t>Кроссовки из натуральной кожи сникеры</t>
  </si>
  <si>
    <t>1559р</t>
  </si>
  <si>
    <t>Гантели разборные 20 кг и переходник для штанги</t>
  </si>
  <si>
    <t>1294р</t>
  </si>
  <si>
    <t>Рубашка оверсайз джинсовая на пуговицах больших размеров</t>
  </si>
  <si>
    <t>3935р</t>
  </si>
  <si>
    <t>Шорты замшевые с высокой талией</t>
  </si>
  <si>
    <t>Кроп топ женский набор</t>
  </si>
  <si>
    <t>Летний топ в рубчик укороченный под пиджак</t>
  </si>
  <si>
    <t>Садж чугунный 50 см сковорода для мангала</t>
  </si>
  <si>
    <t>3150р</t>
  </si>
  <si>
    <t>Пиджак оверсайз удлиненный классический весенний</t>
  </si>
  <si>
    <t>Кроссовки COURT ADVANCE ELASTIC LACE &amp; TOP STRAP</t>
  </si>
  <si>
    <t>1609р</t>
  </si>
  <si>
    <t>3180433 9776</t>
  </si>
  <si>
    <t>Кроссовки демисезонные для мальчика и для девочки</t>
  </si>
  <si>
    <t>2223р</t>
  </si>
  <si>
    <t>Стеллаж деревянный напольный для книг и игрушек Невада</t>
  </si>
  <si>
    <t>2793р</t>
  </si>
  <si>
    <t>2755р</t>
  </si>
  <si>
    <t>рубашка оверсайз в клетку красная</t>
  </si>
  <si>
    <t>807р</t>
  </si>
  <si>
    <t>Трусы слипы бесшовные набор 5 штук</t>
  </si>
  <si>
    <t>515р</t>
  </si>
  <si>
    <t xml:space="preserve">Испорчена упаковка </t>
  </si>
  <si>
    <t>279р</t>
  </si>
  <si>
    <t xml:space="preserve">Замазан маркером носок </t>
  </si>
  <si>
    <t>3683р</t>
  </si>
  <si>
    <t>изцарапанная столешница</t>
  </si>
  <si>
    <t>7822р</t>
  </si>
  <si>
    <t>Чумакова Кира Дмитриевна</t>
  </si>
  <si>
    <t>Царапины</t>
  </si>
  <si>
    <t>1196р</t>
  </si>
  <si>
    <t xml:space="preserve">Мокасины классические туфли мужские легкие
</t>
  </si>
  <si>
    <t xml:space="preserve">комплект одежды для новорожденных
</t>
  </si>
  <si>
    <t>1513р</t>
  </si>
  <si>
    <t xml:space="preserve">Комбинезон для новорожденных демисезонный с капюшоном
</t>
  </si>
  <si>
    <t>1638р</t>
  </si>
  <si>
    <t xml:space="preserve">Футболка белая однотонная хлопок с vобразным вырезом
</t>
  </si>
  <si>
    <t>419р</t>
  </si>
  <si>
    <t xml:space="preserve">Брюки широкие палаццо сингапур
</t>
  </si>
  <si>
    <t>609р</t>
  </si>
  <si>
    <t>778р</t>
  </si>
  <si>
    <t>Шорты джинсовые удлиненные бермуды</t>
  </si>
  <si>
    <t>3950р</t>
  </si>
  <si>
    <t>Держатель для туалетной бумаги черный</t>
  </si>
  <si>
    <t>1587 р</t>
  </si>
  <si>
    <t>Мемори игра настольная для детей / Найди пару / Динозавры</t>
  </si>
  <si>
    <t>215р</t>
  </si>
  <si>
    <t>Кеды GRAND COURT PLATFORM</t>
  </si>
  <si>
    <t>3211р</t>
  </si>
  <si>
    <t>Дождевик плащ с капюшоном серый 1 шт</t>
  </si>
  <si>
    <t>344р</t>
  </si>
  <si>
    <t>Спрей ANTIFOG (Антифог) от запотевания очков, 30 мл</t>
  </si>
  <si>
    <t>352р</t>
  </si>
  <si>
    <t>Резиновые сапоги детские с утеплителем</t>
  </si>
  <si>
    <t>1628р</t>
  </si>
  <si>
    <t>Фильтр для аквариума с УФ-стерилизатором и аэрацией</t>
  </si>
  <si>
    <t>1653р</t>
  </si>
  <si>
    <t>Босоножки на каблуке с открытым носом</t>
  </si>
  <si>
    <t>1663р</t>
  </si>
  <si>
    <t>Кидай лови нейродиск</t>
  </si>
  <si>
    <t>312 р</t>
  </si>
  <si>
    <t>Краска OSB Быстросохнущая, Полуматовое покрытие, 7 кг, белый</t>
  </si>
  <si>
    <t>914р</t>
  </si>
  <si>
    <t>Кожаные босоножки на танкетке</t>
  </si>
  <si>
    <t>1793р</t>
  </si>
  <si>
    <t>Кроссовки весна</t>
  </si>
  <si>
    <t>2365р</t>
  </si>
  <si>
    <t>Монопучковая щетка зубная для брекетов монопучок 3 шт набор</t>
  </si>
  <si>
    <t>295р</t>
  </si>
  <si>
    <t>Платье летнее хлопковое с открытой спиной</t>
  </si>
  <si>
    <t>3788р</t>
  </si>
  <si>
    <t>Футболка ОВЕРСАЙЗ зеленая однотонная хлопок</t>
  </si>
  <si>
    <t>416 ₽</t>
  </si>
  <si>
    <t>Резиновая краска №14 Изумруд 6 кг</t>
  </si>
  <si>
    <t>4175 р</t>
  </si>
  <si>
    <t>Мужской гель для душа + шампунь 3в1 Captain 1л</t>
  </si>
  <si>
    <t>728р</t>
  </si>
  <si>
    <t>Форма для запекания и выпечки овальная, 2 шт. 3 л + 1,5 л</t>
  </si>
  <si>
    <t>1006 р</t>
  </si>
  <si>
    <t>Платье офисное</t>
  </si>
  <si>
    <t>1295р</t>
  </si>
  <si>
    <t>Чемодан с замком TSA тканевый Seyd 86 л (L большой)</t>
  </si>
  <si>
    <t>14610р</t>
  </si>
  <si>
    <t>Настольные игры, головоломки, игрушки для детей</t>
  </si>
  <si>
    <t>191р</t>
  </si>
  <si>
    <t>Школьное платье рубашка офисное короткое</t>
  </si>
  <si>
    <t>Садж чугунный сковорода 50 см Узбекистан</t>
  </si>
  <si>
    <t>3419р</t>
  </si>
  <si>
    <t>Ремень из эко кожи в подарок</t>
  </si>
  <si>
    <t>400р</t>
  </si>
  <si>
    <t>Докер кепка летняя</t>
  </si>
  <si>
    <t>962р</t>
  </si>
  <si>
    <t>Рулонные шторы БЛЭКАУТ 61 на 160 жалюзи на окна</t>
  </si>
  <si>
    <t>1109р</t>
  </si>
  <si>
    <t>кеды для малыша</t>
  </si>
  <si>
    <t>1440р</t>
  </si>
  <si>
    <t>Обувная ложка на магните</t>
  </si>
  <si>
    <t>Брючный костюм женский летний</t>
  </si>
  <si>
    <t>5062р</t>
  </si>
  <si>
    <t>2990172 4409</t>
  </si>
  <si>
    <t>Флисовая толстовка с капюшоном</t>
  </si>
  <si>
    <t>739р</t>
  </si>
  <si>
    <t>рубашка белая для мальчика с длинным рукавом школьная</t>
  </si>
  <si>
    <t>873р</t>
  </si>
  <si>
    <t>Халат медицинский белый</t>
  </si>
  <si>
    <t>912р</t>
  </si>
  <si>
    <t>Рулонные шторы БЛЭКАУТ 52 на 160 жалюзи на окна</t>
  </si>
  <si>
    <t>947р</t>
  </si>
  <si>
    <t>Таблетки для посудомоечной машины 90шт</t>
  </si>
  <si>
    <t>954р</t>
  </si>
  <si>
    <t>Кеды женские замшевые</t>
  </si>
  <si>
    <t>вилка</t>
  </si>
  <si>
    <t>Гель для душа U024 Lost Cherry</t>
  </si>
  <si>
    <t>354 р</t>
  </si>
  <si>
    <t>пальто весна осень длинное</t>
  </si>
  <si>
    <t>7268р</t>
  </si>
  <si>
    <t>парогенератор</t>
  </si>
  <si>
    <t>9278р</t>
  </si>
  <si>
    <t>Кеды белые женские</t>
  </si>
  <si>
    <t>2308р</t>
  </si>
  <si>
    <t>2579р</t>
  </si>
  <si>
    <t>Брюки широкие костюмные со стрелками</t>
  </si>
  <si>
    <t>2661р.</t>
  </si>
  <si>
    <t xml:space="preserve">Берданова Ираида Андреевна </t>
  </si>
  <si>
    <t>Кеды MANUAL SHOE BGM</t>
  </si>
  <si>
    <t>3 189 ₽</t>
  </si>
  <si>
    <t>Кеды TONIK SHOE BB2</t>
  </si>
  <si>
    <t>3 683 ₽</t>
  </si>
  <si>
    <t>Серьги пусеты серебро</t>
  </si>
  <si>
    <t>3978р</t>
  </si>
  <si>
    <t>3203274 6754</t>
  </si>
  <si>
    <t>Платье праздничное больших размеров</t>
  </si>
  <si>
    <t>5216р</t>
  </si>
  <si>
    <t>2706902 8716</t>
  </si>
  <si>
    <t>Пуховик зимний длинный с капюшоном</t>
  </si>
  <si>
    <t>5598р</t>
  </si>
  <si>
    <t>Обнаружен сотрдуником при возврате товара</t>
  </si>
  <si>
    <t>Кроссовки и кеды AIR спорт экокожа</t>
  </si>
  <si>
    <t>Джинсы прямые со средней посадкой</t>
  </si>
  <si>
    <t xml:space="preserve"> 3461р</t>
  </si>
  <si>
    <t>шорты для мальчика подростка</t>
  </si>
  <si>
    <t>1032р</t>
  </si>
  <si>
    <t>Шорты для подростка</t>
  </si>
  <si>
    <t>1105р</t>
  </si>
  <si>
    <t>Кроссовки мужские летние дышащие</t>
  </si>
  <si>
    <t>1146р</t>
  </si>
  <si>
    <t xml:space="preserve">
Аптечка домашняя большая, контейнер для таблеток</t>
  </si>
  <si>
    <t>1527р</t>
  </si>
  <si>
    <t>Слипоны тканевые кроссовки легкие летние кеды Adidas</t>
  </si>
  <si>
    <t>Свитшот Деревня авангарда черный</t>
  </si>
  <si>
    <t>1782р</t>
  </si>
  <si>
    <t>Кроссовки летние</t>
  </si>
  <si>
    <t>1783р</t>
  </si>
  <si>
    <t>Джемпер свободного силуэта с рукавами "летучая мышь"</t>
  </si>
  <si>
    <t>1799р</t>
  </si>
  <si>
    <t>Летние Сабо Мюли Ортопедические</t>
  </si>
  <si>
    <t>1988р</t>
  </si>
  <si>
    <t>Лоферы на платформе</t>
  </si>
  <si>
    <t>2057р</t>
  </si>
  <si>
    <t xml:space="preserve">Ветровка подростковая на трикотажной подкладке
</t>
  </si>
  <si>
    <t>2108р</t>
  </si>
  <si>
    <t>Свитшот оверсайз без начеса</t>
  </si>
  <si>
    <t>2185р</t>
  </si>
  <si>
    <t>Купальник раздельный бикини для пляжа и бассейна</t>
  </si>
  <si>
    <t>2408р</t>
  </si>
  <si>
    <t>Кроссовки женские летние</t>
  </si>
  <si>
    <t>2505р</t>
  </si>
  <si>
    <t>Когтеточка - лежанка картонная для кошек, 63х31х2</t>
  </si>
  <si>
    <t>Для мытья пола швабра и ведро с отжимом</t>
  </si>
  <si>
    <t>2805р</t>
  </si>
  <si>
    <t>Джемпер вязаный хлопковый в офис</t>
  </si>
  <si>
    <t>2836р</t>
  </si>
  <si>
    <t>Туфли из натуральной кожи весенние</t>
  </si>
  <si>
    <t>3110р</t>
  </si>
  <si>
    <t>2243725 4496</t>
  </si>
  <si>
    <t>Спортивный костюм оверсайз с брюками</t>
  </si>
  <si>
    <t>3447р</t>
  </si>
  <si>
    <t>Кроссовки спортивные для бега фитнеса спортзала Air Zoom</t>
  </si>
  <si>
    <t>3611р</t>
  </si>
  <si>
    <t>Лонгслив хлопковый в рубчик</t>
  </si>
  <si>
    <t>Очки солнцезащитные прямоугольные</t>
  </si>
  <si>
    <t>396р</t>
  </si>
  <si>
    <t>Летние джинсы палаццо светлые</t>
  </si>
  <si>
    <t>4215р</t>
  </si>
  <si>
    <t>Платье детское летнее</t>
  </si>
  <si>
    <t>561р</t>
  </si>
  <si>
    <t>Туника удлиненная</t>
  </si>
  <si>
    <t>Резиновые сапоги ЭВА</t>
  </si>
  <si>
    <t>727р</t>
  </si>
  <si>
    <t xml:space="preserve">Резиновые сапоги полусапожки эва непромокаемые
</t>
  </si>
  <si>
    <t>860р</t>
  </si>
  <si>
    <t>Свитшот поло оверсайз укороченный с принтом y2k</t>
  </si>
  <si>
    <t>915р</t>
  </si>
  <si>
    <t>Спортивные шорты варенки из хлопка</t>
  </si>
  <si>
    <t>Куртка женская демисезон удлиненная осен</t>
  </si>
  <si>
    <t>Бюстгальтер для полных женщин на косточках</t>
  </si>
  <si>
    <t>1047р</t>
  </si>
  <si>
    <t>Блузка нарядная оверсайз в офис</t>
  </si>
  <si>
    <t>1082 р</t>
  </si>
  <si>
    <t>Кроссовки женские Кеды демисезонные</t>
  </si>
  <si>
    <t>1399р</t>
  </si>
  <si>
    <t>Балетки лакированные с ремешком</t>
  </si>
  <si>
    <t>1669р</t>
  </si>
  <si>
    <t>Кроссовки мужские летние</t>
  </si>
  <si>
    <t>1846р</t>
  </si>
  <si>
    <t>Лоферы женские натуральная кожа</t>
  </si>
  <si>
    <t>2046р</t>
  </si>
  <si>
    <t>Кроссовки Nike Air Jordan 4 Retro White oreo</t>
  </si>
  <si>
    <t>2439р</t>
  </si>
  <si>
    <t>Тренч кожаный укороченный стильный</t>
  </si>
  <si>
    <t>3834 р</t>
  </si>
  <si>
    <t>Майка в рубчик базовая под пиджак спортивная</t>
  </si>
  <si>
    <t>Кроссовки Alpharesponse</t>
  </si>
  <si>
    <t>5 929 ₽</t>
  </si>
  <si>
    <t>Футболка оверсайз с принтом The Moment</t>
  </si>
  <si>
    <t>1089р</t>
  </si>
  <si>
    <t>Смирнов Виктор Дмитриевич</t>
  </si>
  <si>
    <t>Туфли Мери Джейн</t>
  </si>
  <si>
    <t>2388р</t>
  </si>
  <si>
    <t>Туфли замшевые</t>
  </si>
  <si>
    <t>2682р</t>
  </si>
  <si>
    <t>Шампунь для собак и кошек глубокой очистки, 500 мл</t>
  </si>
  <si>
    <t>293р</t>
  </si>
  <si>
    <t>Пижама детская с коротким рукавом</t>
  </si>
  <si>
    <t>Лысая алмазная фреза Цилиндр 5шт</t>
  </si>
  <si>
    <t>390р</t>
  </si>
  <si>
    <t>Кроссовки GEL-QUANTUM 180 VII</t>
  </si>
  <si>
    <t>11082р</t>
  </si>
  <si>
    <t>Зимние кроссовки с мехом</t>
  </si>
  <si>
    <t>Коллаж из 12 фоторамок 3D</t>
  </si>
  <si>
    <t>1315р</t>
  </si>
  <si>
    <t>Кроссовки текстильные</t>
  </si>
  <si>
    <t>1319р</t>
  </si>
  <si>
    <t xml:space="preserve">Слипоны полукеды Nike
</t>
  </si>
  <si>
    <t>1342р</t>
  </si>
  <si>
    <t>Куртка ветровка демисезонная бомбер</t>
  </si>
  <si>
    <t>2217р</t>
  </si>
  <si>
    <t>Юбка джинсовая короткая</t>
  </si>
  <si>
    <t>2630р</t>
  </si>
  <si>
    <t>Кроссовки спортивные легкие весна лето</t>
  </si>
  <si>
    <t>2730р</t>
  </si>
  <si>
    <t>Медицинский костюм с брюками</t>
  </si>
  <si>
    <t>3092р</t>
  </si>
  <si>
    <t>Кеды кроссовки натуральная кожа</t>
  </si>
  <si>
    <t>3232р</t>
  </si>
  <si>
    <t>Парка непромокаемая с капюшоном Тортуга ProLine 2 оверсайз</t>
  </si>
  <si>
    <t>65900р</t>
  </si>
  <si>
    <t>Джинсы широкеи прямые трубы</t>
  </si>
  <si>
    <t>6771р</t>
  </si>
  <si>
    <t>Стул DikLine 246 поворотный, Z34 пудра, ножки черные</t>
  </si>
  <si>
    <t>6951р</t>
  </si>
  <si>
    <t>Ветровака удлиненная оверсайз</t>
  </si>
  <si>
    <t>Кроссовки осенние демисезонные в школу сменка для подростка</t>
  </si>
  <si>
    <t>1013р</t>
  </si>
  <si>
    <t>1186р</t>
  </si>
  <si>
    <t>Штаны широкие карго y2k</t>
  </si>
  <si>
    <t>Базовые трикотажные брюки</t>
  </si>
  <si>
    <t>1296р</t>
  </si>
  <si>
    <t>Обнаружен клиентом при поулчении товара</t>
  </si>
  <si>
    <t>Нарядные праздничные туфли на каблуке</t>
  </si>
  <si>
    <t>1376р</t>
  </si>
  <si>
    <t>Босоножки на платформе</t>
  </si>
  <si>
    <t>1450р</t>
  </si>
  <si>
    <t>Сандали наутральная кожа</t>
  </si>
  <si>
    <t>1583р</t>
  </si>
  <si>
    <t>Мокасины мягкие кеды легкие</t>
  </si>
  <si>
    <t>1642р.</t>
  </si>
  <si>
    <t>Органайзер для хранения пакетов на кухню подвесной</t>
  </si>
  <si>
    <t>165р</t>
  </si>
  <si>
    <t>Майка бельевая 1 шт</t>
  </si>
  <si>
    <t>Брючный костюм с жилеткой</t>
  </si>
  <si>
    <t>3888р</t>
  </si>
  <si>
    <t>Спортивный костюм женский</t>
  </si>
  <si>
    <t>3948р</t>
  </si>
  <si>
    <t>Самоклеящийся держатель для лейки душа</t>
  </si>
  <si>
    <t>397р</t>
  </si>
  <si>
    <t xml:space="preserve">Вантуз резиновый для раковины и унитаза
</t>
  </si>
  <si>
    <t>Резиновые сапоги полусапожки эва осенние</t>
  </si>
  <si>
    <t>565р</t>
  </si>
  <si>
    <t>998р</t>
  </si>
  <si>
    <t>Ьазовый топ льняной</t>
  </si>
  <si>
    <t>1765р</t>
  </si>
  <si>
    <t>костюм для девочек лонгслив и брюки</t>
  </si>
  <si>
    <t>2287р</t>
  </si>
  <si>
    <t>Кепка летняя с сеткой и принтом</t>
  </si>
  <si>
    <t>705р</t>
  </si>
  <si>
    <t>Крутящийся барный стул регулируемый Tolix</t>
  </si>
  <si>
    <t>8 546 ₽</t>
  </si>
  <si>
    <t>носки теплые набор махровые</t>
  </si>
  <si>
    <t>117р</t>
  </si>
  <si>
    <t>Кроссовки мужские текстильные</t>
  </si>
  <si>
    <t>Кроссовки кеды высокие текстильные на липучке</t>
  </si>
  <si>
    <t>1351р</t>
  </si>
  <si>
    <t>1668р</t>
  </si>
  <si>
    <t>Указка с пальцем</t>
  </si>
  <si>
    <t>186р</t>
  </si>
  <si>
    <t>Куртка-бомбер стеганая</t>
  </si>
  <si>
    <t>3037р</t>
  </si>
  <si>
    <t>школьный портфель рюкзак</t>
  </si>
  <si>
    <t>687р.</t>
  </si>
  <si>
    <t>Брюки женские укороченные с защипами внизу</t>
  </si>
  <si>
    <t>892р</t>
  </si>
  <si>
    <t>Корсет вечерний черный женский атласный топ под пиджак</t>
  </si>
  <si>
    <t>1004Р</t>
  </si>
  <si>
    <t>Чайник электрический стеклянный K-8GW</t>
  </si>
  <si>
    <t>1018р</t>
  </si>
  <si>
    <t>Юбка шорты на молнии кожаные</t>
  </si>
  <si>
    <t>1241р</t>
  </si>
  <si>
    <t>Лонгслив y2k дваойной полупрозрачный с майкой</t>
  </si>
  <si>
    <t>1362р</t>
  </si>
  <si>
    <t>Лонгслив базовый скимс утягивающий укороченный облегающий</t>
  </si>
  <si>
    <t>1491 р</t>
  </si>
  <si>
    <t>Балдахин на кроватку для новорожденного</t>
  </si>
  <si>
    <t>1623р</t>
  </si>
  <si>
    <t>3194489 5194</t>
  </si>
  <si>
    <t>Платье вечернее короткое с длинным рукавом</t>
  </si>
  <si>
    <t>1644р</t>
  </si>
  <si>
    <t>1831872 2973</t>
  </si>
  <si>
    <t>Кожаные туфли на каблуке с открытой пяткой</t>
  </si>
  <si>
    <t>1739р</t>
  </si>
  <si>
    <t>Пиджак женский оверсайз</t>
  </si>
  <si>
    <t>1964р</t>
  </si>
  <si>
    <t>Куртка осень зима с капюшоном</t>
  </si>
  <si>
    <t>2101р</t>
  </si>
  <si>
    <t xml:space="preserve">Кеды женские </t>
  </si>
  <si>
    <t>2346р</t>
  </si>
  <si>
    <t>Платье офисное летнее на запах</t>
  </si>
  <si>
    <t>2569р</t>
  </si>
  <si>
    <t>2960766 4719</t>
  </si>
  <si>
    <t>Туфли на каблуке вечерние офисные</t>
  </si>
  <si>
    <t>2830р</t>
  </si>
  <si>
    <t>Корсет вечерний утягивающий топ Барби</t>
  </si>
  <si>
    <t>Пиджак оверсайз удлиненный</t>
  </si>
  <si>
    <t>3780р</t>
  </si>
  <si>
    <t>Куртка весенняя с капюшоном</t>
  </si>
  <si>
    <t>3843р</t>
  </si>
  <si>
    <t>Пластиковый контейнер для заморозки пельменей хранение еды</t>
  </si>
  <si>
    <t>493р</t>
  </si>
  <si>
    <t>Перчатки кожаные</t>
  </si>
  <si>
    <t>684р</t>
  </si>
  <si>
    <t>джинсовка</t>
  </si>
  <si>
    <t>Футболка оверсайз</t>
  </si>
  <si>
    <t>Футболка хлопок набор 3 шт</t>
  </si>
  <si>
    <t>1299р</t>
  </si>
  <si>
    <t>Кроссовки белые спортивные со стразами летние кеды</t>
  </si>
  <si>
    <t>Костюм камуфляжный горка тактический охота и рыбалка</t>
  </si>
  <si>
    <t>1400р</t>
  </si>
  <si>
    <t>Костюм мужской домашний с футболкой и шортами летний</t>
  </si>
  <si>
    <t>1477р</t>
  </si>
  <si>
    <t>Костюм детский</t>
  </si>
  <si>
    <t>1523р</t>
  </si>
  <si>
    <t>1580р</t>
  </si>
  <si>
    <t>Солнцезащитные очки Jimmy Choo</t>
  </si>
  <si>
    <t>Кеды GRAND COURT 2.0 CF I</t>
  </si>
  <si>
    <t>1590р</t>
  </si>
  <si>
    <t>Доска разделочная деревянная</t>
  </si>
  <si>
    <t>1853р</t>
  </si>
  <si>
    <t>Платье летнее женское</t>
  </si>
  <si>
    <t>1858р</t>
  </si>
  <si>
    <t>Платье трикотажное летнее для высоких от 164 см</t>
  </si>
  <si>
    <t>Кроссовки светлые на платформе летние</t>
  </si>
  <si>
    <t>2151р</t>
  </si>
  <si>
    <t>Кроссовки astir</t>
  </si>
  <si>
    <t>2411р</t>
  </si>
  <si>
    <t>Кроссовки Yeezy Boost 350 универсальные</t>
  </si>
  <si>
    <t>2420р</t>
  </si>
  <si>
    <t>Спортивный костюм двойка на молнии</t>
  </si>
  <si>
    <t>2654р</t>
  </si>
  <si>
    <t>Кроссовки Gel NYC</t>
  </si>
  <si>
    <t>2763р</t>
  </si>
  <si>
    <t>Плащ</t>
  </si>
  <si>
    <t>2765р</t>
  </si>
  <si>
    <t>Туфли черные лаковые лоферы кожаные на платформе</t>
  </si>
  <si>
    <t>2889р</t>
  </si>
  <si>
    <t>Костюм женский классический двойка</t>
  </si>
  <si>
    <t>Клубника саженцы рассада "Русский Гигант F1" 6 шт</t>
  </si>
  <si>
    <t>320 ₽</t>
  </si>
  <si>
    <t>Туфли классические большие размеры</t>
  </si>
  <si>
    <t xml:space="preserve">
Оформлен как брак
</t>
  </si>
  <si>
    <t>3351р</t>
  </si>
  <si>
    <t>Покрывало на кровать 220x240</t>
  </si>
  <si>
    <t>3670р</t>
  </si>
  <si>
    <t xml:space="preserve">Лиф для купальника </t>
  </si>
  <si>
    <t>405р</t>
  </si>
  <si>
    <t>Граненый стакан СССР набор 8 шт</t>
  </si>
  <si>
    <t>514р</t>
  </si>
  <si>
    <t>1737р</t>
  </si>
  <si>
    <t>Спортивный костюм Найк</t>
  </si>
  <si>
    <t>1776р.</t>
  </si>
  <si>
    <t>джинсовая куртка с сердечками</t>
  </si>
  <si>
    <t>2072р</t>
  </si>
  <si>
    <t>Юбка атласная макси летняя</t>
  </si>
  <si>
    <t>2085р</t>
  </si>
  <si>
    <t>Блеск для губ прозрачный с оттенком увлажняющий глянцевый</t>
  </si>
  <si>
    <t>270р.</t>
  </si>
  <si>
    <t>Платье на выпускной</t>
  </si>
  <si>
    <t>2954р.</t>
  </si>
  <si>
    <t>Кроссовки Adidas Climacool Vento</t>
  </si>
  <si>
    <t>3018р</t>
  </si>
  <si>
    <t>Платье птрикотажное лапша с ремешком</t>
  </si>
  <si>
    <t>3349р</t>
  </si>
  <si>
    <t>Брюки летние спортивные для мальчика</t>
  </si>
  <si>
    <t>459р.</t>
  </si>
  <si>
    <t>Напольный штатив универсальный</t>
  </si>
  <si>
    <t>507р</t>
  </si>
  <si>
    <t>чалма, повязка на голову тонкое</t>
  </si>
  <si>
    <t>Кроссовки спортивные для фитнеса</t>
  </si>
  <si>
    <t>Колготки NAPOLETANO COLORS 100 den в рубчик, микрофибра</t>
  </si>
  <si>
    <t>183р</t>
  </si>
  <si>
    <t>Блузка на завязках летняя</t>
  </si>
  <si>
    <t>1944р</t>
  </si>
  <si>
    <t>Брюки палаццо классические широкие</t>
  </si>
  <si>
    <t>2031р</t>
  </si>
  <si>
    <t>Наконечники для скандинавских палок (башмачки)</t>
  </si>
  <si>
    <t>Кроссовки кеды спортивные GEL NYC сеточные асикс</t>
  </si>
  <si>
    <t>2428р</t>
  </si>
  <si>
    <t>Плитка электрическая настольная для дома и дачи</t>
  </si>
  <si>
    <t>2866р</t>
  </si>
  <si>
    <t>Кроссовки мужские летние эко кожаные</t>
  </si>
  <si>
    <t>3130р.</t>
  </si>
  <si>
    <t>Джинсы широкие палаццо клеш</t>
  </si>
  <si>
    <t>3540р</t>
  </si>
  <si>
    <t>Средство от накипи для стиральной машины, 3в1, 2250 мл</t>
  </si>
  <si>
    <t>708р</t>
  </si>
  <si>
    <t>3238927 9919</t>
  </si>
  <si>
    <t>Футболка для мальчика девочек подростка оверсайз</t>
  </si>
  <si>
    <t>1193р</t>
  </si>
  <si>
    <t>Комплект нижнего белья кружевной</t>
  </si>
  <si>
    <t>1352 р</t>
  </si>
  <si>
    <t>Рубашка в клетку оверсайз весенняя</t>
  </si>
  <si>
    <t>1372 р</t>
  </si>
  <si>
    <t>3433702 8540</t>
  </si>
  <si>
    <t>Кроссовки air Force 1 кеды</t>
  </si>
  <si>
    <t>2029р</t>
  </si>
  <si>
    <t>Пила аккумуляторная цепная мини сучкорез для сада</t>
  </si>
  <si>
    <t>2545р</t>
  </si>
  <si>
    <t>Мюли серебристые кожаные</t>
  </si>
  <si>
    <t>4395р</t>
  </si>
  <si>
    <t>Куртка бомбер оверсайз удлиненный драповый</t>
  </si>
  <si>
    <t>4625р</t>
  </si>
  <si>
    <t>колонка беспроводная караоке для детей с 2 микрофоном блютуз</t>
  </si>
  <si>
    <t>565 р</t>
  </si>
  <si>
    <t>Кепка белая потертая</t>
  </si>
  <si>
    <t>593р</t>
  </si>
  <si>
    <t>Платье летнее твидовое</t>
  </si>
  <si>
    <t>1 585 ₽</t>
  </si>
  <si>
    <t>Футболка с принтом</t>
  </si>
  <si>
    <t>1008р</t>
  </si>
  <si>
    <t>Костюм вельветовый оверсайз</t>
  </si>
  <si>
    <t>1641 р</t>
  </si>
  <si>
    <t>Брюки палаццо на резинке классические светло-бежевые</t>
  </si>
  <si>
    <t>2373 р</t>
  </si>
  <si>
    <t>Ветровка с капюшоном весна</t>
  </si>
  <si>
    <t>2632 р</t>
  </si>
  <si>
    <t>ESTEL BANYA Набор для процедуры</t>
  </si>
  <si>
    <t>2679 р</t>
  </si>
  <si>
    <t>Брюки женские палаццо широкие легкие</t>
  </si>
  <si>
    <t>2804 р</t>
  </si>
  <si>
    <t>Замшевые лоферы на платформе</t>
  </si>
  <si>
    <t>3283 р</t>
  </si>
  <si>
    <t>Интимная смазка на водной основе 18+</t>
  </si>
  <si>
    <t>547 р</t>
  </si>
  <si>
    <t>Пальто приталенное демисезонное</t>
  </si>
  <si>
    <t>6615р</t>
  </si>
  <si>
    <t>Комплект сексуального нижнего белья</t>
  </si>
  <si>
    <t>797 р</t>
  </si>
  <si>
    <t>Крутка женская демисезон удлиненная осен</t>
  </si>
  <si>
    <t>Жилет женский вязаный классический с пуговицами оверсайз</t>
  </si>
  <si>
    <t>1021р.</t>
  </si>
  <si>
    <t>Куртка с капюшоном и ремнем премиального качества</t>
  </si>
  <si>
    <t>1151р</t>
  </si>
  <si>
    <t>Шорты широкие с принтом у2к</t>
  </si>
  <si>
    <t>1287р.</t>
  </si>
  <si>
    <t>Юбка трапеция миди</t>
  </si>
  <si>
    <t xml:space="preserve">2817 р </t>
  </si>
  <si>
    <t>Крем-масло для тела</t>
  </si>
  <si>
    <t>294 р</t>
  </si>
  <si>
    <t>Платье трикотажное в садик</t>
  </si>
  <si>
    <t>294р</t>
  </si>
  <si>
    <t>Пинетки для новорожденных малышей вязаные</t>
  </si>
  <si>
    <t>420 р</t>
  </si>
  <si>
    <t>Штангетки для тяжелой атлетики и пауэрлифтинга</t>
  </si>
  <si>
    <t>7110р.</t>
  </si>
  <si>
    <t>обнаружен сотрудником при приемке товара</t>
  </si>
  <si>
    <t>Увлажняющий солнцезащитный крем для тела от загара спф 50</t>
  </si>
  <si>
    <t>856 р</t>
  </si>
  <si>
    <t>3076279 7776</t>
  </si>
  <si>
    <t>Слипоны летние сетка</t>
  </si>
  <si>
    <t xml:space="preserve">Туфли лоферы на платформе
</t>
  </si>
  <si>
    <t>1111р</t>
  </si>
  <si>
    <t>Кроссовки GEL-VENTURE 6 GTX</t>
  </si>
  <si>
    <t>12744р</t>
  </si>
  <si>
    <t>Сандалии женские</t>
  </si>
  <si>
    <t>1350р</t>
  </si>
  <si>
    <t>Топ качели шелковый вечерний</t>
  </si>
  <si>
    <t>1370р</t>
  </si>
  <si>
    <t>Рубашка блузка оверсайз шелковая нарядная</t>
  </si>
  <si>
    <t>1459 р</t>
  </si>
  <si>
    <t>Вьетнамки женские Ultratouch</t>
  </si>
  <si>
    <t>1586р</t>
  </si>
  <si>
    <t>Лоферы Мери Джейн на платформе</t>
  </si>
  <si>
    <t>1593р</t>
  </si>
  <si>
    <t>Слингбэки женские на низком каблуке</t>
  </si>
  <si>
    <t>1654р</t>
  </si>
  <si>
    <t>Платье летнее</t>
  </si>
  <si>
    <t>1753р</t>
  </si>
  <si>
    <t>Шелковая юбка макси</t>
  </si>
  <si>
    <t>1790р</t>
  </si>
  <si>
    <t>Слипоны</t>
  </si>
  <si>
    <t>1861р</t>
  </si>
  <si>
    <t>Жилет утепленный с капюшоном стеганый безрукавка</t>
  </si>
  <si>
    <t>1874р</t>
  </si>
  <si>
    <t>Кроссовки женские светлые</t>
  </si>
  <si>
    <t>1884р</t>
  </si>
  <si>
    <t>Туфли женские на низком каблуке с открытой пяткой</t>
  </si>
  <si>
    <t>Брелок для ключей Я люблю Бабушку</t>
  </si>
  <si>
    <t>192р</t>
  </si>
  <si>
    <t>Кроссовки летние дышащие в сетку</t>
  </si>
  <si>
    <t>1947р</t>
  </si>
  <si>
    <t>Лоферы мери джейн</t>
  </si>
  <si>
    <t>1995р</t>
  </si>
  <si>
    <t>Платье вечернее праздничное элегантное на запах</t>
  </si>
  <si>
    <t>2013р</t>
  </si>
  <si>
    <t>костюмы</t>
  </si>
  <si>
    <t>Кеды женские летние</t>
  </si>
  <si>
    <t>2208р</t>
  </si>
  <si>
    <t>2234р</t>
  </si>
  <si>
    <t>Босоножки летние кожаные на платформе</t>
  </si>
  <si>
    <t>2280р.</t>
  </si>
  <si>
    <t>Топ с открытой спиной вечерний</t>
  </si>
  <si>
    <t>2322 р</t>
  </si>
  <si>
    <t>Кроссовки Adidas Bad Bunny</t>
  </si>
  <si>
    <t>2789р</t>
  </si>
  <si>
    <t>Туфли женские Мери Джейн на каблуке платформе летние</t>
  </si>
  <si>
    <t>2906р</t>
  </si>
  <si>
    <t>Куртка детская зимняя</t>
  </si>
  <si>
    <t>2910р</t>
  </si>
  <si>
    <t xml:space="preserve">Куртка детская зимняя
</t>
  </si>
  <si>
    <t>Дартс профессиональный из сизаля 45 см</t>
  </si>
  <si>
    <t>3013р</t>
  </si>
  <si>
    <t>Слингбэки туфли лодочки на каблуке</t>
  </si>
  <si>
    <t>3174р</t>
  </si>
  <si>
    <t>Ботинки</t>
  </si>
  <si>
    <t>3513р</t>
  </si>
  <si>
    <t>3542р</t>
  </si>
  <si>
    <t>Платье для девочки нарядное пышное белое</t>
  </si>
  <si>
    <t>3773р.</t>
  </si>
  <si>
    <t>Кеды летние с кружевом</t>
  </si>
  <si>
    <t>4027р</t>
  </si>
  <si>
    <t xml:space="preserve">Платье миди вечернее
</t>
  </si>
  <si>
    <t>4081р</t>
  </si>
  <si>
    <t>Полуботинки</t>
  </si>
  <si>
    <t>4361р</t>
  </si>
  <si>
    <t>4566р</t>
  </si>
  <si>
    <t>3589917 2404</t>
  </si>
  <si>
    <t>Лейка для сада и огорода 10 литров</t>
  </si>
  <si>
    <t>475 р</t>
  </si>
  <si>
    <t>3183188 9957</t>
  </si>
  <si>
    <t>Костюм брючный больших размеров</t>
  </si>
  <si>
    <t>4860р</t>
  </si>
  <si>
    <t>Плавки для пляжа и бассейна детские</t>
  </si>
  <si>
    <t>Дождевик-пончо</t>
  </si>
  <si>
    <t>509р</t>
  </si>
  <si>
    <t>Пижама с шортами и топом с сердечками</t>
  </si>
  <si>
    <t>545р</t>
  </si>
  <si>
    <t>Туфли и лоферы</t>
  </si>
  <si>
    <t>557р</t>
  </si>
  <si>
    <t>Куртка кожаная демисезонная жакет бомбер</t>
  </si>
  <si>
    <t>6218р</t>
  </si>
  <si>
    <t>Футболка с принтом счастье y2k</t>
  </si>
  <si>
    <t>776р</t>
  </si>
  <si>
    <t>Футболка с принтом тепло y2k</t>
  </si>
  <si>
    <t>Дутики зимние высокие</t>
  </si>
  <si>
    <t>837р</t>
  </si>
  <si>
    <t>Плавательные шорты для подростка</t>
  </si>
  <si>
    <t>854р</t>
  </si>
  <si>
    <t>Футболка Oversize Fit</t>
  </si>
  <si>
    <t>890р</t>
  </si>
  <si>
    <t>Резиновые тапочки шлепки изи</t>
  </si>
  <si>
    <t>924р</t>
  </si>
  <si>
    <t>Японское непрерывное вязание крючком</t>
  </si>
  <si>
    <t>1359р</t>
  </si>
  <si>
    <t>Костюм брючный лапша</t>
  </si>
  <si>
    <t>1728 р</t>
  </si>
  <si>
    <t>2989360 5162</t>
  </si>
  <si>
    <t>калькулятор маленький для школы, фиолетовый</t>
  </si>
  <si>
    <t>176 р</t>
  </si>
  <si>
    <t>Костюм спортивный с брюками и футболкой летний</t>
  </si>
  <si>
    <t>2301р</t>
  </si>
  <si>
    <t>Джинсы трубы с высокой посадкой</t>
  </si>
  <si>
    <t>2583р</t>
  </si>
  <si>
    <t>Платье пиджак вечернее</t>
  </si>
  <si>
    <t>2793339 0738</t>
  </si>
  <si>
    <t>Платье летнее больших размеров на праздник</t>
  </si>
  <si>
    <t>3678р</t>
  </si>
  <si>
    <t>Кроссовки женские на платформе</t>
  </si>
  <si>
    <t>4236р</t>
  </si>
  <si>
    <t>Наволочка 50x70 2 шт хлопок 100% сатин</t>
  </si>
  <si>
    <t>Сито-корзина для приготовления чая. бульона 13.5см</t>
  </si>
  <si>
    <t>3553524 3756</t>
  </si>
  <si>
    <t>Подростковые джинсы для мальчиков</t>
  </si>
  <si>
    <t>345 р</t>
  </si>
  <si>
    <t>Постоянный свет студийный для фотосъемки и видео LED</t>
  </si>
  <si>
    <t>5615 р</t>
  </si>
  <si>
    <t>светящаяся садовая декорация гриб 2 шт</t>
  </si>
  <si>
    <t>Люстра потолочная светодиодная с пультом для гостиной кухни</t>
  </si>
  <si>
    <t>1224р.</t>
  </si>
  <si>
    <t>Рубашка удлиненная оверсайз шелковая блузка</t>
  </si>
  <si>
    <t>1983р</t>
  </si>
  <si>
    <t>Костюм спортивный с брюками хлопковый</t>
  </si>
  <si>
    <t>2358р</t>
  </si>
  <si>
    <t>Спортивный костюм на молнии без начеса</t>
  </si>
  <si>
    <t>2735р</t>
  </si>
  <si>
    <t>Платье пиджак шелковое</t>
  </si>
  <si>
    <t>2809р</t>
  </si>
  <si>
    <t>Спортивный костюм летний на молнии</t>
  </si>
  <si>
    <t>3581р</t>
  </si>
  <si>
    <t>395р</t>
  </si>
  <si>
    <t>Тренч длинный трансформер 3 в 1</t>
  </si>
  <si>
    <t>4927р</t>
  </si>
  <si>
    <t>Лонгслив трикотажный</t>
  </si>
  <si>
    <t>653р</t>
  </si>
  <si>
    <t>Кеды детские легкие на липучках</t>
  </si>
  <si>
    <t>909р</t>
  </si>
  <si>
    <t>Спортивные кроссовки текстильные дышащие</t>
  </si>
  <si>
    <t>1129р</t>
  </si>
  <si>
    <t>Платье летнее длинное</t>
  </si>
  <si>
    <t>Сандалии летние</t>
  </si>
  <si>
    <t>1162р</t>
  </si>
  <si>
    <t>Триммер для бритья бороды и усов мощный и универсальный</t>
  </si>
  <si>
    <t>1228р</t>
  </si>
  <si>
    <t xml:space="preserve">Кроссовки Air Force 1
</t>
  </si>
  <si>
    <t>1279р</t>
  </si>
  <si>
    <t xml:space="preserve">Блузка оверсайз нарядная летняя большие размеры
</t>
  </si>
  <si>
    <t>1309р</t>
  </si>
  <si>
    <t xml:space="preserve">vans вансы дутые
</t>
  </si>
  <si>
    <t>1344р</t>
  </si>
  <si>
    <t>Майка спортивная Sporty crop top “Racer back” 549</t>
  </si>
  <si>
    <t xml:space="preserve">Шлепки мюли летние
</t>
  </si>
  <si>
    <t>1564р</t>
  </si>
  <si>
    <t>Полуботинки на платформе на шнурках демисезонные</t>
  </si>
  <si>
    <t>1600р</t>
  </si>
  <si>
    <t>Лосины спортивные пушап бесшовные с высокой посадкой</t>
  </si>
  <si>
    <t>1614р</t>
  </si>
  <si>
    <t>Спортивный костюм реал мадрид</t>
  </si>
  <si>
    <t>1651р</t>
  </si>
  <si>
    <t xml:space="preserve">Костюм подростковый летний футболка и шорты
</t>
  </si>
  <si>
    <t>1660р</t>
  </si>
  <si>
    <t>Кроссовки NEW BALANCE</t>
  </si>
  <si>
    <t>1741р</t>
  </si>
  <si>
    <t xml:space="preserve">Лоферы мери джейн
</t>
  </si>
  <si>
    <t>1792р</t>
  </si>
  <si>
    <t xml:space="preserve">Кеды детские
</t>
  </si>
  <si>
    <t xml:space="preserve">Пиджак удлиненный приталенный жакет в офис
</t>
  </si>
  <si>
    <t>1886р</t>
  </si>
  <si>
    <t>Костюм летний для девочки с юбкой</t>
  </si>
  <si>
    <t>1940р</t>
  </si>
  <si>
    <t>Купальник слитный утягивающий для бассейна больших размеров</t>
  </si>
  <si>
    <t>2012р</t>
  </si>
  <si>
    <t>Сабо женские кожаные на каблуке шлепанцы летние черные</t>
  </si>
  <si>
    <t>2025р</t>
  </si>
  <si>
    <t>Балетки летние дышащие в сетку</t>
  </si>
  <si>
    <t>2104р</t>
  </si>
  <si>
    <t>Шлепки женские на платформе на лето пляжные</t>
  </si>
  <si>
    <t>2110р</t>
  </si>
  <si>
    <t>Костюм женский брючный больших размеров весенний</t>
  </si>
  <si>
    <t>2141р</t>
  </si>
  <si>
    <t>Кеды на резинках с фиксатором летние мягкие кожаные дышащие</t>
  </si>
  <si>
    <t xml:space="preserve">Спортивный костюм летний без начеса
</t>
  </si>
  <si>
    <t>2231р</t>
  </si>
  <si>
    <t>Костюм спортивный на молнии больших размеров весенний</t>
  </si>
  <si>
    <t>3834р</t>
  </si>
  <si>
    <t>3939р</t>
  </si>
  <si>
    <t>Дождевик с капюшоном</t>
  </si>
  <si>
    <t>Футболка с vобразным вырезом</t>
  </si>
  <si>
    <t>413р</t>
  </si>
  <si>
    <t xml:space="preserve">Костюм тройка летний больших размеров
</t>
  </si>
  <si>
    <t>4248р</t>
  </si>
  <si>
    <t>Пинетки для девочки</t>
  </si>
  <si>
    <t>555р</t>
  </si>
  <si>
    <t>Кроссовки баленсиага</t>
  </si>
  <si>
    <t>5602р</t>
  </si>
  <si>
    <t>Костюм детский с шортами и футболкой в садик</t>
  </si>
  <si>
    <t>592р</t>
  </si>
  <si>
    <t>Светильник садовый на солнечной батарее Фея с лейкой</t>
  </si>
  <si>
    <t>639р</t>
  </si>
  <si>
    <t xml:space="preserve">Костюм детский футболка и шорты
</t>
  </si>
  <si>
    <t xml:space="preserve">Пижама с бриджами трикотажная, Домашний костюм
</t>
  </si>
  <si>
    <t>753р</t>
  </si>
  <si>
    <t xml:space="preserve">Блузка летняя с коротким рукавом
</t>
  </si>
  <si>
    <t>775р</t>
  </si>
  <si>
    <t xml:space="preserve">Набор кухонных принадлежностей
</t>
  </si>
  <si>
    <t>784р</t>
  </si>
  <si>
    <t>Брюки палаццо на резинке классические трикотажные</t>
  </si>
  <si>
    <t>813р</t>
  </si>
  <si>
    <t>Костюм брючный тройка большие размеры</t>
  </si>
  <si>
    <t>8400р</t>
  </si>
  <si>
    <t xml:space="preserve">Кроссовки женские весна осень на платформе спортивные Кеды
</t>
  </si>
  <si>
    <t>Юбка мини карандаш</t>
  </si>
  <si>
    <t>926р</t>
  </si>
  <si>
    <t xml:space="preserve">Юбка мини карандаш
</t>
  </si>
  <si>
    <t xml:space="preserve">Топ под пиджак вечерний майка
</t>
  </si>
  <si>
    <t xml:space="preserve">Тапочки на платформе со стразами
</t>
  </si>
  <si>
    <t>934р</t>
  </si>
  <si>
    <t>980р</t>
  </si>
  <si>
    <t>Культиватор аккумуляторный для огорода</t>
  </si>
  <si>
    <t>12383р</t>
  </si>
  <si>
    <t>Кофта - свитшот и патч</t>
  </si>
  <si>
    <t>Джинсы скинни с высокой посадкой большие размеры стрейч</t>
  </si>
  <si>
    <t>1353р</t>
  </si>
  <si>
    <t>1396р</t>
  </si>
  <si>
    <t>1722р</t>
  </si>
  <si>
    <t>Балетки c ремешком на завязках</t>
  </si>
  <si>
    <t>2133р</t>
  </si>
  <si>
    <t>VESKEN Тележка IKEA, белый 54x18x71 см (80471223)</t>
  </si>
  <si>
    <t>2267р</t>
  </si>
  <si>
    <t>Кроссовки Air Force 1 Форсы</t>
  </si>
  <si>
    <t>2284р</t>
  </si>
  <si>
    <t>Футболка для мальчиков и девочек мятная</t>
  </si>
  <si>
    <t>Косынка платок для храма</t>
  </si>
  <si>
    <t>369р</t>
  </si>
  <si>
    <t>Костюм джинсовый двойка</t>
  </si>
  <si>
    <t>4509р</t>
  </si>
  <si>
    <t>Платье лапша мини с длинным рукавом</t>
  </si>
  <si>
    <t>997 р</t>
  </si>
  <si>
    <t>Кольцо широкое серебро 925</t>
  </si>
  <si>
    <t>лак для ногтей</t>
  </si>
  <si>
    <t>149р</t>
  </si>
  <si>
    <t>Лоферы классические кожаные туфли</t>
  </si>
  <si>
    <t>2383р</t>
  </si>
  <si>
    <t>Пенка для умывания лица и снятия макияжа очищающая Корея</t>
  </si>
  <si>
    <t>661р</t>
  </si>
  <si>
    <t>Мусс для укладки волос Shine&amp;Hold Wellaflex 2*200мл</t>
  </si>
  <si>
    <t>709 р</t>
  </si>
  <si>
    <t>Блузка летняя нарядная</t>
  </si>
  <si>
    <t>1728р</t>
  </si>
  <si>
    <t>Костюм спортивный</t>
  </si>
  <si>
    <t>1912р.</t>
  </si>
  <si>
    <t>Женский топ кроп спортивный</t>
  </si>
  <si>
    <t>Кастрюля жаропрочная с крышкой 2 л</t>
  </si>
  <si>
    <t>700 р</t>
  </si>
  <si>
    <t>Текстильные сандалии с подсветкой</t>
  </si>
  <si>
    <t>842р</t>
  </si>
  <si>
    <t>Очки солнцезащитные модные тренд 2025</t>
  </si>
  <si>
    <t>1074р</t>
  </si>
  <si>
    <t xml:space="preserve">Кроссовки Air Forse
</t>
  </si>
  <si>
    <t>1098р</t>
  </si>
  <si>
    <t>Балетки летние дышащие</t>
  </si>
  <si>
    <t>1166р</t>
  </si>
  <si>
    <t>Ремень женский, кожаный двусторонний для платья и джинс</t>
  </si>
  <si>
    <t xml:space="preserve">Кеды Ванс
</t>
  </si>
  <si>
    <t>Футболка облегающая приталенная скимс</t>
  </si>
  <si>
    <t>1490р</t>
  </si>
  <si>
    <t>Костюм двойка летний с футболкой</t>
  </si>
  <si>
    <t>1550р</t>
  </si>
  <si>
    <t xml:space="preserve">Солнцезащитные очки Jimmy cho
</t>
  </si>
  <si>
    <t>1649р</t>
  </si>
  <si>
    <t>Электросамокат Kugoo S3</t>
  </si>
  <si>
    <t>19987р</t>
  </si>
  <si>
    <t>Косметичка маленькая в сумку набор органайзер</t>
  </si>
  <si>
    <t>261р.</t>
  </si>
  <si>
    <t xml:space="preserve">Шорты багги длинные широкие бриджи sk8
</t>
  </si>
  <si>
    <t>2899р</t>
  </si>
  <si>
    <t>Серьги золотые пластины</t>
  </si>
  <si>
    <t>Платье рубашка летнее миди с поясом</t>
  </si>
  <si>
    <t>3085р</t>
  </si>
  <si>
    <t>Боди с длинным рукавом и вырезом</t>
  </si>
  <si>
    <t>Серьги бижутерия прямоугольные под золото</t>
  </si>
  <si>
    <t>Комплект бижутерии из жемчуга серьги колье и браслет</t>
  </si>
  <si>
    <t>554р.</t>
  </si>
  <si>
    <t>Колье обруч и серьги комплект</t>
  </si>
  <si>
    <t>560р</t>
  </si>
  <si>
    <t xml:space="preserve">Боди skims женское с длинным рукавом
</t>
  </si>
  <si>
    <t>576р</t>
  </si>
  <si>
    <t xml:space="preserve">Футболка мужская больших размеров с принтом .
</t>
  </si>
  <si>
    <t xml:space="preserve">Кофта нарядная больших размеров
</t>
  </si>
  <si>
    <t>895р</t>
  </si>
  <si>
    <t xml:space="preserve">Футболка базовая хлопковая с принтом
</t>
  </si>
  <si>
    <t>945р</t>
  </si>
  <si>
    <t>Точилка для косметических карандашей</t>
  </si>
  <si>
    <t>96р</t>
  </si>
  <si>
    <t>Масленка для сливочного масла керамика с ножом</t>
  </si>
  <si>
    <t>1047 р</t>
  </si>
  <si>
    <t>Блузка нарядная легкая</t>
  </si>
  <si>
    <t>1101р</t>
  </si>
  <si>
    <t>Оцинкованная клумба и с полимерным покрытием, Диаметр:1,4 м</t>
  </si>
  <si>
    <t>1296 р</t>
  </si>
  <si>
    <t>Кеды летние спортивные</t>
  </si>
  <si>
    <t>1492р.</t>
  </si>
  <si>
    <t xml:space="preserve">Купальник раздельный с высокой посадкой
</t>
  </si>
  <si>
    <t>Духи-ручка Armand Basi In Red Арманд Баси 115 мл</t>
  </si>
  <si>
    <t>Ваза для сухоцветов из гипса</t>
  </si>
  <si>
    <t>Трусы кружевные шортики</t>
  </si>
  <si>
    <t>386 р</t>
  </si>
  <si>
    <t>Джинсы широкие c имитацией трусов</t>
  </si>
  <si>
    <t>4305р</t>
  </si>
  <si>
    <t>Масло после депиляции, 500 мл</t>
  </si>
  <si>
    <t xml:space="preserve">Полуботинки лоферы натуральная кожа АКВАСТОП
</t>
  </si>
  <si>
    <t>6273р</t>
  </si>
  <si>
    <t>Крылья для велосипеда 26", комплект металлические, с "усами"</t>
  </si>
  <si>
    <t>766р</t>
  </si>
  <si>
    <t>Туфли</t>
  </si>
  <si>
    <t>7681р</t>
  </si>
  <si>
    <t>8169р</t>
  </si>
  <si>
    <t>Слипоны летние дышащие текстильные</t>
  </si>
  <si>
    <t>949р</t>
  </si>
  <si>
    <t>Джемпер вязаный удлинённый с принтом в полоску</t>
  </si>
  <si>
    <t>Футболка оверсайз длинная широкая</t>
  </si>
  <si>
    <t>Костюм летний с брюками</t>
  </si>
  <si>
    <t>балетки с ремешками на завязках</t>
  </si>
  <si>
    <t>3149 р</t>
  </si>
  <si>
    <t>373р</t>
  </si>
  <si>
    <t>Рубашка приталенная с длинным рукавом</t>
  </si>
  <si>
    <t>3108305 5649</t>
  </si>
  <si>
    <t>Костюм спортивный женский</t>
  </si>
  <si>
    <t>4200 р</t>
  </si>
  <si>
    <t>Шорты летние трикотажные</t>
  </si>
  <si>
    <t>Топ вечерний под пиджак</t>
  </si>
  <si>
    <t>1411р</t>
  </si>
  <si>
    <t>блузка офисная нарядная с баской</t>
  </si>
  <si>
    <t>1666р</t>
  </si>
  <si>
    <t>Рубашка с разрезом и завязками на спине</t>
  </si>
  <si>
    <t>Светодиодный фонарь</t>
  </si>
  <si>
    <t>Босоножки летние без каблука с ремешками</t>
  </si>
  <si>
    <t>2772р</t>
  </si>
  <si>
    <t>Саженцы лаванды Альба 5шт</t>
  </si>
  <si>
    <t>412р</t>
  </si>
  <si>
    <t>Чехол на банку пива 2шт</t>
  </si>
  <si>
    <t>442р.</t>
  </si>
  <si>
    <t>Плитка индукционная настольная HBIC 2201</t>
  </si>
  <si>
    <t>Шлепки женские летние кожаные</t>
  </si>
  <si>
    <t>1026р</t>
  </si>
  <si>
    <t>Свадебное нижнее белье комплект с топом</t>
  </si>
  <si>
    <t>1061 р</t>
  </si>
  <si>
    <t xml:space="preserve">Босоножки летние сандалии
</t>
  </si>
  <si>
    <t>1081р</t>
  </si>
  <si>
    <t xml:space="preserve">Кроссовки женские белые летние
</t>
  </si>
  <si>
    <t>1149р</t>
  </si>
  <si>
    <t xml:space="preserve">Ножницы канцелярские с резиновыми вставками 18,8 см
</t>
  </si>
  <si>
    <t>118Р</t>
  </si>
  <si>
    <t>Вентилятор напольный с охлаждением для дома EFS-4051</t>
  </si>
  <si>
    <t>1350 р</t>
  </si>
  <si>
    <t xml:space="preserve">Сандалии детские светящиеся
</t>
  </si>
  <si>
    <t xml:space="preserve">Кроссовки белые кеды летние спортивные на платформе
</t>
  </si>
  <si>
    <t>1422р</t>
  </si>
  <si>
    <t xml:space="preserve">Сандалии детские летние
</t>
  </si>
  <si>
    <t>1454р</t>
  </si>
  <si>
    <t>Футболка с принтом базовая хлопок Амабель</t>
  </si>
  <si>
    <t>1655р</t>
  </si>
  <si>
    <t>Кеды Vans</t>
  </si>
  <si>
    <t>1823р</t>
  </si>
  <si>
    <t xml:space="preserve">кроссовки летние
</t>
  </si>
  <si>
    <t>2139р</t>
  </si>
  <si>
    <t>Футболка мужская оверсайз</t>
  </si>
  <si>
    <t>2380р</t>
  </si>
  <si>
    <t xml:space="preserve">Костюм рубашечный оверсайз свободного кроя
</t>
  </si>
  <si>
    <t xml:space="preserve">Топ под пиджак набор
</t>
  </si>
  <si>
    <t>431р</t>
  </si>
  <si>
    <t xml:space="preserve">Очки солнцезащитные квадратные
</t>
  </si>
  <si>
    <t>451р</t>
  </si>
  <si>
    <t>набор салатников</t>
  </si>
  <si>
    <t>Футболка оверсайз хлопковая однотонная</t>
  </si>
  <si>
    <t>726р</t>
  </si>
  <si>
    <t>Купальник раздельный бандо</t>
  </si>
  <si>
    <t>836р</t>
  </si>
  <si>
    <t xml:space="preserve">Раздельный купальник шортами 3в1
</t>
  </si>
  <si>
    <t>855р</t>
  </si>
  <si>
    <t>Балетки</t>
  </si>
  <si>
    <t>885р</t>
  </si>
  <si>
    <t>Органайзер в багажник автомобиля 50см</t>
  </si>
  <si>
    <t>925р</t>
  </si>
  <si>
    <t>Блузка с коротким рукавом леопардовая</t>
  </si>
  <si>
    <t>Павлова Валерия Вячеславовна</t>
  </si>
  <si>
    <t>Мужская рубашка из хлопка короткий рукав</t>
  </si>
  <si>
    <t>Рубашка с длинным рукавом хлопок</t>
  </si>
  <si>
    <t>Босоножки женские на гибкой подошве</t>
  </si>
  <si>
    <t>Рюкзак переноска для собак и кошек с иллюминатором</t>
  </si>
  <si>
    <t>1 160 ₽</t>
  </si>
  <si>
    <t>Сандалии</t>
  </si>
  <si>
    <t>1 296 ₽</t>
  </si>
  <si>
    <t xml:space="preserve">Вечерний корсет под пиджак топ декоративный утягивающий
</t>
  </si>
  <si>
    <t>1338р</t>
  </si>
  <si>
    <t>Серьги цветок из бижутерии</t>
  </si>
  <si>
    <t>195 ₽</t>
  </si>
  <si>
    <t>Бокалы для вина Strix Dora 600 мл 4 шт</t>
  </si>
  <si>
    <t>555 р</t>
  </si>
  <si>
    <t>Футболка оверсайз с том и джерри модная</t>
  </si>
  <si>
    <t>824 ₽</t>
  </si>
  <si>
    <t>Свитер</t>
  </si>
  <si>
    <t>905 р</t>
  </si>
  <si>
    <t>Юбка атласная макси на резинке</t>
  </si>
  <si>
    <t>1083р</t>
  </si>
  <si>
    <t>Рубашка на кнопках для девочки</t>
  </si>
  <si>
    <t>Платье летнее лёгкое</t>
  </si>
  <si>
    <t xml:space="preserve">Купальник раздельный
</t>
  </si>
  <si>
    <t>Платье в цветочек летнее</t>
  </si>
  <si>
    <t>3880 р</t>
  </si>
  <si>
    <t>Солнцезащитные очки</t>
  </si>
  <si>
    <t>391р</t>
  </si>
  <si>
    <t xml:space="preserve">Платье сарафан летнее рубашка длинное оверсайз бохо
</t>
  </si>
  <si>
    <t>4358р</t>
  </si>
  <si>
    <t>Органайзеры для хранения нижнего белья Скубб Икеа</t>
  </si>
  <si>
    <t>622р</t>
  </si>
  <si>
    <t>Кроссовки женские летние Yeezy boost изи слипоны</t>
  </si>
  <si>
    <t>643 р</t>
  </si>
  <si>
    <t>Пижама с бриджами.Костюм домашний</t>
  </si>
  <si>
    <t>734р</t>
  </si>
  <si>
    <t xml:space="preserve">Спиннинг телескопический композитный WESEN Tele, 2,4 м
</t>
  </si>
  <si>
    <t>Вентилятор напольный для дома</t>
  </si>
  <si>
    <t>1577р</t>
  </si>
  <si>
    <t>Слипоны женские летние</t>
  </si>
  <si>
    <t>2412р</t>
  </si>
  <si>
    <t>Тактические шорты "Фрилансер" / Олива</t>
  </si>
  <si>
    <t>3421р</t>
  </si>
  <si>
    <t>Туника домашняя оверсайз повседневное платье сорочка</t>
  </si>
  <si>
    <t>556р.</t>
  </si>
  <si>
    <t>Футболка укороченная кроп топ</t>
  </si>
  <si>
    <t>Слитный купальник для бассейна</t>
  </si>
  <si>
    <t>1121р</t>
  </si>
  <si>
    <t>Monte Alto/ Футболка поло</t>
  </si>
  <si>
    <t>3100р</t>
  </si>
  <si>
    <t>Футболка оверсайз белая однотонная хлопок</t>
  </si>
  <si>
    <t>Кепка Восьмиклинка летняя хлопок белый</t>
  </si>
  <si>
    <t>476р</t>
  </si>
  <si>
    <t xml:space="preserve">Колова Александра Александровна </t>
  </si>
  <si>
    <t>Этажерка 3х ярусная на колесиках</t>
  </si>
  <si>
    <t>Ваза керамическая, кувшин под цветы</t>
  </si>
  <si>
    <t>747 р</t>
  </si>
  <si>
    <t>Футболка скимс облегающий топ с принтом бэмби</t>
  </si>
  <si>
    <t>793 р</t>
  </si>
  <si>
    <t>PR-FORMA/ Медицинский халат</t>
  </si>
  <si>
    <t>840р</t>
  </si>
  <si>
    <t>Джинсы с высокой посадкой мом бананы прямые скини</t>
  </si>
  <si>
    <t>Замшевые босоножки на тракторной подошве</t>
  </si>
  <si>
    <t>Футболка поло мужская летняя хлопок с коротким рукавом</t>
  </si>
  <si>
    <t>Князев  Алексей Владимирович - стажёр</t>
  </si>
  <si>
    <t>Футболка скимс с принтом</t>
  </si>
  <si>
    <t>1123 р</t>
  </si>
  <si>
    <t xml:space="preserve">Кроссовки для девочки детские спортивные
</t>
  </si>
  <si>
    <t>1224р</t>
  </si>
  <si>
    <t>Гвоздева Анна Дмитриевна - стажёр</t>
  </si>
  <si>
    <t>Летнее платье короткое в горошек</t>
  </si>
  <si>
    <t>1278р</t>
  </si>
  <si>
    <t xml:space="preserve">Солнцезащитные очки Jimmy cho
</t>
  </si>
  <si>
    <t>1385р</t>
  </si>
  <si>
    <t xml:space="preserve">Вечерний кроп топ под пиджак летний
</t>
  </si>
  <si>
    <t xml:space="preserve">Босоножки женские на платформе
</t>
  </si>
  <si>
    <t>1779р</t>
  </si>
  <si>
    <t xml:space="preserve">Кроссовки yeezy boost 350
</t>
  </si>
  <si>
    <t xml:space="preserve">Слингбэки женские на низком каблуке
</t>
  </si>
  <si>
    <t>1954р</t>
  </si>
  <si>
    <t>Босоножки женские летние</t>
  </si>
  <si>
    <t xml:space="preserve">Ладошка трещотка болельщика
</t>
  </si>
  <si>
    <t>231р</t>
  </si>
  <si>
    <t xml:space="preserve">Лоферы с ремешком
</t>
  </si>
  <si>
    <t>2322р</t>
  </si>
  <si>
    <t xml:space="preserve">Босоножки на каблуке
</t>
  </si>
  <si>
    <t>2440р</t>
  </si>
  <si>
    <t xml:space="preserve">Джемпер с коротким рукавом футболка поло с принтом
</t>
  </si>
  <si>
    <t>2626р</t>
  </si>
  <si>
    <t xml:space="preserve">Джемпер с коротким рукавом футболка поло с принтом
</t>
  </si>
  <si>
    <t>2993р</t>
  </si>
  <si>
    <t>Сарафан летний длинный</t>
  </si>
  <si>
    <t>3031р</t>
  </si>
  <si>
    <t xml:space="preserve">Светодиодный потолочный светильник 28W (круг, дерево)
</t>
  </si>
  <si>
    <t>3253р</t>
  </si>
  <si>
    <t>Жилет</t>
  </si>
  <si>
    <t>3490р</t>
  </si>
  <si>
    <t>Чемодан на колесах S</t>
  </si>
  <si>
    <t>4184р.</t>
  </si>
  <si>
    <t>Укороченная рубашка с воротником</t>
  </si>
  <si>
    <t>567 р</t>
  </si>
  <si>
    <t>Светильник с датчиком движения</t>
  </si>
  <si>
    <t>645 р</t>
  </si>
  <si>
    <t>Сумка чехол для планшета до 11 дюймов универсальный</t>
  </si>
  <si>
    <t>769 р</t>
  </si>
  <si>
    <t xml:space="preserve">Халат медицинский белый на молнии
</t>
  </si>
  <si>
    <t>846р</t>
  </si>
  <si>
    <t>Сандалии летние на платформе</t>
  </si>
  <si>
    <t>870р</t>
  </si>
  <si>
    <t>Топ летний под пиджак на широких бретелях</t>
  </si>
  <si>
    <t>Кеды кожаные перфорированные</t>
  </si>
  <si>
    <t>1022 р</t>
  </si>
  <si>
    <t>1211р</t>
  </si>
  <si>
    <t>Cпортивный костюм демисезонный хлопковый в подарок</t>
  </si>
  <si>
    <t>1392 р</t>
  </si>
  <si>
    <t>Джинсы широкие трубы y2k багги sk8 archive jaded london</t>
  </si>
  <si>
    <t>1410 р</t>
  </si>
  <si>
    <t xml:space="preserve">Свитер вязаный оверсайз удлиненный
</t>
  </si>
  <si>
    <t>1416 р</t>
  </si>
  <si>
    <t>Корсет вечерний кружевной летний</t>
  </si>
  <si>
    <t>1645 р</t>
  </si>
  <si>
    <t>Юбка шорты с воланом летний</t>
  </si>
  <si>
    <t>1694р</t>
  </si>
  <si>
    <t xml:space="preserve">Сабо кроксы шлепки летние взрослые белый
</t>
  </si>
  <si>
    <t>1754р</t>
  </si>
  <si>
    <t>Кроссовки спортивные NEW BALANCE 530</t>
  </si>
  <si>
    <t>1768 р</t>
  </si>
  <si>
    <t>Кроссовки дутые Suede XL puma</t>
  </si>
  <si>
    <t xml:space="preserve">2147 р </t>
  </si>
  <si>
    <t>Колье</t>
  </si>
  <si>
    <t>Шапка детская / шапка со стразами для девочек</t>
  </si>
  <si>
    <t>248 р</t>
  </si>
  <si>
    <t>2518 р</t>
  </si>
  <si>
    <t>Спортивные штаны широкие на резинке</t>
  </si>
  <si>
    <t xml:space="preserve">2640 р </t>
  </si>
  <si>
    <t xml:space="preserve">Костюм летний пляжный с шортами домашний
</t>
  </si>
  <si>
    <t>2775 р</t>
  </si>
  <si>
    <t>Обнаружен сотркдником при возврате товара</t>
  </si>
  <si>
    <t>Футболка базовая свободная</t>
  </si>
  <si>
    <t>366р</t>
  </si>
  <si>
    <t>Футболка из хлопка с рюшами</t>
  </si>
  <si>
    <t>385 р</t>
  </si>
  <si>
    <t xml:space="preserve">Босоножки на каблуке летние
</t>
  </si>
  <si>
    <t>4612р</t>
  </si>
  <si>
    <t>Чехол симметричный протез молочной железы модель 109</t>
  </si>
  <si>
    <t>506 р</t>
  </si>
  <si>
    <t>Стаканы стеклянные "Crystal glass", 2 шт, 500 мл</t>
  </si>
  <si>
    <t>660р</t>
  </si>
  <si>
    <t>Джинсы варенки расклешенные от колена</t>
  </si>
  <si>
    <t>672 р</t>
  </si>
  <si>
    <t>Набор Гель для стирки белья, Порошок жидкий, 1200 мл</t>
  </si>
  <si>
    <t>686 р</t>
  </si>
  <si>
    <t>Вечернее платье миди с пайетками с разрезом</t>
  </si>
  <si>
    <t>695 р</t>
  </si>
  <si>
    <t>Футболка однотонная базовая хлопок Амабель</t>
  </si>
  <si>
    <t>804 р</t>
  </si>
  <si>
    <t>Леггинсы в рубчик спортивные</t>
  </si>
  <si>
    <t xml:space="preserve">899 р </t>
  </si>
  <si>
    <t>Комбинезон вечерний с открытой спиной</t>
  </si>
  <si>
    <t>Юбка-шорты женские</t>
  </si>
  <si>
    <t>Блузка летняя нарядная офисная больших размеров</t>
  </si>
  <si>
    <t>1168 р</t>
  </si>
  <si>
    <t xml:space="preserve">Босоножки женсике летние </t>
  </si>
  <si>
    <t>1732р</t>
  </si>
  <si>
    <t>Пижама RUFFLES (шорты + футболка)</t>
  </si>
  <si>
    <t>2021р</t>
  </si>
  <si>
    <t>Туфли с открытой пяткой</t>
  </si>
  <si>
    <t>2065р</t>
  </si>
  <si>
    <t>2191р</t>
  </si>
  <si>
    <t>Костюм летний с юбкой и топом</t>
  </si>
  <si>
    <t>2310р</t>
  </si>
  <si>
    <t>Туфли на низком каблуке свадебные слингбэки</t>
  </si>
  <si>
    <t>2448р</t>
  </si>
  <si>
    <t>Джинсы трубы прямые с высокой посадкой</t>
  </si>
  <si>
    <t xml:space="preserve">сандали ортопедические </t>
  </si>
  <si>
    <t>448р.</t>
  </si>
  <si>
    <t>Платье праздничное вечернее с разрезом в пол</t>
  </si>
  <si>
    <t>4726р</t>
  </si>
  <si>
    <t xml:space="preserve">Брак обнаружен сотрудником после примерки, клиент забирать вещь отказался </t>
  </si>
  <si>
    <t>Слипоны летние</t>
  </si>
  <si>
    <t>884р</t>
  </si>
  <si>
    <t>Свитер короткий пуловер женский джемпер толстовка</t>
  </si>
  <si>
    <t>910р</t>
  </si>
  <si>
    <t>Рубашка в полоску укороченная</t>
  </si>
  <si>
    <t>Платье миди из атласной ткани</t>
  </si>
  <si>
    <t>1201 р</t>
  </si>
  <si>
    <t xml:space="preserve">Князев  Алексей Владимирович </t>
  </si>
  <si>
    <t>кроссовки мужские белые</t>
  </si>
  <si>
    <t>Сапоги непромокаемые короткие ЭВА</t>
  </si>
  <si>
    <t>Туфли Мери Джейн на низком каблуке</t>
  </si>
  <si>
    <t>1391 р</t>
  </si>
  <si>
    <t>Костюм спортивный летний</t>
  </si>
  <si>
    <t>Зип худи оверсайз на молнии</t>
  </si>
  <si>
    <t>1476р</t>
  </si>
  <si>
    <t>Греческие босоножки летние без каблука на ремешках</t>
  </si>
  <si>
    <t>2153р</t>
  </si>
  <si>
    <t>костюм брючной с жилеткой</t>
  </si>
  <si>
    <t>3214р</t>
  </si>
  <si>
    <t>Велюровый костюм большие размеры</t>
  </si>
  <si>
    <t>3651р</t>
  </si>
  <si>
    <t>Тюль в гостиную и спальню на кухню длинная 300х250 см белая</t>
  </si>
  <si>
    <t>572р</t>
  </si>
  <si>
    <t>омплект футболка и шорты для подростка</t>
  </si>
  <si>
    <t>642 р</t>
  </si>
  <si>
    <t>Сумка маленькая через плечо</t>
  </si>
  <si>
    <t>712 р</t>
  </si>
  <si>
    <t>Футболка белая домашняя, для спорта и офиса</t>
  </si>
  <si>
    <t>768р</t>
  </si>
  <si>
    <t>рубашка с длинным рукавом в клетку</t>
  </si>
  <si>
    <t>839р</t>
  </si>
  <si>
    <t>Резиновые сапоги полусапожки эва непромокаемые</t>
  </si>
  <si>
    <t>850р</t>
  </si>
  <si>
    <t>Планка для столешниц 600*38*R3 торцевая правая полированная</t>
  </si>
  <si>
    <t>866 р</t>
  </si>
  <si>
    <t>кроссовка найк данк</t>
  </si>
  <si>
    <t>1072р</t>
  </si>
  <si>
    <t xml:space="preserve">Шезлонг садовый водонепроницаемый 2 шт раскладушка для дачи
</t>
  </si>
  <si>
    <t>12254р</t>
  </si>
  <si>
    <t xml:space="preserve">Гвоздева Анна Дмитриевна </t>
  </si>
  <si>
    <t>1276 р</t>
  </si>
  <si>
    <t xml:space="preserve">Кроссовки демисезонные
</t>
  </si>
  <si>
    <t>1301р</t>
  </si>
  <si>
    <t xml:space="preserve">Сабо мюли шлепанцы на каблуке
</t>
  </si>
  <si>
    <t>Шорты классические льняные</t>
  </si>
  <si>
    <t>1607 р</t>
  </si>
  <si>
    <t xml:space="preserve">Декоративное панно на стену "Круглая абстракция"
</t>
  </si>
  <si>
    <t>1845р</t>
  </si>
  <si>
    <t>триммер аккумуляторный</t>
  </si>
  <si>
    <t>2149р</t>
  </si>
  <si>
    <t>Юбка атласная макси</t>
  </si>
  <si>
    <t>2684 р</t>
  </si>
  <si>
    <t>Игрушки для ванной рыбки с сачком</t>
  </si>
  <si>
    <t>338 р</t>
  </si>
  <si>
    <t>Панталоны от натирания летние трусы шорты</t>
  </si>
  <si>
    <t>381 р</t>
  </si>
  <si>
    <t>Тестер Paco Rabanne Ultraviolet Men 50ml</t>
  </si>
  <si>
    <t>765 р</t>
  </si>
  <si>
    <t>Свитер женский вязаный тонкий паутинка сетка oversize</t>
  </si>
  <si>
    <t>987 р</t>
  </si>
  <si>
    <t>Босоножки летние на платформе биркенштоки</t>
  </si>
  <si>
    <t>1251р</t>
  </si>
  <si>
    <t>Юбка баллон атласая</t>
  </si>
  <si>
    <t>2726р</t>
  </si>
  <si>
    <t xml:space="preserve">Кроссовки мужские
</t>
  </si>
  <si>
    <t>2857р</t>
  </si>
  <si>
    <t xml:space="preserve">Носки короткие набор 10 пар
</t>
  </si>
  <si>
    <t>Кондиционер для белья Ленор Детский 1600 мл</t>
  </si>
  <si>
    <t>585 р</t>
  </si>
  <si>
    <t>Рубашка женская</t>
  </si>
  <si>
    <t>600р</t>
  </si>
  <si>
    <t>Футболка хлопковая</t>
  </si>
  <si>
    <t>619 р</t>
  </si>
  <si>
    <t>Сабо резиновые шлепки закрытые</t>
  </si>
  <si>
    <t>628р</t>
  </si>
  <si>
    <t xml:space="preserve">Трусы стринги бесшовные набор 4 шт
</t>
  </si>
  <si>
    <t>651р</t>
  </si>
  <si>
    <t>Шлепанцы резиновые</t>
  </si>
  <si>
    <t>HD STORE/ Брюки широкие палаццо сингапур</t>
  </si>
  <si>
    <t>714р</t>
  </si>
  <si>
    <t>Кепка белая однотонная</t>
  </si>
  <si>
    <t>788р</t>
  </si>
  <si>
    <t>Караоке система с беспроводными микрофонами</t>
  </si>
  <si>
    <t>7984 р</t>
  </si>
  <si>
    <t>Платье женское, туника домашняя</t>
  </si>
  <si>
    <t xml:space="preserve">830 р </t>
  </si>
  <si>
    <t>969р</t>
  </si>
  <si>
    <t>Кроссовки текстильные спортивные адидас</t>
  </si>
  <si>
    <t>1088р</t>
  </si>
  <si>
    <t>Лоферы</t>
  </si>
  <si>
    <t>1118р</t>
  </si>
  <si>
    <t xml:space="preserve">босоножки на низком каблуке сандалии кожаные
</t>
  </si>
  <si>
    <t>1167р</t>
  </si>
  <si>
    <t>Детские Кроссовки светящиеся</t>
  </si>
  <si>
    <t>1168р</t>
  </si>
  <si>
    <t xml:space="preserve">Костюм спортивный
</t>
  </si>
  <si>
    <t>1393р</t>
  </si>
  <si>
    <t>1740р</t>
  </si>
  <si>
    <t>timj/  Швабра для мытья пола с отжимом и ведром 8л</t>
  </si>
  <si>
    <t>1802р</t>
  </si>
  <si>
    <t>PONOMARO/ Джинсы бананы с высокой посадкой джоггеры бойфренд слоуч</t>
  </si>
  <si>
    <t xml:space="preserve">2414р </t>
  </si>
  <si>
    <t xml:space="preserve">Платье летнее штапельное
</t>
  </si>
  <si>
    <t>2445р</t>
  </si>
  <si>
    <t>Кроссовки замшевые весенние</t>
  </si>
  <si>
    <t>2839р</t>
  </si>
  <si>
    <t xml:space="preserve">Подушка на стул 40x40 см с гречневой лузгой
</t>
  </si>
  <si>
    <t>377р</t>
  </si>
  <si>
    <t>409р</t>
  </si>
  <si>
    <t>DUNMOS78/Шорты спортивные</t>
  </si>
  <si>
    <t xml:space="preserve">Бюстгальтер бесшовный без косточек больших размеров гладкий
</t>
  </si>
  <si>
    <t>703р</t>
  </si>
  <si>
    <t>Кроссовки Dunk SB Low Dusty Olive</t>
  </si>
  <si>
    <t>832р</t>
  </si>
  <si>
    <t>2891162 2015</t>
  </si>
  <si>
    <t>Свадебное корсетное платье для невесты</t>
  </si>
  <si>
    <t>8632р</t>
  </si>
  <si>
    <t xml:space="preserve">Жидкая аэрозольная повязка / пластырь для ран 50 мл - 1 шт.
</t>
  </si>
  <si>
    <t>Сандалии для девочки</t>
  </si>
  <si>
    <t>1226 р</t>
  </si>
  <si>
    <t xml:space="preserve">Летний комбинезон трикотажный с капюшоном и шортами
</t>
  </si>
  <si>
    <t>1226р</t>
  </si>
  <si>
    <t>Гвоздева Анна Дмитриевна</t>
  </si>
  <si>
    <t>Футболка и шорты</t>
  </si>
  <si>
    <t>1257 р</t>
  </si>
  <si>
    <t>Леггинсы в рубчик утягивающие без начеса</t>
  </si>
  <si>
    <t>1542 р</t>
  </si>
  <si>
    <t>Топ летний удлиненный с вырезом на завязках</t>
  </si>
  <si>
    <t>1710 р</t>
  </si>
  <si>
    <t>Шорты джинсовые бермуды</t>
  </si>
  <si>
    <t>2702р</t>
  </si>
  <si>
    <t>Бюстгальтер гладкий мягкий на косточках</t>
  </si>
  <si>
    <t>2951 р</t>
  </si>
  <si>
    <t>Флаг России большой</t>
  </si>
  <si>
    <t>Платье летнее кружевное на вечер</t>
  </si>
  <si>
    <t>3777 р</t>
  </si>
  <si>
    <t>2981938 4902</t>
  </si>
  <si>
    <t>Белая футболка с принтом</t>
  </si>
  <si>
    <t>Футболка бежевая однотонная хлопок 100%</t>
  </si>
  <si>
    <t>408 р</t>
  </si>
  <si>
    <t xml:space="preserve">Офисная базовая блузка
</t>
  </si>
  <si>
    <t>463р</t>
  </si>
  <si>
    <t xml:space="preserve">Спортивный костюм топ и велосипедки
</t>
  </si>
  <si>
    <t>465р</t>
  </si>
  <si>
    <t xml:space="preserve">Свитшот оверсайз с принтом без начеса
</t>
  </si>
  <si>
    <t>670р</t>
  </si>
  <si>
    <t>кроп топ летний</t>
  </si>
  <si>
    <t>1160р</t>
  </si>
  <si>
    <t xml:space="preserve">Сандалии женские на платформе
</t>
  </si>
  <si>
    <t>1188р</t>
  </si>
  <si>
    <t xml:space="preserve">
Туфли на каблуке вечерние свадебные</t>
  </si>
  <si>
    <t>1373 р</t>
  </si>
  <si>
    <t xml:space="preserve">Сандалии женские на платформе
</t>
  </si>
  <si>
    <t xml:space="preserve">Платье летнее вечернее
</t>
  </si>
  <si>
    <t>2014р</t>
  </si>
  <si>
    <t xml:space="preserve">Джинсовка короткая оверсайз на завязке
</t>
  </si>
  <si>
    <t>2577р</t>
  </si>
  <si>
    <t xml:space="preserve">Костюм брючный классический деловой
</t>
  </si>
  <si>
    <t>3484 р</t>
  </si>
  <si>
    <t xml:space="preserve">Носки короткие летние из хлопка набор 5 пар
</t>
  </si>
  <si>
    <t>401 р</t>
  </si>
  <si>
    <t>скраб для тела</t>
  </si>
  <si>
    <t>434р</t>
  </si>
  <si>
    <t>Чжов Захар Михайлович</t>
  </si>
  <si>
    <t xml:space="preserve">Лонгслив женский облегающий скимс
</t>
  </si>
  <si>
    <t>510р</t>
  </si>
  <si>
    <t xml:space="preserve">Ремешок для наручных часов, натуральная кожа
</t>
  </si>
  <si>
    <t>673р</t>
  </si>
  <si>
    <t>носки для подростка 10 пар</t>
  </si>
  <si>
    <t>685р</t>
  </si>
  <si>
    <t xml:space="preserve">Нижнее белье прозрачное комплект в сетку
</t>
  </si>
  <si>
    <t>737р</t>
  </si>
  <si>
    <t xml:space="preserve">Босоножки летние на танкетке открытые
</t>
  </si>
  <si>
    <t>936р</t>
  </si>
  <si>
    <t xml:space="preserve">Халат домашний шелковый с запахом
</t>
  </si>
  <si>
    <t>1349р</t>
  </si>
  <si>
    <t>Спортивный костюм с брюками</t>
  </si>
  <si>
    <t>1691 р</t>
  </si>
  <si>
    <t>Платье вечернее праздничное на выпускной на весну</t>
  </si>
  <si>
    <t>1738р</t>
  </si>
  <si>
    <t>Капралова Дарья Сергеевна</t>
  </si>
  <si>
    <t>Босоножки на каблуке летние белые</t>
  </si>
  <si>
    <t>1748 р</t>
  </si>
  <si>
    <t>Олимпийка ретро 90 ых y2k оверсайз</t>
  </si>
  <si>
    <t xml:space="preserve">Платье вечерний выпускной наряд с открытыми плечами
</t>
  </si>
  <si>
    <t>1972р</t>
  </si>
  <si>
    <t>Летняя кофта на пуговицах</t>
  </si>
  <si>
    <t>2002р</t>
  </si>
  <si>
    <t>Modaleto / Куртка женская джинсовая весна оверсайз</t>
  </si>
  <si>
    <t>2143р</t>
  </si>
  <si>
    <t xml:space="preserve">Бабочка самовяз из натурального шелка
</t>
  </si>
  <si>
    <t>2341р</t>
  </si>
  <si>
    <t>Опора двигателя для Лада Веста правая усиленная</t>
  </si>
  <si>
    <t>2927р</t>
  </si>
  <si>
    <t>*И4р0чфсЧ</t>
  </si>
  <si>
    <t>3287р</t>
  </si>
  <si>
    <t>Велосипедки (2-ой Сорт)</t>
  </si>
  <si>
    <t>352 р</t>
  </si>
  <si>
    <t xml:space="preserve">Платье вечернее облегающее old money
</t>
  </si>
  <si>
    <t>3568р</t>
  </si>
  <si>
    <t>Чехол для швейной машины</t>
  </si>
  <si>
    <t>Родионова Алёна Львовна - стажер</t>
  </si>
  <si>
    <t>IN BLOOM/ Платье с закрытой спиной свадебное</t>
  </si>
  <si>
    <t>4053р</t>
  </si>
  <si>
    <t>IHOMELUX/Костюм спортивный без начеса</t>
  </si>
  <si>
    <t>4428р</t>
  </si>
  <si>
    <t>Paetki/Костюм брючный с жилеткой в офис деловой</t>
  </si>
  <si>
    <t>4608р</t>
  </si>
  <si>
    <t>Натаsha/ Майка летняя легкая без рукавов</t>
  </si>
  <si>
    <t>587р</t>
  </si>
  <si>
    <t>Футболка с карманом</t>
  </si>
  <si>
    <t>BONIFY/ Джинсы багги бананы широкие</t>
  </si>
  <si>
    <t>747р</t>
  </si>
  <si>
    <t>Юбка Полиция МВД форменная</t>
  </si>
  <si>
    <t>968р</t>
  </si>
  <si>
    <t>Ситечко для заваривания «Универсал»</t>
  </si>
  <si>
    <t>106 р</t>
  </si>
  <si>
    <t>Толстовка флисовая теплая на молнии</t>
  </si>
  <si>
    <t>1388 р</t>
  </si>
  <si>
    <t>Купальник и юбка, танцевальная форма</t>
  </si>
  <si>
    <t>1543р</t>
  </si>
  <si>
    <t>Платье летнее облегающее трикотажное в рубчик</t>
  </si>
  <si>
    <t>1673р</t>
  </si>
  <si>
    <t>Кроссовки на платформе липучка</t>
  </si>
  <si>
    <t>2087р</t>
  </si>
  <si>
    <t>Подарочная термокружка для напитков</t>
  </si>
  <si>
    <t>Босоножки без каблука через палец</t>
  </si>
  <si>
    <t>Спортивный костюм летний с жилеткой тройка</t>
  </si>
  <si>
    <t>2622р</t>
  </si>
  <si>
    <t>Стол туристический</t>
  </si>
  <si>
    <t>3300р</t>
  </si>
  <si>
    <t>Летние брюки джоггеры с карманами</t>
  </si>
  <si>
    <t>4108 р</t>
  </si>
  <si>
    <t>Мусс для умывания чувстительной и сухой кожи</t>
  </si>
  <si>
    <t>437р</t>
  </si>
  <si>
    <t>Чайник заварочный</t>
  </si>
  <si>
    <t>446р</t>
  </si>
  <si>
    <t>Водолазки</t>
  </si>
  <si>
    <t>3071095 4238</t>
  </si>
  <si>
    <t>Кроп топ с коротким рукавом базовый под пиджак</t>
  </si>
  <si>
    <t>Костюм двойка летний с шортами и жилеткой</t>
  </si>
  <si>
    <t>6136р</t>
  </si>
  <si>
    <t>Массажер для головы лица и шеи электрический</t>
  </si>
  <si>
    <t>699р</t>
  </si>
  <si>
    <t>Тональный ББ крем светло-бежевый с SPF №13</t>
  </si>
  <si>
    <t>853р</t>
  </si>
  <si>
    <t>3536700 8853</t>
  </si>
  <si>
    <t>Кроп топ y2k с длинными рукавами клеш вечерний</t>
  </si>
  <si>
    <t>TOMKUP/ Футболка спортивная для фитнеса для бега</t>
  </si>
  <si>
    <t>922р</t>
  </si>
  <si>
    <t>Кроссовки летние светящиеся на липучке с принтом</t>
  </si>
  <si>
    <t>Боди скимс утягивающие в рубчик с коротким рукавом</t>
  </si>
  <si>
    <t>Брюки зауженные летние</t>
  </si>
  <si>
    <t>1180 р</t>
  </si>
  <si>
    <t>Летняя футболка поло с воротником свободная</t>
  </si>
  <si>
    <t>1287 р</t>
  </si>
  <si>
    <t>Босоножки на платформе белые</t>
  </si>
  <si>
    <t>2606144 5254</t>
  </si>
  <si>
    <t>Кроссовки кеды SAMBA спортивные школьные</t>
  </si>
  <si>
    <t>1849р</t>
  </si>
  <si>
    <t>3320460 9413</t>
  </si>
  <si>
    <t>3096р</t>
  </si>
  <si>
    <t>Ароматизатор автомобильный Самолет на панель</t>
  </si>
  <si>
    <t>489 р</t>
  </si>
  <si>
    <t>Футболка оверсайз хлопок</t>
  </si>
  <si>
    <t>536р</t>
  </si>
  <si>
    <t xml:space="preserve">Чайник заварочный металлический с ситечком
</t>
  </si>
  <si>
    <t>579р</t>
  </si>
  <si>
    <t>Футболка Arena</t>
  </si>
  <si>
    <t>683р</t>
  </si>
  <si>
    <t xml:space="preserve">Раздельный пляжный купальник, бикини
</t>
  </si>
  <si>
    <t>830р</t>
  </si>
  <si>
    <t>Блузка офисная базовая</t>
  </si>
  <si>
    <t>Вязаные Рейтузы для девочки</t>
  </si>
  <si>
    <t>1058р</t>
  </si>
  <si>
    <t xml:space="preserve">Платье комбинация
</t>
  </si>
  <si>
    <t>1899р</t>
  </si>
  <si>
    <t>Классическое платье с воротником</t>
  </si>
  <si>
    <t>2131р</t>
  </si>
  <si>
    <t>Мультитул походный ложка-вилка (красный) 6в1</t>
  </si>
  <si>
    <t>290р</t>
  </si>
  <si>
    <t>Масло трансмиссонное Хонда ULTRA ATF-Z1</t>
  </si>
  <si>
    <t xml:space="preserve">Тоник для лица увлажняющий очищающий гиалуроновый Lab Wow
</t>
  </si>
  <si>
    <t>302р</t>
  </si>
  <si>
    <t>Держатель для туалетной бумаги и освежителя с полочкой</t>
  </si>
  <si>
    <t>303р</t>
  </si>
  <si>
    <t xml:space="preserve">Футболка с принтом
</t>
  </si>
  <si>
    <t>575р</t>
  </si>
  <si>
    <t xml:space="preserve">Платье праздничное пышное для девочки
</t>
  </si>
  <si>
    <t>642р</t>
  </si>
  <si>
    <t>Ariel/ Порошок стиральный Автомат Горный родник 60 стирок 9 кг</t>
  </si>
  <si>
    <t xml:space="preserve">/ Кроссовки </t>
  </si>
  <si>
    <t>1460р</t>
  </si>
  <si>
    <t>oodji / Жилет стеганый на молнии</t>
  </si>
  <si>
    <t xml:space="preserve">1563р </t>
  </si>
  <si>
    <t>Брюки летние палаццо на резинке</t>
  </si>
  <si>
    <t>Платье свитер теплое вязаное с горлом</t>
  </si>
  <si>
    <t>1659р</t>
  </si>
  <si>
    <t>Рубашка нарядная офисная</t>
  </si>
  <si>
    <t>1788р</t>
  </si>
  <si>
    <t>AMITY/ Рубашка в клетку хлопковая оверсайз</t>
  </si>
  <si>
    <t>1825р</t>
  </si>
  <si>
    <t>Triggerz/ Туника пляжная рубашка с капюшоном</t>
  </si>
  <si>
    <t>1875р</t>
  </si>
  <si>
    <t>Туфли женские на небольшом каблуке летние закрытые дышащие</t>
  </si>
  <si>
    <t>2100р</t>
  </si>
  <si>
    <t>3461763 7018</t>
  </si>
  <si>
    <t>Босоножки летние на платформе сандалии</t>
  </si>
  <si>
    <t>2117р</t>
  </si>
  <si>
    <t>ZARINA/ Шорты бермуды широкие летние из льна</t>
  </si>
  <si>
    <t>3449р</t>
  </si>
  <si>
    <t>Winshop / Кепка джинсовая летняя</t>
  </si>
  <si>
    <t>Костюм детский шорты и футболка в садик летний</t>
  </si>
  <si>
    <t>522р</t>
  </si>
  <si>
    <t>Brands / Футболка с принтом женская мама выпускника 2025 выпускной</t>
  </si>
  <si>
    <t>599р</t>
  </si>
  <si>
    <t xml:space="preserve">599р </t>
  </si>
  <si>
    <t>/Футболка оверсайз однотонная</t>
  </si>
  <si>
    <t xml:space="preserve">679р </t>
  </si>
  <si>
    <t>супер герои мстители 10шт</t>
  </si>
  <si>
    <t>770р</t>
  </si>
  <si>
    <t>Майка в рубчик на широких бретелях</t>
  </si>
  <si>
    <t>796р</t>
  </si>
  <si>
    <t>PKP/ Футболка базовая с V-образным вырезом</t>
  </si>
  <si>
    <t>802р</t>
  </si>
  <si>
    <t>3032808 3612</t>
  </si>
  <si>
    <t>Миксер ручной с насадками на подставке, 800 Вт</t>
  </si>
  <si>
    <t>FLITWUD лифчик/ Бюстгальтер без косточек бесшовный больших рахмеров</t>
  </si>
  <si>
    <t>1308р</t>
  </si>
  <si>
    <t>кеды женские</t>
  </si>
  <si>
    <t>1382р</t>
  </si>
  <si>
    <t>SKOVOLINO/ Туфли женские лодочки на высоком каблуке</t>
  </si>
  <si>
    <t>DESTRA TREND/ Боссоножки низкий каблук с ремешком</t>
  </si>
  <si>
    <t>Destra/ Боссоножки летние на низком каблуке сандали</t>
  </si>
  <si>
    <t>JYNL-B.Goals/ Жилет джинсовый безрукавка</t>
  </si>
  <si>
    <t>Гидромайка с длинным рукавом солнцезащитная футболка</t>
  </si>
  <si>
    <t>1819р</t>
  </si>
  <si>
    <t>Органайзер - держатель для хранения очков</t>
  </si>
  <si>
    <t>644р</t>
  </si>
  <si>
    <t>Лонгслив с длинным рукавом базовый облегающий</t>
  </si>
  <si>
    <t>Кроссовки женские летние дышащие текстильные</t>
  </si>
  <si>
    <t>1075 р</t>
  </si>
  <si>
    <t>Кроссовки детские кеды</t>
  </si>
  <si>
    <t>Джинсы на резинке</t>
  </si>
  <si>
    <t>1879 р</t>
  </si>
  <si>
    <t>Пеньюар кружевной халат длинный</t>
  </si>
  <si>
    <t>2004р</t>
  </si>
  <si>
    <t>Очки солнцезащитные модные</t>
  </si>
  <si>
    <t>Спортивный костюм брючный замшевый</t>
  </si>
  <si>
    <t>3245р</t>
  </si>
  <si>
    <t>Муслиновый костюм летний тройка</t>
  </si>
  <si>
    <t>3962р</t>
  </si>
  <si>
    <t>Резиновая краска 12кг A(Белая)</t>
  </si>
  <si>
    <t>4491 р</t>
  </si>
  <si>
    <t>4506р</t>
  </si>
  <si>
    <t>Рубашка белая классическая</t>
  </si>
  <si>
    <t>рубашка длинный рукав</t>
  </si>
  <si>
    <t>836 р</t>
  </si>
  <si>
    <t>Купальник раздельный небесно-голубой</t>
  </si>
  <si>
    <t>916р</t>
  </si>
  <si>
    <t>Брюки хлопковые</t>
  </si>
  <si>
    <t>990 р</t>
  </si>
  <si>
    <t>Набор стеклянных баночек для свечей 100 мл</t>
  </si>
  <si>
    <t>Домашние брюки плаццо на резинке</t>
  </si>
  <si>
    <t>эфирная телепреставка</t>
  </si>
  <si>
    <t>1394р</t>
  </si>
  <si>
    <t xml:space="preserve">Купальник слитный закрытый утягивающий с шортами юбкой
</t>
  </si>
  <si>
    <t>1926р</t>
  </si>
  <si>
    <t>оттеночный бальзам</t>
  </si>
  <si>
    <t>764р</t>
  </si>
  <si>
    <t>моющаяся краска для кухонь и ванн</t>
  </si>
  <si>
    <t>825р</t>
  </si>
  <si>
    <t xml:space="preserve">Куртка джинсовая с капюшоном
</t>
  </si>
  <si>
    <t>1054р</t>
  </si>
  <si>
    <t>Шторы интерьерные межкомнатные для дверей</t>
  </si>
  <si>
    <t>1231р</t>
  </si>
  <si>
    <t xml:space="preserve">Ночная сорочка из хлопка пеньюар
</t>
  </si>
  <si>
    <t>Arisтократка/ Блузка летняя с коротким рукавом</t>
  </si>
  <si>
    <t>1310р</t>
  </si>
  <si>
    <t>GRANGEL/Блузка офисная с коротким рукавом</t>
  </si>
  <si>
    <t>1337р</t>
  </si>
  <si>
    <t>TURNA/ Платье летнее льняное</t>
  </si>
  <si>
    <t>салфетки от пятен на одежде влажныу</t>
  </si>
  <si>
    <t>166р</t>
  </si>
  <si>
    <t>Galala/ Футболка поло базовая оверсайз</t>
  </si>
  <si>
    <t>WIN&gt;WIN/ Рубашка блузка легкая летняя</t>
  </si>
  <si>
    <t xml:space="preserve">Блузка нарядная с длинным рукавом в офис
</t>
  </si>
  <si>
    <t>2158р</t>
  </si>
  <si>
    <t>Kari/ Кеды мужские летние эко кожанные</t>
  </si>
  <si>
    <t>2415р</t>
  </si>
  <si>
    <t>Smile of Milady/ Шлепки резиновые</t>
  </si>
  <si>
    <t xml:space="preserve">Пара угольных щеток УШМ KAG 125/1000
</t>
  </si>
  <si>
    <t>497р</t>
  </si>
  <si>
    <t>этажерка для хранения</t>
  </si>
  <si>
    <t>Обнаружен сотрудником пр возврате товара</t>
  </si>
  <si>
    <t>ДОМОВЪ/ Жидкое стекло на стол овальное 60*100 см 0,8 мм</t>
  </si>
  <si>
    <t>725р</t>
  </si>
  <si>
    <t>Bestway/ Сачок для бассейна с телескопической ручкой</t>
  </si>
  <si>
    <t>Zolla/ Женское платье мини на резинке</t>
  </si>
  <si>
    <t>930р</t>
  </si>
  <si>
    <t>Резинки для волос детские маленькие</t>
  </si>
  <si>
    <t>129 р</t>
  </si>
  <si>
    <t>Блузка летняя</t>
  </si>
  <si>
    <t>1452р</t>
  </si>
  <si>
    <t>LAINA/ Брюки спортивные свободные джоггеры оверсайз</t>
  </si>
  <si>
    <t>1457р</t>
  </si>
  <si>
    <t>/Жилет джинсовый безрукавка</t>
  </si>
  <si>
    <t>1642р</t>
  </si>
  <si>
    <t>Спортивный костюм теплый с начесом</t>
  </si>
  <si>
    <t>1877р</t>
  </si>
  <si>
    <t>ЛИКОНИ/ Лонгслив для мальчика на весну</t>
  </si>
  <si>
    <t>199р</t>
  </si>
  <si>
    <t>KAXIMEI/ Куртка пуховая</t>
  </si>
  <si>
    <t>2027р</t>
  </si>
  <si>
    <t>BestColors/ Жилетка зимняя спортивная</t>
  </si>
  <si>
    <t>2299р</t>
  </si>
  <si>
    <t>oodji / Куртка стеганная с капюшоном</t>
  </si>
  <si>
    <t>2438р</t>
  </si>
  <si>
    <t>SM.Market\Нано терка для ног из закаленного стекла</t>
  </si>
  <si>
    <t>252р</t>
  </si>
  <si>
    <t>MIKMN sale/ Кроп топ в рубчик с коротким рукавом</t>
  </si>
  <si>
    <t>353р</t>
  </si>
  <si>
    <t>Kart House/ Вакуумный массажер антицеллюлитный для похудения тела и ног</t>
  </si>
  <si>
    <t>3755р</t>
  </si>
  <si>
    <t>XM Store/ Футболка базовая однотонная</t>
  </si>
  <si>
    <t>454р</t>
  </si>
  <si>
    <t>Чехол на брелок старлайн StarLine A93 А63 А39 сигнализации</t>
  </si>
  <si>
    <t>473 р</t>
  </si>
  <si>
    <t>A-A  Awesome Apparel by Ksenia Avakyan/ Блузка офисная бозовая</t>
  </si>
  <si>
    <t>481р</t>
  </si>
  <si>
    <t>/ Джинсы широкие прямые трубы у2к оверсайз багги</t>
  </si>
  <si>
    <t>Блузка базовая</t>
  </si>
  <si>
    <t>582р</t>
  </si>
  <si>
    <t>Обнаружен клиентом при получениитовара</t>
  </si>
  <si>
    <t>SPORTBAG/ Сумка бананка поясная барсетка через плечо</t>
  </si>
  <si>
    <t>659р</t>
  </si>
  <si>
    <t>Кроссовки женские летние спортивные</t>
  </si>
  <si>
    <t>702р</t>
  </si>
  <si>
    <t>Платье вечернее плиссе</t>
  </si>
  <si>
    <t>710р</t>
  </si>
  <si>
    <t>Le Valdo/ Рубашка на кнопказ в клетку</t>
  </si>
  <si>
    <t>722р</t>
  </si>
  <si>
    <t>jeans/ Джинсы прямые с высокой посадкой</t>
  </si>
  <si>
    <t>729р</t>
  </si>
  <si>
    <t>Кеды женские белые с перфорацией</t>
  </si>
  <si>
    <t>843р</t>
  </si>
  <si>
    <t>Кеды белые</t>
  </si>
  <si>
    <t>894 р</t>
  </si>
  <si>
    <t>Юлала Кидс/ Рубашка для мальчика с капюшоном в клетку</t>
  </si>
  <si>
    <t>967р</t>
  </si>
  <si>
    <t>AIWORY_STORE/ Футболка женская летняя нарядная оверсайз длинная модная</t>
  </si>
  <si>
    <t>979р</t>
  </si>
  <si>
    <t>Сахарница фарфор с крышкой и ложкой набор на подставке</t>
  </si>
  <si>
    <t>999р</t>
  </si>
  <si>
    <t>Stein/ Джинсы трубы широкие с высокой посадкой</t>
  </si>
  <si>
    <t>TERFA/ Джинсы mom fit с высокой посадкой укороченные</t>
  </si>
  <si>
    <t>демисезонные кроссовки на платформе массивные кеды</t>
  </si>
  <si>
    <t>Накладка на подлокотник с подстаканниками и салфетницей</t>
  </si>
  <si>
    <t>1387р</t>
  </si>
  <si>
    <t>Костюм спортивный с шортами футболкой оверсайз летний</t>
  </si>
  <si>
    <t>1916р</t>
  </si>
  <si>
    <t>2172р</t>
  </si>
  <si>
    <t>Топы на бретелях набор короткие</t>
  </si>
  <si>
    <t>590р</t>
  </si>
  <si>
    <t>Кроссовки на платформе для спорта</t>
  </si>
  <si>
    <t>720р</t>
  </si>
  <si>
    <t>Футболка ТТОР базовая из хлопка</t>
  </si>
  <si>
    <t>790р</t>
  </si>
  <si>
    <t>Резиновые сапоги</t>
  </si>
  <si>
    <t>Пластиковый контейнер для хранения и заморозки</t>
  </si>
  <si>
    <t>Боди женское с коротким рукавом</t>
  </si>
  <si>
    <t>Шорты летние из льна классические</t>
  </si>
  <si>
    <t>Чайник электрический стеклянный 2500вт 1.8л</t>
  </si>
  <si>
    <t>1947 р</t>
  </si>
  <si>
    <t>Блузка футболка нарядная хлопковая с поясом</t>
  </si>
  <si>
    <t>2007 р</t>
  </si>
  <si>
    <t xml:space="preserve">Туника нарядная больших размеров
</t>
  </si>
  <si>
    <t>2103р</t>
  </si>
  <si>
    <t>Кроссовки Adidas Originals Forum кеды спортивные летние</t>
  </si>
  <si>
    <t>2328 р</t>
  </si>
  <si>
    <t xml:space="preserve">Деревянный пазл Рик
</t>
  </si>
  <si>
    <t>245р</t>
  </si>
  <si>
    <t>Брюки мужские классические зауженные к низу в офис</t>
  </si>
  <si>
    <t>2547 р</t>
  </si>
  <si>
    <t>Светодиодный настольный светильник с LED лампами</t>
  </si>
  <si>
    <t>3158 р</t>
  </si>
  <si>
    <t>378 р</t>
  </si>
  <si>
    <t>Окислитель кремовый 3%</t>
  </si>
  <si>
    <t>484р</t>
  </si>
  <si>
    <t>Серьги женские</t>
  </si>
  <si>
    <t>587 р</t>
  </si>
  <si>
    <t>Жёсткий гель для ногтей Konfityur</t>
  </si>
  <si>
    <t>653 р</t>
  </si>
  <si>
    <t>Мягкая игрушка Собачка в переноске</t>
  </si>
  <si>
    <t xml:space="preserve">Флаг Танковые войска
</t>
  </si>
  <si>
    <t>Xiaomi/ Планшет для рисования графический со стилусом</t>
  </si>
  <si>
    <t xml:space="preserve">1133р </t>
  </si>
  <si>
    <t>Обнаружен сотрудником при возврате товара из примерочной</t>
  </si>
  <si>
    <t xml:space="preserve">джинсовая куртка оверсайз укороченная </t>
  </si>
  <si>
    <t>2875р</t>
  </si>
  <si>
    <t>Блеск для губ с эффектом объема ICON lips glossy с блестками</t>
  </si>
  <si>
    <t>Гель для стирки 2 в 1 с пятновыводителем Слаткий лотос 5 л</t>
  </si>
  <si>
    <t>383р</t>
  </si>
  <si>
    <t>White Sign/ Футболка летняя с принтом "Сочная клубничка" оверсайз</t>
  </si>
  <si>
    <t>541р</t>
  </si>
  <si>
    <t>3765079 0013</t>
  </si>
  <si>
    <t>Кроссовки женские/ Слипоны/ Тряпочные кроссовки для спорта</t>
  </si>
  <si>
    <t>741р</t>
  </si>
  <si>
    <t>SHT HOME\ Пижама с шортами комбинезон трикотажная</t>
  </si>
  <si>
    <t>1056р</t>
  </si>
  <si>
    <t>/Веер женский складной для танцев и фотоссесии</t>
  </si>
  <si>
    <t>124р</t>
  </si>
  <si>
    <t>1775р</t>
  </si>
  <si>
    <t>1999р</t>
  </si>
  <si>
    <t>Обнаружен клинтом при получении товара</t>
  </si>
  <si>
    <t>ZARINA/ Толстовка комплектная свободная на молнии</t>
  </si>
  <si>
    <t>2699р</t>
  </si>
  <si>
    <t>Брюки палаццо с карманами без защипов классические</t>
  </si>
  <si>
    <t>2851р</t>
  </si>
  <si>
    <t>Босоножки на толстой подошве</t>
  </si>
  <si>
    <t>3674р</t>
  </si>
  <si>
    <t>White Sign/ Футболка с принтом "Монстера" летняя оверсайз</t>
  </si>
  <si>
    <t>534р</t>
  </si>
  <si>
    <t>Мыло пенка для рук</t>
  </si>
  <si>
    <t>Костюм летний с шортами и рубашкой</t>
  </si>
  <si>
    <t>Пыльник летний хлопок</t>
  </si>
  <si>
    <t>1277р</t>
  </si>
  <si>
    <t>Топ спортивный</t>
  </si>
  <si>
    <t>1331р</t>
  </si>
  <si>
    <t>Шорты джинсовые летние</t>
  </si>
  <si>
    <t>1496р</t>
  </si>
  <si>
    <t>Тени для бровей Pro Brows 2 цвета №02, 5 мл</t>
  </si>
  <si>
    <t>157р</t>
  </si>
  <si>
    <t xml:space="preserve">Голубева Варвара Сергеевна </t>
  </si>
  <si>
    <t>Платье летнее в цветочек</t>
  </si>
  <si>
    <t>1992р</t>
  </si>
  <si>
    <t>2178 р</t>
  </si>
  <si>
    <t>Рубашка оверсайз удлиненная в полоску</t>
  </si>
  <si>
    <t>2248р</t>
  </si>
  <si>
    <t>Платье летнее миди в цветочек</t>
  </si>
  <si>
    <t>2487р</t>
  </si>
  <si>
    <t>Носки для девочки набор 10 пар сеточка</t>
  </si>
  <si>
    <t>489р</t>
  </si>
  <si>
    <t>Чайник заварочный 900мл с подставкой</t>
  </si>
  <si>
    <t>981р</t>
  </si>
  <si>
    <t>топ с волнами вечерний без лямок</t>
  </si>
  <si>
    <t xml:space="preserve">Шлифмашина полировальная сетевая Auto care 125мм
</t>
  </si>
  <si>
    <t>1305р</t>
  </si>
  <si>
    <t>светло-бежевые джинсы</t>
  </si>
  <si>
    <t>1335р</t>
  </si>
  <si>
    <t xml:space="preserve">Кроссовки adidas спортивные
</t>
  </si>
  <si>
    <t>1955р</t>
  </si>
  <si>
    <t>Посудосушка</t>
  </si>
  <si>
    <t xml:space="preserve">Слипоны летние сетка
</t>
  </si>
  <si>
    <t>740р</t>
  </si>
  <si>
    <t xml:space="preserve">Джинсы бойфренды y2k широкие багги BAGGY FIT 883
</t>
  </si>
  <si>
    <t>906р</t>
  </si>
  <si>
    <t>LVN/ Футболка поло с коротким рукавом базовая</t>
  </si>
  <si>
    <t>4AIR/ Топ женский летний</t>
  </si>
  <si>
    <t>1205р</t>
  </si>
  <si>
    <t xml:space="preserve">Galala/ Футболка поло базовая </t>
  </si>
  <si>
    <t>1306р</t>
  </si>
  <si>
    <t>3178848 9341</t>
  </si>
  <si>
    <t>Антипригарная сковорода 28 см для индукционной плиты</t>
  </si>
  <si>
    <t>1613р</t>
  </si>
  <si>
    <t>Кроссовки бархатные с шелковыми шнурками</t>
  </si>
  <si>
    <t>1933р</t>
  </si>
  <si>
    <t>Reg&amp;Life/ Шорты бермуды джинсовые летние с высокой посадкой</t>
  </si>
  <si>
    <t>2125р</t>
  </si>
  <si>
    <t>Дышащие кроссовки на высокой тракторной подошве</t>
  </si>
  <si>
    <t>4381р</t>
  </si>
  <si>
    <t>Задние крылья ремвставка ВАЗ 2109, 21099, 2114 левая+правая</t>
  </si>
  <si>
    <t>1243р</t>
  </si>
  <si>
    <t>/Туфли на каблуке белые с ремешком свадебные</t>
  </si>
  <si>
    <t>2637р</t>
  </si>
  <si>
    <t>Оверсайз футболка 90х ретро</t>
  </si>
  <si>
    <t>322р</t>
  </si>
  <si>
    <t>Подарочная коробка футляр для украшений</t>
  </si>
  <si>
    <t>440р</t>
  </si>
  <si>
    <t>Тушь для ресниц с ультратонкой кисточкой и расческой</t>
  </si>
  <si>
    <t>505р</t>
  </si>
  <si>
    <t>Брюки спортивные свободные без начеса</t>
  </si>
  <si>
    <t>901р</t>
  </si>
  <si>
    <t>SAB GLOGSY/ Кроссовки летние изики дышащие</t>
  </si>
  <si>
    <t>988р</t>
  </si>
  <si>
    <t>Обнаружен сотрудником при выдачи товара</t>
  </si>
  <si>
    <t>Аптечка для школы и детского сада укомплектованная 2025</t>
  </si>
  <si>
    <t>1227р</t>
  </si>
  <si>
    <t>юбка колокольчик базовая миди с защипами</t>
  </si>
  <si>
    <t>Льняное летнее платье на запах</t>
  </si>
  <si>
    <t>Костюм футболка с шортами оверсайз</t>
  </si>
  <si>
    <t>2775р</t>
  </si>
  <si>
    <t>гель для душа и шампунь мужской 2в1</t>
  </si>
  <si>
    <t>375р</t>
  </si>
  <si>
    <t>Подставка для ложек и вилок</t>
  </si>
  <si>
    <t>439р</t>
  </si>
  <si>
    <t>топсайдеры летние из натуральной кожи</t>
  </si>
  <si>
    <t>5427р</t>
  </si>
  <si>
    <t>Туника летняя стильная</t>
  </si>
  <si>
    <t>615р</t>
  </si>
  <si>
    <t>Кроссовки зимние с мехом Columbia</t>
  </si>
  <si>
    <t>919р</t>
  </si>
  <si>
    <t>Свободные джинсы карго с боковыми карманами</t>
  </si>
  <si>
    <t xml:space="preserve">Туника пляжная вязаная
</t>
  </si>
  <si>
    <t>1358р</t>
  </si>
  <si>
    <t>джинсовая юбка длинная</t>
  </si>
  <si>
    <t>1794р</t>
  </si>
  <si>
    <t xml:space="preserve">Пляжное платье туника вязаное с рукавами
</t>
  </si>
  <si>
    <t>1979р</t>
  </si>
  <si>
    <t>блуза вельветовая</t>
  </si>
  <si>
    <t>2202р</t>
  </si>
  <si>
    <t>Puma suede дутыши</t>
  </si>
  <si>
    <t>2678р</t>
  </si>
  <si>
    <t xml:space="preserve">Летнее платье больших размеров
</t>
  </si>
  <si>
    <t>472р</t>
  </si>
  <si>
    <t xml:space="preserve">Стакан для зубных щеток и пасты
</t>
  </si>
  <si>
    <t>666р</t>
  </si>
  <si>
    <t>Шорты летние трикотажные спортивные на резинке лаина</t>
  </si>
  <si>
    <t>824р</t>
  </si>
  <si>
    <t>шампунь для волос бальзам</t>
  </si>
  <si>
    <t>1177р</t>
  </si>
  <si>
    <t>Obba/ Шифоновое платье нарядное на запах с резинкой на талии</t>
  </si>
  <si>
    <t>VARO/ Футболка хлопок набор 3 шт</t>
  </si>
  <si>
    <t>1520р</t>
  </si>
  <si>
    <t>Кроссовки женские/Кроссовки белые женские</t>
  </si>
  <si>
    <t>нить для шитья</t>
  </si>
  <si>
    <t>214р</t>
  </si>
  <si>
    <t>SG Collection/ Туфли лодочки на каблуке классические нарядные</t>
  </si>
  <si>
    <t>2745р</t>
  </si>
  <si>
    <t>футболка с принтом оверсайз</t>
  </si>
  <si>
    <t>шапка зимняя вязаная со снудом</t>
  </si>
  <si>
    <t>HappyFox/ Костюм брючный в рубчик трикотажный лапша летний</t>
  </si>
  <si>
    <t>1386р</t>
  </si>
  <si>
    <t>1500р</t>
  </si>
  <si>
    <t>Брюки джоггеры карго спортивные на резинке</t>
  </si>
  <si>
    <t>2715р</t>
  </si>
  <si>
    <t>Костюм летний с шортами муслиновый кимоно</t>
  </si>
  <si>
    <t>Пиджак джинсовка короткая куртка оверсайз</t>
  </si>
  <si>
    <t>4466р</t>
  </si>
  <si>
    <t>Футболка базовая оверсайз с принтом</t>
  </si>
  <si>
    <t>Dickies/ Сумка через плечо DICKIES</t>
  </si>
  <si>
    <t>464р</t>
  </si>
  <si>
    <t>3503811 8109</t>
  </si>
  <si>
    <t>Витражная самоклеящаяся пленка на стекло</t>
  </si>
  <si>
    <t>510 р</t>
  </si>
  <si>
    <t>Валик для шпаклевки стен 230 мм</t>
  </si>
  <si>
    <t>577р</t>
  </si>
  <si>
    <t>Комплект бесшовного нижнего белья со стрингами и топом</t>
  </si>
  <si>
    <t>Кроссовки кеды мужские повседневные</t>
  </si>
  <si>
    <t>3460836 1231</t>
  </si>
  <si>
    <t>Футболка оверсайз с принтом Boston</t>
  </si>
  <si>
    <t>smite/ Футболка однотонная базовая хлопок набор 3 шт</t>
  </si>
  <si>
    <t>босоножки женские с закрытым носом</t>
  </si>
  <si>
    <t>LITE кроссовки мужские летние из текстиля</t>
  </si>
  <si>
    <t>Зип Худи укороченная кофта на молнии с начесом y2k</t>
  </si>
  <si>
    <t>1902р</t>
  </si>
  <si>
    <t>Шорты джинсовые короткие</t>
  </si>
  <si>
    <t>19449р</t>
  </si>
  <si>
    <t>Платье корсет праздничное свадебное на роспись</t>
  </si>
  <si>
    <t>2575р</t>
  </si>
  <si>
    <t xml:space="preserve">Обнаружен сотрудником при переупаковке товара с истекшим сроком хранения </t>
  </si>
  <si>
    <t>Оформлен как брак (Подмена)</t>
  </si>
  <si>
    <t>Кроссовки женские серые кеды puma suede xl</t>
  </si>
  <si>
    <t>Картушина Алина Александровна</t>
  </si>
  <si>
    <t>Корзинка для хранения вещей Softex L</t>
  </si>
  <si>
    <t>1171р</t>
  </si>
  <si>
    <t>Сандали</t>
  </si>
  <si>
    <t>1303р</t>
  </si>
  <si>
    <t>Подушка ортопедическая 50х70 с регулируемой высотой</t>
  </si>
  <si>
    <t>Рюкзак для мальчика в садик Дино</t>
  </si>
  <si>
    <t>Водолазка лапша с длинным рукавом</t>
  </si>
  <si>
    <t>1890р</t>
  </si>
  <si>
    <t>Жилетка костюмная нарядная на запах в стиле кимоно</t>
  </si>
  <si>
    <t>2832р</t>
  </si>
  <si>
    <t>Обнаржуен клиентом при получении товара</t>
  </si>
  <si>
    <t>Спортивный костюм на молнии большие размеры</t>
  </si>
  <si>
    <t>3537р</t>
  </si>
  <si>
    <t>3014382 7240</t>
  </si>
  <si>
    <t>Наволочка декоративная 45х45см на молнии</t>
  </si>
  <si>
    <t>817р</t>
  </si>
  <si>
    <t>Скраб для тела интенсивный уход, виноградно-сахарный, 155 мл</t>
  </si>
  <si>
    <t>А.С./ Лоферы замшевые на платформе летние</t>
  </si>
  <si>
    <t>1647р</t>
  </si>
  <si>
    <t xml:space="preserve">спортивные кроссовки </t>
  </si>
  <si>
    <t>1930р</t>
  </si>
  <si>
    <t>Туфли на низком каблуке свадебные</t>
  </si>
  <si>
    <t>2009р</t>
  </si>
  <si>
    <t>пиджак оверсайз удлиненный</t>
  </si>
  <si>
    <t>2489р</t>
  </si>
  <si>
    <t>Туфли на каблуке лодочки на шпильке</t>
  </si>
  <si>
    <t>2655р</t>
  </si>
  <si>
    <t>427р</t>
  </si>
  <si>
    <t>Майка облегающая в рубчик с принтом в цветок</t>
  </si>
  <si>
    <t>Обнаржуен сотрудником при возврате товара</t>
  </si>
  <si>
    <t>LoGos3/ Туника пляжная из хлопка детская летняя накидка с капюшоном</t>
  </si>
  <si>
    <t>Футболка варенка оверсайз с принтом удлиненная</t>
  </si>
  <si>
    <t>1255р</t>
  </si>
  <si>
    <t>полировальная машинка сетевая с регулировкой оборотов</t>
  </si>
  <si>
    <t>1311р</t>
  </si>
  <si>
    <t>CheekRoom/ Кардиган на пуговицах оверсайз вязанный</t>
  </si>
  <si>
    <t>1458р</t>
  </si>
  <si>
    <t>Брюки классические палаццо с высокой посадкой</t>
  </si>
  <si>
    <t>2586р</t>
  </si>
  <si>
    <t>Olga Lim/ Платье вечернее праздничное шелковое</t>
  </si>
  <si>
    <t>3744р</t>
  </si>
  <si>
    <t>Босоножки летние на платформе</t>
  </si>
  <si>
    <t>neprostogen/Лонгслив белый базовый хлопок</t>
  </si>
  <si>
    <t>tupperware/ Емкость МикроКук круглая 2,25 л Tupperware</t>
  </si>
  <si>
    <t>Водолазка женская без горла</t>
  </si>
  <si>
    <t>Кроп топ под пиджак укороченный</t>
  </si>
  <si>
    <t>Блузка стильная летняя с коротким рукавом</t>
  </si>
  <si>
    <t>1537р</t>
  </si>
  <si>
    <t>Рубашка оверсайз свободная большие размеры</t>
  </si>
  <si>
    <t>1603р</t>
  </si>
  <si>
    <t>Кроссовки женские белые летние на высокой подошве</t>
  </si>
  <si>
    <t>1800р</t>
  </si>
  <si>
    <t>Купальник в рубчик раздельный 4в1 с туникой и юбкой</t>
  </si>
  <si>
    <t>1959р</t>
  </si>
  <si>
    <t>комплект нижнего белья бесшовный в рубчик</t>
  </si>
  <si>
    <t>Туфли Bratz черные на высоком каблуке</t>
  </si>
  <si>
    <t>3593р</t>
  </si>
  <si>
    <t>Кроссовки женские/ Слипоны/ Тряпочные кроссовки для фитнеса</t>
  </si>
  <si>
    <t>Матрас надувной для плавания с сеткой</t>
  </si>
  <si>
    <t>Рубашка оверсайз прозрачная летняя</t>
  </si>
  <si>
    <t>3280510 9402</t>
  </si>
  <si>
    <t>Футболка оверсайз с принтом большие размеры</t>
  </si>
  <si>
    <t>платье футболка длинное с разрезами оверсайз</t>
  </si>
  <si>
    <t>1566р</t>
  </si>
  <si>
    <t>Доска гладильная</t>
  </si>
  <si>
    <t>1905р</t>
  </si>
  <si>
    <t>Прокладки ежедневные без крылышек Deo Нормал 56 шт</t>
  </si>
  <si>
    <t>кроссовки кожаные демисезонные</t>
  </si>
  <si>
    <t>2455р</t>
  </si>
  <si>
    <t>Рюкзак школьный для девочки с капибарой</t>
  </si>
  <si>
    <t>2501р</t>
  </si>
  <si>
    <t>костюм велировый трйока</t>
  </si>
  <si>
    <t>3441р</t>
  </si>
  <si>
    <t>контейнер для чайных пакетиков</t>
  </si>
  <si>
    <t>платье вечрнее праздничное с корсетом</t>
  </si>
  <si>
    <t>5823р</t>
  </si>
  <si>
    <t>MEITESI/Кроссвоки летние с перфорацией</t>
  </si>
  <si>
    <t>1069р</t>
  </si>
  <si>
    <t>Линейка 20 см деревянная для школы набор итальянские мемы</t>
  </si>
  <si>
    <t xml:space="preserve">228р </t>
  </si>
  <si>
    <t>Трусы бесшовные набор слипы бразильяна</t>
  </si>
  <si>
    <t>Топ летний на бретелях удлиненный облегающий в рубчик</t>
  </si>
  <si>
    <t>857р</t>
  </si>
  <si>
    <t>UNISHIRT/Рубашка белая базовая оверсайз для офиса и школы</t>
  </si>
  <si>
    <t>Набор топ вечерний под пиджак в рубчик</t>
  </si>
  <si>
    <t>1150р</t>
  </si>
  <si>
    <t>Массивные босоножки на тракторной платформе</t>
  </si>
  <si>
    <t>юбка из экокожи с разрезом</t>
  </si>
  <si>
    <t>1141р</t>
  </si>
  <si>
    <t>босоножки на шпильке</t>
  </si>
  <si>
    <t>2768р</t>
  </si>
  <si>
    <t>Трусы женские набор 8-шт</t>
  </si>
  <si>
    <t>футболка скимс базовая облегающая</t>
  </si>
  <si>
    <t>490р</t>
  </si>
  <si>
    <t>кроссовки летние дышащие</t>
  </si>
  <si>
    <t>футбольный мяч</t>
  </si>
  <si>
    <t>1071р</t>
  </si>
  <si>
    <t>футболка плотная оверсайз</t>
  </si>
  <si>
    <t>1579р</t>
  </si>
  <si>
    <t>Куртка стеганая демисезонная дутая короткая</t>
  </si>
  <si>
    <t>платье сарафан</t>
  </si>
  <si>
    <t>2220р</t>
  </si>
  <si>
    <t>платье-рубашка летнее льняное прямое повседневное</t>
  </si>
  <si>
    <t>Зиганшин Владислав Станиславович стажёр</t>
  </si>
  <si>
    <t>Защита для газовой плиты от брызг и жира</t>
  </si>
  <si>
    <t>282р</t>
  </si>
  <si>
    <t>Пенал школьный Акула плюшевый</t>
  </si>
  <si>
    <t>свадебное платье</t>
  </si>
  <si>
    <t>5457р</t>
  </si>
  <si>
    <t>футболка оверсайз чёрная с сердечками</t>
  </si>
  <si>
    <t>626р</t>
  </si>
  <si>
    <t>футболка оверсайз с принтом герб России</t>
  </si>
  <si>
    <t>Обнаружен клиентом при  получении товара</t>
  </si>
  <si>
    <t>топ под пиджак</t>
  </si>
  <si>
    <t>1140р</t>
  </si>
  <si>
    <t>LOOKSMAXX/Лонгслив белый у2к полупрозрачный облегающий</t>
  </si>
  <si>
    <t>1233р</t>
  </si>
  <si>
    <t>платье футляр</t>
  </si>
  <si>
    <t>1261р</t>
  </si>
  <si>
    <t>кроссовки спортивные для подростка</t>
  </si>
  <si>
    <t>1365р</t>
  </si>
  <si>
    <t>Пижама шелковая со штанами и рубашкой комплект</t>
  </si>
  <si>
    <t>Кеды кроссовки детские</t>
  </si>
  <si>
    <t>1678р</t>
  </si>
  <si>
    <t>Футболка хлопковая оверсайз с принтом</t>
  </si>
  <si>
    <t>Онаружено сотрудником при оформлении возврата на товар с истёкшим сроком хранения</t>
  </si>
  <si>
    <t>Часы настенные интерьерные светящиеся в темноте с цифрами</t>
  </si>
  <si>
    <t>MAGS/Подстолье, металическое,черное,опора для стола 75*88</t>
  </si>
  <si>
    <t>5566р</t>
  </si>
  <si>
    <t>Платье поло весеннее</t>
  </si>
  <si>
    <t>695р</t>
  </si>
  <si>
    <t>Кеды белые конверсе</t>
  </si>
  <si>
    <t>Пижама теплая</t>
  </si>
  <si>
    <t>Проход перекрытия круглый ППУ d200</t>
  </si>
  <si>
    <t>1645р</t>
  </si>
  <si>
    <t>Tishka/Винтажная футболка с котом и кроликом</t>
  </si>
  <si>
    <t>Набор керамических кружек для чая и кофе 4 шт 150 мл</t>
  </si>
  <si>
    <t>511р</t>
  </si>
  <si>
    <t>Полка настенная навесная для книг и цветов</t>
  </si>
  <si>
    <t>654р</t>
  </si>
  <si>
    <t>Туфли на каблуке вечерние Мэри Джейн</t>
  </si>
  <si>
    <t>867р</t>
  </si>
  <si>
    <t>Зонт женский трость антиветер 24 спицы</t>
  </si>
  <si>
    <t>1272р</t>
  </si>
  <si>
    <t>Туника пляжная длиная</t>
  </si>
  <si>
    <t>1322р</t>
  </si>
  <si>
    <t>Кофта на молнии зипка молодежная</t>
  </si>
  <si>
    <t>1489р</t>
  </si>
  <si>
    <t>Костюм льняной с брюками на лето</t>
  </si>
  <si>
    <t>Широкие джинсы бананы с высокой посадкой</t>
  </si>
  <si>
    <t>2486р</t>
  </si>
  <si>
    <t>Футболка базовая прямого края</t>
  </si>
  <si>
    <t>Шапка зимняя женская с шарфом</t>
  </si>
  <si>
    <t>323р</t>
  </si>
  <si>
    <t>Обнаружен сотрудником при переупаковке товара с истекшим сроком хранения</t>
  </si>
  <si>
    <t>Вероника нитевидная. замена газона</t>
  </si>
  <si>
    <t>Бутылка для молока 1 л стеклянная</t>
  </si>
  <si>
    <t>460р</t>
  </si>
  <si>
    <t>Юбка шорты джинсовая летняя</t>
  </si>
  <si>
    <t>3471р</t>
  </si>
  <si>
    <t xml:space="preserve">футболка белая облегающая </t>
  </si>
  <si>
    <t>694р</t>
  </si>
  <si>
    <t>Домкрат автомобильный бутылочный 3т, 178-343мм, MATRIX</t>
  </si>
  <si>
    <t>Мощный пароочиститель для уборки дома 25 насадок</t>
  </si>
  <si>
    <t>2078р</t>
  </si>
  <si>
    <t>Серьги бижутерия комплект с камнем</t>
  </si>
  <si>
    <t>творческий набор для девочек</t>
  </si>
  <si>
    <t>1021р</t>
  </si>
  <si>
    <t>Зонт автомат антиветер</t>
  </si>
  <si>
    <t>1307р</t>
  </si>
  <si>
    <t>Худи кроп укороченное женское с начесом</t>
  </si>
  <si>
    <t>2529р</t>
  </si>
  <si>
    <t>Тактический костюм камуфляж мультикам летний</t>
  </si>
  <si>
    <t>3705р</t>
  </si>
  <si>
    <t>Наушники беспроводные большие</t>
  </si>
  <si>
    <t>529р</t>
  </si>
  <si>
    <t>Водолазка женсая с горлом хлопок 100%</t>
  </si>
  <si>
    <t>551р</t>
  </si>
  <si>
    <t>Леггинсы утепленные</t>
  </si>
  <si>
    <t>Топ женский под пиджак большие размеры</t>
  </si>
  <si>
    <t>Комбинезон летний с шортами и коротким рукавом</t>
  </si>
  <si>
    <t>1759р</t>
  </si>
  <si>
    <t>Столик для ноутбука складной прикроватный на колесиках</t>
  </si>
  <si>
    <t>2564р</t>
  </si>
  <si>
    <t>Обнаружен сотрудником при возврате товара с истекшим сроком хранения</t>
  </si>
  <si>
    <t>Набор носков женских белых с рюшами в горох, 4 пары</t>
  </si>
  <si>
    <t>Футболка винтаж с принтом 90х Котопес</t>
  </si>
  <si>
    <t>Топ в рубчик бесшовный под пиджак</t>
  </si>
  <si>
    <t>1027р</t>
  </si>
  <si>
    <t>Рожина Анастасия Павловна</t>
  </si>
  <si>
    <t>Летний костюм тройка с шортами</t>
  </si>
  <si>
    <t>сандали кожа</t>
  </si>
  <si>
    <t>2881р</t>
  </si>
  <si>
    <t>Тетрадь 48 листов, клетка 5 шт.</t>
  </si>
  <si>
    <t>304р</t>
  </si>
  <si>
    <t>набор игрушек мстителей</t>
  </si>
  <si>
    <t>Фитоспорин АС жидкий защита для растений Триходерма Микориза</t>
  </si>
  <si>
    <t>Духи масляные по мотивам Fleur Narcotique наркотик 10 мл</t>
  </si>
  <si>
    <t>колье с серьгами</t>
  </si>
  <si>
    <t>519р</t>
  </si>
  <si>
    <t>ботинки демисезонные</t>
  </si>
  <si>
    <t>771р</t>
  </si>
  <si>
    <t>Туфли лоферы летние классические перфорированные из экокожи</t>
  </si>
  <si>
    <t>1164р</t>
  </si>
  <si>
    <t>1897р</t>
  </si>
  <si>
    <t>Летний костюм лапша с шортами</t>
  </si>
  <si>
    <t>Рубашка блузка с длинным рукавом белая</t>
  </si>
  <si>
    <t>Купальник раздельный для пляжа топ бандо</t>
  </si>
  <si>
    <t>Термометр-гигрометр для бани, с песочными часами</t>
  </si>
  <si>
    <t>2063р</t>
  </si>
  <si>
    <t>Толстовка на молнии свитшот оверсайз теплый</t>
  </si>
  <si>
    <t>2447р</t>
  </si>
  <si>
    <t>Куртка демисезонная укороченная с капюшоном</t>
  </si>
  <si>
    <t>3251р</t>
  </si>
  <si>
    <t>Мерный кувшин стеклянный, 500 мл</t>
  </si>
  <si>
    <t>Светящаяся футболка с кошкой детская</t>
  </si>
  <si>
    <t>Кроссовки детские Yeezy Boost изики</t>
  </si>
  <si>
    <t>Формочки для печенья пряников</t>
  </si>
  <si>
    <t>93р</t>
  </si>
  <si>
    <t>Шапка бини весенняя и снуд демисезонная комплект</t>
  </si>
  <si>
    <t>225р</t>
  </si>
  <si>
    <t>Трусы бесшовные для гимнастики</t>
  </si>
  <si>
    <t>364р.</t>
  </si>
  <si>
    <t>тоник для лица</t>
  </si>
  <si>
    <t>Бутылка стеклнная с крышкой для молока сока компота 1 л</t>
  </si>
  <si>
    <t>Ботинки демисезонные натуральная кожа</t>
  </si>
  <si>
    <t>2296р</t>
  </si>
  <si>
    <t>2368р</t>
  </si>
  <si>
    <t>Картхолдер визитница кредитница</t>
  </si>
  <si>
    <t>Ботинки летние тактические 1147</t>
  </si>
  <si>
    <t>5999р</t>
  </si>
  <si>
    <t>Панели самоклеящиеся влагостойкие для стен в ванную и кухню</t>
  </si>
  <si>
    <t>797р.</t>
  </si>
  <si>
    <t>спортивный костюм 3в1</t>
  </si>
  <si>
    <t>Корсет вечерний женский</t>
  </si>
  <si>
    <t>3056р</t>
  </si>
  <si>
    <t>легкие брюки широкие спортивные багги y2k</t>
  </si>
  <si>
    <t>3209р</t>
  </si>
  <si>
    <t>таблетница на неделю</t>
  </si>
  <si>
    <t>Обнаружен клиентом в примерочной, клиент забирать вещь отказался</t>
  </si>
  <si>
    <t>Футболкап белая большие размеры нарядная</t>
  </si>
  <si>
    <t>Кроссовки школьные для девочки</t>
  </si>
  <si>
    <t>Платье летнее хлопковое мини</t>
  </si>
  <si>
    <t>Туфли на широком каблуке с ремешком</t>
  </si>
  <si>
    <t>Куртка короткая демисезонная утепленная</t>
  </si>
  <si>
    <t>3348р</t>
  </si>
  <si>
    <t>Костюм твидовый пиджак и юбка</t>
  </si>
  <si>
    <t>4904р</t>
  </si>
  <si>
    <t>брюки спортивные</t>
  </si>
  <si>
    <t>806р</t>
  </si>
  <si>
    <t>Обнаружен сотрудником при возврате товара, клиент забирать вещь отказался</t>
  </si>
  <si>
    <t>Медицинский костюм женский</t>
  </si>
  <si>
    <t>Блузка школьная</t>
  </si>
  <si>
    <t>1418р</t>
  </si>
  <si>
    <t>Обнаружен сотрдуником при возврате товара, клиент забирать вещь отказался</t>
  </si>
  <si>
    <t>Лонгслив классический однотонный</t>
  </si>
  <si>
    <t>698р</t>
  </si>
  <si>
    <t>Альбом для рисования А4, 24 листа</t>
  </si>
  <si>
    <t>AirPods Pro 2 наушники беспроводные для iPhone и android</t>
  </si>
  <si>
    <t>1144р</t>
  </si>
  <si>
    <t xml:space="preserve">Зиганшин Владислав Станиславович </t>
  </si>
  <si>
    <t>Котсюм мембранный</t>
  </si>
  <si>
    <t>14100р</t>
  </si>
  <si>
    <t>Летнее платье длинное больших размеров</t>
  </si>
  <si>
    <t>3577р</t>
  </si>
  <si>
    <t>Рашгард спортивный на молнии лонгслив для фитнеса</t>
  </si>
  <si>
    <t>1148р</t>
  </si>
  <si>
    <t>Расписание уроков многоразовое Пиши Стирай</t>
  </si>
  <si>
    <t>Костюм школьный тройка</t>
  </si>
  <si>
    <t>4570р.</t>
  </si>
  <si>
    <t>Футболка поло мужское с коротким рукавом хлопок</t>
  </si>
  <si>
    <t>Рубашка школьная на кнопках с длинным рукавом</t>
  </si>
  <si>
    <t>2542 р</t>
  </si>
  <si>
    <t>Топ на лямках базовый набор 2шт</t>
  </si>
  <si>
    <t>294р.</t>
  </si>
  <si>
    <t>Палетка для контуринга Sparkling wine, 12 г</t>
  </si>
  <si>
    <t>520р</t>
  </si>
  <si>
    <t>725р.</t>
  </si>
  <si>
    <t>Летнее платье футболка легкое</t>
  </si>
  <si>
    <t>Бессульфатный кератиновый шампунь для волос, 530 мл</t>
  </si>
  <si>
    <t>Платье летнее горошек футляр офис миди праздничное</t>
  </si>
  <si>
    <t>2284р.</t>
  </si>
  <si>
    <t xml:space="preserve">Ботинки женские зимние </t>
  </si>
  <si>
    <t>2511р</t>
  </si>
  <si>
    <t>джинсы широкие трубы прямые палаццо</t>
  </si>
  <si>
    <t>2612р.</t>
  </si>
  <si>
    <t xml:space="preserve">Корзина для велосипеда задняя на богажник </t>
  </si>
  <si>
    <t>Белая укороченная ветровка oversize с принтами</t>
  </si>
  <si>
    <t>1163р</t>
  </si>
  <si>
    <t>1784р</t>
  </si>
  <si>
    <t>Кеды на платформе</t>
  </si>
  <si>
    <t>1925р.</t>
  </si>
  <si>
    <t>Кроп топ, укороченный майка с открытыми плечами</t>
  </si>
  <si>
    <t>Ботинки кожаные демисезонные</t>
  </si>
  <si>
    <t>3285р.</t>
  </si>
  <si>
    <t>Магнит для кошачий глаз</t>
  </si>
  <si>
    <t>Вешалка для брюк трансформер многоуровневая</t>
  </si>
  <si>
    <t>593р.</t>
  </si>
  <si>
    <t>Кроссовки женские белые</t>
  </si>
  <si>
    <t>Парео пляжное длинное</t>
  </si>
  <si>
    <t>1303р.</t>
  </si>
  <si>
    <t>Футболка поло базовая оверсайз</t>
  </si>
  <si>
    <t>Блузка белая в школу</t>
  </si>
  <si>
    <t>1497р</t>
  </si>
  <si>
    <t>Массажер перкуссионный электрический вибромассажер</t>
  </si>
  <si>
    <t>1556р.</t>
  </si>
  <si>
    <t>Тетрадь школьная 24л Кл. 10шт</t>
  </si>
  <si>
    <t>Туфли летние без каблука дышащие натуральная кожа</t>
  </si>
  <si>
    <t>2692р</t>
  </si>
  <si>
    <t>585р</t>
  </si>
  <si>
    <t xml:space="preserve">Туфли нарядные </t>
  </si>
  <si>
    <t>1269р</t>
  </si>
  <si>
    <t>Обнаружен при приемке товара работником ПВЗ</t>
  </si>
  <si>
    <t>Шампунь Color Care Line</t>
  </si>
  <si>
    <t>1699 р.</t>
  </si>
  <si>
    <t>Нарядная блузка хлопковая летнаяя</t>
  </si>
  <si>
    <t>2329р</t>
  </si>
  <si>
    <t>Платье на бретельках летнее</t>
  </si>
  <si>
    <t>2707р</t>
  </si>
  <si>
    <t>Спортивный джемпер</t>
  </si>
  <si>
    <t>5423р.</t>
  </si>
  <si>
    <t>Туфли школьные лодочки Мэри Джейн</t>
  </si>
  <si>
    <t>908р</t>
  </si>
  <si>
    <t>Сабо летние</t>
  </si>
  <si>
    <t>1598р</t>
  </si>
  <si>
    <t>Брюки школьные подростковые на резинке</t>
  </si>
  <si>
    <t>1976р</t>
  </si>
  <si>
    <t>Бордовый гель лак, X-Gel №53 с фиолетовым подтоном</t>
  </si>
  <si>
    <t>434р.</t>
  </si>
  <si>
    <t>Обнаружено сотрудником при возврате товара с истекшим сроком хранения на ПВЗ</t>
  </si>
  <si>
    <t>Кроссовки детские на весну дышащие с сеткой на липучке</t>
  </si>
  <si>
    <t>1768р</t>
  </si>
  <si>
    <t>Краски акварельные Erich Krause</t>
  </si>
  <si>
    <t>192 р.</t>
  </si>
  <si>
    <t>Демисезонные ботинки детские</t>
  </si>
  <si>
    <t>2689р</t>
  </si>
  <si>
    <t>Рюкзак школьный вельветовый</t>
  </si>
  <si>
    <t>3176р</t>
  </si>
  <si>
    <t>Кожаные кроссовки спортивные демисезонные оригинальные</t>
  </si>
  <si>
    <t>3190р</t>
  </si>
  <si>
    <t>Комбинезон горноложный с капюшоном</t>
  </si>
  <si>
    <t>4402р</t>
  </si>
  <si>
    <t>Трусы для мальчиков детские 6 штук набор</t>
  </si>
  <si>
    <t>Футболка скимс облегающая</t>
  </si>
  <si>
    <t>895 р.</t>
  </si>
  <si>
    <t>Водолазка тонкая с драпировкой и длинным рукавом</t>
  </si>
  <si>
    <t>Куртка из икуственного меха большихразмеров</t>
  </si>
  <si>
    <t>17619р</t>
  </si>
  <si>
    <t>Утюг паровой с антипригарным покрытием</t>
  </si>
  <si>
    <t>2417р</t>
  </si>
  <si>
    <t>Цветная бумага А4 двусторонняя для школы и принтера, 100л</t>
  </si>
  <si>
    <t>276р</t>
  </si>
  <si>
    <t>Брюки утепленные штаны теплые зимние стеганые</t>
  </si>
  <si>
    <t>4741р</t>
  </si>
  <si>
    <t>Предметные тетради со справочным материалом 48л 12 штук</t>
  </si>
  <si>
    <t>Краска для волос 4.8 и окислитель 6%</t>
  </si>
  <si>
    <t>606р</t>
  </si>
  <si>
    <t>Сборная модель Арабское Дау</t>
  </si>
  <si>
    <t>623р</t>
  </si>
  <si>
    <t>Обнаружен работником ПВЗ после вскрытия отказной позиции</t>
  </si>
  <si>
    <t>Платье нарядное на праздник</t>
  </si>
  <si>
    <t>6305р</t>
  </si>
  <si>
    <t>Органайзер для хранения пакетов кухонный подвесной</t>
  </si>
  <si>
    <t>Лаковые туфли мери джейн на плотформе и каблуке лолита</t>
  </si>
  <si>
    <t>Вечернее женское нарядное выпускное платье</t>
  </si>
  <si>
    <t>Обнаружен сотрудником во вермя приемки товара</t>
  </si>
  <si>
    <t>Тоник для лица очищающий и увлажняющий, матирующий 750 мл</t>
  </si>
  <si>
    <t>450р.</t>
  </si>
  <si>
    <t>Гель для душа мужской парфюмированный Набор 3шт</t>
  </si>
  <si>
    <t>473р</t>
  </si>
  <si>
    <t xml:space="preserve">Футболка детская белая однотонная спортивная </t>
  </si>
  <si>
    <t>516р.</t>
  </si>
  <si>
    <t>Пижама со штанами и рубашкой с сердечками</t>
  </si>
  <si>
    <t>1326р.</t>
  </si>
  <si>
    <t>Карандаши простые, трехгранные 12шт</t>
  </si>
  <si>
    <t>147р.</t>
  </si>
  <si>
    <t>Сабо мюли шлепанцы летние повседневные</t>
  </si>
  <si>
    <t>Лонгслив белый укороченный в рубчик</t>
  </si>
  <si>
    <t>Джоггеры джинсовые для подростка на резинке</t>
  </si>
  <si>
    <t>Комплект для девочки в садик ( толстовка брюки)</t>
  </si>
  <si>
    <t>760р.</t>
  </si>
  <si>
    <t>Костюм брючный деловой классический</t>
  </si>
  <si>
    <t>Фтильтр масляный + воздушный + салонный Джили Эмгранд ЕС7</t>
  </si>
  <si>
    <t>Платье винтажное косплей аниме Лолита</t>
  </si>
  <si>
    <t>1156р</t>
  </si>
  <si>
    <t>Обнаружен сотрудником при оформлении позиций, которые упали на возврат</t>
  </si>
  <si>
    <t>Платье сарафан с рубашкой</t>
  </si>
  <si>
    <t>1986р</t>
  </si>
  <si>
    <t>Возврат от клиента по одобренной заявке</t>
  </si>
  <si>
    <t>Туфли школьные</t>
  </si>
  <si>
    <t>3380р</t>
  </si>
  <si>
    <t>Костюм брючный деловой с жилеткой</t>
  </si>
  <si>
    <t>3693р</t>
  </si>
  <si>
    <t>Обнаружено сотрудником при выдаче</t>
  </si>
  <si>
    <t xml:space="preserve">Костюм брючный деловой </t>
  </si>
  <si>
    <t>5309р</t>
  </si>
  <si>
    <t>Обнаружена подмена клиентом при получении товара</t>
  </si>
  <si>
    <t>Сумка, корзина, ковер</t>
  </si>
  <si>
    <t>745р</t>
  </si>
  <si>
    <t>Темно-серый свитшот с принтом</t>
  </si>
  <si>
    <t>939р</t>
  </si>
  <si>
    <t>Пинцет для бровей</t>
  </si>
  <si>
    <t>114 р</t>
  </si>
  <si>
    <t>1289р</t>
  </si>
  <si>
    <t>Блузка школьная для девочки праздничная</t>
  </si>
  <si>
    <t>Сапоги резиновые ПВХ непромокаемые</t>
  </si>
  <si>
    <t>2523р</t>
  </si>
  <si>
    <t>Брошь сердце со стразами</t>
  </si>
  <si>
    <t>324р</t>
  </si>
  <si>
    <t>Водолазка с горлом для детей и подростков</t>
  </si>
  <si>
    <t>403р</t>
  </si>
  <si>
    <t>Брошь</t>
  </si>
  <si>
    <t>Широкие спортивные штаны джоггеры оверсайз</t>
  </si>
  <si>
    <t>1541р</t>
  </si>
  <si>
    <t>Зимняя светоотражающая куртка</t>
  </si>
  <si>
    <t>3602р.</t>
  </si>
  <si>
    <t>Куртка-косуха из искусственной кожи оверсайз без ремня</t>
  </si>
  <si>
    <t>5877р.</t>
  </si>
  <si>
    <t>Клей канцелярский жидкий 50 мл с апликатором</t>
  </si>
  <si>
    <t>Весы электронные для кухни</t>
  </si>
  <si>
    <t>266р</t>
  </si>
  <si>
    <t>Блузка нарядная с бархатными бантиками офис</t>
  </si>
  <si>
    <t>3766р.</t>
  </si>
  <si>
    <t>Баскетбольные кроссовки</t>
  </si>
  <si>
    <t>3798р</t>
  </si>
  <si>
    <t>Блузка школьная с длинным рукавом Анита</t>
  </si>
  <si>
    <t>738р</t>
  </si>
  <si>
    <t>Рубашка офисная приталенная школьная</t>
  </si>
  <si>
    <t>799р</t>
  </si>
  <si>
    <t>Кроссовки школьные на липучке</t>
  </si>
  <si>
    <t>Бархатова Анна Михайловна</t>
  </si>
  <si>
    <t>Компактный видеорегистратор для автомобиля</t>
  </si>
  <si>
    <t>Блузка топ удлиненный облегающий костюмный в офис в школу</t>
  </si>
  <si>
    <t>Туника пляжная летняя накидка</t>
  </si>
  <si>
    <t>1670р</t>
  </si>
  <si>
    <t>1693р</t>
  </si>
  <si>
    <t>Ботинки весенние</t>
  </si>
  <si>
    <t>1893р</t>
  </si>
  <si>
    <t>Карты игральные пластиковые 54 штуки для покера и фокусов</t>
  </si>
  <si>
    <t>242р</t>
  </si>
  <si>
    <t>Полусапожки замшевые ботинки</t>
  </si>
  <si>
    <t>2893р</t>
  </si>
  <si>
    <t>Полупальцы для танцев и гимнастики</t>
  </si>
  <si>
    <t>Оплетка на руль чехол черная</t>
  </si>
  <si>
    <t>Ветровка с капюшоном удлиненная больших размеров оверсайз</t>
  </si>
  <si>
    <t>3652р</t>
  </si>
  <si>
    <t>Майка под пиджак хлопок</t>
  </si>
  <si>
    <t>492р</t>
  </si>
  <si>
    <t>Подарочный косметический набор для мужчин и женщин</t>
  </si>
  <si>
    <t>581р</t>
  </si>
  <si>
    <t>Полка для специй раздвижная</t>
  </si>
  <si>
    <t>676 р</t>
  </si>
  <si>
    <t>Кроссовки школьные массивные</t>
  </si>
  <si>
    <t>895 р</t>
  </si>
  <si>
    <t>Шорты спортивные на физкультуру детские</t>
  </si>
  <si>
    <t>913р</t>
  </si>
  <si>
    <t>Платье мини с белым воротничком и оборками</t>
  </si>
  <si>
    <t>1016р</t>
  </si>
  <si>
    <t>Рюкзак голубой мягкий со значками в клетку</t>
  </si>
  <si>
    <t>1230р</t>
  </si>
  <si>
    <t>Шорты спортивные двойные для фитнеса и бега</t>
  </si>
  <si>
    <t>1597р</t>
  </si>
  <si>
    <t>Кеды для девочки школьные летние на липучке</t>
  </si>
  <si>
    <t>812р</t>
  </si>
  <si>
    <t>Рубашка приталенная школьная в офис</t>
  </si>
  <si>
    <t>1012р.</t>
  </si>
  <si>
    <t xml:space="preserve">Органайзер подставка для канцелярии </t>
  </si>
  <si>
    <t>105р.</t>
  </si>
  <si>
    <t>Рюкзак школьный спортивный для подростка</t>
  </si>
  <si>
    <t>1201р.</t>
  </si>
  <si>
    <t>Туфли школьные дышащие с белой подошвой на сменку</t>
  </si>
  <si>
    <t>1776р</t>
  </si>
  <si>
    <t>Шорты джинсовые мини</t>
  </si>
  <si>
    <t>1954р.</t>
  </si>
  <si>
    <t>Стекло galaxy a12</t>
  </si>
  <si>
    <t>203р.</t>
  </si>
  <si>
    <t>Пенал школьный косметичка для девочки и мальчика, подростка</t>
  </si>
  <si>
    <t>Лонгслив оверсайз</t>
  </si>
  <si>
    <t>562р</t>
  </si>
  <si>
    <t>Джемпер оверсайз</t>
  </si>
  <si>
    <t>1033р</t>
  </si>
  <si>
    <t>Футболка женская ОВЕРСАЙЗ однотонная длинный рукав</t>
  </si>
  <si>
    <t>1250р.</t>
  </si>
  <si>
    <t>Кроссовки (слипоны) детские</t>
  </si>
  <si>
    <t>1254р</t>
  </si>
  <si>
    <t>Джинсы широкие</t>
  </si>
  <si>
    <t>Спортивные кеды подростковые из натуральной кожи</t>
  </si>
  <si>
    <t>Спортивные кроссовки для подростка на липучке</t>
  </si>
  <si>
    <t>195р.</t>
  </si>
  <si>
    <t>Брюки школьные классические на завязках</t>
  </si>
  <si>
    <t>2356р</t>
  </si>
  <si>
    <t>Дневник школьный мальчику и девочкам 1-4 класс с подсказками</t>
  </si>
  <si>
    <t>296р.</t>
  </si>
  <si>
    <t>Чайник заварочный стеклянный 1000мл</t>
  </si>
  <si>
    <t>414р</t>
  </si>
  <si>
    <t>Нарядный Комплект нательный для новорожденных</t>
  </si>
  <si>
    <t>687р</t>
  </si>
  <si>
    <t>Классический пиджак оверсайз</t>
  </si>
  <si>
    <t xml:space="preserve"> 3987 р</t>
  </si>
  <si>
    <t>Боди skims с коротким рукавом</t>
  </si>
  <si>
    <t>1095р</t>
  </si>
  <si>
    <t>Барбарис Тунберга Багатель</t>
  </si>
  <si>
    <t>1110р</t>
  </si>
  <si>
    <t>Футболка поло с коротким рукавом</t>
  </si>
  <si>
    <t>1390р</t>
  </si>
  <si>
    <t>Брюки спортивные свободные джоггеры оверсайз</t>
  </si>
  <si>
    <t>1395р</t>
  </si>
  <si>
    <t>Лонгслив с длинным рукавом базовый укороченный</t>
  </si>
  <si>
    <t>1397р</t>
  </si>
  <si>
    <t>Кроссовки женские бежевые</t>
  </si>
  <si>
    <t>1662р</t>
  </si>
  <si>
    <t>Демисезонные кроссовки спортивные дышащие</t>
  </si>
  <si>
    <t>1866р</t>
  </si>
  <si>
    <t>Кроссовки мужские спортивные</t>
  </si>
  <si>
    <t>2132р</t>
  </si>
  <si>
    <t>Кроссовки спортивные Асикс</t>
  </si>
  <si>
    <t>2460р</t>
  </si>
  <si>
    <t>Полуботинки женские осень</t>
  </si>
  <si>
    <t>2812р</t>
  </si>
  <si>
    <t>Кеды женские белые на высокой платформе</t>
  </si>
  <si>
    <t>3878р</t>
  </si>
  <si>
    <t>Акриловый бордюр для ванны 900*12 белый глянец</t>
  </si>
  <si>
    <t>Туника пляжная хлопок с длинным рукавом и капюшоном</t>
  </si>
  <si>
    <t>1134р</t>
  </si>
  <si>
    <t>Дневник школьный 1-11 класс</t>
  </si>
  <si>
    <t>175р</t>
  </si>
  <si>
    <t>Туфли на каблуке лодочки офисные</t>
  </si>
  <si>
    <t>1963р</t>
  </si>
  <si>
    <t>Платье трикотажное базовое мини</t>
  </si>
  <si>
    <t>2461р</t>
  </si>
  <si>
    <t>Кеды осенние женские</t>
  </si>
  <si>
    <t>4103р</t>
  </si>
  <si>
    <t>Skyline машина картина по номерам на холсте 40х50</t>
  </si>
  <si>
    <t>Кроссовки Найк.40р-р.белый.розовый</t>
  </si>
  <si>
    <t>1562р</t>
  </si>
  <si>
    <t>Ларина Юлия Васильевна</t>
  </si>
  <si>
    <t>Блуза школьная с длинным рукавом</t>
  </si>
  <si>
    <t>1914р</t>
  </si>
  <si>
    <t>Обнаружен брак клиентом при получении</t>
  </si>
  <si>
    <t>Картхолдер для карт визитница.серый</t>
  </si>
  <si>
    <t>274р</t>
  </si>
  <si>
    <t>Картхолдер для карт визитница.черный</t>
  </si>
  <si>
    <t>Рубашка приталенная в полоску на завязках школьная</t>
  </si>
  <si>
    <t>2968р</t>
  </si>
  <si>
    <t>Набор банок для хранения с ложкой</t>
  </si>
  <si>
    <t>504р</t>
  </si>
  <si>
    <t>Кружок рыболовный для летней рыбалки жерлицы на щуку кружки</t>
  </si>
  <si>
    <t>Набор общих тетрадей 48 листов</t>
  </si>
  <si>
    <t>119р</t>
  </si>
  <si>
    <t>Спортивный костюм для подростка</t>
  </si>
  <si>
    <t>1944р.</t>
  </si>
  <si>
    <t>Статуэтки для интерьера Басурманы</t>
  </si>
  <si>
    <t>Кроссовки из натуральной замши на платформе демисезонные</t>
  </si>
  <si>
    <t>4000р</t>
  </si>
  <si>
    <t>Кружка для чая и кофе большая с прикольной надписью 600 мл</t>
  </si>
  <si>
    <t>423р.</t>
  </si>
  <si>
    <t>Нано коврик для ванной быстросохнущий 50х80 см, впитывающий</t>
  </si>
  <si>
    <t>732р.</t>
  </si>
  <si>
    <t>Рубашка клетчатая нарядная</t>
  </si>
  <si>
    <t>Трусы мужские боксеры набор</t>
  </si>
  <si>
    <t>1045р</t>
  </si>
  <si>
    <t>Свитшот оверсайз</t>
  </si>
  <si>
    <t>Сахаромер (ареометр) 0-25%, разбит</t>
  </si>
  <si>
    <t>139р</t>
  </si>
  <si>
    <t>Свитшот толстовка джерси</t>
  </si>
  <si>
    <t>1966р</t>
  </si>
  <si>
    <t>2572р</t>
  </si>
  <si>
    <t>Зип худи оверсайз на молнии без начеса с капюшоном</t>
  </si>
  <si>
    <t>2992р</t>
  </si>
  <si>
    <t>Клиент принес из дома по одобренной заявке по браку</t>
  </si>
  <si>
    <t>Лонгслив футболка с длинным рукавом</t>
  </si>
  <si>
    <t>401р</t>
  </si>
  <si>
    <t>Губная помада GLAMOUR 37 сливовый капкейк</t>
  </si>
  <si>
    <t>421р</t>
  </si>
  <si>
    <t>Туфли-лоферы на высокой подошве</t>
  </si>
  <si>
    <t>650р</t>
  </si>
  <si>
    <t>Женская рубашка из вискозы с принтом</t>
  </si>
  <si>
    <t>1236р.</t>
  </si>
  <si>
    <t>Балетки женские ожанные</t>
  </si>
  <si>
    <t>1483р.</t>
  </si>
  <si>
    <t>Кроссовки мужские</t>
  </si>
  <si>
    <t>1843р.</t>
  </si>
  <si>
    <t>Кроссовки на платформе детские</t>
  </si>
  <si>
    <t>1890р.</t>
  </si>
  <si>
    <t>Туфли с квадратным носом на низком каблуке</t>
  </si>
  <si>
    <t>2853р</t>
  </si>
  <si>
    <t>Костюм джинсовый брючный с рубашкой</t>
  </si>
  <si>
    <t>3076р.</t>
  </si>
  <si>
    <t>Шорты пляжные для плавания летние</t>
  </si>
  <si>
    <t>Шапка для мальчика осенняя</t>
  </si>
  <si>
    <t>бюстгальтер бесшовный без косточек топ спортивный</t>
  </si>
  <si>
    <t>1140р.</t>
  </si>
  <si>
    <t>Однотонный цветной гель лак для ногтей №222 Фламенко</t>
  </si>
  <si>
    <t>Блузка рубашка школьная для девочек</t>
  </si>
  <si>
    <t>833р</t>
  </si>
  <si>
    <t>Блузка нарядная школьная</t>
  </si>
  <si>
    <t>1136р.</t>
  </si>
  <si>
    <t>Летнее платье футболка оверсайз больших размеров</t>
  </si>
  <si>
    <t>1300р</t>
  </si>
  <si>
    <t>Набор горшочков 3 шт, 0.7 л "Вятский", с ухватом</t>
  </si>
  <si>
    <t>1422р.</t>
  </si>
  <si>
    <t>Кроссовки кеды летние белые на лето</t>
  </si>
  <si>
    <t>1935р</t>
  </si>
  <si>
    <t>Платье вечернее больших размеров</t>
  </si>
  <si>
    <t>2357р</t>
  </si>
  <si>
    <t>Брюки джогерры с принтем аниме и начесом</t>
  </si>
  <si>
    <t>трусы боксеры набор</t>
  </si>
  <si>
    <t>1748р</t>
  </si>
  <si>
    <t xml:space="preserve">Картушина Алина Александровна </t>
  </si>
  <si>
    <t>Футболка с вареным эфектом и надписью, дырки на спине</t>
  </si>
  <si>
    <t>185Р</t>
  </si>
  <si>
    <t>Рубашка оверсайз хлопок</t>
  </si>
  <si>
    <t>1889Р</t>
  </si>
  <si>
    <t>Пробник духов с вишней по мотивам</t>
  </si>
  <si>
    <t>198 р</t>
  </si>
  <si>
    <t>Туфли школьные с перфорацией на высокой подошве</t>
  </si>
  <si>
    <t>1994р</t>
  </si>
  <si>
    <t>Туфли женские черные кожаные свадьба подарок вечеринка лето</t>
  </si>
  <si>
    <t>2016р</t>
  </si>
  <si>
    <t>Кроссовки спортивные подростковые, грязная подошва</t>
  </si>
  <si>
    <t>2157Р</t>
  </si>
  <si>
    <t>Солнцезащитный крем для лица SPF 50</t>
  </si>
  <si>
    <t>Корзина для бумаг «Пирула», 10 л</t>
  </si>
  <si>
    <t>457р</t>
  </si>
  <si>
    <t>футболка с двухсторонним принтом</t>
  </si>
  <si>
    <t>589 р</t>
  </si>
  <si>
    <t>Сумка дорожная на колесах с выдвижной ручкой, ржавчина на ручке внутри сумки и непроклепан держатель колеса</t>
  </si>
  <si>
    <t>6302 р</t>
  </si>
  <si>
    <t>Рубашка женская белая оверсайз</t>
  </si>
  <si>
    <t>698 р</t>
  </si>
  <si>
    <t>Обнаружено сотрудником при приемке</t>
  </si>
  <si>
    <t>Сыворотка для лица антивозрастная от морщин омолаживающая, разлита</t>
  </si>
  <si>
    <t>Кроссовки повседневные на массивной подошве, желтое пятно на внутренней стороне правого ботинка</t>
  </si>
  <si>
    <t>1258р</t>
  </si>
  <si>
    <t>Свитшот оверсайз без начеса толстовка</t>
  </si>
  <si>
    <t>1330р</t>
  </si>
  <si>
    <t xml:space="preserve">Постельное белье 1.5 спальное хлопок перкаль Сердечки, пршел только пододеяльник </t>
  </si>
  <si>
    <t>Туфли школьные для девочек, потертые носки и грязная подошва</t>
  </si>
  <si>
    <t>2879р</t>
  </si>
  <si>
    <t>джинсы широкие багги, вместо 52р в коробке 50р</t>
  </si>
  <si>
    <t>Держатель МОПа (флаундер), 50х13 см, карман, сломана площадка</t>
  </si>
  <si>
    <t>Спортивный флисовый костюм</t>
  </si>
  <si>
    <t>3459р</t>
  </si>
  <si>
    <t>Свитер оверсайз с высоким воротом</t>
  </si>
  <si>
    <t>2317р</t>
  </si>
  <si>
    <t>Брюки скинни из хлопка выскоая посадка</t>
  </si>
  <si>
    <t>2534р</t>
  </si>
  <si>
    <t>Защита треснутая</t>
  </si>
  <si>
    <t>Форма для выпечки кексов силиконовая 12 ячеек</t>
  </si>
  <si>
    <t>306р.</t>
  </si>
  <si>
    <t>Стакан пластиковый с трубочкой не одноразовый</t>
  </si>
  <si>
    <t>575р.</t>
  </si>
  <si>
    <t>Держатель для полотенец.погнут</t>
  </si>
  <si>
    <t>Зонт не раскрывается полностью</t>
  </si>
  <si>
    <t>3479р</t>
  </si>
  <si>
    <t>Средство для мытья детской посуды и овощей.сломан дозатор</t>
  </si>
  <si>
    <t>356р</t>
  </si>
  <si>
    <t>баллон весь мятый</t>
  </si>
  <si>
    <t>Дыра на боковой стороне подошвы</t>
  </si>
  <si>
    <t>4658р</t>
  </si>
  <si>
    <t>куртка .грязный капюшон</t>
  </si>
  <si>
    <t>5412р</t>
  </si>
  <si>
    <t>Босоножки с резиновой ремнём/ Клей на подошве и загрязнена резинка на обуви</t>
  </si>
  <si>
    <t>640р.</t>
  </si>
  <si>
    <t>Рубашка с коротким рукавом классическая, дефект ткани: белые пятна на спине</t>
  </si>
  <si>
    <t>1234р</t>
  </si>
  <si>
    <t>обнаружено сотрудником при проверке товара после примерочной, клиент выкупать товар отказался</t>
  </si>
  <si>
    <t>подмена, заказан 54, по факту пришёл 42, навесная - 54, вшивная - 42</t>
  </si>
  <si>
    <t>1445р</t>
  </si>
  <si>
    <t>Кроссовки на высокой подошве бежевые, пятна на пятке и сбоку на левом кроссовке, на правом кроссовке пятно внутри</t>
  </si>
  <si>
    <t>1949р</t>
  </si>
  <si>
    <t>загрязнение на футболке</t>
  </si>
  <si>
    <t>289р</t>
  </si>
  <si>
    <t>Кроссовки Nike Initiator, желтое пятно у подошвы правого ботинка</t>
  </si>
  <si>
    <t>3105р</t>
  </si>
  <si>
    <t>Ботильоны демисезонные на каблуке, потертости у носка правого ботинка</t>
  </si>
  <si>
    <t>4637р</t>
  </si>
  <si>
    <t>Большая классическая сумка, подмена, не соответствует описанию и карточке товара</t>
  </si>
  <si>
    <t>погнута вилка адаптера</t>
  </si>
  <si>
    <t>8000р</t>
  </si>
  <si>
    <t>Обнаружено клиентом при получении</t>
  </si>
  <si>
    <t>не совпадает размер.карточка 41-42.привоз 39-40</t>
  </si>
  <si>
    <t xml:space="preserve">Футболка "варенка" с манжетом / дырка </t>
  </si>
  <si>
    <t>1165р</t>
  </si>
  <si>
    <t>Костюм домашний лапша с брюками 3 в 1, пятно сзади</t>
  </si>
  <si>
    <t>Сапоги детские демисезонные, ручка на пятке</t>
  </si>
  <si>
    <t>1727р</t>
  </si>
  <si>
    <t>Пижама Кигуруми Котик детский, серые пятна на розовом,грязь на белом</t>
  </si>
  <si>
    <t>1810р</t>
  </si>
  <si>
    <t>4005174 6329</t>
  </si>
  <si>
    <t>Сапоги детские демисезонные, дыра на пятке</t>
  </si>
  <si>
    <t>Постельное белье с одеялом бархатное / отличается цвет, отсутствуют бежевые вставки</t>
  </si>
  <si>
    <t>2363р</t>
  </si>
  <si>
    <t>Брючный костюм бохо больших размеров, вместо бордового цвета вишневый</t>
  </si>
  <si>
    <t>2822р</t>
  </si>
  <si>
    <t>Ботильоны женские демисезонные натуральная кожа, потертость на правом ботинке справого бока</t>
  </si>
  <si>
    <t>3213р</t>
  </si>
  <si>
    <t>Трикотажный брючный костюм теплый вязаный осень зима, затяжка</t>
  </si>
  <si>
    <t>4244р</t>
  </si>
  <si>
    <t>Тетрадь в клетку 96 листов 1 шт/ приехала тетрадь с другим количеством листов и с другим принтом</t>
  </si>
  <si>
    <t>Куртка демисезонная с капюшоном короткая, отсутствует кнопка</t>
  </si>
  <si>
    <t>5092р</t>
  </si>
  <si>
    <t>Силиконовый коврик для выпечки и запекания с кнопками 2 шт, в комплекте 1 коврик</t>
  </si>
  <si>
    <t>605р</t>
  </si>
  <si>
    <t>Ночная сорочка, перекос кроя</t>
  </si>
  <si>
    <t>Уггиженские, черные полосы в районе язычка правого ботинка</t>
  </si>
  <si>
    <t>730р</t>
  </si>
  <si>
    <t>Фоторамка деревянная из массива сосны 50х70, 1 шт, одна сторона рамки переломлена</t>
  </si>
  <si>
    <t>Обнаружен сотрудником после примерки, клиент вещь забирать отказался.</t>
  </si>
  <si>
    <t>Медицинский костюм с брюками и рубашкой на молнии/ прислали совсем не тот товар, что заказывали.</t>
  </si>
  <si>
    <t>1388р.</t>
  </si>
  <si>
    <t>Рубашка в полоску хлопок/ косметические пятна на воротнике рубашке</t>
  </si>
  <si>
    <t>Худи однотонное с начесом с капюшоном/ пятно на груди</t>
  </si>
  <si>
    <t>1899р.</t>
  </si>
  <si>
    <t>Брошь Линейка с бусинкой/ приехал из серебра вместо золота</t>
  </si>
  <si>
    <t>264р.</t>
  </si>
  <si>
    <t xml:space="preserve">Платье вечернее праздничное длинное в пол с разрезом/ загрязнения на подоле платья. </t>
  </si>
  <si>
    <t>3026р.</t>
  </si>
  <si>
    <t>Шампунь от желтизны волос фиолетовый 300мл / вытек из бутылька</t>
  </si>
  <si>
    <t>305р.</t>
  </si>
  <si>
    <t>Обнаруежен клиентом при получении</t>
  </si>
  <si>
    <t>Ботинки казаки замшевые демисезонные/ на каблуке потертости</t>
  </si>
  <si>
    <t>4597р.</t>
  </si>
  <si>
    <t>Вместо кепки пришла беживая понама</t>
  </si>
  <si>
    <t>658р</t>
  </si>
  <si>
    <t>Банки для сыпучих продуктов и спагетти.набор 2шт.на одной банке повреждение царапина</t>
  </si>
  <si>
    <t xml:space="preserve">скол </t>
  </si>
  <si>
    <t>75р</t>
  </si>
  <si>
    <t xml:space="preserve">Спортивная сумка женская для гимнастики / вместо сумки пришел купальник </t>
  </si>
  <si>
    <t>1001р</t>
  </si>
  <si>
    <t>Брюки бананы укороченные 7/8 на резинке / пятно</t>
  </si>
  <si>
    <t>Гигиеническая помада проявляющая набор 3 штуки/ использованная или поломанная губная помада.</t>
  </si>
  <si>
    <t>212р.</t>
  </si>
  <si>
    <t>Кроссовки мужские/ вмятины на подошве</t>
  </si>
  <si>
    <t>3008р.</t>
  </si>
  <si>
    <t>Сумка дорожная на колесах с выдвижной ручкой/ пятна и сломана запчасть</t>
  </si>
  <si>
    <t>3298р.</t>
  </si>
  <si>
    <t>Классическая водолазка с воротом пришла с дыркой</t>
  </si>
  <si>
    <t>светлые пятна</t>
  </si>
  <si>
    <t>Шампунь ждя собак и кошек глубокой очистки,, 1000 мл / потекший</t>
  </si>
  <si>
    <t>Футболка.в карточке размер М.а пришел L</t>
  </si>
  <si>
    <t>Ветровка с капюшоном.пришла не та модель и цвет</t>
  </si>
  <si>
    <t>Туфли школьные, розовое пятно у подошвы правой туфли</t>
  </si>
  <si>
    <t>жёлтые пятна</t>
  </si>
  <si>
    <t>1282р</t>
  </si>
  <si>
    <t>лобигер Александра Александровна</t>
  </si>
  <si>
    <t xml:space="preserve">пятно на внутренней стороне комбинезона </t>
  </si>
  <si>
    <t>Ель канадская Коника</t>
  </si>
  <si>
    <t>1656р</t>
  </si>
  <si>
    <t>Вязаная юбка мини из вискозы, дефект ткани темные полосы спереди и сзади</t>
  </si>
  <si>
    <t>недокомплект, не хватает контурных карт</t>
  </si>
  <si>
    <t>Кондиционер для белья «Летняя прохлада», концентрат, 800мл, разлит</t>
  </si>
  <si>
    <t>2636315 6195</t>
  </si>
  <si>
    <t>Набор оценочных штампов школьных учителю Пчелки, у синей печати отпало клише</t>
  </si>
  <si>
    <t>811р</t>
  </si>
  <si>
    <t>Дегидратор сушилка для овощей 7ур+2для пастилы+1 для ягод, вмятина на задней стенке, тарахтение при работе</t>
  </si>
  <si>
    <t>9763р</t>
  </si>
  <si>
    <t>Женский лонгслив на кулиске с надписью, отсутствует кулиска</t>
  </si>
  <si>
    <t>1133р</t>
  </si>
  <si>
    <t>сломана вилка, переломлена у основания</t>
  </si>
  <si>
    <t>138р</t>
  </si>
  <si>
    <t>Демисезонная куртка.загрязнения под планкой замка и спереди неизвестного происхождения</t>
  </si>
  <si>
    <t>2126р</t>
  </si>
  <si>
    <t xml:space="preserve">Базовый свитер из хлопка, загрязение на передней части свитера, похоже на косметический карандаш </t>
  </si>
  <si>
    <t>2423р</t>
  </si>
  <si>
    <t>грязная</t>
  </si>
  <si>
    <t>2787р</t>
  </si>
  <si>
    <t>оторвана кнопка</t>
  </si>
  <si>
    <t>3551р</t>
  </si>
  <si>
    <t>следы от цифр на рукаве</t>
  </si>
  <si>
    <t>3901р</t>
  </si>
  <si>
    <t>затяжка</t>
  </si>
  <si>
    <t>следы клея на заколке</t>
  </si>
  <si>
    <t>603р</t>
  </si>
  <si>
    <t>DOLCE &amp; GABBANA L'Imperatrice 3 100 ml</t>
  </si>
  <si>
    <t>не соответствие карточки товара</t>
  </si>
  <si>
    <t>743р</t>
  </si>
  <si>
    <t xml:space="preserve">Статуэтка кота Сфинкса в позе лотоса, Кот-Будда, разбит </t>
  </si>
  <si>
    <t xml:space="preserve">Сумка через плечо кросс-боди, сломано крепление на ремешке </t>
  </si>
  <si>
    <t>974р</t>
  </si>
  <si>
    <t xml:space="preserve">Духи Быть Может Полная коллекция 6Х10мл/ 3 флакона из 6 разлиты. Духов меньше, чем должно быть. </t>
  </si>
  <si>
    <t>1300р.</t>
  </si>
  <si>
    <t>Фонари заднии Приора. Один фонарь сломан</t>
  </si>
  <si>
    <t>1988р.</t>
  </si>
  <si>
    <t>Брюки женские утепленные джоггеры с начёсом/ ТОвар был плохо упакован, поэтому приехал грязный.</t>
  </si>
  <si>
    <t>603р.</t>
  </si>
  <si>
    <t xml:space="preserve">Дождевик на молнии/ пятна </t>
  </si>
  <si>
    <t>1191р.</t>
  </si>
  <si>
    <t>Блузка льняная летняя с коротким рукавом/ подмена, вместо блузки пришли брюки</t>
  </si>
  <si>
    <t>1318р.</t>
  </si>
  <si>
    <t xml:space="preserve">Угги/  разошелся шов </t>
  </si>
  <si>
    <t>1886р.</t>
  </si>
  <si>
    <t xml:space="preserve">Куртка демисезонная длинная/ след от ручки или маркера </t>
  </si>
  <si>
    <t>1995р.</t>
  </si>
  <si>
    <t>Теплые ботинки для трекинга с мехом зимние/ следы клея</t>
  </si>
  <si>
    <t>2847р.</t>
  </si>
  <si>
    <t xml:space="preserve">загрязнения </t>
  </si>
  <si>
    <t>2900р</t>
  </si>
  <si>
    <t xml:space="preserve">Футболка женская подарок на 8 марта/ Пятна желтые на футболке в области груди </t>
  </si>
  <si>
    <t>472р.</t>
  </si>
  <si>
    <t>Кастрюля эмалированная с крышкой/ 2 точки на дне кастрюли</t>
  </si>
  <si>
    <t>611 р</t>
  </si>
  <si>
    <t>Кеды/ пришел не тот размер</t>
  </si>
  <si>
    <t>623р.</t>
  </si>
  <si>
    <t xml:space="preserve">Джинсы зауженные скинни с высокой посадкой/ на вшивной бирке указан не тот размер. </t>
  </si>
  <si>
    <t>Лонгслив аниме</t>
  </si>
  <si>
    <t>Костюм спортивный, порван шов</t>
  </si>
  <si>
    <t>Джинсовая юбка. Не сходится с карточкой товара, на карточке товара, целая юбка, по факту с разрывами</t>
  </si>
  <si>
    <t>2080р</t>
  </si>
  <si>
    <t>следы помады на завязках</t>
  </si>
  <si>
    <t>2335р</t>
  </si>
  <si>
    <t>Ароматизатор в машину, упаковка залита</t>
  </si>
  <si>
    <t>246р</t>
  </si>
  <si>
    <t>Сапоги демисезон, на правом сапоге дыра, на левом точка от красной ручки</t>
  </si>
  <si>
    <t>2837р</t>
  </si>
  <si>
    <t>Кофта. Затяжка</t>
  </si>
  <si>
    <t>2896р</t>
  </si>
  <si>
    <t>тёмная грязная полоска на спине</t>
  </si>
  <si>
    <t>3165р</t>
  </si>
  <si>
    <t>дыры на рукаве</t>
  </si>
  <si>
    <t>3751р</t>
  </si>
  <si>
    <t xml:space="preserve">Трусы набор хлопок 5 штук / пришел не тот размер </t>
  </si>
  <si>
    <t>553р.</t>
  </si>
  <si>
    <t xml:space="preserve">Бархатова Анна Михайловна </t>
  </si>
  <si>
    <t>Набор кружевных хлопковых трусов бразильяна 5 шт</t>
  </si>
  <si>
    <t>574р</t>
  </si>
  <si>
    <t>Пенка для умывания. Разлит</t>
  </si>
  <si>
    <t>Очки, подмена: вместо красных пришли коричневые</t>
  </si>
  <si>
    <t>680р</t>
  </si>
  <si>
    <t>Потертости, царапины на обуви</t>
  </si>
  <si>
    <t>13746р</t>
  </si>
  <si>
    <t>Потертости, пятна на обуви</t>
  </si>
  <si>
    <t>подмена</t>
  </si>
  <si>
    <t>1842р</t>
  </si>
  <si>
    <t>Пятна на товаре</t>
  </si>
  <si>
    <t>2238р</t>
  </si>
  <si>
    <t>Подммена, тотвар отличается, другой бренд</t>
  </si>
  <si>
    <t>3095р</t>
  </si>
  <si>
    <t>худи в различнык пятнах</t>
  </si>
  <si>
    <t>Пинцет для бровей/ пришёл пустой пакетик</t>
  </si>
  <si>
    <t>142р.</t>
  </si>
  <si>
    <t>Коврик для мышки маленький белый игровой для мыши/ загрязнение на коврике</t>
  </si>
  <si>
    <t>254р.</t>
  </si>
  <si>
    <t>Загрязнения на капюшоне</t>
  </si>
  <si>
    <t>не смогла клиент открыть замок-магнит на сумке.</t>
  </si>
  <si>
    <t>домкрат</t>
  </si>
  <si>
    <t>1239р</t>
  </si>
  <si>
    <t>радиатор охлаждения</t>
  </si>
  <si>
    <t>одеколон 100мл</t>
  </si>
  <si>
    <t>268р</t>
  </si>
  <si>
    <t>самоклящиеся панели</t>
  </si>
  <si>
    <t>2823р</t>
  </si>
  <si>
    <t>джинсы, разрыв на шве сзади</t>
  </si>
  <si>
    <t>2979р.</t>
  </si>
  <si>
    <t>поводок сстеклоочистителя</t>
  </si>
  <si>
    <t>3354р</t>
  </si>
  <si>
    <t>царапины на наушнике</t>
  </si>
  <si>
    <t>ботинки летние тактические</t>
  </si>
  <si>
    <t>5661р</t>
  </si>
  <si>
    <t>Шапка зимняя вязанная на флисе/ разрыв ниток</t>
  </si>
  <si>
    <t>666р.</t>
  </si>
  <si>
    <t>Очки для зрения +2,0 +2.0/ пришел не тот товар</t>
  </si>
  <si>
    <t>702р.</t>
  </si>
  <si>
    <t>мелкие пятна по всей кофте</t>
  </si>
  <si>
    <t>на сине куртки стянутость ткани как от глажки следы похожие на клей</t>
  </si>
  <si>
    <t>вшивные бирки не совпадают (их две, внутри и снаружи)</t>
  </si>
  <si>
    <t>1169р</t>
  </si>
  <si>
    <t>черное пятно</t>
  </si>
  <si>
    <t>Обнаружено при приемке</t>
  </si>
  <si>
    <t>Кисть, сломана</t>
  </si>
  <si>
    <t>148р</t>
  </si>
  <si>
    <t>Пусеты 6 пар "Романтика" цветочки, на одном гвоздике нет камня</t>
  </si>
  <si>
    <t>164р</t>
  </si>
  <si>
    <t>4149552 5771</t>
  </si>
  <si>
    <t>Пила аккумуляторная цепная мини сучкорез, не работает</t>
  </si>
  <si>
    <t>1657р</t>
  </si>
  <si>
    <t>Грязезащитный коврик, пришел другой, не соответствует карточки товара</t>
  </si>
  <si>
    <t>1664р</t>
  </si>
  <si>
    <t>Джинсы клеш от колена, одна шлевка оторвана</t>
  </si>
  <si>
    <t>2160р</t>
  </si>
  <si>
    <t>Варежки детские, чем-то измазаны</t>
  </si>
  <si>
    <t>недокомплект, должно быть 170 предметов, по факту 158</t>
  </si>
  <si>
    <t>Саженец инжир, засох</t>
  </si>
  <si>
    <t>467р</t>
  </si>
  <si>
    <t>Куртка, отпала кнопка</t>
  </si>
  <si>
    <t>6532р</t>
  </si>
  <si>
    <t xml:space="preserve">загрязнения, маленькие цветные пятна </t>
  </si>
  <si>
    <t>706р</t>
  </si>
  <si>
    <t>Брюки, грязные</t>
  </si>
  <si>
    <t>белые пятна</t>
  </si>
  <si>
    <t>794р</t>
  </si>
  <si>
    <t xml:space="preserve">Рюмки для водки на ножке 45 мл./ одна рюмка разбита </t>
  </si>
  <si>
    <t xml:space="preserve">Рюкзак школьный для подростка \ не тот цвет </t>
  </si>
  <si>
    <t>Грязь</t>
  </si>
  <si>
    <t>1280р</t>
  </si>
  <si>
    <t>Некомплект, в коробке одна присоска</t>
  </si>
  <si>
    <t>160р</t>
  </si>
  <si>
    <t>Костюм. Грязь, дыры</t>
  </si>
  <si>
    <t>1695р</t>
  </si>
  <si>
    <t>Жилет. Дефект швов</t>
  </si>
  <si>
    <t>2687р</t>
  </si>
  <si>
    <t>Кроссовки, подмена: вместо 38 размера в коробке 39 размер</t>
  </si>
  <si>
    <t>2710р</t>
  </si>
  <si>
    <t>Костюм. Грязь</t>
  </si>
  <si>
    <t>3877р</t>
  </si>
  <si>
    <t>Истек срок годности</t>
  </si>
  <si>
    <t>Разлит</t>
  </si>
  <si>
    <t>Набор прокладок Урал/ Не ровно отбиты отверстия</t>
  </si>
  <si>
    <t xml:space="preserve">Подставка стойка для воздушных шаров 160 см 2 штуки/ деформирована подставка </t>
  </si>
  <si>
    <t>414р.</t>
  </si>
  <si>
    <t>Обнаружен клиентом после примерки. Клиент вещь забирать отказался</t>
  </si>
  <si>
    <t>Куртка осенняя вельветовая утепленная/ загрязнения на куртке</t>
  </si>
  <si>
    <t>5348р.</t>
  </si>
  <si>
    <t>Следы ручки в виде разметки на боку шорт</t>
  </si>
  <si>
    <t>Набор столовой посуды, 2 тарелки и кружка/ кружка в наборе разбита</t>
  </si>
  <si>
    <t>749р.</t>
  </si>
  <si>
    <t>бокалы для вина 780 мл набор 2 шт. стеклянные большие</t>
  </si>
  <si>
    <t>Зиганшин Владислав Станиславович</t>
  </si>
  <si>
    <t>Английский язык 2 класс Учебник Быкова (Комплект) Spotlight</t>
  </si>
  <si>
    <t>Зиганшин Владислав Станиславови</t>
  </si>
  <si>
    <t>Кофе растворимый сублимированный Монарх, арабика, 800 г</t>
  </si>
  <si>
    <t>пришел не тот размер.вместо 46-48 доставили 44-46р</t>
  </si>
  <si>
    <t>на подкладке куртки загрязнения</t>
  </si>
  <si>
    <t>10193р</t>
  </si>
  <si>
    <t>Повседневная обувь унисекс/ отсутствие ткани на язычке</t>
  </si>
  <si>
    <t>1090р.</t>
  </si>
  <si>
    <t>пальто весна-осень стеганное/ повреждение ткани</t>
  </si>
  <si>
    <t>2375р.</t>
  </si>
  <si>
    <t>Пришла повязка с разрывом-разрезом</t>
  </si>
  <si>
    <t>261р</t>
  </si>
  <si>
    <t>Брюки классические прямые широкие со стрелками/ отсутствует вшивная бирка с размером</t>
  </si>
  <si>
    <t>Спортивный костюм трикотажный без начеса с худи/ пятна на кофте</t>
  </si>
  <si>
    <t>2892р.</t>
  </si>
  <si>
    <t>Обнаружено клиентом.показал сотруднику уже после примерочной.отказался забирать товар</t>
  </si>
  <si>
    <t>не те пришли джинсы.не тот фасон.не та фирма</t>
  </si>
  <si>
    <t>3195р</t>
  </si>
  <si>
    <t>Набор кружек 6 шт Снегири/ разбита ручка на кружке</t>
  </si>
  <si>
    <t>647р.</t>
  </si>
  <si>
    <t xml:space="preserve">Водолазка с длинным рукавом/ дефект ткани. </t>
  </si>
  <si>
    <t>712р.</t>
  </si>
  <si>
    <t>внутреннний карман сумки не расстегивается</t>
  </si>
  <si>
    <t>769р</t>
  </si>
  <si>
    <t>Обнарежен клиентом при получении товара</t>
  </si>
  <si>
    <t>кеды белые царапины и повреждения на языке и сбоку кроссовок</t>
  </si>
  <si>
    <t>803р</t>
  </si>
  <si>
    <t>Шампунь детский для мальчиков. (Без слез)/ вытек</t>
  </si>
  <si>
    <t>83р.</t>
  </si>
  <si>
    <t>Обнаружен клиеном при получении</t>
  </si>
  <si>
    <t>не большое пятно на поле спинки</t>
  </si>
  <si>
    <t>грязь, розовое пятно</t>
  </si>
  <si>
    <t>1485р</t>
  </si>
  <si>
    <t>Геймпад</t>
  </si>
  <si>
    <t>Жаровня, погнут обод крышки, скол на ручке</t>
  </si>
  <si>
    <t>1942р</t>
  </si>
  <si>
    <t>грязная штанина</t>
  </si>
  <si>
    <t>2137р</t>
  </si>
  <si>
    <t>Вечернее платье, не хватает одного шнурка</t>
  </si>
  <si>
    <t>2177р</t>
  </si>
  <si>
    <t>черные полоски</t>
  </si>
  <si>
    <t>2226р</t>
  </si>
  <si>
    <t xml:space="preserve">Обнаружен сотрудником при возврате товара, клиент забирать вещь отказался </t>
  </si>
  <si>
    <t>Пятна на обуви</t>
  </si>
  <si>
    <t>2930р</t>
  </si>
  <si>
    <t>Куртка, вместо 44-46 размера, пришел 48 (L)</t>
  </si>
  <si>
    <t>3146р</t>
  </si>
  <si>
    <t>потёртости</t>
  </si>
  <si>
    <t>5571р</t>
  </si>
  <si>
    <t>Побелка, вся вытекла</t>
  </si>
  <si>
    <t>573р</t>
  </si>
  <si>
    <t xml:space="preserve">Пятна на капюшоне </t>
  </si>
  <si>
    <t>6566р.</t>
  </si>
  <si>
    <t>3576327 4844</t>
  </si>
  <si>
    <t>Боди майка, белая полоса на воротнике</t>
  </si>
  <si>
    <t>Блузка, дефект ткани, белая полоса на груди</t>
  </si>
  <si>
    <t>819р</t>
  </si>
  <si>
    <t>разные сапоги</t>
  </si>
  <si>
    <t>989р</t>
  </si>
  <si>
    <t>Пятна</t>
  </si>
  <si>
    <t>1764р</t>
  </si>
  <si>
    <t>1826р</t>
  </si>
  <si>
    <t>2168р</t>
  </si>
  <si>
    <t xml:space="preserve">вмятина </t>
  </si>
  <si>
    <t xml:space="preserve">2513р </t>
  </si>
  <si>
    <t>не те шляпки</t>
  </si>
  <si>
    <t>50р.</t>
  </si>
  <si>
    <t>Сковорода блинная Induction Pro 24 см/ вмятина</t>
  </si>
  <si>
    <t>1234р.</t>
  </si>
  <si>
    <t>Подгузники для взрослых Super, размер XL, 30шт./ порвана упаковка</t>
  </si>
  <si>
    <t>1396р.</t>
  </si>
  <si>
    <t>Сковорода 26 см с антипригарным покрытием индукция/ скол</t>
  </si>
  <si>
    <t>1459р.</t>
  </si>
  <si>
    <t>Сковорода для индукционной плиты с съемной ручкой 28 см/ скол</t>
  </si>
  <si>
    <t>1579р.</t>
  </si>
  <si>
    <t xml:space="preserve">гель разлит </t>
  </si>
  <si>
    <t>пришли черные нитки вместо белых</t>
  </si>
  <si>
    <t>333р.</t>
  </si>
  <si>
    <t>Мощный стационарный блендер для смузи коктейлей измельчения/ Помяты стенки блендера</t>
  </si>
  <si>
    <t>3584р.</t>
  </si>
  <si>
    <t>куртка вся в пятнах.</t>
  </si>
  <si>
    <t>3835р</t>
  </si>
  <si>
    <t>Рубашка летняя туника пляжная/ жёлтые пятна (загрязнения)</t>
  </si>
  <si>
    <t>584р.</t>
  </si>
  <si>
    <t>пятна на блузке</t>
  </si>
  <si>
    <t>сломан на вешалке один деревянный крючок</t>
  </si>
  <si>
    <t>Термос для чая и кофе КТ-1236 - 3 л/ отсутствие книжки (паспорта)</t>
  </si>
  <si>
    <t>1830р.</t>
  </si>
  <si>
    <t>211р.</t>
  </si>
  <si>
    <t>Кроссовки демисезонные nike AIR JORDAN 4 retro спортивные/ потертости</t>
  </si>
  <si>
    <t>2248р.</t>
  </si>
  <si>
    <t>Комплект штор блэкаут 150 на 260 см серые 300*260/ деформация ткани</t>
  </si>
  <si>
    <t>2601р.</t>
  </si>
  <si>
    <t xml:space="preserve">Зимние сапоги на низкой подошве/ полоса </t>
  </si>
  <si>
    <t>3842р.</t>
  </si>
  <si>
    <t>Пятно на кофте спереди</t>
  </si>
  <si>
    <t>фабричный дефект белая полоса</t>
  </si>
  <si>
    <t>отсутствовал пояс</t>
  </si>
  <si>
    <t>Лыжные ботинки, потертости на пятках обеих ботинок</t>
  </si>
  <si>
    <t>10889р</t>
  </si>
  <si>
    <t>Каркас для фотозоны, одна из труб погнута на срезе</t>
  </si>
  <si>
    <t>пятно на футболке</t>
  </si>
  <si>
    <t>1636р</t>
  </si>
  <si>
    <t>зацепка на юбке</t>
  </si>
  <si>
    <t>Чайная пара, у кружки треснуто дно, полностью разбито блюдце</t>
  </si>
  <si>
    <t>1969р</t>
  </si>
  <si>
    <t>мятые</t>
  </si>
  <si>
    <t>200р</t>
  </si>
  <si>
    <t>3834966 8053</t>
  </si>
  <si>
    <t>изменение цвета ткани на сгибе</t>
  </si>
  <si>
    <t>2297р</t>
  </si>
  <si>
    <t>шов криво прошит, торчит кусок ткани</t>
  </si>
  <si>
    <t>Кремниу+витамин С, просрок</t>
  </si>
  <si>
    <t>не работет механизм отжима тряпки</t>
  </si>
  <si>
    <t>порезана упаковка</t>
  </si>
  <si>
    <t>308р</t>
  </si>
  <si>
    <t>3534р</t>
  </si>
  <si>
    <t>3781160 9247</t>
  </si>
  <si>
    <t xml:space="preserve">клей на ботинке </t>
  </si>
  <si>
    <t>3717р</t>
  </si>
  <si>
    <t>пришел не тот размер.вместо xs, пришел 3XL</t>
  </si>
  <si>
    <t>пятно от тональника на воротнике</t>
  </si>
  <si>
    <t>Не работает</t>
  </si>
  <si>
    <t>168р</t>
  </si>
  <si>
    <t xml:space="preserve">потертая пятка и нос </t>
  </si>
  <si>
    <t>1932р</t>
  </si>
  <si>
    <t>крышка помята</t>
  </si>
  <si>
    <t>1993р</t>
  </si>
  <si>
    <t>порез на чехле</t>
  </si>
  <si>
    <t>212р</t>
  </si>
  <si>
    <t>Варенье, протекло из-за открытой крышки</t>
  </si>
  <si>
    <t>Ботильоны, пятно на правом ботинке, потертости у замка левого ботинка</t>
  </si>
  <si>
    <t>Обувь разного размера</t>
  </si>
  <si>
    <t>Водолазка с горлом теплая\ дефект ткани</t>
  </si>
  <si>
    <t>1033р.</t>
  </si>
  <si>
    <t>Обнаружил клиент при получении</t>
  </si>
  <si>
    <t>замарана шапка</t>
  </si>
  <si>
    <t>Английский в фокусе 8 класс рабочая тетрадь Ваулина/ прислали тетрадь за 6 класс</t>
  </si>
  <si>
    <t>220р.</t>
  </si>
  <si>
    <t>Футболка детская белая набор 2 шт/ загрязнения на футболке</t>
  </si>
  <si>
    <t>313р.</t>
  </si>
  <si>
    <t>Костюм летний брючный с жилетом/ загрязнение с внутренней стороны жилетки</t>
  </si>
  <si>
    <t>3714р.</t>
  </si>
  <si>
    <t>Сандалии школьные детские летние/ вмятина на подошве</t>
  </si>
  <si>
    <t>389р.</t>
  </si>
  <si>
    <t>Толстовка/ дыры</t>
  </si>
  <si>
    <t>394р.</t>
  </si>
  <si>
    <t>Футболка оверсайз базова/ Прислали не тот размер одежды</t>
  </si>
  <si>
    <t>484р.</t>
  </si>
  <si>
    <t>Платье-рубашка с длинным рукавом/ разрыв шва</t>
  </si>
  <si>
    <t>859р.</t>
  </si>
  <si>
    <t>Обнаружено сотрудником при переупоковке</t>
  </si>
  <si>
    <t>при переупаковке обнаружены пятна</t>
  </si>
  <si>
    <t xml:space="preserve"> не тот товар пришел.а код совпадает</t>
  </si>
  <si>
    <t>Обнаружено сотрудником при возврате товара</t>
  </si>
  <si>
    <t>Бюстгальтер без косточек/нет средней лямки в пакете товара</t>
  </si>
  <si>
    <t>1055р</t>
  </si>
  <si>
    <t>Бахтина Мария Александровна</t>
  </si>
  <si>
    <t>Гель для стирки Ariel/Открыта тара геля, гель вытек.</t>
  </si>
  <si>
    <t>Угги зимние короткие с мехом дутики на платформе y2k/ Отсутствует русскоязычная маркировка</t>
  </si>
  <si>
    <t>2258р.</t>
  </si>
  <si>
    <t>Чайник заварочный стеклянный/ Сколы у носика чайника 2 шт.</t>
  </si>
  <si>
    <t>розовые вкрапления</t>
  </si>
  <si>
    <t>6332р</t>
  </si>
  <si>
    <t>подошва в белом маркере</t>
  </si>
  <si>
    <t>Детский защитный бальзам от холода 30 мл/ товар вскрыт</t>
  </si>
  <si>
    <t>916р.</t>
  </si>
  <si>
    <t>Полка для ванной и кухни над стиральной машиной напольная/ облезлая краска</t>
  </si>
  <si>
    <t>930р.</t>
  </si>
  <si>
    <t>Костюм спортивный, пятна на спине кофты</t>
  </si>
  <si>
    <t>1391р</t>
  </si>
  <si>
    <t>Смарт часы, подмена, в карточке товара заявлены часы Samsung, по факту что-то другое, внешне похожи, карточка товара не активна</t>
  </si>
  <si>
    <t>17536р</t>
  </si>
  <si>
    <t>пришло две одинаковые кофты, но цвета совершенно разные (продовец один и тот же)</t>
  </si>
  <si>
    <t>Обнаружен клиенттом при получении товара</t>
  </si>
  <si>
    <t>Пустая упаковка</t>
  </si>
  <si>
    <t>361р</t>
  </si>
  <si>
    <t>4023р</t>
  </si>
  <si>
    <t>следы ручки и желтые пятна на подошве</t>
  </si>
  <si>
    <t>4603р</t>
  </si>
  <si>
    <t>917р</t>
  </si>
  <si>
    <t>дыры на футболке</t>
  </si>
  <si>
    <t>923р</t>
  </si>
  <si>
    <t>грязь на ботинке</t>
  </si>
  <si>
    <t>937р</t>
  </si>
  <si>
    <t>Кружки набор, стерта позолота на ободке</t>
  </si>
  <si>
    <t>1104р</t>
  </si>
  <si>
    <t>Рубашка/химические пятна на передней части</t>
  </si>
  <si>
    <t>Рулонные шторы/деформация рулона</t>
  </si>
  <si>
    <t>1334р</t>
  </si>
  <si>
    <t>Пришел товар не того цвета</t>
  </si>
  <si>
    <t>1352р</t>
  </si>
  <si>
    <t>Дырка</t>
  </si>
  <si>
    <t>13970р</t>
  </si>
  <si>
    <t>Картина по номерам, повреждено полотно картины</t>
  </si>
  <si>
    <t>158р</t>
  </si>
  <si>
    <t>Свитшот/разрыв строчки ткани на задней стороне</t>
  </si>
  <si>
    <t>1632р</t>
  </si>
  <si>
    <t>Борцовки, пятно на язычке правого ботинка</t>
  </si>
  <si>
    <t>1771р</t>
  </si>
  <si>
    <t>Балетки из натуральной замши/потертости на левой и правой пятке</t>
  </si>
  <si>
    <t>2055р</t>
  </si>
  <si>
    <t>Балетки из натуральной замши/потертости на левой и правой пятках и носках</t>
  </si>
  <si>
    <t>2304р</t>
  </si>
  <si>
    <t>Кастрюля/вмятина на крышке</t>
  </si>
  <si>
    <t>Чай, дыра в коробке</t>
  </si>
  <si>
    <t>342р</t>
  </si>
  <si>
    <t xml:space="preserve">Заготовка для поделки
</t>
  </si>
  <si>
    <t>102р</t>
  </si>
  <si>
    <t xml:space="preserve">Мыльница дорожная для ванной для кухни
</t>
  </si>
  <si>
    <t xml:space="preserve">Кормушка для рыбалки металлическая L-13см d- 85 мм 1шт
</t>
  </si>
  <si>
    <t xml:space="preserve">Сандалии летние босоножки без каблука с квадратным носом
</t>
  </si>
  <si>
    <t xml:space="preserve">Лоферы женские натуральная кожа
</t>
  </si>
  <si>
    <t>1770р</t>
  </si>
  <si>
    <t xml:space="preserve">Дутики женские угги зимние
</t>
  </si>
  <si>
    <t>2221р</t>
  </si>
  <si>
    <t xml:space="preserve">Туфли на каблуке со шнуровкой осенние
</t>
  </si>
  <si>
    <t>2605р</t>
  </si>
  <si>
    <t>2609р</t>
  </si>
  <si>
    <t>сандали детские/подмена</t>
  </si>
  <si>
    <t>3015р</t>
  </si>
  <si>
    <t xml:space="preserve">Кроссовки Nike P-6000
</t>
  </si>
  <si>
    <t>3113р</t>
  </si>
  <si>
    <t xml:space="preserve">Сапоги демисезонные на каблуке
</t>
  </si>
  <si>
    <t>3933р</t>
  </si>
  <si>
    <t xml:space="preserve">Ботинки зимние теплые с мехом натуральная кожа
</t>
  </si>
  <si>
    <t>4020р</t>
  </si>
  <si>
    <t xml:space="preserve">Сумка поясная для лакомств
</t>
  </si>
  <si>
    <t>404р</t>
  </si>
  <si>
    <t xml:space="preserve">Сапоги демисезонные казаки на каблуке
</t>
  </si>
  <si>
    <t>4151р</t>
  </si>
  <si>
    <t>Аквасоки для пляжа и моря</t>
  </si>
  <si>
    <t>466р</t>
  </si>
  <si>
    <t xml:space="preserve">Ботинки демисезонные натуральная кожа на платформе
</t>
  </si>
  <si>
    <t>4702р</t>
  </si>
  <si>
    <t xml:space="preserve">Сапоги женские зимние
</t>
  </si>
  <si>
    <t>5032р</t>
  </si>
  <si>
    <t>тазик/весь в царапинах</t>
  </si>
  <si>
    <t>578р</t>
  </si>
  <si>
    <t xml:space="preserve">Порез на куртке </t>
  </si>
  <si>
    <t>7878р.</t>
  </si>
  <si>
    <t xml:space="preserve">Сноубутсы зимние меховые Bear
</t>
  </si>
  <si>
    <t>8158р</t>
  </si>
  <si>
    <t xml:space="preserve">Лонгслив хлопковый водолазка оверсайз кофта\следы грязи спереди
</t>
  </si>
  <si>
    <t>1130р</t>
  </si>
  <si>
    <t>Платье праздничное детское\отклеин цветок</t>
  </si>
  <si>
    <t xml:space="preserve">кроссовки женские\пятно на пятке 
</t>
  </si>
  <si>
    <t>Топ на бретельках\ Разрезан</t>
  </si>
  <si>
    <t>144р</t>
  </si>
  <si>
    <t xml:space="preserve">Шапка и снуд букле вязаная на зиму\на снуде пятно у воротника 
</t>
  </si>
  <si>
    <t>1870р</t>
  </si>
  <si>
    <t xml:space="preserve">Ботинки демисезонные натуральная кожа утепленные\порез на пятке 
</t>
  </si>
  <si>
    <t>3774Р</t>
  </si>
  <si>
    <t>Сухая молочная смесь/просрочка</t>
  </si>
  <si>
    <t>Куртка, пятна спереди</t>
  </si>
  <si>
    <t>3838р</t>
  </si>
  <si>
    <t xml:space="preserve">Ботинки весна 2025\Царапины на пятке
</t>
  </si>
  <si>
    <t>5287р</t>
  </si>
  <si>
    <t xml:space="preserve">Конфитюр маракуйя без сахара Slim Dream, 2 шт. по 300 г\вытекла 1 банка
</t>
  </si>
  <si>
    <t>569р</t>
  </si>
  <si>
    <t xml:space="preserve">Ботинки челси натуральная замша демисезонные\вмятины и потёртости сбоку
</t>
  </si>
  <si>
    <t>6623р</t>
  </si>
  <si>
    <t xml:space="preserve">Ботинки челси женские зимние натуральная кожа шерсть\пятна + возможна подмена по цвету
</t>
  </si>
  <si>
    <t>6879р</t>
  </si>
  <si>
    <t xml:space="preserve">Ботинки челси женские зимние натуральная кожа шерсть\треснута пятка+маленькие вмятины по ботинку
</t>
  </si>
  <si>
    <t>Куртка зимняя для подростка с капюшоном\обильно торчит пух из под шва</t>
  </si>
  <si>
    <t>7059р</t>
  </si>
  <si>
    <t xml:space="preserve">Футболка однотонная белая базовая свободная\подмена
</t>
  </si>
  <si>
    <t>835р</t>
  </si>
  <si>
    <t>Туфли белые</t>
  </si>
  <si>
    <t>1173р</t>
  </si>
  <si>
    <t>Сапоги резиновые, заломы</t>
  </si>
  <si>
    <t>1329р</t>
  </si>
  <si>
    <t>Шапка теплая вязаная комплект снуд</t>
  </si>
  <si>
    <t xml:space="preserve">Свитшот на молнии оверсайз с начесом-пятно на воротнике
</t>
  </si>
  <si>
    <t>2134р</t>
  </si>
  <si>
    <t>2206р</t>
  </si>
  <si>
    <t>Свитер вязаный, темные пятна и полосы на спине, похожи на пятна от ручки</t>
  </si>
  <si>
    <t>Брюки. Подмена, не соответствуют карточке товара</t>
  </si>
  <si>
    <t xml:space="preserve">Купальник гимнастический, возможно подмена, навесная бирка оторвана, должен быть 24 размер, на вшитой бирке только ростовка 104 </t>
  </si>
  <si>
    <t>288р</t>
  </si>
  <si>
    <t>Контейнеры стеклянные 3шт., трещина на дне большого контейнера, крышка маленького грязная</t>
  </si>
  <si>
    <t>386р</t>
  </si>
  <si>
    <t>Товар деформирован</t>
  </si>
  <si>
    <t>Гольфы ажурные, пятна розового цвета</t>
  </si>
  <si>
    <t>57р</t>
  </si>
  <si>
    <t>Автомобильный набор для очистки снега, сломана лопата (отколот кусок от ковша)</t>
  </si>
  <si>
    <t>Куртка/загрязенения</t>
  </si>
  <si>
    <t>7737р</t>
  </si>
  <si>
    <t>831р</t>
  </si>
  <si>
    <t>Брюки, расходятся швы</t>
  </si>
  <si>
    <t>Свитер, желтое пятно на воротнике</t>
  </si>
  <si>
    <t>Перчатки/две дырки на левой перчатке среднем пальце</t>
  </si>
  <si>
    <t>1658р</t>
  </si>
  <si>
    <t>Samsung
Умные часы Galaxy Watch Ultra 47мм Wi-Fi + LTE, отмечено как подмена, по факту похожие часы другой фирмы</t>
  </si>
  <si>
    <t>17111р</t>
  </si>
  <si>
    <t>Умный выключатель</t>
  </si>
  <si>
    <t>2142р</t>
  </si>
  <si>
    <t>Курткая осенняя, полосы черные на груди</t>
  </si>
  <si>
    <t>4759р</t>
  </si>
  <si>
    <t>Чехол для iPhone, царапина на кромке</t>
  </si>
  <si>
    <t xml:space="preserve">Основа игла для броши 4 шт ситечко 61х13.5х1 мм-отломана
</t>
  </si>
  <si>
    <t>517р</t>
  </si>
  <si>
    <t>Ботинки, заломы на голенище</t>
  </si>
  <si>
    <t>6112р</t>
  </si>
  <si>
    <t>Ремень, подмена</t>
  </si>
  <si>
    <t>Набор из двух секаторов с храповым механизмом\секаторов в пакете не было. Только Перчатки подарочные</t>
  </si>
  <si>
    <t>Низовкина Анна Андреевна</t>
  </si>
  <si>
    <t>Пришли джинсы, вместо свитера</t>
  </si>
  <si>
    <t>1218р</t>
  </si>
  <si>
    <t xml:space="preserve">Сумка - рюкзак через плечо большая кожаная шоппер экокожа- пятно 
</t>
  </si>
  <si>
    <t>Комбинезон зимний детский Пятно на штанине</t>
  </si>
  <si>
    <t>15525р</t>
  </si>
  <si>
    <t xml:space="preserve">Поднос металлический круглый 30х2 см ПОГНУТ
</t>
  </si>
  <si>
    <t>Пижама со штанами новогодняя костюм домашний- пятно на штанах.</t>
  </si>
  <si>
    <t>845р</t>
  </si>
  <si>
    <t>Коробка для хранения Giraffix с крышкой 2 штуки 10л
- треснута крышка.</t>
  </si>
  <si>
    <t xml:space="preserve">Тарелки, 2 шт, 26 см, белый, Set.24A993-2-разбита тарелка
</t>
  </si>
  <si>
    <t>1191р</t>
  </si>
  <si>
    <t xml:space="preserve">кофта паутинка тонкая осенняя большие размеры
Разорван шов </t>
  </si>
  <si>
    <t>1635р</t>
  </si>
  <si>
    <t>Ботинки зимние замшевые на каблуке
пыль и грязь</t>
  </si>
  <si>
    <t>1781р</t>
  </si>
  <si>
    <t xml:space="preserve">Джинсы широкие классические с высокой посадкой
 пятна </t>
  </si>
  <si>
    <t xml:space="preserve">Костюм трикотажный вязаный с юбкой
</t>
  </si>
  <si>
    <t>2829р</t>
  </si>
  <si>
    <t xml:space="preserve">Туфли на каблуке вечерние со стразами- грязь
</t>
  </si>
  <si>
    <t>3332р</t>
  </si>
  <si>
    <t>Скульптор для лица, палетка для контуринга TRIО, т.2 
треснут скульптор внутри. испорчен</t>
  </si>
  <si>
    <t xml:space="preserve">Серьги в азиатском стиле, аниме, веер, длинные висячие- подмена
</t>
  </si>
  <si>
    <t>456р</t>
  </si>
  <si>
    <t>Платье вечернее праздничное c пайетками на корпоратив
Не тот цвет нет бирки</t>
  </si>
  <si>
    <t>6084р</t>
  </si>
  <si>
    <t>Заломы и вмятины</t>
  </si>
  <si>
    <t>1131р</t>
  </si>
  <si>
    <t>Бюстгалтер</t>
  </si>
  <si>
    <t>147р</t>
  </si>
  <si>
    <t>Игрушка для кошек и собак интерактивная шарик - Не включается</t>
  </si>
  <si>
    <t>пораны штаны по шву</t>
  </si>
  <si>
    <t>1980р.</t>
  </si>
  <si>
    <t>Кривой шов</t>
  </si>
  <si>
    <t>Рубашка, расходится шов подмышкой</t>
  </si>
  <si>
    <t>2136р</t>
  </si>
  <si>
    <t>Чехол на телефон. поцарапан</t>
  </si>
  <si>
    <t>Кроссовки женские белые, желтые пятна на носке левого ботинка и полосы на язычке правого ботинка</t>
  </si>
  <si>
    <t>Шапка, подмена, цвет не соответствует карточки товара</t>
  </si>
  <si>
    <t>425р</t>
  </si>
  <si>
    <t>Худи однотонный базовый-пятна от шариковой ручки на воротнике и на поясе</t>
  </si>
  <si>
    <t>485р</t>
  </si>
  <si>
    <t>Комбинезон костюм для собак и кошек-Вышеркан текстиль + желтое пятно на спине</t>
  </si>
  <si>
    <t>488р</t>
  </si>
  <si>
    <t>Балетки, пятна на пятке</t>
  </si>
  <si>
    <t>Блузка базовая офисная школьная с принтом в полоску-пятна на воротникеи рукаве</t>
  </si>
  <si>
    <t>Блузка белая базовая офисная под пиджак в школу-пятна на рукаве</t>
  </si>
  <si>
    <t>826р</t>
  </si>
  <si>
    <t>Набор жерлиц 10 шт., 1 шт. не хватает</t>
  </si>
  <si>
    <t>882р</t>
  </si>
  <si>
    <t>Дыры на рукаве</t>
  </si>
  <si>
    <t xml:space="preserve">Брюки, грязь, вся поверхность брюк то ли в плесени то ли в грязных брызгах </t>
  </si>
  <si>
    <t>2244р</t>
  </si>
  <si>
    <t>Товар разбит</t>
  </si>
  <si>
    <t>2295р</t>
  </si>
  <si>
    <t>Штаны, желтое пятно на брючине</t>
  </si>
  <si>
    <t>Платье, пятна на спине</t>
  </si>
  <si>
    <t>2979р</t>
  </si>
  <si>
    <t>Фоторамка цифровая</t>
  </si>
  <si>
    <t>5358р</t>
  </si>
  <si>
    <t>Полусапожки, потертость</t>
  </si>
  <si>
    <t>5388р</t>
  </si>
  <si>
    <t>Ботинки зимние, пятна на правом ботинке сбоку</t>
  </si>
  <si>
    <t>5399р</t>
  </si>
  <si>
    <t>Щипцы для завивки, переломлена пополам</t>
  </si>
  <si>
    <t>Фуршетная форма, трещина на подставке</t>
  </si>
  <si>
    <t xml:space="preserve">не хватает крепления </t>
  </si>
  <si>
    <t>157р.</t>
  </si>
  <si>
    <t xml:space="preserve">не хватает цепочки </t>
  </si>
  <si>
    <t xml:space="preserve">Пуховик куртка зимняя длинная пальто
Торчат нитки по шву </t>
  </si>
  <si>
    <t>17113р</t>
  </si>
  <si>
    <t xml:space="preserve">Стеганая куртка короткая дутая с лентами на воротнике По шву торчит пух 
</t>
  </si>
  <si>
    <t>1803р</t>
  </si>
  <si>
    <t>Рубашки клетку на молнии - следы маркеров 
клиент отказался на камеру</t>
  </si>
  <si>
    <t>1864р</t>
  </si>
  <si>
    <t xml:space="preserve">Жевлков Даниил Анатольевич </t>
  </si>
  <si>
    <t xml:space="preserve">Фигурка "Лошадь" 18*6,5*30 см
трещина на голове </t>
  </si>
  <si>
    <t>2416р</t>
  </si>
  <si>
    <t xml:space="preserve">Зимние ботинки на высокой платформе из натуральной кожи
</t>
  </si>
  <si>
    <t>2693р</t>
  </si>
  <si>
    <t xml:space="preserve">дутики зимние женские
 Загрязнения на носке и потёртости </t>
  </si>
  <si>
    <t>2746р</t>
  </si>
  <si>
    <t xml:space="preserve">дутики зимние женские Следы клея сбоку </t>
  </si>
  <si>
    <t xml:space="preserve">Трусы набор женские\ не соответствует размеру </t>
  </si>
  <si>
    <t xml:space="preserve">Туфли кожаные классические на каблуке - царапины
</t>
  </si>
  <si>
    <t>3853р</t>
  </si>
  <si>
    <t xml:space="preserve">недокомплект \ не хватает штанов </t>
  </si>
  <si>
    <t>4255р</t>
  </si>
  <si>
    <t xml:space="preserve">Кружки набор стекло - треснутый стакан
</t>
  </si>
  <si>
    <t xml:space="preserve">Ботинки демисезонные натуральная кожа\ Потертости на левом ботинке. Не разборчивый размер </t>
  </si>
  <si>
    <t>5124р</t>
  </si>
  <si>
    <t xml:space="preserve">Трикотажное платье на каждый день с воланами- подмена не совпадает баркод
</t>
  </si>
  <si>
    <t>535р</t>
  </si>
  <si>
    <t xml:space="preserve">Леггинсы утепленные в рубчик\ пятно ле левой штанине сзади </t>
  </si>
  <si>
    <t>767р</t>
  </si>
  <si>
    <t xml:space="preserve">Измельчитель электрический садовый для веток и травы- не работает
</t>
  </si>
  <si>
    <t>13718р</t>
  </si>
  <si>
    <t xml:space="preserve">сапоги женские зимние- царапины на резине сильные сбоку ( подошва ) 
</t>
  </si>
  <si>
    <t>16071р</t>
  </si>
  <si>
    <t>Костюм двойка трикотажный с платьем\ затяжка на воротнике платья спереди, торчат никти на кофточке сзади</t>
  </si>
  <si>
    <t>Ботинки челси, потертости</t>
  </si>
  <si>
    <t xml:space="preserve">куртка ветровка демисезонная в школу- товар не совпадает с карточкой товара ( по цвету ) 
подмена </t>
  </si>
  <si>
    <t>Термобелье зимнее спортивное комплект\ дырка и пятно на кофте</t>
  </si>
  <si>
    <t>2446р</t>
  </si>
  <si>
    <t xml:space="preserve">Джинсы широкие утепленные для мальчика - Протёртые
</t>
  </si>
  <si>
    <t>2556р</t>
  </si>
  <si>
    <t xml:space="preserve">Футболка базовая хлопок однотонная - пятно
</t>
  </si>
  <si>
    <t>262р</t>
  </si>
  <si>
    <t xml:space="preserve">Кроссовки зимние утепленные - потёртости на боковой поверхности
</t>
  </si>
  <si>
    <t>2634р</t>
  </si>
  <si>
    <t>Шампунь, помято дно убутылки</t>
  </si>
  <si>
    <t xml:space="preserve">Джинсы широкие багги на резинке у2к утепленные-дыра на штанине
</t>
  </si>
  <si>
    <t>2722р</t>
  </si>
  <si>
    <t>Костюм спортивный\ пятно на кофте</t>
  </si>
  <si>
    <t>Ботинки демисезонные, дефект материала подошвы, полоса по всему периметру бока подошвы на обеих ботинках</t>
  </si>
  <si>
    <t xml:space="preserve">Дутики зимние теплые- потёртости
</t>
  </si>
  <si>
    <t xml:space="preserve">Туника вечерняя больших размеров - пятно под вторым слоем 
</t>
  </si>
  <si>
    <t>3573р</t>
  </si>
  <si>
    <t xml:space="preserve">Ботинки женские осенние на шнуровке\ царапины на подошве
</t>
  </si>
  <si>
    <t>Омега рыбий жир\нету ни какой наклейки на баночке</t>
  </si>
  <si>
    <t>быстрое воронение\ протёк</t>
  </si>
  <si>
    <t>470р</t>
  </si>
  <si>
    <t xml:space="preserve">Варежки детские демисезонные. Подмена - не совпадает баркод
</t>
  </si>
  <si>
    <t>549р</t>
  </si>
  <si>
    <t xml:space="preserve">Купальник слитный утягивающий- пятна 
</t>
  </si>
  <si>
    <t>Рубашка в клетку оверсайз удлиненная
порваны швы нитки торчат</t>
  </si>
  <si>
    <t>Полусапожки\ отклеина подошва</t>
  </si>
  <si>
    <t>9834р</t>
  </si>
  <si>
    <t>Пятна спереди и на спине</t>
  </si>
  <si>
    <t>1472р</t>
  </si>
  <si>
    <t>Табурет-стремянка, некомплект, отсутствует конфирмант (16шт.) и шестигранник</t>
  </si>
  <si>
    <t>1525р</t>
  </si>
  <si>
    <t>Босоножки, потертости на каблуке и пятке</t>
  </si>
  <si>
    <t>1608р</t>
  </si>
  <si>
    <t>Босоножки, грязная подошва</t>
  </si>
  <si>
    <t>Свитшот, пятно на рукаве</t>
  </si>
  <si>
    <t>1619р</t>
  </si>
  <si>
    <t>Ботинки зимние, следы клея</t>
  </si>
  <si>
    <t>1715р</t>
  </si>
  <si>
    <t>Туника удлиненная, белый след ввиде цифры 3 спереди</t>
  </si>
  <si>
    <t>1865р</t>
  </si>
  <si>
    <t>Босоножки, пятна</t>
  </si>
  <si>
    <t>1996р</t>
  </si>
  <si>
    <t>Сок, протек</t>
  </si>
  <si>
    <t>255р</t>
  </si>
  <si>
    <t>Костюм женский велюровый, подмена, вместо черного серый</t>
  </si>
  <si>
    <t>3135р</t>
  </si>
  <si>
    <t>Подмена/ вместо набора кольца+серьги, одна пара серьги</t>
  </si>
  <si>
    <t>423р</t>
  </si>
  <si>
    <t>Шлёпанцы/ на левом тапке краска</t>
  </si>
  <si>
    <t>647р</t>
  </si>
  <si>
    <t>Отвод 90 градусов, ржавчина по всему отводу из нержавеющей стали</t>
  </si>
  <si>
    <t>Сколы</t>
  </si>
  <si>
    <t xml:space="preserve">Автоматический сенсорный диспенсер для мыла 700 мл - царапины
</t>
  </si>
  <si>
    <t>1594р</t>
  </si>
  <si>
    <t>Автоматический сенсорный диспенсер для мыла 700 мл - царапины</t>
  </si>
  <si>
    <t xml:space="preserve">Весеннее платье на завязках
</t>
  </si>
  <si>
    <t xml:space="preserve">Горшок для цветов с поддоном 1,5 л "Алиса"
</t>
  </si>
  <si>
    <t>208р</t>
  </si>
  <si>
    <t xml:space="preserve">Брюки широкие со стрелками
- разорваны нитки по шву </t>
  </si>
  <si>
    <t>2090р</t>
  </si>
  <si>
    <t>Водолазка дефект материала белые полосы</t>
  </si>
  <si>
    <t>Детский теплый комбинезон, белое пятно</t>
  </si>
  <si>
    <t>2355р</t>
  </si>
  <si>
    <t>Детский теплый комбинезон, жирное пятно</t>
  </si>
  <si>
    <t>2874р</t>
  </si>
  <si>
    <t>Кросссовки следы клея</t>
  </si>
  <si>
    <t>3233р</t>
  </si>
  <si>
    <t xml:space="preserve">Куртка женская зимняя с капюшоном удлиненная большие размеры - нет рускоязычной бирки
</t>
  </si>
  <si>
    <t>3659р</t>
  </si>
  <si>
    <t>Пятно на обуви</t>
  </si>
  <si>
    <t>3749р</t>
  </si>
  <si>
    <t xml:space="preserve">Кроссовки мужские зимние- грязь порваны швы 
</t>
  </si>
  <si>
    <t>3869р</t>
  </si>
  <si>
    <t xml:space="preserve">Пуховик женский зимний, капюшоном - клиент отказался оплачивать товар на камеру
</t>
  </si>
  <si>
    <t>6964р</t>
  </si>
  <si>
    <t>Весеннее платье на завязках
пятно изнутри</t>
  </si>
  <si>
    <t>958р</t>
  </si>
  <si>
    <t>Платье шифоновое
пятна</t>
  </si>
  <si>
    <t>2747р</t>
  </si>
  <si>
    <t xml:space="preserve">Платье вечернее праздничное-пятна
</t>
  </si>
  <si>
    <t>3662р</t>
  </si>
  <si>
    <t>Обнаружен сотрудником при возврате товара,</t>
  </si>
  <si>
    <t>дыра</t>
  </si>
  <si>
    <t>4107р</t>
  </si>
  <si>
    <t>не включается\ не реагирует на зарядное устройство</t>
  </si>
  <si>
    <t>432р</t>
  </si>
  <si>
    <t xml:space="preserve">Низовкина Анна Андреевна </t>
  </si>
  <si>
    <t xml:space="preserve">Детские белые сандалии с бантами и удобной застёжкой.- потёртости 
</t>
  </si>
  <si>
    <t>678р</t>
  </si>
  <si>
    <t>Нет бирки</t>
  </si>
  <si>
    <t xml:space="preserve">Глюкозамин Хондроитин МСМ-истёк срок годности
</t>
  </si>
  <si>
    <t xml:space="preserve">Глюкозамин Хондроитин МСМ-истёк срок годности-просрочка
</t>
  </si>
  <si>
    <t xml:space="preserve">Ботинки классические с меховым утеплением-потёртости
</t>
  </si>
  <si>
    <t>7439р</t>
  </si>
  <si>
    <t xml:space="preserve">грязь </t>
  </si>
  <si>
    <t xml:space="preserve">подмена </t>
  </si>
  <si>
    <t>Чернила,нитки,пятна</t>
  </si>
  <si>
    <t xml:space="preserve">следы клея </t>
  </si>
  <si>
    <t>2286р</t>
  </si>
  <si>
    <t xml:space="preserve">Следы клея </t>
  </si>
  <si>
    <t>2673р</t>
  </si>
  <si>
    <t xml:space="preserve">Чернила на обуви </t>
  </si>
  <si>
    <t>5075р</t>
  </si>
  <si>
    <t xml:space="preserve">Срезана подошва </t>
  </si>
  <si>
    <t>5576р</t>
  </si>
  <si>
    <t>5819р</t>
  </si>
  <si>
    <t>Протёк</t>
  </si>
  <si>
    <t>Пятна внутри платься на спине \ нет пуговицы</t>
  </si>
  <si>
    <t>Рубашка, потертости как от утюга</t>
  </si>
  <si>
    <t>Черная футболка, заказан M на вшитой бирке L, на вклееной бирке 48-50, у продавца M (48) L (50)</t>
  </si>
  <si>
    <t>1256р</t>
  </si>
  <si>
    <t>Пижама/пятно на левой штанине сзади</t>
  </si>
  <si>
    <t>Кофта/ затяжка на левом рукаве</t>
  </si>
  <si>
    <t>1682р</t>
  </si>
  <si>
    <t>Кроссовки зимние, черные полосы на носке</t>
  </si>
  <si>
    <t>Ботинки/ в карточке и заказан 39 размер, приехал 41</t>
  </si>
  <si>
    <t>2232р</t>
  </si>
  <si>
    <t>Брюки палаццо белые, загрязнения</t>
  </si>
  <si>
    <t>2344р</t>
  </si>
  <si>
    <t>Зола подсолнечника/ вскрыта упаковка, рассыпался в коробке</t>
  </si>
  <si>
    <t>331р</t>
  </si>
  <si>
    <t>Ботинки, расклеивается подошва</t>
  </si>
  <si>
    <t>5071р</t>
  </si>
  <si>
    <t>Удобрение/ вскрыта упаковка, рассыпалось в пакете</t>
  </si>
  <si>
    <t>523р</t>
  </si>
  <si>
    <t>Парфюмерная вода, подмена, вместо Donna Felice, в упаковке MarsElle</t>
  </si>
  <si>
    <t>809р</t>
  </si>
  <si>
    <t>Контейнер для круп комплект, на одной из банки на дне дыра</t>
  </si>
  <si>
    <t>1321р</t>
  </si>
  <si>
    <t>Влажные салфетки, протекли</t>
  </si>
  <si>
    <t>Косметический набор, повреждена упаковка</t>
  </si>
  <si>
    <t xml:space="preserve">Кроссовки зимние с мехом- дефект материала
</t>
  </si>
  <si>
    <t>1503р</t>
  </si>
  <si>
    <t>Обои метровые, заломы по всему рулону</t>
  </si>
  <si>
    <t>Дутики. Пятно у подошвы</t>
  </si>
  <si>
    <t>2155р</t>
  </si>
  <si>
    <t xml:space="preserve">Нет пояса </t>
  </si>
  <si>
    <t>3180р</t>
  </si>
  <si>
    <t>Балдахин, подмена не соответствует цвет заказазу, вместо кирпично-красного прислали охру</t>
  </si>
  <si>
    <t>3688р</t>
  </si>
  <si>
    <t>Спортивный костюм теплый с начесом оверсайз
не совпадает баркод-подмена</t>
  </si>
  <si>
    <t>3840р</t>
  </si>
  <si>
    <t>Наклейка на заднее стекло, отвалилась буква</t>
  </si>
  <si>
    <t>Блюдо керамическое\разбитое</t>
  </si>
  <si>
    <t>Ботинки, соскреб у пятки</t>
  </si>
  <si>
    <t>4523р</t>
  </si>
  <si>
    <t>Зубная паста, вместо 2 штук одна</t>
  </si>
  <si>
    <t>501р</t>
  </si>
  <si>
    <t>Сапоги, следы клея на обоих сапогах</t>
  </si>
  <si>
    <t>5748р</t>
  </si>
  <si>
    <t>Органайзер, сломан</t>
  </si>
  <si>
    <t>613р</t>
  </si>
  <si>
    <t>Пятно</t>
  </si>
  <si>
    <t>загрязнения в виде полос на запятнике</t>
  </si>
  <si>
    <t>2797р</t>
  </si>
  <si>
    <t xml:space="preserve">Расходится замок внитреннего кормана </t>
  </si>
  <si>
    <t>9005р</t>
  </si>
  <si>
    <t>Пятна спереди \ пятна сзади на рукаве</t>
  </si>
  <si>
    <t>9144р</t>
  </si>
  <si>
    <t>178р</t>
  </si>
  <si>
    <t>Мятая упаковка</t>
  </si>
  <si>
    <t>190р</t>
  </si>
  <si>
    <t xml:space="preserve">Загрязнения </t>
  </si>
  <si>
    <t>2121р</t>
  </si>
  <si>
    <t>222р</t>
  </si>
  <si>
    <t>протек</t>
  </si>
  <si>
    <t>тональное средство на вороте</t>
  </si>
  <si>
    <t>грязные</t>
  </si>
  <si>
    <t>823р</t>
  </si>
  <si>
    <t>Водолазка/ дыра на воротнике</t>
  </si>
  <si>
    <t>Комбинезон, пятно спереди</t>
  </si>
  <si>
    <t>275р</t>
  </si>
  <si>
    <t>Ботинки, скарябано у подошвы в районе носка левого ботинка</t>
  </si>
  <si>
    <t>4254р</t>
  </si>
  <si>
    <t>Ботинки, следы клея</t>
  </si>
  <si>
    <t>5255р</t>
  </si>
  <si>
    <t>не тот цвет</t>
  </si>
  <si>
    <t>Водолазка/ пятно на передней стороне</t>
  </si>
  <si>
    <t>Расческа/ зубчики в карточке товара однородны, а на пришедшем товаре отделен верхний зубчик</t>
  </si>
  <si>
    <t>100р</t>
  </si>
  <si>
    <t>другой цвет</t>
  </si>
  <si>
    <t>11329р</t>
  </si>
  <si>
    <t>Мерседес машинка, отломан значок на капоте</t>
  </si>
  <si>
    <t>пятно на обуви</t>
  </si>
  <si>
    <t>1585р</t>
  </si>
  <si>
    <t xml:space="preserve">Духи/ сосуд на карточке отличается от пришедшего сосуда </t>
  </si>
  <si>
    <t>1929р</t>
  </si>
  <si>
    <t>Крем тональный/ заказан 01 тон, приехал 02 тон</t>
  </si>
  <si>
    <t>Потек</t>
  </si>
  <si>
    <t>Маска карнавальная, помята, пятно</t>
  </si>
  <si>
    <t>260р</t>
  </si>
  <si>
    <t>Брелок, вместо розового сиреневый</t>
  </si>
  <si>
    <t>287р</t>
  </si>
  <si>
    <t>Зимние ботинки, пятно сбоку подошвы</t>
  </si>
  <si>
    <t>3470р</t>
  </si>
  <si>
    <t>пятно</t>
  </si>
  <si>
    <t>380р</t>
  </si>
  <si>
    <t>Лоток, разбит, трещины по всему дну</t>
  </si>
  <si>
    <t>пятна</t>
  </si>
  <si>
    <t>393р</t>
  </si>
  <si>
    <t>Носки набор/ не совпадает размер, заказанный клиентом, приехал 41-47 вместо 36-41</t>
  </si>
  <si>
    <t>Разбит</t>
  </si>
  <si>
    <t>Заводская упаковка вскрыта</t>
  </si>
  <si>
    <t>662р</t>
  </si>
  <si>
    <t>Тапочки разного размера</t>
  </si>
  <si>
    <t>752р</t>
  </si>
  <si>
    <t>не тот товар, вместо ручек - пенал</t>
  </si>
  <si>
    <t>затяжки</t>
  </si>
  <si>
    <t>3807р</t>
  </si>
  <si>
    <t>3815р</t>
  </si>
  <si>
    <t>Не тот цвет что указан в карточке</t>
  </si>
  <si>
    <t>1203р</t>
  </si>
  <si>
    <t>2867р</t>
  </si>
  <si>
    <t xml:space="preserve">Клей на шнурках </t>
  </si>
  <si>
    <t>не та расцветка, что указана в карточке товара</t>
  </si>
  <si>
    <t>Подмена /клиент отказался от товара не вскрыв его</t>
  </si>
  <si>
    <t>3747р</t>
  </si>
  <si>
    <t>Подарок с воспоминаниями, подмена, пофакту пластиковая бирка</t>
  </si>
  <si>
    <t>Сапоги зимние, потертости</t>
  </si>
  <si>
    <t>14736р</t>
  </si>
  <si>
    <t>Платье вечернее, коричневые пятна по всему платью</t>
  </si>
  <si>
    <t>1901р</t>
  </si>
  <si>
    <t>Кроссовки, грязная подошва</t>
  </si>
  <si>
    <t>2389р</t>
  </si>
  <si>
    <t>Костюм двойка/ пятна на задней стороне юбки</t>
  </si>
  <si>
    <t>3025р</t>
  </si>
  <si>
    <t>не соответствует размеру в карточке товара</t>
  </si>
  <si>
    <t>3602р</t>
  </si>
  <si>
    <t>сломан</t>
  </si>
  <si>
    <t>447р</t>
  </si>
  <si>
    <t>Туфли женские на запятниках стерта кожа</t>
  </si>
  <si>
    <t>4771р</t>
  </si>
  <si>
    <t>залит</t>
  </si>
  <si>
    <t>Пряжа комплект 5 мотков, по факту 1 моток</t>
  </si>
  <si>
    <t>1000р</t>
  </si>
  <si>
    <t>Кроссовки трекинговые, производственный брак: следы клея</t>
  </si>
  <si>
    <t>Очищающий гель, сломан наконечник у дозатора</t>
  </si>
  <si>
    <t>1333р</t>
  </si>
  <si>
    <t>потёртость на носке</t>
  </si>
  <si>
    <t>1700р</t>
  </si>
  <si>
    <t>Обнаружен сотрудником при возврате товара, клиент товар забирать отказался</t>
  </si>
  <si>
    <t>Шорты спортивные, вместо 2XL, XL</t>
  </si>
  <si>
    <t>209р</t>
  </si>
  <si>
    <t>Дутики, следы клея</t>
  </si>
  <si>
    <t>Сушилка для белья, повреждено покрытие</t>
  </si>
  <si>
    <t>Свитер, порван</t>
  </si>
  <si>
    <t>3143р</t>
  </si>
  <si>
    <t>Обнаружен клиентом при примерке товара, клиент забирать вещь отказался</t>
  </si>
  <si>
    <t>Дыра в кармане</t>
  </si>
  <si>
    <t>3467р</t>
  </si>
  <si>
    <t>Балетки, следы клея</t>
  </si>
  <si>
    <t>вся футболка в пыли, разноцветных точках и полосы</t>
  </si>
  <si>
    <t>выцветшевшее желтое пятно на вороте</t>
  </si>
  <si>
    <t>4199р</t>
  </si>
  <si>
    <t>Зимние ботильоны, залом на пятке</t>
  </si>
  <si>
    <t>жёлтые пятна на спине</t>
  </si>
  <si>
    <t>Носки набор, подмена: вместо высоких низкие</t>
  </si>
  <si>
    <t>Угги, следы от швейной иглы</t>
  </si>
  <si>
    <t>Полуботинки, подмена: lheubt ,jnbyrb</t>
  </si>
  <si>
    <t>701р</t>
  </si>
  <si>
    <t>Халат медицинский, пятно</t>
  </si>
  <si>
    <t>757р</t>
  </si>
  <si>
    <t>4014905 5731</t>
  </si>
  <si>
    <t xml:space="preserve">Ваза для цветов керамика/разбита </t>
  </si>
  <si>
    <t>обнаружен сотрудником при возврате товара</t>
  </si>
  <si>
    <t>порвана коробка от набора</t>
  </si>
  <si>
    <t>1498р</t>
  </si>
  <si>
    <t>Смоленцева Влада Алексеевна</t>
  </si>
  <si>
    <t xml:space="preserve">Кофе растворимый Nescafe Gold 2×500 г (1000 г).Порезана упаковка
</t>
  </si>
  <si>
    <t>1910р</t>
  </si>
  <si>
    <t>Князев Алексей Владимирович</t>
  </si>
  <si>
    <t>клей на верхней части ботинка</t>
  </si>
  <si>
    <t>2362р</t>
  </si>
  <si>
    <t>на подошве ботинок сбоку розовые пятна</t>
  </si>
  <si>
    <t>3503р</t>
  </si>
  <si>
    <t>сломан контейнер</t>
  </si>
  <si>
    <t>601р</t>
  </si>
  <si>
    <t>Размер не тот</t>
  </si>
  <si>
    <t>11972р</t>
  </si>
  <si>
    <t>На двухсторонней шубе-дубленке следы разметки со стороны дубленки, ручкой</t>
  </si>
  <si>
    <t>12535р</t>
  </si>
  <si>
    <t>пятна на ткани, плюс ткань не соответствует карточке товара</t>
  </si>
  <si>
    <t>Нет пояса в комплекте</t>
  </si>
  <si>
    <t>2111р</t>
  </si>
  <si>
    <t>не соответствует размер</t>
  </si>
  <si>
    <t>На платье следы грязи, черточки желтые разводы</t>
  </si>
  <si>
    <t>Из набора один или несколько стиков порваны</t>
  </si>
  <si>
    <t>Плохая склейка обуви, разходится</t>
  </si>
  <si>
    <t>911р</t>
  </si>
  <si>
    <t>Берет, спущена петля</t>
  </si>
  <si>
    <t>1112р</t>
  </si>
  <si>
    <t>Свитшот, черное пятно</t>
  </si>
  <si>
    <t>1291р</t>
  </si>
  <si>
    <t>загрязнение на носке</t>
  </si>
  <si>
    <t>Кроссовки, следы клея</t>
  </si>
  <si>
    <t>Платье, пояс не от другого платья</t>
  </si>
  <si>
    <t>2159р</t>
  </si>
  <si>
    <t>Кардиган базовый, пятно на рукаве</t>
  </si>
  <si>
    <t>2274р</t>
  </si>
  <si>
    <t>Жилет, затяжка</t>
  </si>
  <si>
    <t>2450р</t>
  </si>
  <si>
    <t>Жилет вязанный, перекошены передние полочки, одна длиннее вторая короче</t>
  </si>
  <si>
    <t>2646р</t>
  </si>
  <si>
    <t>Свитшот, подмена, по факту худи</t>
  </si>
  <si>
    <t>косметические пятна</t>
  </si>
  <si>
    <t>4925р</t>
  </si>
  <si>
    <t>Галстук, подмена, ширина не 6см, а 5см, баркод другой</t>
  </si>
  <si>
    <t>554р</t>
  </si>
  <si>
    <t>порвана заводская упаковка и сама плёнка</t>
  </si>
  <si>
    <t>Шарф палантин, затяжка</t>
  </si>
  <si>
    <t>Костюм зимний, грязь на капюшоне</t>
  </si>
  <si>
    <t>7633р</t>
  </si>
  <si>
    <t>Пуховик женский зимний, загрязнения подола внутри</t>
  </si>
  <si>
    <t>7948р</t>
  </si>
  <si>
    <t>1355р</t>
  </si>
  <si>
    <t>разбит</t>
  </si>
  <si>
    <t>145р</t>
  </si>
  <si>
    <t>кровавые пятна на рукаве</t>
  </si>
  <si>
    <t>2318р</t>
  </si>
  <si>
    <t>следы тональника на спине халата</t>
  </si>
  <si>
    <t>нарушена заводская упаковка</t>
  </si>
  <si>
    <t>394р</t>
  </si>
  <si>
    <t>пришли кроссовки ни того цвета</t>
  </si>
  <si>
    <t>550р</t>
  </si>
  <si>
    <t>56р</t>
  </si>
  <si>
    <t xml:space="preserve">Полоска на штанние </t>
  </si>
  <si>
    <t>1324р</t>
  </si>
  <si>
    <t xml:space="preserve">Внутри пятно </t>
  </si>
  <si>
    <t>16898р</t>
  </si>
  <si>
    <t xml:space="preserve">Потёртости и вмятины </t>
  </si>
  <si>
    <t>1738Р</t>
  </si>
  <si>
    <t>Шнур тонущий для рыбалки, не соответствует по весу</t>
  </si>
  <si>
    <t>1860 р</t>
  </si>
  <si>
    <t>Плитка пришла разбитая</t>
  </si>
  <si>
    <t xml:space="preserve">Грязь на подошве </t>
  </si>
  <si>
    <t>2820р</t>
  </si>
  <si>
    <t xml:space="preserve">Пришёл не весь набор </t>
  </si>
  <si>
    <t>416р</t>
  </si>
  <si>
    <t>Пришла другая модль</t>
  </si>
  <si>
    <t>4349р</t>
  </si>
  <si>
    <t>Пришёл не тот цвет</t>
  </si>
  <si>
    <t>Разошелся шов под ширинкой</t>
  </si>
  <si>
    <t>597р</t>
  </si>
  <si>
    <t>Подменв вкуса</t>
  </si>
  <si>
    <t>656р</t>
  </si>
  <si>
    <t>Обнаружен клиентом дома</t>
  </si>
  <si>
    <t>Высохла клейкая поверхность, не клеится</t>
  </si>
  <si>
    <t>Потертая замша</t>
  </si>
  <si>
    <t>8095р</t>
  </si>
  <si>
    <t>один ботинок в коробке</t>
  </si>
  <si>
    <t>1117р</t>
  </si>
  <si>
    <t>съехала наклейка</t>
  </si>
  <si>
    <t>125р</t>
  </si>
  <si>
    <t>Свитшот, пятна</t>
  </si>
  <si>
    <t>Кроссовки, розовые пятна на подошве</t>
  </si>
  <si>
    <t>2067р</t>
  </si>
  <si>
    <t>деформация рукоятки, оборвана резинка</t>
  </si>
  <si>
    <t>283р</t>
  </si>
  <si>
    <t>Мусс для волос, сломан дозатор и крышка</t>
  </si>
  <si>
    <t>Контейнеры для еды, потертости и царапины</t>
  </si>
  <si>
    <t>345р</t>
  </si>
  <si>
    <t>Подмена\ другая модель платья</t>
  </si>
  <si>
    <t>3983р</t>
  </si>
  <si>
    <t>не тот товар, заказаны были другие салфетки</t>
  </si>
  <si>
    <t>Платье, пятно на груди</t>
  </si>
  <si>
    <t>5104р</t>
  </si>
  <si>
    <t>не работает</t>
  </si>
  <si>
    <t>675р</t>
  </si>
  <si>
    <t>сломано крепление</t>
  </si>
  <si>
    <t>пятна на сумке</t>
  </si>
  <si>
    <t>8446р</t>
  </si>
  <si>
    <t>Набор кружек, стерта краска</t>
  </si>
  <si>
    <t>не хватает буквы</t>
  </si>
  <si>
    <t>Удобрение, сломана крышка</t>
  </si>
  <si>
    <t>недокомплект, из трёх штук - пришло две</t>
  </si>
  <si>
    <t>151р</t>
  </si>
  <si>
    <t>пятно и дыра</t>
  </si>
  <si>
    <t>1751р</t>
  </si>
  <si>
    <t>Кофта, затяжка на груди</t>
  </si>
  <si>
    <t>Ползунки, подмена, не тот цвет, вместо желтых розовые</t>
  </si>
  <si>
    <t>109р</t>
  </si>
  <si>
    <t>Пуховик, на шнурке отсутствует эглет</t>
  </si>
  <si>
    <t>14414р</t>
  </si>
  <si>
    <t>1592р</t>
  </si>
  <si>
    <t>Обои метровые, подмена в коробке обои с другим рисунком</t>
  </si>
  <si>
    <t>Ботинки мужские, не снята противокражная клипса</t>
  </si>
  <si>
    <t>2473р</t>
  </si>
  <si>
    <t>Принесли брак из дома</t>
  </si>
  <si>
    <t>Потертости на сапогах</t>
  </si>
  <si>
    <t>4667р</t>
  </si>
  <si>
    <t>Угги, пятно</t>
  </si>
  <si>
    <t>Уги зимние, пятно</t>
  </si>
  <si>
    <t>Желтые потертости на белых сапогах</t>
  </si>
  <si>
    <t>5924р</t>
  </si>
  <si>
    <t>Короткие угги, следы клея</t>
  </si>
  <si>
    <t>6311р</t>
  </si>
  <si>
    <t>разбито</t>
  </si>
  <si>
    <t>Ель искуственная, подмена вместо заснеженной пришла чисто зеленая</t>
  </si>
  <si>
    <t>11040р</t>
  </si>
  <si>
    <t xml:space="preserve">нет шапки </t>
  </si>
  <si>
    <t>ручка на штанах</t>
  </si>
  <si>
    <t>17760р</t>
  </si>
  <si>
    <t>Всктрыта,сломана</t>
  </si>
  <si>
    <t>188р</t>
  </si>
  <si>
    <t>Леска, сломана бабина</t>
  </si>
  <si>
    <t>193р</t>
  </si>
  <si>
    <t>Картина на холсте 3шт., дефект холста у одной из картин, борозда</t>
  </si>
  <si>
    <t>2092р</t>
  </si>
  <si>
    <t>Дутики, подмена, пришли другие дутики</t>
  </si>
  <si>
    <t>2621р</t>
  </si>
  <si>
    <t>отсутствуют шорты</t>
  </si>
  <si>
    <t>2688р</t>
  </si>
  <si>
    <t>ПОдмена пришел другой тональный крем</t>
  </si>
  <si>
    <t>оторвана заклёпка</t>
  </si>
  <si>
    <t>4778р</t>
  </si>
  <si>
    <t>сломана ручка</t>
  </si>
  <si>
    <t>617р</t>
  </si>
  <si>
    <t>Пяьна,клиент не примерял</t>
  </si>
  <si>
    <t>Нет язычка в колокоольчике</t>
  </si>
  <si>
    <t>108р</t>
  </si>
  <si>
    <t>Пятно на рукове,клиент не мерел</t>
  </si>
  <si>
    <t>13024р</t>
  </si>
  <si>
    <t>грязь на подошве , пятна</t>
  </si>
  <si>
    <t>1410р</t>
  </si>
  <si>
    <t xml:space="preserve">Оторвана пуговица </t>
  </si>
  <si>
    <t>1568р</t>
  </si>
  <si>
    <t>Хайлайтер, подмена, упаковка не соответствует изображению на карточке товара</t>
  </si>
  <si>
    <t>179р</t>
  </si>
  <si>
    <t>Пятно на спине</t>
  </si>
  <si>
    <t>2685р</t>
  </si>
  <si>
    <t>Полба, упаковка порвана</t>
  </si>
  <si>
    <t xml:space="preserve">Без заводоской упаковки ( слюды ) </t>
  </si>
  <si>
    <t>30815р</t>
  </si>
  <si>
    <t>отличие в цвете</t>
  </si>
  <si>
    <t>4298р</t>
  </si>
  <si>
    <t>Куртка, цвет куртки не соответствует карточки товара</t>
  </si>
  <si>
    <t>4334р</t>
  </si>
  <si>
    <t>Носки, подмена вместо набора высоких из 10 пар, прислали 5 пар коротких</t>
  </si>
  <si>
    <t>Недокомплект, нет цепочки</t>
  </si>
  <si>
    <t>Жилет, подмена, вместо темно-синего цвета черный</t>
  </si>
  <si>
    <t>614р</t>
  </si>
  <si>
    <t>Куртка, подмена, пришла другая куртка</t>
  </si>
  <si>
    <t>6304р</t>
  </si>
  <si>
    <t xml:space="preserve">Пятна на носке кроссовка </t>
  </si>
  <si>
    <t>7353р</t>
  </si>
  <si>
    <t>Халат медицинский, подмена, вместо халата на замке пришел халат на кнопках</t>
  </si>
  <si>
    <t>Шоколадные яйца, нарушена упакова фольги, разбиты и помяты яйца</t>
  </si>
  <si>
    <t>Никонова Елизавета Алексеевна</t>
  </si>
  <si>
    <t>Фотоальбом/не проклеины файлы</t>
  </si>
  <si>
    <t>Драйвер, светодиодный фанарь/ пришло совсем не то</t>
  </si>
  <si>
    <t>разлит</t>
  </si>
  <si>
    <t>591р</t>
  </si>
  <si>
    <t>966р</t>
  </si>
  <si>
    <t>Подставка для цветов, погнута ножка, отсутствуют наконечники на ножках</t>
  </si>
  <si>
    <t>Крем для лица, подмена, вместо крема носовые платки</t>
  </si>
  <si>
    <t>несоответствие размеров, в карточке товара на сайте размер 2XL-56, а на бирках 52</t>
  </si>
  <si>
    <t>10920р</t>
  </si>
  <si>
    <t>Спрей для волос, протек</t>
  </si>
  <si>
    <t>грязь на запятнике</t>
  </si>
  <si>
    <t>не та шапка</t>
  </si>
  <si>
    <t>2281р</t>
  </si>
  <si>
    <t>Мусс для волос, сломан дозатор</t>
  </si>
  <si>
    <t>потёртость на рукаве</t>
  </si>
  <si>
    <t>3199р</t>
  </si>
  <si>
    <t>Пылесос, не хватает насадки</t>
  </si>
  <si>
    <t>4100р</t>
  </si>
  <si>
    <t>дефект ткани</t>
  </si>
  <si>
    <t>тёмное пятно</t>
  </si>
  <si>
    <t>1259р</t>
  </si>
  <si>
    <t>не хватает крепления между стеной и карнизом</t>
  </si>
  <si>
    <t xml:space="preserve">Пятно на лицевой стороне </t>
  </si>
  <si>
    <t>1549р</t>
  </si>
  <si>
    <t>Брюки женские, порваны</t>
  </si>
  <si>
    <t>Платье, розовое пятно на изнанке</t>
  </si>
  <si>
    <t>Уличный светильник, подмена, прислали другой</t>
  </si>
  <si>
    <t>Утепленные ботильоны, вмятина на каблуке</t>
  </si>
  <si>
    <t>3466р</t>
  </si>
  <si>
    <t>Утепленные ботильоны, потертость на каблуке</t>
  </si>
  <si>
    <t>Карамель, разорвана упаковка</t>
  </si>
  <si>
    <t>Сандалии для девочки, черное пятно на внутренней поверхности</t>
  </si>
  <si>
    <t>Инвентарь хозяйственный сломан замок</t>
  </si>
  <si>
    <t>487р</t>
  </si>
  <si>
    <t>Сапоги зимние, серебристое пятно на пятки</t>
  </si>
  <si>
    <t>6355р</t>
  </si>
  <si>
    <t>Носки, подмена, вместо набора высоких из 10 пар, прислали 10 пар коротких</t>
  </si>
  <si>
    <t>715р</t>
  </si>
  <si>
    <t>Топер, трещины</t>
  </si>
  <si>
    <t>84р</t>
  </si>
  <si>
    <t>сломана крышка</t>
  </si>
  <si>
    <t>Брюки потертости пятна</t>
  </si>
  <si>
    <t>Куртка пятна</t>
  </si>
  <si>
    <t>пыль спереди</t>
  </si>
  <si>
    <t>Водолазка, дефект ткани, узел на нитке</t>
  </si>
  <si>
    <t>Пижама со штанами, следы черного маркера на кофте</t>
  </si>
  <si>
    <t>Свитшот, жирные пятна по всему свитшоту</t>
  </si>
  <si>
    <t>2767р</t>
  </si>
  <si>
    <t>Кроссовки, Следы клея</t>
  </si>
  <si>
    <t>3039р</t>
  </si>
  <si>
    <t>Кроссовки мужские, расходится подошва</t>
  </si>
  <si>
    <t>3154р</t>
  </si>
  <si>
    <t>трещина на носике</t>
  </si>
  <si>
    <t>Туфли потертости</t>
  </si>
  <si>
    <t>3960р</t>
  </si>
  <si>
    <t>Набор для специй, подтек краски, потертости</t>
  </si>
  <si>
    <t>454Р</t>
  </si>
  <si>
    <t>Рамка. Царапина</t>
  </si>
  <si>
    <t>508р</t>
  </si>
  <si>
    <t>Пуховик, грязный</t>
  </si>
  <si>
    <t>9918р</t>
  </si>
  <si>
    <t>Костюм, что-то отрезано от кофты с лицевой стороны, возможно бирка</t>
  </si>
  <si>
    <t>Наушники, снята заводская упаковка-слюда</t>
  </si>
  <si>
    <t>1750р</t>
  </si>
  <si>
    <t>Чехол на телефон, подмена, пользованый</t>
  </si>
  <si>
    <t>не хватает шарфа</t>
  </si>
  <si>
    <t>2255р</t>
  </si>
  <si>
    <t>Обнаруен клиентом при полуении товара</t>
  </si>
  <si>
    <t>Куртка. Не соответствует цвет заказу.</t>
  </si>
  <si>
    <t>3446р</t>
  </si>
  <si>
    <t>Александрова Анна Васильевна</t>
  </si>
  <si>
    <t>Масляные духи, цвет флакона отличается от карточки товара</t>
  </si>
  <si>
    <t>410р</t>
  </si>
  <si>
    <t>Порез на сланце или производственный брак</t>
  </si>
  <si>
    <t>Дутики, пятна сбоку подошвы</t>
  </si>
  <si>
    <t>10081р</t>
  </si>
  <si>
    <t>Обнаружен клиенитом при получении товара</t>
  </si>
  <si>
    <t>пятна, подпален мех</t>
  </si>
  <si>
    <t>Ботинки зимние, пятна с боку подошвы</t>
  </si>
  <si>
    <t>1449р</t>
  </si>
  <si>
    <t>пятна, дыра на молнии</t>
  </si>
  <si>
    <t>1675р</t>
  </si>
  <si>
    <t>Мицеллярная вода, протекла</t>
  </si>
  <si>
    <t>Картина на холсте 3шт., 2 одинаковых картин, дефект холста у одной из картин, борозда</t>
  </si>
  <si>
    <t>жёлто-оранжевые полосы и пятна, сзади и спереди</t>
  </si>
  <si>
    <t>2162р</t>
  </si>
  <si>
    <t>Набор гелевых ручек Уэнздэй, подмена: ручки с другим персонажем</t>
  </si>
  <si>
    <t>Мусс сломан дозатор</t>
  </si>
  <si>
    <t>Костюм, пятно и цвет отличается от карточки</t>
  </si>
  <si>
    <t>Сапоги, белое пятно на пятке</t>
  </si>
  <si>
    <t>3657р</t>
  </si>
  <si>
    <t>Ботинки пятна клея сбоку подошвы</t>
  </si>
  <si>
    <t>Гель для стирки, протек</t>
  </si>
  <si>
    <t>жёлтые пятна на подошве</t>
  </si>
  <si>
    <t>4247р</t>
  </si>
  <si>
    <t xml:space="preserve">несоответствует размеру </t>
  </si>
  <si>
    <t>11588р</t>
  </si>
  <si>
    <t>1435р</t>
  </si>
  <si>
    <t xml:space="preserve">Следы клея пятна </t>
  </si>
  <si>
    <t>1951р</t>
  </si>
  <si>
    <t>не тот товар</t>
  </si>
  <si>
    <t>197р</t>
  </si>
  <si>
    <t>2008р</t>
  </si>
  <si>
    <t xml:space="preserve">Разорваны нитки на швах все торчат </t>
  </si>
  <si>
    <t xml:space="preserve">Жевлаков Даниид Анатольевич </t>
  </si>
  <si>
    <t xml:space="preserve">Царапины и сколы </t>
  </si>
  <si>
    <t>27000р</t>
  </si>
  <si>
    <t xml:space="preserve">Не тот размер </t>
  </si>
  <si>
    <t>3126р</t>
  </si>
  <si>
    <t>Пятна на спине + порез</t>
  </si>
  <si>
    <t>3553р</t>
  </si>
  <si>
    <t>масло на каблуке</t>
  </si>
  <si>
    <t>4922р</t>
  </si>
  <si>
    <t>разбир</t>
  </si>
  <si>
    <t xml:space="preserve">Клиент отказался на камеру </t>
  </si>
  <si>
    <t>636р</t>
  </si>
  <si>
    <t xml:space="preserve">Сломана ручка </t>
  </si>
  <si>
    <t>1046р</t>
  </si>
  <si>
    <t xml:space="preserve">Царапины </t>
  </si>
  <si>
    <t>1222р</t>
  </si>
  <si>
    <t>нет меха внутки на подошве</t>
  </si>
  <si>
    <t xml:space="preserve">Пятна </t>
  </si>
  <si>
    <t>2792р</t>
  </si>
  <si>
    <t>4079р</t>
  </si>
  <si>
    <t>пятна, потертости</t>
  </si>
  <si>
    <t>Джинсы, пятна</t>
  </si>
  <si>
    <t>2530р</t>
  </si>
  <si>
    <t>упаковка повреждена</t>
  </si>
  <si>
    <t>26р</t>
  </si>
  <si>
    <t>315р</t>
  </si>
  <si>
    <t>3278р</t>
  </si>
  <si>
    <t>Будильник, царапины, вмятины, не фиксируется крышка отсека с батарейками</t>
  </si>
  <si>
    <t>Подмена, цвет отличается от карточки товара</t>
  </si>
  <si>
    <t>406р</t>
  </si>
  <si>
    <t>Обнаружен сотрудником при возвате товара</t>
  </si>
  <si>
    <t>вмятина</t>
  </si>
  <si>
    <t>429р</t>
  </si>
  <si>
    <t>Терка для сыра, вмятина</t>
  </si>
  <si>
    <t>Пальто синтепух, не удалена противокражная магнитная бирка</t>
  </si>
  <si>
    <t>Маска карнавальная набор, помяты</t>
  </si>
  <si>
    <t>Кофта, дефект краски</t>
  </si>
  <si>
    <t>1242р</t>
  </si>
  <si>
    <t>пятно от краски</t>
  </si>
  <si>
    <t>1428р</t>
  </si>
  <si>
    <t>Черная Виктория Андреевна</t>
  </si>
  <si>
    <t>Толстовка. Подмена. Другой цвет и размер</t>
  </si>
  <si>
    <t>грязь</t>
  </si>
  <si>
    <t>Платье для малышей. Желтое пятно на изнанке.</t>
  </si>
  <si>
    <t>1723р</t>
  </si>
  <si>
    <t>Жирные пятна на штанинах</t>
  </si>
  <si>
    <t>Порван хлястик на платье</t>
  </si>
  <si>
    <t>2091р</t>
  </si>
  <si>
    <t>отломано</t>
  </si>
  <si>
    <t>226р</t>
  </si>
  <si>
    <t>Джинсы, пятно на шлевке</t>
  </si>
  <si>
    <t>2633р</t>
  </si>
  <si>
    <t>Гортензия, засохшая</t>
  </si>
  <si>
    <t>Повреждена упаковка</t>
  </si>
  <si>
    <t>разрыв швов</t>
  </si>
  <si>
    <t>3388р</t>
  </si>
  <si>
    <t>несоответствие размеров, заказан - M, пришёл - L</t>
  </si>
  <si>
    <t>349р</t>
  </si>
  <si>
    <t>Ботильоны, потертости вмятина на каблуке</t>
  </si>
  <si>
    <t>Обнаружено сотрудником при приёмке товара</t>
  </si>
  <si>
    <t>пришёл ШК без товара</t>
  </si>
  <si>
    <t>7225р</t>
  </si>
  <si>
    <t>Сковорода, скол</t>
  </si>
  <si>
    <t>810р</t>
  </si>
  <si>
    <t>Кроссовки, пятна, заломы</t>
  </si>
  <si>
    <t>1092р</t>
  </si>
  <si>
    <t>Кроссовки, пятна</t>
  </si>
  <si>
    <t>Сумка, потертости</t>
  </si>
  <si>
    <t>Елка</t>
  </si>
  <si>
    <t>Чаша, потертости</t>
  </si>
  <si>
    <t>1679р</t>
  </si>
  <si>
    <t>протёк</t>
  </si>
  <si>
    <t>224р</t>
  </si>
  <si>
    <t>Ершик</t>
  </si>
  <si>
    <t>229р</t>
  </si>
  <si>
    <t>Сумка, подмена, вместо сумки губка</t>
  </si>
  <si>
    <t>2536р</t>
  </si>
  <si>
    <t>Разлит, пахнет ацетоном</t>
  </si>
  <si>
    <t>254р</t>
  </si>
  <si>
    <t>Кроссовки, пятно на шнурке</t>
  </si>
  <si>
    <t>2700р</t>
  </si>
  <si>
    <t>Елочные игрушки, сколы, трещины</t>
  </si>
  <si>
    <t xml:space="preserve">потёртость </t>
  </si>
  <si>
    <t>4555р</t>
  </si>
  <si>
    <t>Очки, поврежден чехол</t>
  </si>
  <si>
    <t xml:space="preserve">Набор елочных игрушек, одна из игрушек сломана </t>
  </si>
  <si>
    <t>491р</t>
  </si>
  <si>
    <t>Тюль, стерт рисунок</t>
  </si>
  <si>
    <t>1179р</t>
  </si>
  <si>
    <t>1375р</t>
  </si>
  <si>
    <t>Ботинки, разводы на пятке</t>
  </si>
  <si>
    <t>1726р</t>
  </si>
  <si>
    <t>Коллекционная фигурка, подмена, другая фигурка кошки</t>
  </si>
  <si>
    <t>нет стельки</t>
  </si>
  <si>
    <t>2513р</t>
  </si>
  <si>
    <t>Миска эмалированная, сколы эмали на дне</t>
  </si>
  <si>
    <t>несоответствие цвета</t>
  </si>
  <si>
    <t>263р</t>
  </si>
  <si>
    <t>2669р</t>
  </si>
  <si>
    <t>3434р</t>
  </si>
  <si>
    <t>Джинсы, белые пятна</t>
  </si>
  <si>
    <t>3523р</t>
  </si>
  <si>
    <t>потертость, след от пуговицы</t>
  </si>
  <si>
    <t>4029р</t>
  </si>
  <si>
    <t>потертость</t>
  </si>
  <si>
    <t>4056р</t>
  </si>
  <si>
    <t>Сумка, дефект швов</t>
  </si>
  <si>
    <t>415р</t>
  </si>
  <si>
    <t>4179р</t>
  </si>
  <si>
    <t>царапина</t>
  </si>
  <si>
    <t>4777р</t>
  </si>
  <si>
    <t>непрокрас с завода</t>
  </si>
  <si>
    <t>Куртка, торчит место соединения концов кулиски</t>
  </si>
  <si>
    <t>6583р</t>
  </si>
  <si>
    <t>Полотенце, вытянуты нитки</t>
  </si>
  <si>
    <t>2778р</t>
  </si>
  <si>
    <t>3341р</t>
  </si>
  <si>
    <t>Сломанная расческа</t>
  </si>
  <si>
    <t>85р</t>
  </si>
  <si>
    <t>ручка на капюшоне</t>
  </si>
  <si>
    <t>14941р</t>
  </si>
  <si>
    <t>диформация изделия</t>
  </si>
  <si>
    <t>1552р</t>
  </si>
  <si>
    <t>черная Виктория Андреевна</t>
  </si>
  <si>
    <t xml:space="preserve">Клей на подошве </t>
  </si>
  <si>
    <t>загрязнение</t>
  </si>
  <si>
    <t>3217р</t>
  </si>
  <si>
    <t>3374р</t>
  </si>
  <si>
    <t>затяжки и оранжевые пятна на рукаве</t>
  </si>
  <si>
    <t>3440р</t>
  </si>
  <si>
    <t>3689р</t>
  </si>
  <si>
    <t>3837р</t>
  </si>
  <si>
    <t>грязь на кончике ремня</t>
  </si>
  <si>
    <t>4606р</t>
  </si>
  <si>
    <t>несоответствие размера</t>
  </si>
  <si>
    <t>4681р</t>
  </si>
  <si>
    <t>Надписи ручкой на кармане</t>
  </si>
  <si>
    <t>5171р</t>
  </si>
  <si>
    <t>1668556 3711</t>
  </si>
  <si>
    <t>7623р</t>
  </si>
  <si>
    <t>219р</t>
  </si>
  <si>
    <t>несоответсствие размера, следы клея</t>
  </si>
  <si>
    <t>2781р</t>
  </si>
  <si>
    <t>Потертость на подошве</t>
  </si>
  <si>
    <t>5702р</t>
  </si>
  <si>
    <t>не тот товар, подмена</t>
  </si>
  <si>
    <t>Кеды пятно на подошве</t>
  </si>
  <si>
    <t>1002р</t>
  </si>
  <si>
    <t>пятна на подошве</t>
  </si>
  <si>
    <t>1361р</t>
  </si>
  <si>
    <t>1777р</t>
  </si>
  <si>
    <t>Разорван шов в начале замка</t>
  </si>
  <si>
    <t>2.244р</t>
  </si>
  <si>
    <t>Коробка тубус, царапина, пробита</t>
  </si>
  <si>
    <t>Платье, разрыв шва</t>
  </si>
  <si>
    <t>Рубашка оверсайз, затяжки</t>
  </si>
  <si>
    <t>Был разбит и заклеен</t>
  </si>
  <si>
    <t>Статуэтки, производственный брак, некачественная обработка изделия на заключительном этапе производства</t>
  </si>
  <si>
    <t xml:space="preserve">Затяжки </t>
  </si>
  <si>
    <t>Кеды, производственный брак разводы от краски на подошве</t>
  </si>
  <si>
    <t>871р</t>
  </si>
  <si>
    <t>Гофрокартон, пробит</t>
  </si>
  <si>
    <t>Кроссовки, производственный брак пятно краски на подошве</t>
  </si>
  <si>
    <t>941р</t>
  </si>
  <si>
    <t>брызги(пятна)</t>
  </si>
  <si>
    <t>1125р</t>
  </si>
  <si>
    <t>Свитер, пятно</t>
  </si>
  <si>
    <t>201р</t>
  </si>
  <si>
    <t>206р</t>
  </si>
  <si>
    <t>Угги, производственный брак выпирает стыковочный шов на подошве</t>
  </si>
  <si>
    <t>Угги, белая полоса на подошве</t>
  </si>
  <si>
    <t>скол</t>
  </si>
  <si>
    <t>потертости</t>
  </si>
  <si>
    <t>2612р</t>
  </si>
  <si>
    <t>Елочная игрушка, осыпался декор</t>
  </si>
  <si>
    <t>297р</t>
  </si>
  <si>
    <t>нет заводской упаковки</t>
  </si>
  <si>
    <t>368р</t>
  </si>
  <si>
    <t>пришел только шампунь</t>
  </si>
  <si>
    <t>Туалетная вода, осутствует слюда</t>
  </si>
  <si>
    <t>Обнаружен сотрудником при приёмке</t>
  </si>
  <si>
    <t>399р</t>
  </si>
  <si>
    <t>испорчена упаковка, нет провода для зарядки</t>
  </si>
  <si>
    <t>407р</t>
  </si>
  <si>
    <t>4326р</t>
  </si>
  <si>
    <t>Елочный шар, осыпался декор</t>
  </si>
  <si>
    <t>подмена, пришли осенние ботинки вместо зимних</t>
  </si>
  <si>
    <t>4685р</t>
  </si>
  <si>
    <t>Кукла, пятно на лбу</t>
  </si>
  <si>
    <t>469р</t>
  </si>
  <si>
    <t>Сапоги, потертости</t>
  </si>
  <si>
    <t>4760р</t>
  </si>
  <si>
    <t>порвано</t>
  </si>
  <si>
    <t>5027р</t>
  </si>
  <si>
    <t>Маска для волос, протекла</t>
  </si>
  <si>
    <t>не соответствует размеру</t>
  </si>
  <si>
    <t>Брюки медицинские, подмена: ростовка размера не соответствует карточке товара по факту размер 62(160-164)</t>
  </si>
  <si>
    <t>Швабра, погнута</t>
  </si>
  <si>
    <t>разлит,вся упаковка липкая</t>
  </si>
  <si>
    <t>1115р</t>
  </si>
  <si>
    <t>Обнаружен сотрудником при возврате товар</t>
  </si>
  <si>
    <t>1212р</t>
  </si>
  <si>
    <t>Игровой набор, порвана упаковка</t>
  </si>
  <si>
    <t>вырвана пуговица на кармане</t>
  </si>
  <si>
    <t>1837р</t>
  </si>
  <si>
    <t>216р</t>
  </si>
  <si>
    <t>грязные темные пятна на одном из ботинков</t>
  </si>
  <si>
    <t>2476р</t>
  </si>
  <si>
    <t>дифект товара</t>
  </si>
  <si>
    <t>вместо кормушки пришла поилка</t>
  </si>
  <si>
    <t>468р</t>
  </si>
  <si>
    <t>Ремень, потертости царапины</t>
  </si>
  <si>
    <t>552р</t>
  </si>
  <si>
    <t>5952р</t>
  </si>
  <si>
    <t>Хаустов Никита Александрович</t>
  </si>
  <si>
    <t>Юбка, пятна</t>
  </si>
  <si>
    <t>голубое пятно</t>
  </si>
  <si>
    <t>4215482 1537</t>
  </si>
  <si>
    <t>97р</t>
  </si>
  <si>
    <t>недокомплект</t>
  </si>
  <si>
    <t>4077060 9247</t>
  </si>
  <si>
    <t>1078р</t>
  </si>
  <si>
    <t>Румяна, разбиты</t>
  </si>
  <si>
    <t>107р</t>
  </si>
  <si>
    <t>1201р</t>
  </si>
  <si>
    <t xml:space="preserve">Олимпийка, подмена: другой цвет </t>
  </si>
  <si>
    <t>1297р</t>
  </si>
  <si>
    <t>Дубленка, торчат нитки, пятно</t>
  </si>
  <si>
    <t>13382р</t>
  </si>
  <si>
    <t>трещина одной из полок</t>
  </si>
  <si>
    <t>1383р</t>
  </si>
  <si>
    <t>Кисти для макияжа, лезут, мятые</t>
  </si>
  <si>
    <t>150р</t>
  </si>
  <si>
    <t>Кисти для макияжа, деформированы</t>
  </si>
  <si>
    <t>Тени, разбиты</t>
  </si>
  <si>
    <t>1987р</t>
  </si>
  <si>
    <t>2618р</t>
  </si>
  <si>
    <t>следы клея на подошве</t>
  </si>
  <si>
    <t>следы клея на подошве + отходят каблуки на обоих туфлях</t>
  </si>
  <si>
    <t>пятна на подошве и на носке</t>
  </si>
  <si>
    <t>3417р</t>
  </si>
  <si>
    <t>Масло, этикетка карточки товара отличается от фактической</t>
  </si>
  <si>
    <t>Крепления для лыж, нет винтов</t>
  </si>
  <si>
    <t>4405р</t>
  </si>
  <si>
    <t>4495р</t>
  </si>
  <si>
    <t>пыль, потертости</t>
  </si>
  <si>
    <t>4605р</t>
  </si>
  <si>
    <t>5764р</t>
  </si>
  <si>
    <t>Потёк клей</t>
  </si>
  <si>
    <t>4459534 7206</t>
  </si>
  <si>
    <t>биологические пятна</t>
  </si>
  <si>
    <t>713р</t>
  </si>
  <si>
    <t xml:space="preserve">Не совпадает количество </t>
  </si>
  <si>
    <t>1618р</t>
  </si>
  <si>
    <t>1820р</t>
  </si>
  <si>
    <t>подмена, не тот размер</t>
  </si>
  <si>
    <t>1998р</t>
  </si>
  <si>
    <t>сколы</t>
  </si>
  <si>
    <t>трещина</t>
  </si>
  <si>
    <t>вмятины</t>
  </si>
  <si>
    <t>285р</t>
  </si>
  <si>
    <t>384р</t>
  </si>
  <si>
    <t>нехватает запчасти в разъёме для батареек</t>
  </si>
  <si>
    <t>4108р</t>
  </si>
  <si>
    <t>620р</t>
  </si>
  <si>
    <t>следы клея+ царапины</t>
  </si>
  <si>
    <t>920р</t>
  </si>
  <si>
    <t>1957р</t>
  </si>
  <si>
    <t>2588р</t>
  </si>
  <si>
    <t>3461р</t>
  </si>
  <si>
    <t>грязь на поясе</t>
  </si>
  <si>
    <t>4588р</t>
  </si>
  <si>
    <t>недокомплект(отсутствуют прищепки)</t>
  </si>
  <si>
    <t xml:space="preserve">Пустая коробка , товара нет </t>
  </si>
  <si>
    <t>7416р</t>
  </si>
  <si>
    <t>8864р</t>
  </si>
  <si>
    <t>Заглушки застежки замочки силиконовые для сережек 10х6/ отправили не тот товар</t>
  </si>
  <si>
    <t>123р.</t>
  </si>
  <si>
    <t>Дезодорант, протек</t>
  </si>
  <si>
    <t>1406р</t>
  </si>
  <si>
    <t>деформация</t>
  </si>
  <si>
    <t>173р</t>
  </si>
  <si>
    <t>1997р</t>
  </si>
  <si>
    <t>Кофта, пятна</t>
  </si>
  <si>
    <t>Ботинки, пятна клея</t>
  </si>
  <si>
    <t>2198р</t>
  </si>
  <si>
    <t>2375р</t>
  </si>
  <si>
    <t>2396р</t>
  </si>
  <si>
    <t>Крючки настенные, один из крючков сломан</t>
  </si>
  <si>
    <t>Дутики, коричневые пятна на носке и потертости на пятке</t>
  </si>
  <si>
    <t>2873р</t>
  </si>
  <si>
    <t>Обнаружен сотрудником при возврате товара после примерки, клиент забирать вещь отказался</t>
  </si>
  <si>
    <t>Свадебное вечернее платье для невесты / открытыми плечами/ загрязнение на подоле платья, вещь забирать клиент отказался</t>
  </si>
  <si>
    <t>3115р.</t>
  </si>
  <si>
    <t>Зимние угги на платформе/ отклейка подошвы сзади ботинка</t>
  </si>
  <si>
    <t>3263р.</t>
  </si>
  <si>
    <t>Трикотажный костюм, юбка в мелких пятнах</t>
  </si>
  <si>
    <t>3410р</t>
  </si>
  <si>
    <t>Ботинки, разводы на носке</t>
  </si>
  <si>
    <t>3773р</t>
  </si>
  <si>
    <t>Беспроводные наушники вакуумные F9 PRO/ сломана крышка от кейса, сам кейс не работает</t>
  </si>
  <si>
    <t>430р.</t>
  </si>
  <si>
    <t>4370р</t>
  </si>
  <si>
    <t>Сыворотка для лица с микроиглами Retinol+/  сыворотка вытелка из флакона</t>
  </si>
  <si>
    <t>496р.</t>
  </si>
  <si>
    <t>Порошок, порвана упаковка</t>
  </si>
  <si>
    <t>538р</t>
  </si>
  <si>
    <t>8451р</t>
  </si>
  <si>
    <t>Куртка, пятна под капюшоном</t>
  </si>
  <si>
    <t>9069р</t>
  </si>
  <si>
    <t>91р</t>
  </si>
  <si>
    <t>Аквасоки, следы клея</t>
  </si>
  <si>
    <t>956р</t>
  </si>
  <si>
    <t>Обнаружен клиентом приполучении товара</t>
  </si>
  <si>
    <t>пыль пятна</t>
  </si>
  <si>
    <t>клей и грязь на подошве</t>
  </si>
  <si>
    <t>сорвана пломба,выпала из пакета при открытии</t>
  </si>
  <si>
    <t>2119р</t>
  </si>
  <si>
    <t>Подмена,пришёл не тот цвет</t>
  </si>
  <si>
    <t>пыль грязь на подошве</t>
  </si>
  <si>
    <t>Чежов Захир Михалыч</t>
  </si>
  <si>
    <t>треснуто донышко, протекает</t>
  </si>
  <si>
    <t xml:space="preserve">Рассыпался </t>
  </si>
  <si>
    <t>Маркер следы</t>
  </si>
  <si>
    <t>805р</t>
  </si>
  <si>
    <t>вскрыта заводская упаковка</t>
  </si>
  <si>
    <t>следы клея , пяль</t>
  </si>
  <si>
    <t>12 694р</t>
  </si>
  <si>
    <t>Не комплект</t>
  </si>
  <si>
    <t>319р</t>
  </si>
  <si>
    <t>повреждение заводской упаковки</t>
  </si>
  <si>
    <t>Трещина</t>
  </si>
  <si>
    <t>Сивак, подмена: вместо мятного прислали обычный</t>
  </si>
  <si>
    <t>Комбинезон, кривые швы, нет фиксации бегунка</t>
  </si>
  <si>
    <t>1756р</t>
  </si>
  <si>
    <t>Джемпер, затяжки</t>
  </si>
  <si>
    <t>1863р</t>
  </si>
  <si>
    <t>Полусапожки, потертости</t>
  </si>
  <si>
    <t>1956р</t>
  </si>
  <si>
    <t>Футболка, желтые пятна</t>
  </si>
  <si>
    <t>233р</t>
  </si>
  <si>
    <t>2591р</t>
  </si>
  <si>
    <t>Гольфы, подмена: цвет и баркод не соответствуют карточке товара</t>
  </si>
  <si>
    <t>Джинсы, дырки</t>
  </si>
  <si>
    <t>3058р</t>
  </si>
  <si>
    <t>Угги, следы клея</t>
  </si>
  <si>
    <t>3230р</t>
  </si>
  <si>
    <t>Колготки, подмена: рисунок и баркод не соответствуют карточке товара</t>
  </si>
  <si>
    <t>Гель для утолщения, подмена: пришел лак для укрепления</t>
  </si>
  <si>
    <t>Футболка, белые следы непрокраса</t>
  </si>
  <si>
    <t>Футболка, белые полосы</t>
  </si>
  <si>
    <t>Кофта, пятно на спине</t>
  </si>
  <si>
    <t>Куртка, перепрошит рукав, следы строчки по всей длине</t>
  </si>
  <si>
    <t>9442р</t>
  </si>
  <si>
    <t>Брюки, пятно</t>
  </si>
  <si>
    <t>Босоножки, потертости на пятке</t>
  </si>
  <si>
    <t>1587р</t>
  </si>
  <si>
    <t>Тюбинг, цвет не соответствует карточки товара</t>
  </si>
  <si>
    <t>1650р</t>
  </si>
  <si>
    <t>1804р</t>
  </si>
  <si>
    <t>Кофеварка</t>
  </si>
  <si>
    <t>Шоколад, сломан</t>
  </si>
  <si>
    <t>2074р</t>
  </si>
  <si>
    <t>пятно от белой краски</t>
  </si>
  <si>
    <t>2316р</t>
  </si>
  <si>
    <t>253р</t>
  </si>
  <si>
    <t>Платье, точат нитки, осыпается</t>
  </si>
  <si>
    <t>2734р</t>
  </si>
  <si>
    <t>4071р</t>
  </si>
  <si>
    <t>Худи, белые пятна</t>
  </si>
  <si>
    <t>4715р</t>
  </si>
  <si>
    <t>Худи, белые полосы непрокраса</t>
  </si>
  <si>
    <t>4859р</t>
  </si>
  <si>
    <t>Полки для кухни, сломаны полки</t>
  </si>
  <si>
    <t>Подарочный набор, сломана кружка</t>
  </si>
  <si>
    <t>Комплект шапка и шарф, затяжка</t>
  </si>
  <si>
    <t>Лонгслив, светлые пятна</t>
  </si>
  <si>
    <t>1596р</t>
  </si>
  <si>
    <t>Кофта, дефект ткани затяжка</t>
  </si>
  <si>
    <t>разбита</t>
  </si>
  <si>
    <t>185р</t>
  </si>
  <si>
    <t>Рамка под фото, деформирована</t>
  </si>
  <si>
    <t>203р</t>
  </si>
  <si>
    <t>Пиджак, точка от ручки</t>
  </si>
  <si>
    <t>2182р</t>
  </si>
  <si>
    <t>Угги потертости</t>
  </si>
  <si>
    <t>2659р</t>
  </si>
  <si>
    <t>розовое пятно</t>
  </si>
  <si>
    <t>3364р</t>
  </si>
  <si>
    <t>533р</t>
  </si>
  <si>
    <t>Сумка, разрыв шва на клапане</t>
  </si>
  <si>
    <t>750р</t>
  </si>
  <si>
    <t>Прямые джинсы варенка/ не сняли антикражу с товара</t>
  </si>
  <si>
    <t>1076р.</t>
  </si>
  <si>
    <t>Сумка через плечо плетеная белая макраме/ распалась нитка</t>
  </si>
  <si>
    <t>1299р.</t>
  </si>
  <si>
    <t>пижама с брюками махровая теплая хлопок/ затяжка на спине</t>
  </si>
  <si>
    <t>1780р.</t>
  </si>
  <si>
    <t>Фоторамка 17х17 Радуга багет белый/ рамка сломалась</t>
  </si>
  <si>
    <t>201р.</t>
  </si>
  <si>
    <t>Туфли не того размера</t>
  </si>
  <si>
    <t xml:space="preserve">Вместо 2-ух колод пришла одна </t>
  </si>
  <si>
    <t>317р</t>
  </si>
  <si>
    <t>Жидкость для снятия лака/ протёк</t>
  </si>
  <si>
    <t>Сапоги зимние короткие/ окрасились от коробки, клиент вещь забирать отказался</t>
  </si>
  <si>
    <t>4880р.</t>
  </si>
  <si>
    <t>Порваны бусинки</t>
  </si>
  <si>
    <t>Раствор для линз Biotrue универсальный (300 мл)/ вытек</t>
  </si>
  <si>
    <t>545р.</t>
  </si>
  <si>
    <t>Набор столовых приборов на 6 персон 24 предмета/ отсутствуют столовые ложки</t>
  </si>
  <si>
    <t>701р.</t>
  </si>
  <si>
    <t>1077р</t>
  </si>
  <si>
    <t>разошелся шов сзади</t>
  </si>
  <si>
    <t xml:space="preserve">рассыпана вся смесь </t>
  </si>
  <si>
    <t>128р</t>
  </si>
  <si>
    <t>2347р</t>
  </si>
  <si>
    <t>Не тот размер-подмена</t>
  </si>
  <si>
    <t>2570р</t>
  </si>
  <si>
    <t>2844р</t>
  </si>
  <si>
    <t>следы клея</t>
  </si>
  <si>
    <t>сломана</t>
  </si>
  <si>
    <t>398р</t>
  </si>
  <si>
    <t>Загрязнения</t>
  </si>
  <si>
    <t xml:space="preserve">Не тот цвет - подмена </t>
  </si>
  <si>
    <t>872р</t>
  </si>
  <si>
    <t>Юбка затяжки</t>
  </si>
  <si>
    <t>Обнаружено при доставке</t>
  </si>
  <si>
    <t>Переломаны</t>
  </si>
  <si>
    <t>Платье, подмена: вместо платья с белыми манжетами прислали такое же но с черными</t>
  </si>
  <si>
    <t>Ботильоны, трещина у подошвы</t>
  </si>
  <si>
    <t>1832р</t>
  </si>
  <si>
    <t>Футболка затяжки потертости дыры</t>
  </si>
  <si>
    <t>1970р</t>
  </si>
  <si>
    <t>Кружка, подмена: другой рисунок</t>
  </si>
  <si>
    <t>205р</t>
  </si>
  <si>
    <t>Рубашка пятно</t>
  </si>
  <si>
    <t>306р</t>
  </si>
  <si>
    <t xml:space="preserve">следы клея ,торчат нитки </t>
  </si>
  <si>
    <t>3296р</t>
  </si>
  <si>
    <t>3570р</t>
  </si>
  <si>
    <t>4204р</t>
  </si>
  <si>
    <t>Бюстгалтер, подмена: другой размер</t>
  </si>
  <si>
    <t>553р</t>
  </si>
  <si>
    <t>Сапоги, подмена: другие сапоги</t>
  </si>
  <si>
    <t>5679р</t>
  </si>
  <si>
    <t>царапины</t>
  </si>
  <si>
    <t>638р</t>
  </si>
  <si>
    <t>нет броши</t>
  </si>
  <si>
    <t>Фильтр для воды/ ручка сломана</t>
  </si>
  <si>
    <t>Свитшот, пятно</t>
  </si>
  <si>
    <t>Джинсы, черные полосы</t>
  </si>
  <si>
    <t>2379р</t>
  </si>
  <si>
    <t>2912р</t>
  </si>
  <si>
    <t>Полусапоги, следы клея</t>
  </si>
  <si>
    <t>3414р</t>
  </si>
  <si>
    <t>Футболка, следы от краски которой написана надпись</t>
  </si>
  <si>
    <t>348р</t>
  </si>
  <si>
    <t>Фоторамка, разбито стекло</t>
  </si>
  <si>
    <t>462р</t>
  </si>
  <si>
    <t>Обнаружен клиентом при посещении примерочной, забирать отказался, на камеру проговорил</t>
  </si>
  <si>
    <t>Перчатки, дырка</t>
  </si>
  <si>
    <t xml:space="preserve">пятна </t>
  </si>
  <si>
    <t>983р</t>
  </si>
  <si>
    <t>Недокомплект</t>
  </si>
  <si>
    <t>1260р</t>
  </si>
  <si>
    <t>грязь на подошве</t>
  </si>
  <si>
    <t>1264р</t>
  </si>
  <si>
    <t>Гель лак, пролит</t>
  </si>
  <si>
    <t>4299361 4921</t>
  </si>
  <si>
    <t>Футболка, затяжки</t>
  </si>
  <si>
    <t>1405р</t>
  </si>
  <si>
    <t>Юбка, не хватает пуговицы</t>
  </si>
  <si>
    <t>2047р</t>
  </si>
  <si>
    <t>Кроссовки зимние, подмена вместо 43 размера прислали 40 размер</t>
  </si>
  <si>
    <t>2056р</t>
  </si>
  <si>
    <t>Дутики, смазан рисунок</t>
  </si>
  <si>
    <t>2164р</t>
  </si>
  <si>
    <t>321р</t>
  </si>
  <si>
    <t>Юбка, отсутствует собачка</t>
  </si>
  <si>
    <t>3603р</t>
  </si>
  <si>
    <t>Блендер, потертости царапины, дно не закреплено</t>
  </si>
  <si>
    <t>Бюстгалтер, баркод не совпадает с карточкой товара, полоса на внутренней стороне лифа</t>
  </si>
  <si>
    <t>потек</t>
  </si>
  <si>
    <t>Бюстгалтер, баркод не совпадает с карточкой товара</t>
  </si>
  <si>
    <t>530р</t>
  </si>
  <si>
    <t>Сапоги, следы клея</t>
  </si>
  <si>
    <t>6696р</t>
  </si>
  <si>
    <t>Лампа настольная, некомплект отсутствует подставка</t>
  </si>
  <si>
    <t>залито</t>
  </si>
  <si>
    <t>1545р</t>
  </si>
  <si>
    <t>1827р</t>
  </si>
  <si>
    <t>Занрязнение</t>
  </si>
  <si>
    <t>Подменя,не тот размер</t>
  </si>
  <si>
    <t>отклейка подошвы</t>
  </si>
  <si>
    <t>2570рр</t>
  </si>
  <si>
    <t>След маркера</t>
  </si>
  <si>
    <t>2589р</t>
  </si>
  <si>
    <t>2862р</t>
  </si>
  <si>
    <t xml:space="preserve">Дыра </t>
  </si>
  <si>
    <t>3210р</t>
  </si>
  <si>
    <t>3255р</t>
  </si>
  <si>
    <t>5545р</t>
  </si>
  <si>
    <t>Александрова анна Васильевна</t>
  </si>
  <si>
    <t xml:space="preserve">клей +  нитки </t>
  </si>
  <si>
    <t>нет маркировки</t>
  </si>
  <si>
    <t>1505р</t>
  </si>
  <si>
    <t>полосы, дефект изделия</t>
  </si>
  <si>
    <t>1791р</t>
  </si>
  <si>
    <t>след от ручки</t>
  </si>
  <si>
    <t>2468р</t>
  </si>
  <si>
    <t>2525р</t>
  </si>
  <si>
    <t>обнаружено сотрудником при проверке товара после примерочной, клиент выкупать товар отказался, проговорив это на камеру</t>
  </si>
  <si>
    <t>270р</t>
  </si>
  <si>
    <t>нет не одной бирки,маркировки</t>
  </si>
  <si>
    <t>2884р</t>
  </si>
  <si>
    <t>3871р</t>
  </si>
  <si>
    <t>Не полный комплект</t>
  </si>
  <si>
    <t xml:space="preserve">рассыпан </t>
  </si>
  <si>
    <t>Постер, замяты края</t>
  </si>
  <si>
    <t>1015р</t>
  </si>
  <si>
    <t>Обнаружен клиентом в примерочной, выкупать отказался на камеру проговорил</t>
  </si>
  <si>
    <t>Платье, сломана молния</t>
  </si>
  <si>
    <t>1787р</t>
  </si>
  <si>
    <t>Тюль пятна</t>
  </si>
  <si>
    <t>2062р</t>
  </si>
  <si>
    <t>Мюли, следы клея</t>
  </si>
  <si>
    <t>2102р</t>
  </si>
  <si>
    <t>Кимоно, пятно</t>
  </si>
  <si>
    <t>2146р</t>
  </si>
  <si>
    <t>Платье баркод и бирка не соответствуют карточке товара</t>
  </si>
  <si>
    <t>2207р</t>
  </si>
  <si>
    <t>обувь, не тот размер</t>
  </si>
  <si>
    <t>2524р</t>
  </si>
  <si>
    <t>гетры белые, пятно</t>
  </si>
  <si>
    <t>Браслет плохо закреплены камни</t>
  </si>
  <si>
    <t>2907р</t>
  </si>
  <si>
    <t>Платье, потертости</t>
  </si>
  <si>
    <t>3079р</t>
  </si>
  <si>
    <t>Юбка, баркод не соответствует карточки товара</t>
  </si>
  <si>
    <t>Духи, неполный флакон</t>
  </si>
  <si>
    <t>темное пятно</t>
  </si>
  <si>
    <t>4128р</t>
  </si>
  <si>
    <t>Елка, баркод не совпадает с карточкой товара</t>
  </si>
  <si>
    <t>Гель для стирки, баркод не совподает с карточкой товара</t>
  </si>
  <si>
    <t>471р</t>
  </si>
  <si>
    <t>шампунь, залит</t>
  </si>
  <si>
    <t>527р</t>
  </si>
  <si>
    <t>Серьги, потертости</t>
  </si>
  <si>
    <t>загрязнения</t>
  </si>
  <si>
    <t>Кондиционер, баркод не соответствует карточки товра</t>
  </si>
  <si>
    <t>133р</t>
  </si>
  <si>
    <t>Пазлы, упаковка нарушена</t>
  </si>
  <si>
    <t>Джинсы не снят противокражный магнит</t>
  </si>
  <si>
    <t>1752р</t>
  </si>
  <si>
    <t>Кимоно, желтые пятна</t>
  </si>
  <si>
    <t>Жилет, пятно</t>
  </si>
  <si>
    <t>Юбка, сейф пакет прилип к юбке, отстает вместе с материалом юбки</t>
  </si>
  <si>
    <t>2464р</t>
  </si>
  <si>
    <t>Джинсы, дефект шва</t>
  </si>
  <si>
    <t>2470р</t>
  </si>
  <si>
    <t>Оплетка, залита и порван подклад</t>
  </si>
  <si>
    <t>Джинсы, пятно</t>
  </si>
  <si>
    <t>Чай, упаковка нарушена</t>
  </si>
  <si>
    <t>Колготки, пятно</t>
  </si>
  <si>
    <t>Хайлайтер, баркод не совпадает с карточкой товара</t>
  </si>
  <si>
    <t>360р</t>
  </si>
  <si>
    <t>3833р</t>
  </si>
  <si>
    <t>Худи, баркод не соответствует карточки товара</t>
  </si>
  <si>
    <t>Футболка, отсутствует какая либо маркировка, пятно</t>
  </si>
  <si>
    <t>Обнаружен клиетом при получении товара</t>
  </si>
  <si>
    <t>грязь на подошве, пятно на пятке</t>
  </si>
  <si>
    <t>5034р</t>
  </si>
  <si>
    <t>4578901 9090</t>
  </si>
  <si>
    <t>5638р</t>
  </si>
  <si>
    <t>Брызговики, заломы</t>
  </si>
  <si>
    <t>864р</t>
  </si>
  <si>
    <t>Ваза, сломана</t>
  </si>
  <si>
    <t>900р</t>
  </si>
  <si>
    <t>не соответствует фото в карточке товара</t>
  </si>
  <si>
    <t>Босоножки, цвет и структура</t>
  </si>
  <si>
    <t>1676р</t>
  </si>
  <si>
    <t>разрыв шва</t>
  </si>
  <si>
    <t>Елочные игрушки, одна замята</t>
  </si>
  <si>
    <t>232р</t>
  </si>
  <si>
    <t xml:space="preserve">подмена, не се серьги </t>
  </si>
  <si>
    <t>251р</t>
  </si>
  <si>
    <t>Фигура новогодняя, елка расходится по швам</t>
  </si>
  <si>
    <t>2779р</t>
  </si>
  <si>
    <t>Масло, замята упаковка</t>
  </si>
  <si>
    <t>3242р</t>
  </si>
  <si>
    <t>3472р</t>
  </si>
  <si>
    <t>Несоответствие</t>
  </si>
  <si>
    <t>3623р</t>
  </si>
  <si>
    <t>Елочная игрушка, потертости сколы непрокрас</t>
  </si>
  <si>
    <t>364р</t>
  </si>
  <si>
    <t>4545р</t>
  </si>
  <si>
    <t>недокомплект, нет болтов</t>
  </si>
  <si>
    <t>Кольцо, баркод не совпадает с карточкой товара</t>
  </si>
  <si>
    <t>604р</t>
  </si>
  <si>
    <t>Медальница, другая надпись</t>
  </si>
  <si>
    <t>668р</t>
  </si>
  <si>
    <t>Увлажнитель, сломана лопасть</t>
  </si>
  <si>
    <t xml:space="preserve">затяжка до дыры+ нет маркеровки </t>
  </si>
  <si>
    <t xml:space="preserve">пятно на капюшоне  </t>
  </si>
  <si>
    <t>2718р</t>
  </si>
  <si>
    <t>Царапины, потертости</t>
  </si>
  <si>
    <t>Перевалова Дария Леонидовна</t>
  </si>
  <si>
    <t xml:space="preserve">Магнит не отцеплен </t>
  </si>
  <si>
    <t>1214р</t>
  </si>
  <si>
    <t xml:space="preserve">не работает </t>
  </si>
  <si>
    <t>1455р</t>
  </si>
  <si>
    <t>брак из дома по одобренной заявке</t>
  </si>
  <si>
    <t>тональник на вороте, оформлена заявка по браку, одобрена, в программе не указано почему-то</t>
  </si>
  <si>
    <t>Дыры</t>
  </si>
  <si>
    <t>Коробка вся ушатана</t>
  </si>
  <si>
    <t>2877р</t>
  </si>
  <si>
    <t>4707р</t>
  </si>
  <si>
    <t>5369р</t>
  </si>
  <si>
    <t xml:space="preserve">пришли не того размера </t>
  </si>
  <si>
    <t>580р</t>
  </si>
  <si>
    <t>Набор стаканов 6 шт./ один разбит полностью</t>
  </si>
  <si>
    <t>Чайные пары, пятно на блюдце</t>
  </si>
  <si>
    <t>Футболка, темные полосы</t>
  </si>
  <si>
    <t>1017р</t>
  </si>
  <si>
    <t>104р</t>
  </si>
  <si>
    <t>Чайная пара, разбито блюдце</t>
  </si>
  <si>
    <t>Чайная пара, потертости</t>
  </si>
  <si>
    <t>несоотствие размеров с карточкой товара, сомнительно, навесной бирки нет</t>
  </si>
  <si>
    <t>1633р</t>
  </si>
  <si>
    <t>Амариллис, сгнил</t>
  </si>
  <si>
    <t>дефект ткани, ковер в полосах</t>
  </si>
  <si>
    <t>Планер, замят край</t>
  </si>
  <si>
    <t>Салатник, дефект производства</t>
  </si>
  <si>
    <t>347р</t>
  </si>
  <si>
    <t>Платок, грязь</t>
  </si>
  <si>
    <t>Порошок, не соответствует карточки товара, другая упаковка отсутствует этикетка</t>
  </si>
  <si>
    <t>Звезда на елку, потертости царапины</t>
  </si>
  <si>
    <t>Звезда, царапины</t>
  </si>
  <si>
    <t>516р</t>
  </si>
  <si>
    <t xml:space="preserve">порван </t>
  </si>
  <si>
    <t>570р</t>
  </si>
  <si>
    <t>Чокер, разорван</t>
  </si>
  <si>
    <t>634р</t>
  </si>
  <si>
    <t>расхождения в цвете</t>
  </si>
  <si>
    <t>1024р</t>
  </si>
  <si>
    <t>Гортензия, ржавчина</t>
  </si>
  <si>
    <t>11197р</t>
  </si>
  <si>
    <t>повреждение упаковки</t>
  </si>
  <si>
    <t>Топ комплект, пятно от чего-то пролитого</t>
  </si>
  <si>
    <t>Топ комплект, черные вкрапления на белом топе</t>
  </si>
  <si>
    <t>2037р</t>
  </si>
  <si>
    <t>грязный рукав</t>
  </si>
  <si>
    <t>20837р</t>
  </si>
  <si>
    <t>2270р</t>
  </si>
  <si>
    <t>Куртка, пятно</t>
  </si>
  <si>
    <t>2508р</t>
  </si>
  <si>
    <t>Лол, сломана упаковка</t>
  </si>
  <si>
    <t>2996р</t>
  </si>
  <si>
    <t>3669р</t>
  </si>
  <si>
    <t>4855р</t>
  </si>
  <si>
    <t>Ботильоны, следы клея</t>
  </si>
  <si>
    <t>5017р</t>
  </si>
  <si>
    <t>5904р</t>
  </si>
  <si>
    <t>порезы</t>
  </si>
  <si>
    <t>801р</t>
  </si>
  <si>
    <t>Топ, затяжки</t>
  </si>
  <si>
    <t>Топ, пятно с внутренней стороны</t>
  </si>
  <si>
    <t xml:space="preserve">Скол </t>
  </si>
  <si>
    <t>1036р</t>
  </si>
  <si>
    <t>Карнавальный костюм, грязь на шортах</t>
  </si>
  <si>
    <t>1136р</t>
  </si>
  <si>
    <t>Конструтор сломаны кубики</t>
  </si>
  <si>
    <t xml:space="preserve">Держатель для фотофона Стойка 75см каркас для фона
</t>
  </si>
  <si>
    <t>1833р</t>
  </si>
  <si>
    <t xml:space="preserve"> Князев Алексей Владимирович</t>
  </si>
  <si>
    <t>Декоративный светильник, не работает музыка</t>
  </si>
  <si>
    <t>Туфли потертость на носке</t>
  </si>
  <si>
    <t>2348р</t>
  </si>
  <si>
    <t>2353р</t>
  </si>
  <si>
    <t>Ботинки, вмятина</t>
  </si>
  <si>
    <t>3722р</t>
  </si>
  <si>
    <t>Простыня, желтые полосы</t>
  </si>
  <si>
    <t>Казаки, подмена вместо 39 р-ра 38-ой</t>
  </si>
  <si>
    <t>4789р</t>
  </si>
  <si>
    <t>Потёртости</t>
  </si>
  <si>
    <t>5665р</t>
  </si>
  <si>
    <t>Сапоги потертости</t>
  </si>
  <si>
    <t>Фигурка, дефект материала разводы в пластике</t>
  </si>
  <si>
    <t>689р</t>
  </si>
  <si>
    <t>Чуни, следы ручки на подошве</t>
  </si>
  <si>
    <t>Тюль, подмена другой размер</t>
  </si>
  <si>
    <t>порванна немного коробка</t>
  </si>
  <si>
    <t>54р</t>
  </si>
  <si>
    <t>1178р</t>
  </si>
  <si>
    <t>Несоответствие карточке товара, дркгие брители</t>
  </si>
  <si>
    <t>брак от курьера</t>
  </si>
  <si>
    <t>черное пятно на спине, похоже на заводской брак</t>
  </si>
  <si>
    <t>обнаружено клиентом при проверке товара</t>
  </si>
  <si>
    <t>дыра на вороте со спины</t>
  </si>
  <si>
    <t>312р</t>
  </si>
  <si>
    <t>обнаружено при приёмке</t>
  </si>
  <si>
    <t>Вытек</t>
  </si>
  <si>
    <t>неотъемлемая часть упаковки нарушена</t>
  </si>
  <si>
    <t>Экран на батарею, разошлись швы</t>
  </si>
  <si>
    <t>Пижама черная полоска, дефект материала или разметка</t>
  </si>
  <si>
    <t>Гель нет информации на русском языке</t>
  </si>
  <si>
    <t>Очки, вместо черных стекол желтые</t>
  </si>
  <si>
    <t>328р</t>
  </si>
  <si>
    <t>Блендер, потертости на чаше</t>
  </si>
  <si>
    <t>Носки тапочки, краска тапочек окрасила внутри тапок</t>
  </si>
  <si>
    <t>629р</t>
  </si>
  <si>
    <t>отклонение в размерах</t>
  </si>
  <si>
    <t>780р</t>
  </si>
  <si>
    <t>Набор игровой, порвана упаковка</t>
  </si>
  <si>
    <t>Духи отсутствует слюда</t>
  </si>
  <si>
    <t>977р</t>
  </si>
  <si>
    <t>Коробка, сломана</t>
  </si>
  <si>
    <t>984р</t>
  </si>
  <si>
    <t>разошелся шов</t>
  </si>
  <si>
    <t>желтые еле заметные полосы, что-то удалось оттереть</t>
  </si>
  <si>
    <t>2471р</t>
  </si>
  <si>
    <t>не работает именно функция фена-не дует</t>
  </si>
  <si>
    <t>разодрана упаковка</t>
  </si>
  <si>
    <t>3336р</t>
  </si>
  <si>
    <t>Тарелка сколот край</t>
  </si>
  <si>
    <t>Дезодорант нет информации на русском языке</t>
  </si>
  <si>
    <t>Набор мисок, подмена другой комплект, одна миска помята</t>
  </si>
  <si>
    <t>Воздуходувка, потертости на корпусе</t>
  </si>
  <si>
    <t>Кукуруза, мятая банка</t>
  </si>
  <si>
    <t>Бомбочка для ванны, сломана</t>
  </si>
  <si>
    <t>Лак, сломана крышка</t>
  </si>
  <si>
    <t>Штаны разошелся шов</t>
  </si>
  <si>
    <t>Ботинки, грязь</t>
  </si>
  <si>
    <t>Платья полосы как от утюга</t>
  </si>
  <si>
    <t>Постельное белье, торчат нитки необработанного края</t>
  </si>
  <si>
    <t>Платье затяжка</t>
  </si>
  <si>
    <t>Горнолыжный костюм, пятно под капюшоном</t>
  </si>
  <si>
    <t>Кукуруза, протекла</t>
  </si>
  <si>
    <t>темные полоски на правом ботинке</t>
  </si>
  <si>
    <t>Шторы, другой цвет</t>
  </si>
  <si>
    <t>2049р</t>
  </si>
  <si>
    <t>грязные пятна</t>
  </si>
  <si>
    <t>2595р</t>
  </si>
  <si>
    <t>1107р</t>
  </si>
  <si>
    <t>1392р</t>
  </si>
  <si>
    <t>140р</t>
  </si>
  <si>
    <t>1438р</t>
  </si>
  <si>
    <t xml:space="preserve">потертости, заломы </t>
  </si>
  <si>
    <t>1725р</t>
  </si>
  <si>
    <t>повреждение товара</t>
  </si>
  <si>
    <t>1801р</t>
  </si>
  <si>
    <t>порвана</t>
  </si>
  <si>
    <t>387р</t>
  </si>
  <si>
    <t>нитки торчат, шов порван</t>
  </si>
  <si>
    <t>453р</t>
  </si>
  <si>
    <t>порван</t>
  </si>
  <si>
    <t>49р</t>
  </si>
  <si>
    <t>539р</t>
  </si>
  <si>
    <t xml:space="preserve">некачественная фурнитура </t>
  </si>
  <si>
    <t>5625р</t>
  </si>
  <si>
    <t>630р</t>
  </si>
  <si>
    <t>Свечи цвет отличается от карточки товара и облезла одна свеча</t>
  </si>
  <si>
    <t>Контейнеры, скол</t>
  </si>
  <si>
    <t>Сарафан оборвана петля для пуговицы</t>
  </si>
  <si>
    <t>Туфли кривой нос следы клея</t>
  </si>
  <si>
    <t>Брюки горнолыжные следы разметки</t>
  </si>
  <si>
    <t>1283р</t>
  </si>
  <si>
    <t>Вскрытая упаковка</t>
  </si>
  <si>
    <t>Триммер, отсутствует слюда</t>
  </si>
  <si>
    <t>пришла пустая упаковка</t>
  </si>
  <si>
    <t>159р</t>
  </si>
  <si>
    <t>Ботильоны грязь</t>
  </si>
  <si>
    <t>2099р</t>
  </si>
  <si>
    <t>отпала пуговица</t>
  </si>
  <si>
    <t>2484р</t>
  </si>
  <si>
    <t>Зипхуди затяжка</t>
  </si>
  <si>
    <t>2843р</t>
  </si>
  <si>
    <t>Зипхуди дефект шва</t>
  </si>
  <si>
    <t>2891р</t>
  </si>
  <si>
    <t>Брюки, след от разметки</t>
  </si>
  <si>
    <t>Масло протекли</t>
  </si>
  <si>
    <t>грязь на подошве, пятно</t>
  </si>
  <si>
    <t>3524р</t>
  </si>
  <si>
    <t>подмеа пришел конструктор за место блакнота</t>
  </si>
  <si>
    <t>пятно от ручки</t>
  </si>
  <si>
    <t>Носки недокомплект вместо 5 пар 4</t>
  </si>
  <si>
    <t>Разрыв заводской  упаковки</t>
  </si>
  <si>
    <t>Майка, серая полоса</t>
  </si>
  <si>
    <t>Сахарница подмена</t>
  </si>
  <si>
    <t>Салфетки на стол разошелся шов</t>
  </si>
  <si>
    <t>Повязка на голову, пятно</t>
  </si>
  <si>
    <t>Алмазная мозаика, пробита</t>
  </si>
  <si>
    <t>9173р</t>
  </si>
  <si>
    <t>Непонятная граммовка+скол</t>
  </si>
  <si>
    <t>961р</t>
  </si>
  <si>
    <t>Пряжа, подмена вместо 4 шт 1 шт</t>
  </si>
  <si>
    <t>987Р</t>
  </si>
  <si>
    <t>Сушилка для овощей, сломана металлическая деталь</t>
  </si>
  <si>
    <t>сломана (разбита)</t>
  </si>
  <si>
    <t>разбита черная кружка</t>
  </si>
  <si>
    <t>1052р</t>
  </si>
  <si>
    <t xml:space="preserve">пяль грязь на подошве </t>
  </si>
  <si>
    <t>пятна и загрязнения на футболке</t>
  </si>
  <si>
    <t>1766р</t>
  </si>
  <si>
    <t>Набор скол на кружке</t>
  </si>
  <si>
    <t>потекший</t>
  </si>
  <si>
    <t>280р</t>
  </si>
  <si>
    <t>337р</t>
  </si>
  <si>
    <t>Футболка, серая полоса</t>
  </si>
  <si>
    <t>381р</t>
  </si>
  <si>
    <t>Сколы трещины</t>
  </si>
  <si>
    <t>4696р</t>
  </si>
  <si>
    <t>желтые пятна на задней части, штанине, кармане, также след ручки</t>
  </si>
  <si>
    <t>512р</t>
  </si>
  <si>
    <t>дыра в корпусе</t>
  </si>
  <si>
    <t>повреждена упаковка</t>
  </si>
  <si>
    <t>672р</t>
  </si>
  <si>
    <t>Набор, раскрошился шоколад</t>
  </si>
  <si>
    <t>отломан носик</t>
  </si>
  <si>
    <t>белые полосы</t>
  </si>
  <si>
    <t>желтые пятна</t>
  </si>
  <si>
    <t>подмена другой цвет</t>
  </si>
  <si>
    <t>сломан частично</t>
  </si>
  <si>
    <t>1020р</t>
  </si>
  <si>
    <t>одна из кружек разбита</t>
  </si>
  <si>
    <t>1041р</t>
  </si>
  <si>
    <t>отклина наклейка, на футболке</t>
  </si>
  <si>
    <t>Сломан колпачок у спрея</t>
  </si>
  <si>
    <t>223р</t>
  </si>
  <si>
    <t>2712р</t>
  </si>
  <si>
    <t>разрыв шва на горле</t>
  </si>
  <si>
    <t>474р</t>
  </si>
  <si>
    <t>Следы царапин, бренчит как будто что то отломилось</t>
  </si>
  <si>
    <t>5067р</t>
  </si>
  <si>
    <t>отрезан кусочек снежинки</t>
  </si>
  <si>
    <t>рабито</t>
  </si>
  <si>
    <t>5596р</t>
  </si>
  <si>
    <t>следы розовой помады</t>
  </si>
  <si>
    <t>дыры</t>
  </si>
  <si>
    <t>темная полоска</t>
  </si>
  <si>
    <t>треснут</t>
  </si>
  <si>
    <t>834р</t>
  </si>
  <si>
    <t>подмена по цвету</t>
  </si>
  <si>
    <t>Сломан крепеж у колье</t>
  </si>
  <si>
    <t>859р</t>
  </si>
  <si>
    <t>след помады на внутренней стороне ворота, несоответствие размеров</t>
  </si>
  <si>
    <t xml:space="preserve">затяжка </t>
  </si>
  <si>
    <t>1488р</t>
  </si>
  <si>
    <t xml:space="preserve">разбита крышка </t>
  </si>
  <si>
    <t>1640р</t>
  </si>
  <si>
    <t>2028р</t>
  </si>
  <si>
    <t>царапины, потертости</t>
  </si>
  <si>
    <t>грязный пояс, точка на рубашке</t>
  </si>
  <si>
    <t>везде царапины</t>
  </si>
  <si>
    <t>дыра  на вороте</t>
  </si>
  <si>
    <t>3695р</t>
  </si>
  <si>
    <t>грязное плечо</t>
  </si>
  <si>
    <t xml:space="preserve">повреждение упаковки </t>
  </si>
  <si>
    <t>разбита игрушка</t>
  </si>
  <si>
    <t>Разбита банка , содержимое вылито</t>
  </si>
  <si>
    <t>717р</t>
  </si>
  <si>
    <t>Угги пятно</t>
  </si>
  <si>
    <t>Платье пятно</t>
  </si>
  <si>
    <t>следы клея, не открывается крышка</t>
  </si>
  <si>
    <t>белая полоска</t>
  </si>
  <si>
    <t>1710р</t>
  </si>
  <si>
    <t>ручка на лямке белого лифа</t>
  </si>
  <si>
    <t>одна кружка разбита</t>
  </si>
  <si>
    <t>194р</t>
  </si>
  <si>
    <t>грязь, потертости</t>
  </si>
  <si>
    <t xml:space="preserve">сколы </t>
  </si>
  <si>
    <t>слезла краска</t>
  </si>
  <si>
    <t>черные точки</t>
  </si>
  <si>
    <t>Картина подмена</t>
  </si>
  <si>
    <t>667р</t>
  </si>
  <si>
    <t>Соус протек</t>
  </si>
  <si>
    <t>Наклейки дефект печати</t>
  </si>
  <si>
    <t>затяжки по всей кофте</t>
  </si>
  <si>
    <t>Кардиган затяжки</t>
  </si>
  <si>
    <t>Сахарница другой цвет</t>
  </si>
  <si>
    <t>Шарф пятно</t>
  </si>
  <si>
    <t>Поло белое пятно</t>
  </si>
  <si>
    <t>Блузка полиняла</t>
  </si>
  <si>
    <t xml:space="preserve"> Малина в шоколаде, протекла</t>
  </si>
  <si>
    <t>Тюбинг, другой цвет</t>
  </si>
  <si>
    <t>Дутики грязь</t>
  </si>
  <si>
    <t>Платье оторвана вшивная бирка</t>
  </si>
  <si>
    <t>несоответствие вшивной и навесной бирки, заказан размер M, вшивная - M, навесная - L</t>
  </si>
  <si>
    <t>3547р</t>
  </si>
  <si>
    <t>деформация изделия</t>
  </si>
  <si>
    <t>не тот размер</t>
  </si>
  <si>
    <t>следы помады  на внутренней стороне</t>
  </si>
  <si>
    <t>4124р</t>
  </si>
  <si>
    <t>479р</t>
  </si>
  <si>
    <t>следы маркера</t>
  </si>
  <si>
    <t>5658р</t>
  </si>
  <si>
    <t>отсутсвуют донышки</t>
  </si>
  <si>
    <t>595р</t>
  </si>
  <si>
    <t>Чистящее средство, разлито</t>
  </si>
  <si>
    <t>Мука, рассыпана порывана упаковка</t>
  </si>
  <si>
    <t>Шторы дефект шва</t>
  </si>
  <si>
    <t>Костюм, подмена, кофта ростовка 160, штаны 170</t>
  </si>
  <si>
    <t>плать белые полосы</t>
  </si>
  <si>
    <t>пиджак пятно</t>
  </si>
  <si>
    <t>Куртка, баркод не соответствует карточки товара</t>
  </si>
  <si>
    <t>массажер</t>
  </si>
  <si>
    <t>Обнаружен сотрудником при переупаковки товара</t>
  </si>
  <si>
    <t>1339р</t>
  </si>
  <si>
    <t>порвана упаковка товара</t>
  </si>
  <si>
    <t>джинсы, отсутствие пуговки</t>
  </si>
  <si>
    <t>2994h</t>
  </si>
  <si>
    <t>4347р</t>
  </si>
  <si>
    <t>5920р</t>
  </si>
  <si>
    <t>5944р</t>
  </si>
  <si>
    <t xml:space="preserve">Следы ручки , клиент отказался забирать на камеру </t>
  </si>
  <si>
    <t>15125р</t>
  </si>
  <si>
    <t>срезана бирка, неизвестный размер штанов</t>
  </si>
  <si>
    <t>2165р</t>
  </si>
  <si>
    <t>Некомплект</t>
  </si>
  <si>
    <t>240р</t>
  </si>
  <si>
    <t>разрыв строчки</t>
  </si>
  <si>
    <t>Рассыпан</t>
  </si>
  <si>
    <t>7683р</t>
  </si>
  <si>
    <t>Нет не одной бирки</t>
  </si>
  <si>
    <t>затяжки между ног,затяжки внизу на штанинах, ношеные</t>
  </si>
  <si>
    <t>пояс пришит не с той стороны, короткая часть наспине,что не позволяет завязать кардиган</t>
  </si>
  <si>
    <t>2681р</t>
  </si>
  <si>
    <t>неисправна молния на юбке</t>
  </si>
  <si>
    <t>643р</t>
  </si>
  <si>
    <t>Футболка белые поглосы и пятна</t>
  </si>
  <si>
    <t>Мобиль не крутится</t>
  </si>
  <si>
    <t>Лонгслив подмена другая ростовка</t>
  </si>
  <si>
    <t>Казаки следы клея</t>
  </si>
  <si>
    <t>Куртка пыль грязь</t>
  </si>
  <si>
    <t>Не качественная фурнитура, сколы</t>
  </si>
  <si>
    <t>879р</t>
  </si>
  <si>
    <t>Федина Илона Владимировна</t>
  </si>
  <si>
    <t>белое пятно</t>
  </si>
  <si>
    <t>не тот объём</t>
  </si>
  <si>
    <t>дефект материала</t>
  </si>
  <si>
    <t>след ручки</t>
  </si>
  <si>
    <t>1172р</t>
  </si>
  <si>
    <t>Устьянцев Владислав Алексеевич</t>
  </si>
  <si>
    <t>розетка</t>
  </si>
  <si>
    <t>разлито</t>
  </si>
  <si>
    <t>207р</t>
  </si>
  <si>
    <t>3048р</t>
  </si>
  <si>
    <t>одна из чашек разбита</t>
  </si>
  <si>
    <t>загрязнение на ремешке</t>
  </si>
  <si>
    <t>нет рускоязычной маркировки</t>
  </si>
  <si>
    <t>конструктор порвана упаковка</t>
  </si>
  <si>
    <t>статуэтка подмена другой цвет</t>
  </si>
  <si>
    <t>топ синие пятна</t>
  </si>
  <si>
    <t>угги грязная подошва</t>
  </si>
  <si>
    <t>костюм подмена</t>
  </si>
  <si>
    <t>костюм отсутствуют все бирки</t>
  </si>
  <si>
    <t>костюм катышки</t>
  </si>
  <si>
    <t>тумба сколы трещины</t>
  </si>
  <si>
    <t>затяжки инородные нитки</t>
  </si>
  <si>
    <t>На резинке юбки желтые разводы</t>
  </si>
  <si>
    <t>1742р</t>
  </si>
  <si>
    <t>4640р</t>
  </si>
  <si>
    <t>679р</t>
  </si>
  <si>
    <t>Упаковка продукта порвана</t>
  </si>
  <si>
    <t>932р</t>
  </si>
  <si>
    <t xml:space="preserve">Следы маркера </t>
  </si>
  <si>
    <t>грязная подошва, потёртая пятка</t>
  </si>
  <si>
    <t>1606р</t>
  </si>
  <si>
    <t>ф</t>
  </si>
  <si>
    <t>грязное пятно</t>
  </si>
  <si>
    <t>Разбито блюдце</t>
  </si>
  <si>
    <t>632р</t>
  </si>
  <si>
    <t>Угги следы клея</t>
  </si>
  <si>
    <t>1031р</t>
  </si>
  <si>
    <t>1692р</t>
  </si>
  <si>
    <t>сломан один из крепежей</t>
  </si>
  <si>
    <t>326р</t>
  </si>
  <si>
    <t>гирлянда, не работает</t>
  </si>
  <si>
    <t>крышка не подходит</t>
  </si>
  <si>
    <t>Панель трещина</t>
  </si>
  <si>
    <t>футболка белые пятна</t>
  </si>
  <si>
    <t>мастика, подмена: пришел краситель</t>
  </si>
  <si>
    <t>Гель протек</t>
  </si>
  <si>
    <t>стельки, полоса</t>
  </si>
  <si>
    <t>Ботинки грязь на язычке</t>
  </si>
  <si>
    <t>отсутствует маркировка</t>
  </si>
  <si>
    <t>1037р</t>
  </si>
  <si>
    <t>вскрыта заводская упаквка</t>
  </si>
  <si>
    <t>некачественая фурнитура</t>
  </si>
  <si>
    <t>2098р</t>
  </si>
  <si>
    <t>царапины/потертости</t>
  </si>
  <si>
    <t>2670р</t>
  </si>
  <si>
    <t>6978р</t>
  </si>
  <si>
    <t>7288р</t>
  </si>
  <si>
    <t>цвет и баркод не соответствуют карточке товара</t>
  </si>
  <si>
    <t>пятна ручки</t>
  </si>
  <si>
    <t>рассыпан</t>
  </si>
  <si>
    <t>обнаружено при приемке</t>
  </si>
  <si>
    <t>неполный набор</t>
  </si>
  <si>
    <t>грязный низ у кофты</t>
  </si>
  <si>
    <t xml:space="preserve">Нарушена кпаковка </t>
  </si>
  <si>
    <t>отклонения в размерах</t>
  </si>
  <si>
    <t>пыль,пятна</t>
  </si>
  <si>
    <t>265р</t>
  </si>
  <si>
    <t>разный размер футболок</t>
  </si>
  <si>
    <t>350р</t>
  </si>
  <si>
    <t>4031р</t>
  </si>
  <si>
    <t>4106р</t>
  </si>
  <si>
    <t>не соответствеут баркод</t>
  </si>
  <si>
    <t>696р</t>
  </si>
  <si>
    <t>Неполный набор</t>
  </si>
  <si>
    <t>Обнаружин сотрудником при приемки товара</t>
  </si>
  <si>
    <t xml:space="preserve">Пыль грязь </t>
  </si>
  <si>
    <t>1617р</t>
  </si>
  <si>
    <t>сломана полочка</t>
  </si>
  <si>
    <t>3168р</t>
  </si>
  <si>
    <t>3258р</t>
  </si>
  <si>
    <t>Колупаева Любовь Викторовна</t>
  </si>
  <si>
    <t>Сломана рамка</t>
  </si>
  <si>
    <t>762р</t>
  </si>
  <si>
    <t>обнаружено сотрудником при выдаче</t>
  </si>
  <si>
    <t>обнаружено сотрудником при возврате товара</t>
  </si>
  <si>
    <t>полиняло</t>
  </si>
  <si>
    <t>серая полоса</t>
  </si>
  <si>
    <t>разбиты</t>
  </si>
  <si>
    <t>Обнаружен сотрудником при возврате товара, после примерочной, клиент забирать вещь отказался на камеру проговорил</t>
  </si>
  <si>
    <t>другой размер</t>
  </si>
  <si>
    <t>казан, баркод не соответсствует карточки товара</t>
  </si>
  <si>
    <t>Надлом доски</t>
  </si>
  <si>
    <t>темные точки на рукаве и спине футболки</t>
  </si>
  <si>
    <t>1219р</t>
  </si>
  <si>
    <t>143р</t>
  </si>
  <si>
    <t>кофта в молочных залитых пятнах</t>
  </si>
  <si>
    <t>163р</t>
  </si>
  <si>
    <t>2273р</t>
  </si>
  <si>
    <t>сколы и трещины</t>
  </si>
  <si>
    <t>435р</t>
  </si>
  <si>
    <t>темная точка на спине</t>
  </si>
  <si>
    <t>751р</t>
  </si>
  <si>
    <t>красное пятно на вороте</t>
  </si>
  <si>
    <t>978р</t>
  </si>
  <si>
    <t>баркод не соответствует карточки товара</t>
  </si>
  <si>
    <t>не горит</t>
  </si>
  <si>
    <t>разошлись швы, разнопарка</t>
  </si>
  <si>
    <t>полоса</t>
  </si>
  <si>
    <t>7016р</t>
  </si>
  <si>
    <t>9491р</t>
  </si>
  <si>
    <t>дефекты швов</t>
  </si>
  <si>
    <t>следы разметки</t>
  </si>
  <si>
    <t>следы ручки</t>
  </si>
  <si>
    <t>царапины потертости</t>
  </si>
  <si>
    <t>3293р</t>
  </si>
  <si>
    <t>9683р</t>
  </si>
  <si>
    <t>9925р</t>
  </si>
  <si>
    <t>9985р</t>
  </si>
  <si>
    <t xml:space="preserve">След чернил. Клиент отказался брать товар на камеру </t>
  </si>
  <si>
    <t>15.790р</t>
  </si>
  <si>
    <t>наушники</t>
  </si>
  <si>
    <t>Сломан</t>
  </si>
  <si>
    <t>банка помята</t>
  </si>
  <si>
    <t>243р</t>
  </si>
  <si>
    <t xml:space="preserve">Стёрта </t>
  </si>
  <si>
    <t>2738р</t>
  </si>
  <si>
    <t>фигурка</t>
  </si>
  <si>
    <t>3161р</t>
  </si>
  <si>
    <t>4193р</t>
  </si>
  <si>
    <t>сломано</t>
  </si>
  <si>
    <t>2001р</t>
  </si>
  <si>
    <t>Сильная пыль</t>
  </si>
  <si>
    <t>5835р</t>
  </si>
  <si>
    <t>разлиты</t>
  </si>
  <si>
    <t>некомплект</t>
  </si>
  <si>
    <t>сколы на ручке</t>
  </si>
  <si>
    <t>серые пятна</t>
  </si>
  <si>
    <t>1408р</t>
  </si>
  <si>
    <t>облазит покрытие</t>
  </si>
  <si>
    <t>вскрыта упаковка</t>
  </si>
  <si>
    <t>потертости, царапины</t>
  </si>
  <si>
    <t>11079р</t>
  </si>
  <si>
    <t>11788р</t>
  </si>
  <si>
    <t>дефект декоративных элементов</t>
  </si>
  <si>
    <t>5137р</t>
  </si>
  <si>
    <t>60р</t>
  </si>
  <si>
    <t>99р</t>
  </si>
  <si>
    <t>дефект шва</t>
  </si>
  <si>
    <t>123р</t>
  </si>
  <si>
    <t>постельное белье</t>
  </si>
  <si>
    <t>Залито</t>
  </si>
  <si>
    <t>следы мела</t>
  </si>
  <si>
    <t>3014р</t>
  </si>
  <si>
    <t>подмена ,несоответсвиие рисунка</t>
  </si>
  <si>
    <t>сколы, царапины</t>
  </si>
  <si>
    <t>1128р</t>
  </si>
  <si>
    <t>1928р</t>
  </si>
  <si>
    <t>обнаружен клиентом при получение товара</t>
  </si>
  <si>
    <t>3032р</t>
  </si>
  <si>
    <t>Порез</t>
  </si>
  <si>
    <t>3474р</t>
  </si>
  <si>
    <t>пятно на рубашке</t>
  </si>
  <si>
    <t>3784р</t>
  </si>
  <si>
    <t>3821р</t>
  </si>
  <si>
    <t>пролился</t>
  </si>
  <si>
    <t>4217р</t>
  </si>
  <si>
    <t>Следы ручки</t>
  </si>
  <si>
    <t>не соответствует цвет</t>
  </si>
  <si>
    <t>Вмятина</t>
  </si>
  <si>
    <t>5247р</t>
  </si>
  <si>
    <t>возврат из дома по заявке. ПО ФАКТУ БРАКА НЕТ! КЛИЕНТ ДАУН</t>
  </si>
  <si>
    <t>порван шов</t>
  </si>
  <si>
    <t>торчат нитки</t>
  </si>
  <si>
    <t>2005р</t>
  </si>
  <si>
    <t>след маркера</t>
  </si>
  <si>
    <t>2033р</t>
  </si>
  <si>
    <t>черные пятна</t>
  </si>
  <si>
    <t>грязь на пятке</t>
  </si>
  <si>
    <t>пятна на штанине</t>
  </si>
  <si>
    <t>2834р</t>
  </si>
  <si>
    <t>порвана строчка</t>
  </si>
  <si>
    <t>маленькие коричневые точки</t>
  </si>
  <si>
    <t>дефект набор</t>
  </si>
  <si>
    <t>отсутствует слюда</t>
  </si>
  <si>
    <t xml:space="preserve">шатается крышка </t>
  </si>
  <si>
    <t>1456р</t>
  </si>
  <si>
    <t>1982р</t>
  </si>
  <si>
    <t>следы косметики</t>
  </si>
  <si>
    <t>21313р</t>
  </si>
  <si>
    <t>7220р</t>
  </si>
  <si>
    <t>852р</t>
  </si>
  <si>
    <t>9685р</t>
  </si>
  <si>
    <t>нет детальки + вскрытая упаковка</t>
  </si>
  <si>
    <t>сколы/трещины</t>
  </si>
  <si>
    <t>1073р</t>
  </si>
  <si>
    <t>1945р</t>
  </si>
  <si>
    <t>следы маркера/мела</t>
  </si>
  <si>
    <t>2051р</t>
  </si>
  <si>
    <t>2774р</t>
  </si>
  <si>
    <t>513р</t>
  </si>
  <si>
    <t>не совпадает баркод</t>
  </si>
  <si>
    <t>3472851 6052</t>
  </si>
  <si>
    <t>742р</t>
  </si>
  <si>
    <t>822р</t>
  </si>
  <si>
    <t>клей</t>
  </si>
  <si>
    <t>небольшое пятнышко на штанах</t>
  </si>
  <si>
    <t>катышки на лосинах</t>
  </si>
  <si>
    <t>не хватает одной миски</t>
  </si>
  <si>
    <t>Царапина</t>
  </si>
  <si>
    <t>2598р</t>
  </si>
  <si>
    <t>5123р</t>
  </si>
  <si>
    <t>7372р</t>
  </si>
  <si>
    <t>белая полоса</t>
  </si>
  <si>
    <t>1304р</t>
  </si>
  <si>
    <t>1805р</t>
  </si>
  <si>
    <t>2929р</t>
  </si>
  <si>
    <t>3052р</t>
  </si>
  <si>
    <t>потертости/царапины/сколы</t>
  </si>
  <si>
    <t>4583р</t>
  </si>
  <si>
    <t>нет рускоязычной маркеровки</t>
  </si>
  <si>
    <t>627р</t>
  </si>
  <si>
    <t xml:space="preserve">Федорова Кристина Алексеевна </t>
  </si>
  <si>
    <t>905р</t>
  </si>
  <si>
    <t>мятое</t>
  </si>
  <si>
    <t>121р</t>
  </si>
  <si>
    <t>1684р</t>
  </si>
  <si>
    <t>1839р</t>
  </si>
  <si>
    <t>1847р</t>
  </si>
  <si>
    <t>не обработаны края, торчат нитки</t>
  </si>
  <si>
    <t>однопарка</t>
  </si>
  <si>
    <t>2105р</t>
  </si>
  <si>
    <t>2620р</t>
  </si>
  <si>
    <t>2727р</t>
  </si>
  <si>
    <t>3133р</t>
  </si>
  <si>
    <t>следы клея, потертости</t>
  </si>
  <si>
    <t>робот игрушка</t>
  </si>
  <si>
    <t>3521р</t>
  </si>
  <si>
    <t>потертости, царапины, загрязнения</t>
  </si>
  <si>
    <t>3572р</t>
  </si>
  <si>
    <t>потертости, царапины, следы клея</t>
  </si>
  <si>
    <t>3811р</t>
  </si>
  <si>
    <t>4950р</t>
  </si>
  <si>
    <t>5005р</t>
  </si>
  <si>
    <t>разошлись швы</t>
  </si>
  <si>
    <t xml:space="preserve">повреждена упаковка, просыпалось </t>
  </si>
  <si>
    <t>полиняли</t>
  </si>
  <si>
    <t>Обнаруженно клиентом при получение товара</t>
  </si>
  <si>
    <t>10563р</t>
  </si>
  <si>
    <t>13275р</t>
  </si>
  <si>
    <t>сломана деталь</t>
  </si>
  <si>
    <t>вмятина на коробке</t>
  </si>
  <si>
    <t>1841р</t>
  </si>
  <si>
    <t>Обнариужен клиентом при получении товара</t>
  </si>
  <si>
    <t>следы от косметики</t>
  </si>
  <si>
    <t>2307р</t>
  </si>
  <si>
    <t>сломано дно</t>
  </si>
  <si>
    <t>отсутствует штифт крепления</t>
  </si>
  <si>
    <t>следы маркера, материальные дефекты</t>
  </si>
  <si>
    <t>сгнил</t>
  </si>
  <si>
    <t>1746р</t>
  </si>
  <si>
    <t>есть небольшие пятна</t>
  </si>
  <si>
    <t>1821р</t>
  </si>
  <si>
    <t xml:space="preserve">подмена  </t>
  </si>
  <si>
    <t>449р</t>
  </si>
  <si>
    <t>Бутыль разбита</t>
  </si>
  <si>
    <t>песочные часы разбиты</t>
  </si>
  <si>
    <t>1402р</t>
  </si>
  <si>
    <t>1578р</t>
  </si>
  <si>
    <t>281р</t>
  </si>
  <si>
    <t>3291р</t>
  </si>
  <si>
    <t>3508р</t>
  </si>
  <si>
    <t>3619р</t>
  </si>
  <si>
    <t>637р</t>
  </si>
  <si>
    <t>сколы/царапины</t>
  </si>
  <si>
    <t>Рассыпался</t>
  </si>
  <si>
    <t>744р</t>
  </si>
  <si>
    <t>1082р</t>
  </si>
  <si>
    <t xml:space="preserve">сломано </t>
  </si>
  <si>
    <t>1174р</t>
  </si>
  <si>
    <t>Затяжа</t>
  </si>
  <si>
    <t>1275р</t>
  </si>
  <si>
    <t>Не держит заряд</t>
  </si>
  <si>
    <t>Порвано</t>
  </si>
  <si>
    <t>2076р</t>
  </si>
  <si>
    <t>2095р</t>
  </si>
  <si>
    <t>2130р</t>
  </si>
  <si>
    <t>2271р</t>
  </si>
  <si>
    <t>2587р</t>
  </si>
  <si>
    <t>Следы клея</t>
  </si>
  <si>
    <t>2619р</t>
  </si>
  <si>
    <t>2656р</t>
  </si>
  <si>
    <t>3218р</t>
  </si>
  <si>
    <t>Обнаружен сотрудником при приёме товара</t>
  </si>
  <si>
    <t>Пустая упаковка, при приёмке показана на камеру</t>
  </si>
  <si>
    <t>4818р</t>
  </si>
  <si>
    <t xml:space="preserve">приехал мокрый </t>
  </si>
  <si>
    <t>669р</t>
  </si>
  <si>
    <t>887р</t>
  </si>
  <si>
    <t>907р</t>
  </si>
  <si>
    <t>вытекло</t>
  </si>
  <si>
    <t>залом</t>
  </si>
  <si>
    <t>пятно, царапины</t>
  </si>
  <si>
    <t>1814р</t>
  </si>
  <si>
    <t>2282р</t>
  </si>
  <si>
    <t>сломана упаковка</t>
  </si>
  <si>
    <t>2491р</t>
  </si>
  <si>
    <t>сколы, царапины, потертости, загрязнения</t>
  </si>
  <si>
    <t>Не рабоатает светодиод</t>
  </si>
  <si>
    <t>указаны разные размеры на бирке</t>
  </si>
  <si>
    <t>просрочка</t>
  </si>
  <si>
    <t>загрязнения, следы клея</t>
  </si>
  <si>
    <t>недокомлект</t>
  </si>
  <si>
    <t>коврик для машины со следами использования</t>
  </si>
  <si>
    <t>материальный дефект</t>
  </si>
  <si>
    <t>производственный брак краска на рукаве</t>
  </si>
  <si>
    <t>следы клея потертости</t>
  </si>
  <si>
    <t>211р</t>
  </si>
  <si>
    <t>3926р</t>
  </si>
  <si>
    <t>сломан замок собачка</t>
  </si>
  <si>
    <t>Скол</t>
  </si>
  <si>
    <t xml:space="preserve">Следы краски </t>
  </si>
  <si>
    <t>582о</t>
  </si>
  <si>
    <t>помят</t>
  </si>
  <si>
    <t>90р</t>
  </si>
  <si>
    <t xml:space="preserve">Следы ручки </t>
  </si>
  <si>
    <t>переморожены</t>
  </si>
  <si>
    <t>переморожены, плесень</t>
  </si>
  <si>
    <t>замята</t>
  </si>
  <si>
    <t>полосы</t>
  </si>
  <si>
    <t>3065р</t>
  </si>
  <si>
    <t>деформация упаковки</t>
  </si>
  <si>
    <t>упаковка порвана</t>
  </si>
  <si>
    <t>71р</t>
  </si>
  <si>
    <t>786р</t>
  </si>
  <si>
    <t>следы ручки на стельке</t>
  </si>
  <si>
    <t>разрыв строчки, торчат нитки</t>
  </si>
  <si>
    <t>следы клея, потертости, царапины</t>
  </si>
  <si>
    <t>потертости, следы клея, грязь</t>
  </si>
  <si>
    <t>А</t>
  </si>
  <si>
    <t>по регламенту вб</t>
  </si>
  <si>
    <t>потертости, грязь</t>
  </si>
  <si>
    <t>покрывало</t>
  </si>
  <si>
    <t>заморожены</t>
  </si>
  <si>
    <t>разбит флакон</t>
  </si>
  <si>
    <t>рассыпался</t>
  </si>
  <si>
    <t>отсутствует русскоязычная маркировка</t>
  </si>
  <si>
    <t>грязь дефект материала</t>
  </si>
  <si>
    <t>Обнаружен сотрудником при приемкетовара</t>
  </si>
  <si>
    <t>не соответствует карточке товара</t>
  </si>
  <si>
    <t>оторвана липучка</t>
  </si>
  <si>
    <t>царапины, грязь</t>
  </si>
  <si>
    <t>Клей</t>
  </si>
  <si>
    <t>Сломано</t>
  </si>
  <si>
    <t>оторваана пуговка</t>
  </si>
  <si>
    <t>4033р</t>
  </si>
  <si>
    <t xml:space="preserve">Клиент отказался брать на камеру - вскрытие заводской упаковки </t>
  </si>
  <si>
    <t>436р</t>
  </si>
  <si>
    <t>Клиент отказался брать на камеру + подменил пакеты по факту подмена ещё</t>
  </si>
  <si>
    <t>просыпалось</t>
  </si>
  <si>
    <t>не комплект</t>
  </si>
  <si>
    <t xml:space="preserve">дыра </t>
  </si>
  <si>
    <t>облезла краска</t>
  </si>
  <si>
    <t>упаковка нарушена</t>
  </si>
  <si>
    <t>товар другого цвета и формы</t>
  </si>
  <si>
    <t>отломан крепеж у ручки</t>
  </si>
  <si>
    <t>срезана бирка</t>
  </si>
  <si>
    <t>отсутствует зарядник, потертости</t>
  </si>
  <si>
    <t>сломана ручка у бензопилы</t>
  </si>
  <si>
    <t>пятна на куртке</t>
  </si>
  <si>
    <t>недокомплект,нет резинки сзади на кнопках</t>
  </si>
  <si>
    <t>1465р</t>
  </si>
  <si>
    <t>пыль, потертости, торчат нитки вдоль подошвы</t>
  </si>
  <si>
    <t>2490р</t>
  </si>
  <si>
    <t>1237р</t>
  </si>
  <si>
    <t>1244р</t>
  </si>
  <si>
    <t xml:space="preserve">Подмена </t>
  </si>
  <si>
    <t>1398р</t>
  </si>
  <si>
    <t>сломана крышка, протек</t>
  </si>
  <si>
    <t>1733р</t>
  </si>
  <si>
    <t>3721р</t>
  </si>
  <si>
    <t>8770р</t>
  </si>
  <si>
    <t>Испорчен</t>
  </si>
  <si>
    <t>заломы</t>
  </si>
  <si>
    <t>1551р</t>
  </si>
  <si>
    <t>ленты надорваны</t>
  </si>
  <si>
    <t>1677р</t>
  </si>
  <si>
    <t>истекает срок годности</t>
  </si>
  <si>
    <t>3491р</t>
  </si>
  <si>
    <t xml:space="preserve">Обнаружен сотрудником при приемке </t>
  </si>
  <si>
    <t>товар с двумя шк, подмена</t>
  </si>
  <si>
    <t>4145р</t>
  </si>
  <si>
    <t>Лобигер Алескандра Алескандровна</t>
  </si>
  <si>
    <t>темные полосы на самой обуви и подошве, следы ручки</t>
  </si>
  <si>
    <t>4511р</t>
  </si>
  <si>
    <t>отсутствует кольцо-брелок</t>
  </si>
  <si>
    <t>дефект покраски</t>
  </si>
  <si>
    <t>потертости, царапины, грязь</t>
  </si>
  <si>
    <t>костюм</t>
  </si>
  <si>
    <t>производственный брак (внитри колокольчик приклеен к стенке)</t>
  </si>
  <si>
    <t>пятно на воротнике</t>
  </si>
  <si>
    <t>следы клея царапины</t>
  </si>
  <si>
    <t>деформация изделия, следы клея</t>
  </si>
  <si>
    <t>Гниль,плесень</t>
  </si>
  <si>
    <t>срезаны все  бирки</t>
  </si>
  <si>
    <t>клей и сколы на подошве</t>
  </si>
  <si>
    <t xml:space="preserve">следы чернил ручки </t>
  </si>
  <si>
    <t>грязь, следы красной ручки</t>
  </si>
  <si>
    <t>Обнаружен при приёмке на пвз</t>
  </si>
  <si>
    <t>Погнут</t>
  </si>
  <si>
    <t>889р</t>
  </si>
  <si>
    <t>сломано, загрязнения</t>
  </si>
  <si>
    <t>плохо прокрашено</t>
  </si>
  <si>
    <t>перекос ткани</t>
  </si>
  <si>
    <t>автомобильные диски</t>
  </si>
  <si>
    <t>деформирован</t>
  </si>
  <si>
    <t>порез</t>
  </si>
  <si>
    <t>1270р</t>
  </si>
  <si>
    <t>2145р</t>
  </si>
  <si>
    <t>следы клея + царапины</t>
  </si>
  <si>
    <t>????????????</t>
  </si>
  <si>
    <t>?????</t>
  </si>
  <si>
    <t>?????????</t>
  </si>
  <si>
    <t>??????????</t>
  </si>
  <si>
    <t>???????</t>
  </si>
  <si>
    <t>???????????</t>
  </si>
  <si>
    <t>.28.12.25</t>
  </si>
  <si>
    <t>16.0825</t>
  </si>
  <si>
    <t>17.1125</t>
  </si>
  <si>
    <t>4782р</t>
  </si>
  <si>
    <t>*СрЫИ.ЦНИ</t>
  </si>
  <si>
    <t>Где и кем обнаружен?</t>
  </si>
  <si>
    <t>ШК товара</t>
  </si>
  <si>
    <t>Описание товара, брака и несоответствия</t>
  </si>
  <si>
    <t>Решение ситуации</t>
  </si>
  <si>
    <t>Стоимость</t>
  </si>
  <si>
    <t>ФИО Сотрудника</t>
  </si>
  <si>
    <t>MOLLYLANS
Блузка летняя нарядная больших размеров
Пришла грязная</t>
  </si>
  <si>
    <t>1228 р</t>
  </si>
  <si>
    <t>Танкини купальник с шортами раздельный</t>
  </si>
  <si>
    <t>2052р</t>
  </si>
  <si>
    <t>следы клея, грязь</t>
  </si>
  <si>
    <t>сломана сабачка на кармане</t>
  </si>
  <si>
    <t>царапины,</t>
  </si>
  <si>
    <t>сломана упаковка, царапины на ремне</t>
  </si>
  <si>
    <t>след помады</t>
  </si>
  <si>
    <t>Лобигер Алксандра Александровна</t>
  </si>
  <si>
    <t>материальные дефекты</t>
  </si>
  <si>
    <t>не полный комплект</t>
  </si>
  <si>
    <t>гниль</t>
  </si>
  <si>
    <t>стерта краска</t>
  </si>
  <si>
    <t>152р</t>
  </si>
  <si>
    <t>258р</t>
  </si>
  <si>
    <t>Разлито</t>
  </si>
  <si>
    <t>98р</t>
  </si>
  <si>
    <t>875р</t>
  </si>
  <si>
    <t>выпала линза</t>
  </si>
  <si>
    <t>следы разметки, загрязнения</t>
  </si>
  <si>
    <t>Подменца не тот цвет</t>
  </si>
  <si>
    <t>Подмена не тот размер</t>
  </si>
  <si>
    <t xml:space="preserve">Неполный комплект </t>
  </si>
  <si>
    <t>пятна, дефект материала</t>
  </si>
  <si>
    <t>крышка не закрывается</t>
  </si>
  <si>
    <t>нарушена упаковка</t>
  </si>
  <si>
    <t>918р</t>
  </si>
  <si>
    <t>засох</t>
  </si>
  <si>
    <t>следы от ручки</t>
  </si>
  <si>
    <t>1813р</t>
  </si>
  <si>
    <t>3238р</t>
  </si>
  <si>
    <t>204р</t>
  </si>
  <si>
    <t>Обнаружен клиентом во время примерки товара, клиент забирать вещь отказался</t>
  </si>
  <si>
    <t>дефект стельки, отсутствует часть у носка ботинка</t>
  </si>
  <si>
    <t>2509р</t>
  </si>
  <si>
    <t>430р</t>
  </si>
  <si>
    <t>Возможно загрязнение</t>
  </si>
  <si>
    <t>Давыдов Дмитрий Андрреевич</t>
  </si>
  <si>
    <t>Следы потертости и залома кожи</t>
  </si>
  <si>
    <t>потертости, грязь, следы клея</t>
  </si>
  <si>
    <t>не соответствует карточке товара (баркод совпадает)</t>
  </si>
  <si>
    <t>указано два размера</t>
  </si>
  <si>
    <t>порвана цепочка на кофте</t>
  </si>
  <si>
    <t>оторван декор от пуговици</t>
  </si>
  <si>
    <t>следы клея, деформация изделия</t>
  </si>
  <si>
    <t>загрязнения, деформация изделия</t>
  </si>
  <si>
    <t>некачественная фурнитура</t>
  </si>
  <si>
    <t>деформация изделия, царапины, грязь</t>
  </si>
  <si>
    <t xml:space="preserve">сломана молния </t>
  </si>
  <si>
    <t>деформация изделия, потертости</t>
  </si>
  <si>
    <t>Порезы черточки набасаножках</t>
  </si>
  <si>
    <t>потертости, загрязнения</t>
  </si>
  <si>
    <t>3083р</t>
  </si>
  <si>
    <t>1981р</t>
  </si>
  <si>
    <t>разметка от ручки</t>
  </si>
  <si>
    <t>06.03.26</t>
  </si>
  <si>
    <t xml:space="preserve">не крутятся ролики,нет крышек </t>
  </si>
  <si>
    <t>Обнаружен сотрудником при возврате товара, клиент забирать веь отказался</t>
  </si>
  <si>
    <t>733р</t>
  </si>
  <si>
    <t>разбита внутренняя стеклянная колба</t>
  </si>
  <si>
    <t>потертости и пятрно</t>
  </si>
  <si>
    <t>1557р</t>
  </si>
  <si>
    <t>не держится бусина</t>
  </si>
  <si>
    <t>566р</t>
  </si>
  <si>
    <t>4433р</t>
  </si>
  <si>
    <t>пятна, заломы</t>
  </si>
  <si>
    <t>10039р</t>
  </si>
  <si>
    <t>3071р</t>
  </si>
  <si>
    <t>411р</t>
  </si>
  <si>
    <t>309р</t>
  </si>
  <si>
    <t>4126р</t>
  </si>
  <si>
    <t>2845р</t>
  </si>
  <si>
    <t>202р</t>
  </si>
  <si>
    <t>производственные дефекты следы клея</t>
  </si>
  <si>
    <t>сколы на подрамнике</t>
  </si>
  <si>
    <t>производственные дефекты в стеклянном чайнике</t>
  </si>
  <si>
    <t>1426р</t>
  </si>
  <si>
    <t>1504р</t>
  </si>
  <si>
    <t>затяжка, грязь</t>
  </si>
  <si>
    <t>повреждена упаковка, просыпалось</t>
  </si>
  <si>
    <t>грязно с внутренней стороны</t>
  </si>
  <si>
    <t>загрязнения, торчат нитки</t>
  </si>
  <si>
    <t>Обнаружен клиентом при возврате товара, клиент забирать вещь отказался</t>
  </si>
  <si>
    <t>торчит косточка</t>
  </si>
  <si>
    <t>разрез</t>
  </si>
  <si>
    <t>10 945</t>
  </si>
  <si>
    <t>потертости царапины</t>
  </si>
  <si>
    <t>загрязнение затяжки</t>
  </si>
  <si>
    <t>деформация изделия, загрязнения</t>
  </si>
  <si>
    <t xml:space="preserve">повреждена упаковка </t>
  </si>
  <si>
    <t>16954р</t>
  </si>
  <si>
    <t xml:space="preserve">разлит </t>
  </si>
  <si>
    <t>1518р</t>
  </si>
  <si>
    <t>лобигер Алксандра Александровна</t>
  </si>
  <si>
    <t>1314р</t>
  </si>
  <si>
    <t>Грязь,вмятины</t>
  </si>
  <si>
    <t>2629р</t>
  </si>
  <si>
    <t>Потёртости,Грязь</t>
  </si>
  <si>
    <t>1223р</t>
  </si>
  <si>
    <t>Неполный комплект ,грязь</t>
  </si>
  <si>
    <t>1622р</t>
  </si>
  <si>
    <t>Деформация изделия</t>
  </si>
  <si>
    <t>1170р</t>
  </si>
  <si>
    <t>940р</t>
  </si>
  <si>
    <t>Следы использования</t>
  </si>
  <si>
    <t>деформация изделия, сколы/царапины</t>
  </si>
  <si>
    <t xml:space="preserve">загрязнение </t>
  </si>
  <si>
    <t>Дыра - форма брака не заполнилась,база сама кинула в коробку</t>
  </si>
  <si>
    <t>1087р</t>
  </si>
  <si>
    <t>загрязнения, царапины</t>
  </si>
  <si>
    <t>5009р</t>
  </si>
  <si>
    <t>Пыль-грязь</t>
  </si>
  <si>
    <t xml:space="preserve">Деформация </t>
  </si>
  <si>
    <t>Вмятины</t>
  </si>
  <si>
    <t>1667р</t>
  </si>
  <si>
    <t>деформация изделия, грязь</t>
  </si>
  <si>
    <t>потертости, следы клея</t>
  </si>
  <si>
    <t>загрянения, следы клея</t>
  </si>
  <si>
    <t>загрязнения, потертости, следы клея</t>
  </si>
  <si>
    <t>следы клея, деформация изделия, следы ручки</t>
  </si>
  <si>
    <t>царапины, следы клея</t>
  </si>
  <si>
    <t>2573р</t>
  </si>
  <si>
    <t>производственный брак</t>
  </si>
  <si>
    <t>расхождение в размерах</t>
  </si>
  <si>
    <t>нет пуговицы, разрез под пуговицу не в том месте</t>
  </si>
  <si>
    <t>15666р</t>
  </si>
  <si>
    <t>истек срок годности</t>
  </si>
  <si>
    <t>236р</t>
  </si>
  <si>
    <t>746р</t>
  </si>
  <si>
    <t>сломан кейс</t>
  </si>
  <si>
    <t>676р</t>
  </si>
  <si>
    <t>просыпан</t>
  </si>
  <si>
    <t>77р</t>
  </si>
  <si>
    <t>2951р</t>
  </si>
  <si>
    <t>2088р</t>
  </si>
  <si>
    <t>3923р</t>
  </si>
  <si>
    <t>3733р</t>
  </si>
  <si>
    <t>деформация изделия, трещины</t>
  </si>
  <si>
    <t>1554р</t>
  </si>
  <si>
    <t>потертости, деформация изделия</t>
  </si>
  <si>
    <t>загрязнения, деформация изделия, следы клея</t>
  </si>
  <si>
    <t>5107р</t>
  </si>
  <si>
    <t>1574р</t>
  </si>
  <si>
    <t>повреждена упаковка, загрязнения</t>
  </si>
  <si>
    <t>2610р</t>
  </si>
  <si>
    <t>дефект швов</t>
  </si>
  <si>
    <t>5302р</t>
  </si>
  <si>
    <t>пятнышко</t>
  </si>
  <si>
    <t>давыдов Дмитрий Андрреевич</t>
  </si>
  <si>
    <t>царапины, загрязнения</t>
  </si>
  <si>
    <t>3301р</t>
  </si>
  <si>
    <t>4356р</t>
  </si>
  <si>
    <t>оторвана пуговица</t>
  </si>
  <si>
    <t>6507р</t>
  </si>
  <si>
    <t>1159р</t>
  </si>
  <si>
    <t>потерости</t>
  </si>
  <si>
    <t>5174р</t>
  </si>
  <si>
    <t>Пыль-грязь, дефекты подлошвы</t>
  </si>
  <si>
    <t>нем бирок</t>
  </si>
  <si>
    <t>1834р</t>
  </si>
  <si>
    <t>Регламент по колёсам</t>
  </si>
  <si>
    <t>Регламент</t>
  </si>
  <si>
    <t>5354р</t>
  </si>
  <si>
    <t>пятно, торчащие нитки</t>
  </si>
  <si>
    <t>1336р</t>
  </si>
  <si>
    <t>погнут</t>
  </si>
  <si>
    <t>Нет бирок</t>
  </si>
  <si>
    <t xml:space="preserve">Клиент отказался брать на камеру </t>
  </si>
  <si>
    <t xml:space="preserve">Потёртости грязь </t>
  </si>
  <si>
    <t>5211р</t>
  </si>
  <si>
    <t>5049р</t>
  </si>
  <si>
    <t>5438р</t>
  </si>
  <si>
    <t>1480р</t>
  </si>
  <si>
    <t>мятый</t>
  </si>
  <si>
    <t>170р</t>
  </si>
  <si>
    <t>2831р</t>
  </si>
  <si>
    <t>дырка</t>
  </si>
  <si>
    <t>нет бирки</t>
  </si>
  <si>
    <t>разнопарка</t>
  </si>
  <si>
    <t>2740р</t>
  </si>
  <si>
    <t>подмена, нет тот размер</t>
  </si>
  <si>
    <t>2739р</t>
  </si>
  <si>
    <t>1952р</t>
  </si>
  <si>
    <t>4259р</t>
  </si>
  <si>
    <t>протекший</t>
  </si>
  <si>
    <t>сломана часть декора</t>
  </si>
  <si>
    <t>мследы клея</t>
  </si>
  <si>
    <t>лук гнилой</t>
  </si>
  <si>
    <t>пятна,царапины</t>
  </si>
  <si>
    <t>2960р</t>
  </si>
  <si>
    <t>сломан замок</t>
  </si>
  <si>
    <t>пятна на воротнике</t>
  </si>
  <si>
    <t>подмена со сколами</t>
  </si>
  <si>
    <t>10864р</t>
  </si>
  <si>
    <t>10950р</t>
  </si>
  <si>
    <t>Пыль-Грязь</t>
  </si>
  <si>
    <t>14103р</t>
  </si>
  <si>
    <t>3561р</t>
  </si>
  <si>
    <t>Маркер</t>
  </si>
  <si>
    <t>Запах,потёртости</t>
  </si>
  <si>
    <t>Маркер-ручка</t>
  </si>
  <si>
    <t>2280р</t>
  </si>
  <si>
    <t>Сломан замок</t>
  </si>
  <si>
    <t>2392р</t>
  </si>
  <si>
    <t>Обнаружен при приёмке товара</t>
  </si>
  <si>
    <t>Ручка</t>
  </si>
  <si>
    <t>2931р</t>
  </si>
  <si>
    <t>1913р</t>
  </si>
  <si>
    <t>пятно, нет бирки</t>
  </si>
  <si>
    <t>пыль</t>
  </si>
  <si>
    <t>плесень</t>
  </si>
  <si>
    <t>2030р</t>
  </si>
  <si>
    <t>разводы на подкладе</t>
  </si>
  <si>
    <t>607р</t>
  </si>
  <si>
    <t>желтое пятно</t>
  </si>
  <si>
    <t>подмена, не тот фасон, пятно</t>
  </si>
  <si>
    <t>грязные полосы</t>
  </si>
  <si>
    <t>2123р</t>
  </si>
  <si>
    <t>2228р</t>
  </si>
  <si>
    <t>1515р</t>
  </si>
  <si>
    <t>полоска на кроссовке</t>
  </si>
  <si>
    <t>1367р</t>
  </si>
  <si>
    <t>3630р</t>
  </si>
  <si>
    <t>938р</t>
  </si>
  <si>
    <t>4272р</t>
  </si>
  <si>
    <t>2053р</t>
  </si>
  <si>
    <t>5900р</t>
  </si>
  <si>
    <t>Испорчено</t>
  </si>
  <si>
    <t>610р</t>
  </si>
  <si>
    <t>1798р</t>
  </si>
  <si>
    <t>1919р</t>
  </si>
  <si>
    <t>2674р</t>
  </si>
  <si>
    <t>Чернила</t>
  </si>
  <si>
    <t>1780р</t>
  </si>
  <si>
    <t>3515р</t>
  </si>
  <si>
    <t>711р</t>
  </si>
  <si>
    <t>1290р</t>
  </si>
  <si>
    <t xml:space="preserve">пятнышки </t>
  </si>
  <si>
    <t>1451Р</t>
  </si>
  <si>
    <t xml:space="preserve">жевлаков Даниил Анатольевич </t>
  </si>
  <si>
    <t xml:space="preserve">Следы эксплуатации </t>
  </si>
  <si>
    <t>1508р</t>
  </si>
  <si>
    <t>1446р</t>
  </si>
  <si>
    <t>1621р</t>
  </si>
  <si>
    <t xml:space="preserve">клей спереди </t>
  </si>
  <si>
    <t>Деформация</t>
  </si>
  <si>
    <t>4231р</t>
  </si>
  <si>
    <t>2723р</t>
  </si>
  <si>
    <t>3912р</t>
  </si>
  <si>
    <t>2038р</t>
  </si>
  <si>
    <t>1368р</t>
  </si>
  <si>
    <t>Краска</t>
  </si>
  <si>
    <t>3556р</t>
  </si>
  <si>
    <t>Пуговица сколота</t>
  </si>
  <si>
    <t>3290р</t>
  </si>
  <si>
    <t>не совпадает с карточкой товара</t>
  </si>
  <si>
    <t>441р</t>
  </si>
  <si>
    <t>2543р</t>
  </si>
  <si>
    <t>следы клея, ручка</t>
  </si>
  <si>
    <t>2203р</t>
  </si>
  <si>
    <t>белая краска</t>
  </si>
  <si>
    <t>1758р</t>
  </si>
  <si>
    <t>758р</t>
  </si>
  <si>
    <t>следы краски</t>
  </si>
  <si>
    <t>5538р</t>
  </si>
  <si>
    <t>1697р</t>
  </si>
  <si>
    <t>грязб</t>
  </si>
  <si>
    <t>плодмена</t>
  </si>
  <si>
    <t>погнута</t>
  </si>
  <si>
    <t>несоотрветствие страны производителя</t>
  </si>
  <si>
    <t>потертости пятна</t>
  </si>
  <si>
    <t>Сломана одна из пяти счет</t>
  </si>
  <si>
    <t>вкрапления</t>
  </si>
  <si>
    <t>нет пояса</t>
  </si>
  <si>
    <t>отсутствут бирка</t>
  </si>
  <si>
    <t>рассыпалось</t>
  </si>
  <si>
    <t xml:space="preserve">
Обнаружен сотрудником при возврате товара</t>
  </si>
  <si>
    <t>съели по дороге, пришла только упаковка (фантик)</t>
  </si>
  <si>
    <t xml:space="preserve">разрыв строчки </t>
  </si>
  <si>
    <t xml:space="preserve">Антонов Владислав Денисович </t>
  </si>
  <si>
    <t>нет бирок</t>
  </si>
  <si>
    <t>не открывается картхолдер</t>
  </si>
  <si>
    <t>2128р</t>
  </si>
  <si>
    <t>787р</t>
  </si>
  <si>
    <t>1114р</t>
  </si>
  <si>
    <t xml:space="preserve">разбит </t>
  </si>
  <si>
    <t xml:space="preserve">Не соответствует размеру правый кросовок </t>
  </si>
  <si>
    <t>Адрес ПВЗ</t>
  </si>
  <si>
    <t>Ячейка</t>
  </si>
  <si>
    <t>Клиент</t>
  </si>
  <si>
    <t>Телефон</t>
  </si>
  <si>
    <t>Описание ситуации</t>
  </si>
  <si>
    <t>ШК товаров и их стоиость</t>
  </si>
  <si>
    <t xml:space="preserve">ФИО сотрудника,кто записал ситуацию </t>
  </si>
  <si>
    <t>Исправлено?</t>
  </si>
  <si>
    <t>неизвестно</t>
  </si>
  <si>
    <t>Клиент забыл свой товар на столе осмотра, оплаченный</t>
  </si>
  <si>
    <t>9131833492,448р</t>
  </si>
  <si>
    <t>клиент вернулся, товар отдали</t>
  </si>
  <si>
    <t xml:space="preserve">без происшествий </t>
  </si>
  <si>
    <t>без происшествий</t>
  </si>
  <si>
    <t>Не проведена выдача товара, программа пишет "нет денежных средств". Клиент ушёл с товаром, догнать не успела</t>
  </si>
  <si>
    <t>8266794384, 385р</t>
  </si>
  <si>
    <t>Списать 385р с зп Насти</t>
  </si>
  <si>
    <t>излишек</t>
  </si>
  <si>
    <t>Неудался возврат излишка</t>
  </si>
  <si>
    <t>Неизвестно</t>
  </si>
  <si>
    <t>Белах Виктория Александровна</t>
  </si>
  <si>
    <t>Приемка поставки. Не работал IPEYE. Запись велась на наши камеры на жесткий диск.</t>
  </si>
  <si>
    <t>Не прошла оплата товара у клиента</t>
  </si>
  <si>
    <t>Клиент вернулся</t>
  </si>
  <si>
    <t>Во время приемки не принялся товар, некоректный шк, не сканировался</t>
  </si>
  <si>
    <t>Лазурченкова Виктория Дмитриевна</t>
  </si>
  <si>
    <t>Товар приняли</t>
  </si>
  <si>
    <t>Была дата.!</t>
  </si>
  <si>
    <t xml:space="preserve"> клиент забыл свой товар на столе  осмотра,оплаченный</t>
  </si>
  <si>
    <t xml:space="preserve">  Щербачева  Виктория  Алексеевна</t>
  </si>
  <si>
    <t xml:space="preserve"> Клиент не вернулся за товаром</t>
  </si>
  <si>
    <t>Дата!</t>
  </si>
  <si>
    <t xml:space="preserve">Было много товаров . Спутала с возвратными и забыла забрать </t>
  </si>
  <si>
    <t>Вернулась, всё равно отказалась от товара</t>
  </si>
  <si>
    <t xml:space="preserve">Мужчина забыл забрать товар </t>
  </si>
  <si>
    <t>решено</t>
  </si>
  <si>
    <t>забыл</t>
  </si>
  <si>
    <t>Клиент забыл забрать товар</t>
  </si>
  <si>
    <t>В поставке пришла вместо товара полная коробка использованного картона</t>
  </si>
  <si>
    <t>Отправил обратно с возвратом</t>
  </si>
  <si>
    <t>01.07.2025  18:40-18:50</t>
  </si>
  <si>
    <t>Мальского 5А</t>
  </si>
  <si>
    <t>Неодимовый магнит с отверстием с зенковкой 25х12х3 мм. 4 шт. Лонгслив спортивный рашгард</t>
  </si>
  <si>
    <t>32069506947 37650691259</t>
  </si>
  <si>
    <t>клиент сказал что прошла оплата, в программе не даёт выдать.</t>
  </si>
  <si>
    <t>02.07.2025
 12:56:00</t>
  </si>
  <si>
    <t>Джинсовая куртка оверсайз укороченная</t>
  </si>
  <si>
    <t>33077760505
2875р.</t>
  </si>
  <si>
    <t>Клиент отказался принимать товар с браком после примерочной</t>
  </si>
  <si>
    <t>04.07.2025 17:20-17:34</t>
  </si>
  <si>
    <t>Был большой поток людей,клиент ушел не дожидаясь подтверждения оплаты</t>
  </si>
  <si>
    <t>37496754385 1085р 37730883458 520р 35685971124 268р 37893299525 531р 37895702195 790р</t>
  </si>
  <si>
    <t>Голубева Варвара Сергеевна</t>
  </si>
  <si>
    <t>06.07.2025 12:20-12:40</t>
  </si>
  <si>
    <t>Не проведена выдача товара, программа пишет "у пользователя отсутсвуют привязанные карты". Клиент ушёл с товаром.</t>
  </si>
  <si>
    <t>34684794056 1164р 35151096795 1164р</t>
  </si>
  <si>
    <t>Клиент вернулся и оплатил товар</t>
  </si>
  <si>
    <t>13.08.2025 12:30-12:40</t>
  </si>
  <si>
    <t>Был поток людей,клиент ушел не дожидаясь подтверждения оплаты</t>
  </si>
  <si>
    <t xml:space="preserve">34792675800 126 р. 37387105009 884 р. 36870337616 342 р. 39920953077 457 р. </t>
  </si>
  <si>
    <t>Клиент все оплатил</t>
  </si>
  <si>
    <t>23.08.2025 21:15-21:20</t>
  </si>
  <si>
    <t xml:space="preserve">Товар после переупаковки уехал с неверным шк. Из за невнимательности не заметила наклейку, которую приклеила к столу и отправила товар на склад с другим стикером. На следующий день обнаружила стикер на столе. </t>
  </si>
  <si>
    <t xml:space="preserve"> Приблизительное ШК товара с оторым уехал 38039479815; действующее ШК товара 38039479817</t>
  </si>
  <si>
    <t>4148193 2708 - 342 р</t>
  </si>
  <si>
    <t xml:space="preserve">Клиент забрал все товары, но один упал в возвраты, там и завис </t>
  </si>
  <si>
    <t>31885614608 - 172 р</t>
  </si>
  <si>
    <t>Клиент забрал все товары,но один упал в отмену</t>
  </si>
  <si>
    <t>42167235541-176р</t>
  </si>
  <si>
    <t xml:space="preserve">Клиент забрал все товары, но один упал в возвраты </t>
  </si>
  <si>
    <t>36558887322 - 487р</t>
  </si>
  <si>
    <t>кто-то закрыл МП коробку 13173057, которая была создана 14.04.25 19:54, закрыта - 22.01.26 14:00, находится один товар</t>
  </si>
  <si>
    <t>33627515099 - 1008р</t>
  </si>
  <si>
    <t>Лобигер Александра</t>
  </si>
  <si>
    <t>Возврат  из дома от клиента легинсы зимние без бирки. Выданы были курьером. Со слов клиентки курьер не дал времени проверить и примерить.</t>
  </si>
  <si>
    <t>37227087625 - 508</t>
  </si>
  <si>
    <t>Возврат из дома</t>
  </si>
  <si>
    <t xml:space="preserve">Не завершён до конца. </t>
  </si>
  <si>
    <t>Решён.Клиент вернулся и доделали возврат</t>
  </si>
  <si>
    <t>ТАБЛИЦУ ЗАПОЛНЯЛ, ПИШЕМ ФАМИЛИЮ И ИМЯ</t>
  </si>
  <si>
    <t xml:space="preserve">Давыдов Дмитрий </t>
  </si>
  <si>
    <t>Давыдов Дмитрий</t>
  </si>
  <si>
    <t>Давыдов Дима</t>
  </si>
  <si>
    <t>Термоэтикетки белые 30х20 для приёмки товаров</t>
  </si>
  <si>
    <t>заказано</t>
  </si>
  <si>
    <t>ВСЁ ЕСТЬ</t>
  </si>
  <si>
    <t>все есть</t>
  </si>
  <si>
    <t>Батарейки</t>
  </si>
  <si>
    <t>Все есть</t>
  </si>
  <si>
    <t>Маркеры</t>
  </si>
  <si>
    <t>выдано 24.06</t>
  </si>
  <si>
    <t>Заказано 26.11</t>
  </si>
  <si>
    <t>Заказано</t>
  </si>
  <si>
    <t>Скотч</t>
  </si>
  <si>
    <t>Антисептик</t>
  </si>
  <si>
    <t>Резинки для волос</t>
  </si>
  <si>
    <t>Заказано 10.11</t>
  </si>
  <si>
    <t>Заказано 09.02</t>
  </si>
  <si>
    <t>Одноразовые носки</t>
  </si>
  <si>
    <t>Губка для обуви</t>
  </si>
  <si>
    <t>Салфетки сухие в квадратной коробке / прямоугольном пакете</t>
  </si>
  <si>
    <t>Заказано 10.12</t>
  </si>
  <si>
    <t>Салфетки влажные</t>
  </si>
  <si>
    <t>!!! Сергей выдаст из расходников  с Белинсокго, елси не выдаст- анпишите мне в ТГ</t>
  </si>
  <si>
    <t>Сменные ролики для чистки одежды</t>
  </si>
  <si>
    <t>Стикеры для записей</t>
  </si>
  <si>
    <t>Выдано</t>
  </si>
  <si>
    <t>Нож канцелярский</t>
  </si>
  <si>
    <t>Ножницы</t>
  </si>
  <si>
    <t>Коробки для ячеек Большие</t>
  </si>
  <si>
    <t>Коробки для ячеек Маленькие</t>
  </si>
  <si>
    <t>Диффузор (освежитель воздуха)</t>
  </si>
  <si>
    <t>сменный блокк для диффузора есть еще 1 в коробке от диффузора</t>
  </si>
  <si>
    <t>Чай</t>
  </si>
  <si>
    <t>Сахар</t>
  </si>
  <si>
    <t>Заказано 27.01</t>
  </si>
  <si>
    <t xml:space="preserve">Салфетки </t>
  </si>
  <si>
    <t>Заказано 19.01</t>
  </si>
  <si>
    <t>Туалетная бумага</t>
  </si>
  <si>
    <t>Средство для посуды</t>
  </si>
  <si>
    <t>Мешки для мусора</t>
  </si>
  <si>
    <t>*</t>
  </si>
  <si>
    <t>выдано 17.06</t>
  </si>
  <si>
    <t>Выдаём</t>
  </si>
  <si>
    <t>нада</t>
  </si>
  <si>
    <t>Ролик для одежды</t>
  </si>
  <si>
    <t>Корзина для мусора в примерчную</t>
  </si>
  <si>
    <t>Ложка для обуви</t>
  </si>
  <si>
    <t>Коврик в примерочную</t>
  </si>
  <si>
    <t>Сканер штрихкодов</t>
  </si>
  <si>
    <t>Перчатки одноразовые</t>
  </si>
  <si>
    <t>Раскраски</t>
  </si>
  <si>
    <t>спросить у Ирины</t>
  </si>
  <si>
    <t>выдано</t>
  </si>
  <si>
    <t>Бумажные полотенца</t>
  </si>
  <si>
    <t>выдано 19.06</t>
  </si>
  <si>
    <t>Моющее средство для стёкол и зеркал</t>
  </si>
  <si>
    <t xml:space="preserve">Лезвия для канцелярских ножей </t>
  </si>
  <si>
    <t>Мыло для рук</t>
  </si>
  <si>
    <t>Меламиновая губка</t>
  </si>
  <si>
    <t>Взять на 2 этаже, Ирина знает</t>
  </si>
  <si>
    <t>Совок с метлой</t>
  </si>
  <si>
    <t>ведро и швабру</t>
  </si>
  <si>
    <t>совок заказан</t>
  </si>
  <si>
    <t>привезем на пункт</t>
  </si>
  <si>
    <t>ЗАКАЗАНО 19.01</t>
  </si>
  <si>
    <t>Сканер заказан 27.02</t>
  </si>
  <si>
    <t>заказано 31.03</t>
  </si>
  <si>
    <t>заказано 17.03</t>
  </si>
  <si>
    <t>Привезем на пункт</t>
  </si>
  <si>
    <t>Заказано 16.12</t>
  </si>
  <si>
    <t>привезем</t>
  </si>
  <si>
    <t>заказано 18.02</t>
  </si>
  <si>
    <t>Корзина для мусора в примерочную</t>
  </si>
  <si>
    <t>Сухие полотенца для окон и зеркал</t>
  </si>
  <si>
    <t>Губка для мытья посуды</t>
  </si>
  <si>
    <t>Губка меламиновая</t>
  </si>
  <si>
    <t>Средство для мытья стекл и зеркал</t>
  </si>
  <si>
    <t>СТУЛ</t>
  </si>
  <si>
    <t>Столбец 1</t>
  </si>
  <si>
    <t>06.06.25</t>
  </si>
  <si>
    <t>13.06.25</t>
  </si>
  <si>
    <t>20.06.25</t>
  </si>
  <si>
    <t>27.06.25</t>
  </si>
  <si>
    <t>04.07.25</t>
  </si>
  <si>
    <t>18.7.25</t>
  </si>
  <si>
    <t>1.8.25</t>
  </si>
  <si>
    <t>8.8.25</t>
  </si>
  <si>
    <t>15.8.25</t>
  </si>
  <si>
    <t>22.8.26</t>
  </si>
  <si>
    <t>29.8.26</t>
  </si>
  <si>
    <t>05.9.26</t>
  </si>
  <si>
    <t>12.09.25</t>
  </si>
  <si>
    <t>19.09.25</t>
  </si>
  <si>
    <t>26.09.25</t>
  </si>
  <si>
    <t>03.10.25</t>
  </si>
  <si>
    <t>14.10.25</t>
  </si>
  <si>
    <t>24.10.25</t>
  </si>
  <si>
    <t>30.10.25</t>
  </si>
  <si>
    <t>07.11.25</t>
  </si>
  <si>
    <t>14.11.25</t>
  </si>
  <si>
    <t>21.11.2025</t>
  </si>
  <si>
    <t>29.11.2025</t>
  </si>
  <si>
    <t>05.12.2025</t>
  </si>
  <si>
    <t>12.12.2025</t>
  </si>
  <si>
    <t>19.12.25</t>
  </si>
  <si>
    <t>28.12.25</t>
  </si>
  <si>
    <t>02.01.2026</t>
  </si>
  <si>
    <t>09.01.2026</t>
  </si>
  <si>
    <t>16.01.2026</t>
  </si>
  <si>
    <t>23.01.2026</t>
  </si>
  <si>
    <t>Column 33</t>
  </si>
  <si>
    <t>06.02.2026</t>
  </si>
  <si>
    <t>13.02.2026</t>
  </si>
  <si>
    <t>20.02.2026</t>
  </si>
  <si>
    <t>02.03.2026</t>
  </si>
  <si>
    <t>Column 38</t>
  </si>
  <si>
    <t>Column 39</t>
  </si>
  <si>
    <t>Column 40</t>
  </si>
  <si>
    <t>27.03.2026</t>
  </si>
  <si>
    <t>Column 42</t>
  </si>
  <si>
    <t xml:space="preserve">Даниил </t>
  </si>
  <si>
    <t>Жевлаков Даня</t>
  </si>
  <si>
    <t>ВСЕ ЕСТЬ</t>
  </si>
  <si>
    <t xml:space="preserve">ВСЁ ЕСТЬ </t>
  </si>
  <si>
    <t xml:space="preserve">ЗАКАЗАНО 19.01 </t>
  </si>
  <si>
    <t>всё с 02.03</t>
  </si>
  <si>
    <t>20.03
Всё есть</t>
  </si>
  <si>
    <t xml:space="preserve">Заказано </t>
  </si>
  <si>
    <t>Заказано 26.02</t>
  </si>
  <si>
    <t>Заказать</t>
  </si>
  <si>
    <t>Заказано 29.12</t>
  </si>
  <si>
    <t>ЗАКАЗАНО 19.01 2 ШТ</t>
  </si>
  <si>
    <t>Заказано 2 шт</t>
  </si>
  <si>
    <t>заказано 3 шт.  31.03</t>
  </si>
  <si>
    <t xml:space="preserve">Перемещение с Белинского </t>
  </si>
  <si>
    <t>ЗАКАЗАНО 19.01 * (1 уп.)</t>
  </si>
  <si>
    <t>Заказано 4.02</t>
  </si>
  <si>
    <t>Привезём на пункт</t>
  </si>
  <si>
    <r>
      <rPr>
        <rFont val="Arial"/>
        <strike val="0"/>
        <color rgb="FF000000"/>
      </rPr>
      <t>Привезем на пункт</t>
    </r>
    <r>
      <rPr>
        <rFont val="Arial"/>
        <color rgb="FF000000"/>
      </rPr>
      <t xml:space="preserve"> </t>
    </r>
  </si>
  <si>
    <t>Средство для окон и зеркал</t>
  </si>
  <si>
    <t>Закзаать</t>
  </si>
  <si>
    <t>Кончилась</t>
  </si>
  <si>
    <t>привезём на пункт</t>
  </si>
  <si>
    <t xml:space="preserve">Привезем на пункт </t>
  </si>
  <si>
    <t>привзли</t>
  </si>
  <si>
    <t>март</t>
  </si>
  <si>
    <t>май</t>
  </si>
  <si>
    <t>Низовкина Анна</t>
  </si>
  <si>
    <t>Устьянцев Влад</t>
  </si>
  <si>
    <t>илона федина</t>
  </si>
  <si>
    <t>всё есть</t>
  </si>
  <si>
    <t xml:space="preserve">           </t>
  </si>
  <si>
    <t xml:space="preserve">привезем </t>
  </si>
  <si>
    <t>ПРИВЕЗЕМ</t>
  </si>
  <si>
    <t>упаковку</t>
  </si>
  <si>
    <t>везем на пункт</t>
  </si>
  <si>
    <t>две пары</t>
  </si>
  <si>
    <t xml:space="preserve">Привезем </t>
  </si>
  <si>
    <t>Средство для мытья стекол и зеркал</t>
  </si>
  <si>
    <t>Наклейка на входные двери:   нельзя с собаками</t>
  </si>
  <si>
    <t>дата</t>
  </si>
  <si>
    <t>ночная</t>
  </si>
  <si>
    <t>утренняя</t>
  </si>
  <si>
    <t>дневная</t>
  </si>
  <si>
    <t>вечерняя</t>
  </si>
  <si>
    <t>итог</t>
  </si>
  <si>
    <t>105+58</t>
  </si>
  <si>
    <t>66+56</t>
  </si>
  <si>
    <t>91+64</t>
  </si>
  <si>
    <t>45+66</t>
  </si>
  <si>
    <t>20+56</t>
  </si>
  <si>
    <t>15+4</t>
  </si>
  <si>
    <t>25+118</t>
  </si>
  <si>
    <t>54+58</t>
  </si>
  <si>
    <t>56+91</t>
  </si>
  <si>
    <t>26+69</t>
  </si>
  <si>
    <t>55+61</t>
  </si>
  <si>
    <t>66+34</t>
  </si>
  <si>
    <t>87+53</t>
  </si>
  <si>
    <t>116+33</t>
  </si>
  <si>
    <t>82+92</t>
  </si>
  <si>
    <t>66+37</t>
  </si>
  <si>
    <t>43+105</t>
  </si>
  <si>
    <t>57+88</t>
  </si>
  <si>
    <t>52+72</t>
  </si>
  <si>
    <t>63+2</t>
  </si>
  <si>
    <t>59+51</t>
  </si>
  <si>
    <t>84+52</t>
  </si>
  <si>
    <t>102+67</t>
  </si>
  <si>
    <t>96+88</t>
  </si>
  <si>
    <t>128+99</t>
  </si>
  <si>
    <t>116+50+86+23</t>
  </si>
  <si>
    <t>48+56</t>
  </si>
  <si>
    <t>41+46</t>
  </si>
  <si>
    <t>97+58</t>
  </si>
  <si>
    <t>50+49</t>
  </si>
  <si>
    <t>23+14</t>
  </si>
  <si>
    <t>4+104</t>
  </si>
  <si>
    <t>87+44</t>
  </si>
  <si>
    <t>28+43+57</t>
  </si>
  <si>
    <t>76+18</t>
  </si>
  <si>
    <t>55+8</t>
  </si>
  <si>
    <t>76+61</t>
  </si>
  <si>
    <t>103+21</t>
  </si>
  <si>
    <t>63+119</t>
  </si>
  <si>
    <t>65+16</t>
  </si>
  <si>
    <t>87+151</t>
  </si>
  <si>
    <t>128+25+8</t>
  </si>
  <si>
    <t>100+71+22</t>
  </si>
  <si>
    <t>28+51</t>
  </si>
  <si>
    <t>206+133</t>
  </si>
  <si>
    <t>68+78+31</t>
  </si>
  <si>
    <t>51+37</t>
  </si>
  <si>
    <t>72+4</t>
  </si>
  <si>
    <t>115+102</t>
  </si>
  <si>
    <t>67+105+51</t>
  </si>
  <si>
    <t>92+90</t>
  </si>
  <si>
    <t>74+5</t>
  </si>
  <si>
    <t>40+48+52</t>
  </si>
  <si>
    <t>34+29</t>
  </si>
  <si>
    <t>59+61</t>
  </si>
  <si>
    <t>22+73</t>
  </si>
  <si>
    <t>67+36</t>
  </si>
  <si>
    <t>78+57</t>
  </si>
  <si>
    <t>89+4</t>
  </si>
  <si>
    <t>20+70+51+69</t>
  </si>
  <si>
    <t>129+22</t>
  </si>
  <si>
    <t>62+132</t>
  </si>
  <si>
    <t>158+22</t>
  </si>
  <si>
    <t>№</t>
  </si>
  <si>
    <t>ФИО ребёнка</t>
  </si>
  <si>
    <t>Возраст</t>
  </si>
  <si>
    <t>ФИО родителя</t>
  </si>
  <si>
    <t>Адрес проживания</t>
  </si>
  <si>
    <t>Покупки на WB?</t>
  </si>
  <si>
    <t>На какой пункт?</t>
  </si>
  <si>
    <t>Чем привлекает пункт,который выбрали?</t>
  </si>
  <si>
    <t>Согласие на обработку ПД? Да\Нет</t>
  </si>
  <si>
    <t>Отдали купон в игровую комнату ДА/НЕТ</t>
  </si>
  <si>
    <t>Седых Любовь</t>
  </si>
  <si>
    <t>10 лет</t>
  </si>
  <si>
    <t>Китова Анастасия Викторовна</t>
  </si>
  <si>
    <t>Да</t>
  </si>
  <si>
    <t>6 квартал,д.36</t>
  </si>
  <si>
    <t>Быстрая выдача заказов. Приветливые сотрудники.</t>
  </si>
  <si>
    <t xml:space="preserve">Перчатки хлопковые многоразовые для разбора поставки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</si>
</sst>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d/m"/>
    <numFmt numFmtId="165" formatCode="d-m"/>
    <numFmt numFmtId="166" formatCode="0.000"/>
    <numFmt numFmtId="167" formatCode="0.0"/>
    <numFmt numFmtId="168" formatCode="dd.mm"/>
    <numFmt numFmtId="169" formatCode="d.m"/>
    <numFmt numFmtId="170" formatCode="dd/mm"/>
    <numFmt numFmtId="171" formatCode="dd.mm."/>
    <numFmt numFmtId="172" formatCode="dd.mm.yy"/>
    <numFmt numFmtId="173" formatCode="d.m.yy"/>
    <numFmt numFmtId="174" formatCode="dd,mm,yy"/>
    <numFmt numFmtId="175" formatCode="mm.yyyy"/>
    <numFmt numFmtId="176" formatCode="m.yyyy"/>
    <numFmt numFmtId="177" formatCode="d.m.yyyy"/>
    <numFmt numFmtId="178" formatCode="d,m,yy"/>
    <numFmt numFmtId="179" formatCode="dd.mm.yyyy"/>
    <numFmt numFmtId="180" formatCode="d,m,yyyy"/>
    <numFmt numFmtId="181" formatCode="dd/mm/yy"/>
    <numFmt numFmtId="182" formatCode="dd.MM.yyyy"/>
    <numFmt numFmtId="183" formatCode="dd,mm,yyyy"/>
  </numFmts>
  <fonts count="10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4.0"/>
      <color rgb="FFFF0000"/>
      <name val="Arial"/>
      <scheme val="minor"/>
    </font>
    <font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4.0"/>
      <color rgb="FF000000"/>
      <name val="Arial"/>
    </font>
    <font>
      <b/>
      <sz val="12.0"/>
      <color rgb="FF000000"/>
      <name val="Arial"/>
    </font>
    <font>
      <sz val="14.0"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rgb="FF000000"/>
      <name val="Arial"/>
    </font>
    <font>
      <sz val="14.0"/>
      <color rgb="FFFF0000"/>
      <name val="Arial"/>
    </font>
    <font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4.0"/>
      <color rgb="FF93C47D"/>
      <name val="Arial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4.0"/>
      <color rgb="FFFF0000"/>
      <name val="Arial"/>
      <scheme val="minor"/>
    </font>
    <font>
      <strike/>
      <sz val="14.0"/>
      <color theme="1"/>
      <name val="Arial"/>
      <scheme val="minor"/>
    </font>
    <font>
      <b/>
      <strike/>
      <sz val="14.0"/>
      <color theme="1"/>
      <name val="Arial"/>
      <scheme val="minor"/>
    </font>
    <font>
      <b/>
      <sz val="14.0"/>
      <color rgb="FF000000"/>
      <name val="Arial"/>
      <scheme val="minor"/>
    </font>
    <font>
      <sz val="10.0"/>
      <color rgb="FF000000"/>
      <name val="Arial"/>
    </font>
    <font>
      <b/>
      <sz val="13.0"/>
      <color theme="1"/>
      <name val="Arial"/>
      <scheme val="minor"/>
    </font>
    <font>
      <b/>
      <sz val="13.0"/>
      <color theme="1"/>
      <name val="Arial"/>
    </font>
    <font>
      <strike/>
      <sz val="14.0"/>
      <color rgb="FFFF0000"/>
      <name val="Arial"/>
      <scheme val="minor"/>
    </font>
    <font>
      <strike/>
      <sz val="14.0"/>
      <color rgb="FF3C78D8"/>
      <name val="Arial"/>
      <scheme val="minor"/>
    </font>
    <font>
      <color rgb="FF000000"/>
      <name val="Arial"/>
      <scheme val="minor"/>
    </font>
    <font>
      <b/>
      <sz val="18.0"/>
      <color rgb="FFFF0000"/>
      <name val="Arial"/>
    </font>
    <font>
      <color rgb="FFFF0000"/>
      <name val="Arial"/>
      <scheme val="minor"/>
    </font>
    <font>
      <sz val="11.0"/>
      <color theme="1"/>
      <name val="Arial"/>
      <scheme val="minor"/>
    </font>
    <font>
      <b/>
      <sz val="11.0"/>
      <color rgb="FFFF00FF"/>
      <name val="Arial"/>
      <scheme val="minor"/>
    </font>
    <font>
      <color rgb="FF00FF00"/>
      <name val="Arial"/>
      <scheme val="minor"/>
    </font>
    <font>
      <strike/>
      <color rgb="FF000000"/>
      <name val="Arial"/>
      <scheme val="minor"/>
    </font>
    <font>
      <b/>
      <color rgb="FFFF00FF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color rgb="FF6AA84F"/>
      <name val="Arial"/>
      <scheme val="minor"/>
    </font>
    <font>
      <b/>
      <color theme="7"/>
      <name val="Arial"/>
      <scheme val="minor"/>
    </font>
    <font>
      <color theme="7"/>
      <name val="Arial"/>
      <scheme val="minor"/>
    </font>
    <font>
      <color rgb="FF34A853"/>
      <name val="Arial"/>
      <scheme val="minor"/>
    </font>
    <font>
      <strike/>
      <color theme="1"/>
      <name val="Arial"/>
      <scheme val="minor"/>
    </font>
    <font>
      <b/>
      <sz val="12.0"/>
      <color rgb="FFFF0000"/>
      <name val="Arial"/>
      <scheme val="minor"/>
    </font>
    <font>
      <color rgb="FFEFEFEF"/>
      <name val="Arial"/>
      <scheme val="minor"/>
    </font>
    <font>
      <b/>
      <sz val="11.0"/>
      <color rgb="FFFF0000"/>
      <name val="Arial"/>
      <scheme val="minor"/>
    </font>
    <font>
      <sz val="11.0"/>
      <color theme="1"/>
      <name val="Arial"/>
    </font>
    <font>
      <b/>
      <sz val="26.0"/>
      <color rgb="FFFF0000"/>
      <name val="Arial"/>
      <scheme val="minor"/>
    </font>
    <font>
      <sz val="10.0"/>
      <color rgb="FF242424"/>
      <name val="Arial"/>
      <scheme val="minor"/>
    </font>
    <font>
      <sz val="11.0"/>
      <color theme="1"/>
      <name val="Times New Roman"/>
    </font>
    <font>
      <sz val="10.0"/>
      <color rgb="FF000000"/>
      <name val="Hauss"/>
    </font>
    <font>
      <sz val="10.0"/>
      <color rgb="FF000000"/>
      <name val="Rob"/>
    </font>
    <font>
      <color rgb="FF242424"/>
      <name val="Hauss"/>
    </font>
    <font>
      <sz val="10.0"/>
      <color rgb="FF242424"/>
      <name val="Hauss"/>
    </font>
    <font>
      <sz val="10.0"/>
      <color rgb="FF242424"/>
      <name val="Arial"/>
    </font>
    <font>
      <sz val="9.0"/>
      <color rgb="FF242429"/>
      <name val="Arial"/>
    </font>
    <font>
      <sz val="10.0"/>
      <color rgb="FF242429"/>
      <name val="Arial"/>
    </font>
    <font>
      <sz val="11.0"/>
      <color rgb="FF000000"/>
      <name val="Arial"/>
    </font>
    <font>
      <sz val="12.0"/>
      <color rgb="FF000000"/>
      <name val="Rob"/>
    </font>
    <font>
      <sz val="10.0"/>
      <color rgb="FF242429"/>
      <name val="Arial"/>
      <scheme val="minor"/>
    </font>
    <font>
      <sz val="18.0"/>
      <color rgb="FFFA1F4B"/>
      <name val="Arial"/>
    </font>
    <font>
      <b/>
      <color theme="1"/>
      <name val="Arial"/>
    </font>
    <font/>
    <font>
      <b/>
      <sz val="10.0"/>
      <color theme="1"/>
      <name val="Arial"/>
      <scheme val="minor"/>
    </font>
    <font>
      <b/>
      <sz val="11.0"/>
      <color rgb="FF000000"/>
      <name val="Arial"/>
    </font>
    <font>
      <b/>
      <sz val="17.0"/>
      <color rgb="FFFF0000"/>
      <name val="Arial"/>
      <scheme val="minor"/>
    </font>
    <font>
      <strike/>
      <color theme="1"/>
      <name val="Arial"/>
    </font>
    <font>
      <strike/>
      <sz val="14.0"/>
      <color theme="1"/>
      <name val="Arial"/>
    </font>
    <font>
      <strike/>
      <sz val="10.0"/>
      <color theme="1"/>
      <name val="Arial"/>
      <scheme val="minor"/>
    </font>
    <font>
      <sz val="15.0"/>
      <color theme="1"/>
      <name val="Impact"/>
    </font>
    <font>
      <strike/>
      <color rgb="FFFF0000"/>
      <name val="Arial"/>
      <scheme val="minor"/>
    </font>
    <font>
      <b/>
      <sz val="9.0"/>
      <color rgb="FF00FF00"/>
      <name val="Arial"/>
    </font>
    <font>
      <b/>
      <color rgb="FFFFFFFF"/>
      <name val="Arial"/>
      <scheme val="minor"/>
    </font>
    <font>
      <sz val="14.0"/>
      <color rgb="FF00FF00"/>
      <name val="Arial"/>
    </font>
    <font>
      <color rgb="FF00FF00"/>
      <name val="Arial"/>
    </font>
    <font>
      <b/>
      <strike/>
      <color rgb="FFFF0000"/>
      <name val="Arial"/>
      <scheme val="minor"/>
    </font>
    <font>
      <sz val="23.0"/>
      <color theme="1"/>
      <name val="Arial"/>
    </font>
    <font>
      <sz val="22.0"/>
      <color theme="1"/>
      <name val="Arial"/>
    </font>
    <font>
      <sz val="20.0"/>
      <color theme="1"/>
      <name val="Arial"/>
    </font>
    <font>
      <b/>
      <sz val="20.0"/>
      <color theme="1"/>
      <name val="Arial"/>
    </font>
    <font>
      <strike/>
      <sz val="14.0"/>
      <color rgb="FFFF0000"/>
      <name val="Arial"/>
    </font>
    <font>
      <color rgb="FFFFFFFF"/>
      <name val="Roboto"/>
    </font>
    <font>
      <color rgb="FF000000"/>
      <name val="Arial"/>
    </font>
    <font>
      <b/>
      <sz val="20.0"/>
      <color rgb="FF000000"/>
      <name val="Arial"/>
      <scheme val="minor"/>
    </font>
    <font>
      <b/>
      <sz val="13.0"/>
      <color rgb="FF000000"/>
      <name val="Arial"/>
    </font>
    <font>
      <b/>
      <sz val="25.0"/>
      <color rgb="FF000000"/>
      <name val="Arial"/>
    </font>
    <font>
      <sz val="15.0"/>
      <color theme="1"/>
      <name val="Arial"/>
      <scheme val="minor"/>
    </font>
    <font>
      <strike/>
      <sz val="10.0"/>
      <color rgb="FF000000"/>
      <name val="Arial"/>
    </font>
    <font>
      <color rgb="FFFF0000"/>
      <name val="Arial"/>
    </font>
    <font>
      <strike/>
      <color rgb="FFFF0000"/>
      <name val="Arial"/>
    </font>
    <font>
      <b/>
      <sz val="7.0"/>
      <color rgb="FFFFFFFF"/>
      <name val="Arial"/>
      <scheme val="minor"/>
    </font>
    <font>
      <strike/>
      <color rgb="FF000000"/>
      <name val="Arial"/>
    </font>
    <font>
      <b/>
      <sz val="15.0"/>
      <color theme="1"/>
      <name val="Arial"/>
    </font>
    <font>
      <b/>
      <sz val="15.0"/>
      <color theme="1"/>
      <name val="Arial"/>
      <scheme val="minor"/>
    </font>
    <font>
      <b/>
      <strike/>
      <sz val="15.0"/>
      <color theme="1"/>
      <name val="Arial"/>
    </font>
    <font>
      <sz val="16.0"/>
      <color theme="1"/>
      <name val="Arial"/>
      <scheme val="minor"/>
    </font>
    <font>
      <strike/>
      <color rgb="FF00FF00"/>
      <name val="Arial"/>
    </font>
    <font>
      <strike/>
      <sz val="11.0"/>
      <color theme="1"/>
      <name val="Arial"/>
      <scheme val="minor"/>
    </font>
  </fonts>
  <fills count="4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theme="8"/>
        <bgColor theme="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6E72F"/>
        <bgColor rgb="FF66E72F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999999"/>
        <bgColor rgb="FF999999"/>
      </patternFill>
    </fill>
  </fills>
  <borders count="13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vertical="bottom"/>
    </xf>
    <xf borderId="1" fillId="0" fontId="8" numFmtId="0" xfId="0" applyAlignment="1" applyBorder="1" applyFont="1">
      <alignment horizontal="left"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readingOrder="0" shrinkToFit="0" vertical="center" wrapText="1"/>
    </xf>
    <xf borderId="2" fillId="0" fontId="8" numFmtId="0" xfId="0" applyAlignment="1" applyBorder="1" applyFont="1">
      <alignment horizontal="left"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vertical="bottom"/>
    </xf>
    <xf borderId="3" fillId="0" fontId="6" numFmtId="0" xfId="0" applyAlignment="1" applyBorder="1" applyFont="1">
      <alignment horizontal="left" readingOrder="0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horizontal="center" readingOrder="0" vertical="bottom"/>
    </xf>
    <xf borderId="1" fillId="2" fontId="11" numFmtId="0" xfId="0" applyAlignment="1" applyBorder="1" applyFill="1" applyFont="1">
      <alignment horizontal="left" readingOrder="0" shrinkToFit="0" vertical="bottom" wrapText="1"/>
    </xf>
    <xf borderId="0" fillId="0" fontId="12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0" fontId="12" numFmtId="164" xfId="0" applyAlignment="1" applyFont="1" applyNumberFormat="1">
      <alignment horizontal="center"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vertical="bottom"/>
    </xf>
    <xf borderId="1" fillId="3" fontId="11" numFmtId="0" xfId="0" applyAlignment="1" applyBorder="1" applyFill="1" applyFont="1">
      <alignment horizontal="left" readingOrder="0" shrinkToFit="0" vertical="bottom" wrapText="1"/>
    </xf>
    <xf borderId="1" fillId="4" fontId="11" numFmtId="0" xfId="0" applyAlignment="1" applyBorder="1" applyFill="1" applyFont="1">
      <alignment horizontal="left" readingOrder="0" shrinkToFit="0" vertical="bottom" wrapText="1"/>
    </xf>
    <xf borderId="0" fillId="0" fontId="2" numFmtId="164" xfId="0" applyAlignment="1" applyFont="1" applyNumberFormat="1">
      <alignment horizontal="center" readingOrder="0" shrinkToFit="0" wrapText="1"/>
    </xf>
    <xf borderId="1" fillId="5" fontId="11" numFmtId="0" xfId="0" applyAlignment="1" applyBorder="1" applyFill="1" applyFont="1">
      <alignment horizontal="left" readingOrder="0" shrinkToFit="0" vertical="bottom" wrapText="1"/>
    </xf>
    <xf borderId="1" fillId="6" fontId="11" numFmtId="0" xfId="0" applyAlignment="1" applyBorder="1" applyFill="1" applyFont="1">
      <alignment horizontal="left" readingOrder="0" shrinkToFit="0" vertical="bottom" wrapText="1"/>
    </xf>
    <xf borderId="1" fillId="7" fontId="11" numFmtId="0" xfId="0" applyAlignment="1" applyBorder="1" applyFill="1" applyFont="1">
      <alignment horizontal="left" readingOrder="0" shrinkToFit="0" vertical="bottom" wrapText="1"/>
    </xf>
    <xf borderId="0" fillId="0" fontId="12" numFmtId="0" xfId="0" applyAlignment="1" applyFont="1">
      <alignment horizontal="right" readingOrder="0" shrinkToFit="0" vertical="bottom" wrapText="1"/>
    </xf>
    <xf borderId="0" fillId="0" fontId="12" numFmtId="0" xfId="0" applyAlignment="1" applyFont="1">
      <alignment horizontal="right" readingOrder="0" shrinkToFit="0" vertical="bottom" wrapText="1"/>
    </xf>
    <xf borderId="0" fillId="0" fontId="11" numFmtId="0" xfId="0" applyAlignment="1" applyFont="1">
      <alignment horizontal="right" readingOrder="0" shrinkToFit="0" vertical="bottom" wrapText="1"/>
    </xf>
    <xf borderId="0" fillId="0" fontId="11" numFmtId="0" xfId="0" applyAlignment="1" applyFont="1">
      <alignment horizontal="right" readingOrder="0" vertical="bottom"/>
    </xf>
    <xf borderId="1" fillId="7" fontId="13" numFmtId="0" xfId="0" applyAlignment="1" applyBorder="1" applyFont="1">
      <alignment horizontal="left" readingOrder="0" shrinkToFit="0" vertical="bottom" wrapText="1"/>
    </xf>
    <xf borderId="0" fillId="0" fontId="11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shrinkToFit="0" wrapText="1"/>
    </xf>
    <xf borderId="3" fillId="8" fontId="11" numFmtId="0" xfId="0" applyAlignment="1" applyBorder="1" applyFill="1" applyFont="1">
      <alignment horizontal="left" readingOrder="0" shrinkToFit="0" vertical="bottom" wrapText="1"/>
    </xf>
    <xf borderId="0" fillId="0" fontId="12" numFmtId="0" xfId="0" applyAlignment="1" applyFont="1">
      <alignment horizontal="center" readingOrder="0" shrinkToFit="0" wrapText="1"/>
    </xf>
    <xf borderId="0" fillId="0" fontId="14" numFmtId="164" xfId="0" applyAlignment="1" applyFont="1" applyNumberFormat="1">
      <alignment horizontal="center" readingOrder="0" shrinkToFit="0" wrapText="1"/>
    </xf>
    <xf borderId="3" fillId="9" fontId="11" numFmtId="0" xfId="0" applyAlignment="1" applyBorder="1" applyFill="1" applyFont="1">
      <alignment horizontal="left" readingOrder="0" shrinkToFit="0" vertical="bottom" wrapText="1"/>
    </xf>
    <xf borderId="3" fillId="4" fontId="11" numFmtId="0" xfId="0" applyAlignment="1" applyBorder="1" applyFont="1">
      <alignment horizontal="left" readingOrder="0" shrinkToFit="0" vertical="bottom" wrapText="1"/>
    </xf>
    <xf borderId="3" fillId="10" fontId="11" numFmtId="0" xfId="0" applyAlignment="1" applyBorder="1" applyFill="1" applyFont="1">
      <alignment horizontal="left" readingOrder="0" shrinkToFit="0" vertical="bottom" wrapText="1"/>
    </xf>
    <xf borderId="3" fillId="11" fontId="11" numFmtId="0" xfId="0" applyAlignment="1" applyBorder="1" applyFill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center"/>
    </xf>
    <xf borderId="1" fillId="0" fontId="11" numFmtId="0" xfId="0" applyAlignment="1" applyBorder="1" applyFont="1">
      <alignment horizontal="left" readingOrder="0" shrinkToFit="0" vertical="bottom" wrapText="1"/>
    </xf>
    <xf borderId="3" fillId="7" fontId="13" numFmtId="0" xfId="0" applyAlignment="1" applyBorder="1" applyFont="1">
      <alignment horizontal="left" readingOrder="0" shrinkToFit="0" vertical="bottom" wrapText="1"/>
    </xf>
    <xf borderId="1" fillId="12" fontId="11" numFmtId="0" xfId="0" applyAlignment="1" applyBorder="1" applyFill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readingOrder="0" shrinkToFit="0" vertical="bottom" wrapText="1"/>
    </xf>
    <xf borderId="0" fillId="0" fontId="12" numFmtId="165" xfId="0" applyAlignment="1" applyFont="1" applyNumberFormat="1">
      <alignment horizontal="center" readingOrder="0" shrinkToFit="0" vertical="bottom" wrapText="1"/>
    </xf>
    <xf borderId="0" fillId="0" fontId="12" numFmtId="164" xfId="0" applyAlignment="1" applyFont="1" applyNumberFormat="1">
      <alignment horizontal="right" readingOrder="0" shrinkToFit="0" vertical="bottom" wrapText="1"/>
    </xf>
    <xf borderId="0" fillId="0" fontId="11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1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/>
    </xf>
    <xf borderId="0" fillId="0" fontId="12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17" numFmtId="0" xfId="0" applyAlignment="1" applyFont="1">
      <alignment horizontal="center" readingOrder="0" shrinkToFit="0" vertical="bottom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wrapText="1"/>
    </xf>
    <xf borderId="0" fillId="0" fontId="20" numFmtId="0" xfId="0" applyAlignment="1" applyFont="1">
      <alignment horizontal="center"/>
    </xf>
    <xf borderId="0" fillId="0" fontId="15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 vertical="bottom"/>
    </xf>
    <xf borderId="0" fillId="0" fontId="2" numFmtId="0" xfId="0" applyAlignment="1" applyFont="1">
      <alignment horizontal="center" readingOrder="0" shrinkToFit="0" textRotation="0" wrapText="1"/>
    </xf>
    <xf borderId="0" fillId="0" fontId="3" numFmtId="0" xfId="0" applyAlignment="1" applyFon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wrapText="1"/>
    </xf>
    <xf borderId="0" fillId="0" fontId="22" numFmtId="0" xfId="0" applyAlignment="1" applyFont="1">
      <alignment horizontal="center" shrinkToFit="0" wrapText="1"/>
    </xf>
    <xf borderId="0" fillId="0" fontId="22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24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/>
    </xf>
    <xf borderId="0" fillId="0" fontId="25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9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shrinkToFit="0" vertical="bottom" wrapText="1"/>
    </xf>
    <xf borderId="0" fillId="0" fontId="26" numFmtId="0" xfId="0" applyAlignment="1" applyFont="1">
      <alignment horizontal="center" readingOrder="0" shrinkToFit="0" wrapText="1"/>
    </xf>
    <xf borderId="0" fillId="0" fontId="27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center" shrinkToFit="0" wrapText="1"/>
    </xf>
    <xf borderId="0" fillId="0" fontId="25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0" fillId="0" fontId="9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0" fillId="0" fontId="28" numFmtId="0" xfId="0" applyAlignment="1" applyFont="1">
      <alignment horizontal="center" readingOrder="0" shrinkToFit="0" wrapText="1"/>
    </xf>
    <xf borderId="0" fillId="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horizontal="center" readingOrder="0" shrinkToFit="0" vertical="bottom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31" numFmtId="0" xfId="0" applyAlignment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6" fillId="0" fontId="6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7" fillId="13" fontId="2" numFmtId="0" xfId="0" applyAlignment="1" applyBorder="1" applyFill="1" applyFont="1">
      <alignment horizontal="center" readingOrder="0" shrinkToFit="0" wrapText="1"/>
    </xf>
    <xf borderId="7" fillId="13" fontId="2" numFmtId="0" xfId="0" applyAlignment="1" applyBorder="1" applyFont="1">
      <alignment horizontal="center" readingOrder="0" shrinkToFit="0" wrapText="1"/>
    </xf>
    <xf borderId="7" fillId="13" fontId="2" numFmtId="0" xfId="0" applyAlignment="1" applyBorder="1" applyFont="1">
      <alignment horizontal="center" shrinkToFit="0" wrapText="1"/>
    </xf>
    <xf borderId="7" fillId="13" fontId="1" numFmtId="0" xfId="0" applyAlignment="1" applyBorder="1" applyFont="1">
      <alignment horizontal="center" shrinkToFit="0" wrapText="1"/>
    </xf>
    <xf borderId="3" fillId="13" fontId="1" numFmtId="0" xfId="0" applyAlignment="1" applyBorder="1" applyFont="1">
      <alignment horizontal="center" shrinkToFit="0" wrapText="1"/>
    </xf>
    <xf borderId="7" fillId="14" fontId="2" numFmtId="0" xfId="0" applyAlignment="1" applyBorder="1" applyFill="1" applyFont="1">
      <alignment horizontal="center" readingOrder="0" shrinkToFit="0" wrapText="1"/>
    </xf>
    <xf borderId="7" fillId="14" fontId="2" numFmtId="0" xfId="0" applyAlignment="1" applyBorder="1" applyFont="1">
      <alignment horizontal="center" shrinkToFit="0" wrapText="1"/>
    </xf>
    <xf borderId="7" fillId="14" fontId="2" numFmtId="0" xfId="0" applyAlignment="1" applyBorder="1" applyFont="1">
      <alignment horizontal="center" readingOrder="0" shrinkToFit="0" wrapText="1"/>
    </xf>
    <xf borderId="7" fillId="14" fontId="1" numFmtId="0" xfId="0" applyAlignment="1" applyBorder="1" applyFont="1">
      <alignment horizontal="center" shrinkToFit="0" wrapText="1"/>
    </xf>
    <xf borderId="3" fillId="14" fontId="1" numFmtId="0" xfId="0" applyAlignment="1" applyBorder="1" applyFont="1">
      <alignment horizontal="center" shrinkToFit="0" wrapText="1"/>
    </xf>
    <xf borderId="7" fillId="15" fontId="2" numFmtId="0" xfId="0" applyAlignment="1" applyBorder="1" applyFill="1" applyFont="1">
      <alignment horizontal="center" shrinkToFit="0" wrapText="1"/>
    </xf>
    <xf borderId="7" fillId="15" fontId="2" numFmtId="0" xfId="0" applyAlignment="1" applyBorder="1" applyFont="1">
      <alignment horizontal="center" readingOrder="0" shrinkToFit="0" wrapText="1"/>
    </xf>
    <xf borderId="7" fillId="15" fontId="2" numFmtId="0" xfId="0" applyAlignment="1" applyBorder="1" applyFont="1">
      <alignment horizontal="center" shrinkToFit="0" wrapText="1"/>
    </xf>
    <xf borderId="7" fillId="15" fontId="1" numFmtId="0" xfId="0" applyAlignment="1" applyBorder="1" applyFont="1">
      <alignment horizontal="center" shrinkToFit="0" wrapText="1"/>
    </xf>
    <xf borderId="3" fillId="15" fontId="1" numFmtId="0" xfId="0" applyAlignment="1" applyBorder="1" applyFont="1">
      <alignment horizontal="center" shrinkToFit="0" wrapText="1"/>
    </xf>
    <xf borderId="7" fillId="16" fontId="2" numFmtId="0" xfId="0" applyAlignment="1" applyBorder="1" applyFill="1" applyFont="1">
      <alignment horizontal="center" shrinkToFit="0" wrapText="1"/>
    </xf>
    <xf borderId="7" fillId="16" fontId="2" numFmtId="0" xfId="0" applyAlignment="1" applyBorder="1" applyFont="1">
      <alignment horizontal="center" shrinkToFit="0" wrapText="1"/>
    </xf>
    <xf borderId="7" fillId="16" fontId="2" numFmtId="0" xfId="0" applyAlignment="1" applyBorder="1" applyFont="1">
      <alignment horizontal="center" readingOrder="0" shrinkToFit="0" wrapText="1"/>
    </xf>
    <xf borderId="7" fillId="16" fontId="1" numFmtId="0" xfId="0" applyAlignment="1" applyBorder="1" applyFont="1">
      <alignment horizontal="center" shrinkToFit="0" wrapText="1"/>
    </xf>
    <xf borderId="3" fillId="16" fontId="1" numFmtId="0" xfId="0" applyAlignment="1" applyBorder="1" applyFont="1">
      <alignment horizontal="center" shrinkToFit="0" wrapText="1"/>
    </xf>
    <xf borderId="7" fillId="17" fontId="2" numFmtId="0" xfId="0" applyAlignment="1" applyBorder="1" applyFill="1" applyFont="1">
      <alignment horizontal="center" shrinkToFit="0" wrapText="1"/>
    </xf>
    <xf borderId="7" fillId="17" fontId="2" numFmtId="0" xfId="0" applyAlignment="1" applyBorder="1" applyFont="1">
      <alignment horizontal="center" shrinkToFit="0" wrapText="1"/>
    </xf>
    <xf borderId="7" fillId="17" fontId="1" numFmtId="0" xfId="0" applyAlignment="1" applyBorder="1" applyFont="1">
      <alignment horizontal="center" shrinkToFit="0" wrapText="1"/>
    </xf>
    <xf borderId="3" fillId="17" fontId="1" numFmtId="0" xfId="0" applyAlignment="1" applyBorder="1" applyFont="1">
      <alignment horizontal="center" shrinkToFit="0" wrapText="1"/>
    </xf>
    <xf borderId="7" fillId="8" fontId="2" numFmtId="0" xfId="0" applyAlignment="1" applyBorder="1" applyFont="1">
      <alignment horizontal="center" shrinkToFit="0" wrapText="1"/>
    </xf>
    <xf borderId="7" fillId="8" fontId="2" numFmtId="0" xfId="0" applyAlignment="1" applyBorder="1" applyFont="1">
      <alignment horizontal="center" readingOrder="0" shrinkToFit="0" wrapText="1"/>
    </xf>
    <xf borderId="7" fillId="8" fontId="2" numFmtId="0" xfId="0" applyAlignment="1" applyBorder="1" applyFont="1">
      <alignment horizontal="center" shrinkToFit="0" wrapText="1"/>
    </xf>
    <xf borderId="7" fillId="8" fontId="1" numFmtId="0" xfId="0" applyAlignment="1" applyBorder="1" applyFont="1">
      <alignment horizontal="center" shrinkToFit="0" wrapText="1"/>
    </xf>
    <xf borderId="3" fillId="8" fontId="1" numFmtId="0" xfId="0" applyAlignment="1" applyBorder="1" applyFont="1">
      <alignment horizontal="center" shrinkToFit="0" wrapText="1"/>
    </xf>
    <xf borderId="7" fillId="15" fontId="2" numFmtId="0" xfId="0" applyAlignment="1" applyBorder="1" applyFont="1">
      <alignment horizontal="center" readingOrder="0" shrinkToFit="0" wrapText="1"/>
    </xf>
    <xf borderId="7" fillId="17" fontId="2" numFmtId="0" xfId="0" applyAlignment="1" applyBorder="1" applyFont="1">
      <alignment horizontal="center" readingOrder="0" shrinkToFit="0" wrapText="1"/>
    </xf>
    <xf borderId="7" fillId="18" fontId="2" numFmtId="0" xfId="0" applyAlignment="1" applyBorder="1" applyFill="1" applyFont="1">
      <alignment horizontal="center" shrinkToFit="0" wrapText="1"/>
    </xf>
    <xf borderId="7" fillId="18" fontId="2" numFmtId="0" xfId="0" applyAlignment="1" applyBorder="1" applyFont="1">
      <alignment horizontal="center" shrinkToFit="0" wrapText="1"/>
    </xf>
    <xf borderId="7" fillId="18" fontId="1" numFmtId="0" xfId="0" applyAlignment="1" applyBorder="1" applyFont="1">
      <alignment horizontal="center" shrinkToFit="0" wrapText="1"/>
    </xf>
    <xf borderId="3" fillId="18" fontId="1" numFmtId="0" xfId="0" applyAlignment="1" applyBorder="1" applyFont="1">
      <alignment horizontal="center" shrinkToFit="0" wrapText="1"/>
    </xf>
    <xf borderId="7" fillId="2" fontId="2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7" fillId="9" fontId="2" numFmtId="0" xfId="0" applyAlignment="1" applyBorder="1" applyFont="1">
      <alignment horizontal="center" readingOrder="0" shrinkToFit="0" wrapText="1"/>
    </xf>
    <xf borderId="7" fillId="9" fontId="2" numFmtId="0" xfId="0" applyAlignment="1" applyBorder="1" applyFont="1">
      <alignment horizontal="center" shrinkToFit="0" wrapText="1"/>
    </xf>
    <xf borderId="7" fillId="9" fontId="2" numFmtId="0" xfId="0" applyAlignment="1" applyBorder="1" applyFont="1">
      <alignment horizontal="center" shrinkToFit="0" wrapText="1"/>
    </xf>
    <xf borderId="7" fillId="9" fontId="1" numFmtId="0" xfId="0" applyAlignment="1" applyBorder="1" applyFont="1">
      <alignment horizontal="center" shrinkToFit="0" wrapText="1"/>
    </xf>
    <xf borderId="3" fillId="9" fontId="1" numFmtId="0" xfId="0" applyAlignment="1" applyBorder="1" applyFont="1">
      <alignment horizontal="center" shrinkToFit="0" wrapText="1"/>
    </xf>
    <xf borderId="8" fillId="19" fontId="2" numFmtId="0" xfId="0" applyAlignment="1" applyBorder="1" applyFill="1" applyFont="1">
      <alignment horizontal="center" shrinkToFit="0" wrapText="1"/>
    </xf>
    <xf borderId="8" fillId="19" fontId="2" numFmtId="0" xfId="0" applyAlignment="1" applyBorder="1" applyFont="1">
      <alignment horizontal="center" shrinkToFit="0" wrapText="1"/>
    </xf>
    <xf borderId="8" fillId="19" fontId="2" numFmtId="0" xfId="0" applyAlignment="1" applyBorder="1" applyFont="1">
      <alignment horizontal="center" readingOrder="0" shrinkToFit="0" wrapText="1"/>
    </xf>
    <xf borderId="8" fillId="19" fontId="1" numFmtId="0" xfId="0" applyAlignment="1" applyBorder="1" applyFont="1">
      <alignment horizontal="center" shrinkToFit="0" wrapText="1"/>
    </xf>
    <xf borderId="9" fillId="19" fontId="1" numFmtId="0" xfId="0" applyAlignment="1" applyBorder="1" applyFont="1">
      <alignment horizontal="center" shrinkToFit="0" wrapText="1"/>
    </xf>
    <xf borderId="8" fillId="4" fontId="2" numFmtId="0" xfId="0" applyAlignment="1" applyBorder="1" applyFont="1">
      <alignment horizontal="center" readingOrder="0" shrinkToFit="0" wrapText="1"/>
    </xf>
    <xf borderId="8" fillId="4" fontId="2" numFmtId="0" xfId="0" applyAlignment="1" applyBorder="1" applyFont="1">
      <alignment horizontal="center" shrinkToFit="0" wrapText="1"/>
    </xf>
    <xf borderId="8" fillId="4" fontId="2" numFmtId="0" xfId="0" applyAlignment="1" applyBorder="1" applyFont="1">
      <alignment horizontal="center" shrinkToFit="0" wrapText="1"/>
    </xf>
    <xf borderId="8" fillId="4" fontId="1" numFmtId="0" xfId="0" applyAlignment="1" applyBorder="1" applyFont="1">
      <alignment horizontal="center" shrinkToFit="0" wrapText="1"/>
    </xf>
    <xf borderId="9" fillId="4" fontId="1" numFmtId="0" xfId="0" applyAlignment="1" applyBorder="1" applyFont="1">
      <alignment horizontal="center" shrinkToFit="0" wrapText="1"/>
    </xf>
    <xf borderId="7" fillId="6" fontId="2" numFmtId="0" xfId="0" applyAlignment="1" applyBorder="1" applyFont="1">
      <alignment horizontal="center" shrinkToFit="0" wrapText="1"/>
    </xf>
    <xf borderId="7" fillId="6" fontId="2" numFmtId="0" xfId="0" applyAlignment="1" applyBorder="1" applyFont="1">
      <alignment horizontal="center" readingOrder="0" shrinkToFit="0" wrapText="1"/>
    </xf>
    <xf borderId="7" fillId="6" fontId="2" numFmtId="0" xfId="0" applyAlignment="1" applyBorder="1" applyFont="1">
      <alignment horizontal="center" readingOrder="0" shrinkToFit="0" wrapText="1"/>
    </xf>
    <xf borderId="7" fillId="6" fontId="1" numFmtId="0" xfId="0" applyAlignment="1" applyBorder="1" applyFont="1">
      <alignment horizontal="center" shrinkToFit="0" wrapText="1"/>
    </xf>
    <xf borderId="3" fillId="6" fontId="1" numFmtId="0" xfId="0" applyAlignment="1" applyBorder="1" applyFont="1">
      <alignment horizontal="center" shrinkToFit="0" wrapText="1"/>
    </xf>
    <xf borderId="7" fillId="15" fontId="26" numFmtId="0" xfId="0" applyAlignment="1" applyBorder="1" applyFont="1">
      <alignment horizontal="center" readingOrder="0" shrinkToFit="0" wrapText="1"/>
    </xf>
    <xf borderId="7" fillId="15" fontId="26" numFmtId="0" xfId="0" applyAlignment="1" applyBorder="1" applyFont="1">
      <alignment horizontal="center" shrinkToFit="0" wrapText="1"/>
    </xf>
    <xf borderId="7" fillId="16" fontId="2" numFmtId="0" xfId="0" applyAlignment="1" applyBorder="1" applyFont="1">
      <alignment horizontal="center" shrinkToFit="0" vertical="center" wrapText="1"/>
    </xf>
    <xf borderId="7" fillId="16" fontId="2" numFmtId="0" xfId="0" applyAlignment="1" applyBorder="1" applyFont="1">
      <alignment horizontal="center" readingOrder="0" shrinkToFit="0" vertical="center" wrapText="1"/>
    </xf>
    <xf borderId="7" fillId="16" fontId="2" numFmtId="0" xfId="0" applyAlignment="1" applyBorder="1" applyFont="1">
      <alignment horizontal="center" readingOrder="0" shrinkToFit="0" vertical="center" wrapText="1"/>
    </xf>
    <xf borderId="7" fillId="16" fontId="26" numFmtId="0" xfId="0" applyAlignment="1" applyBorder="1" applyFont="1">
      <alignment horizontal="center" shrinkToFit="0" vertical="center" wrapText="1"/>
    </xf>
    <xf borderId="8" fillId="16" fontId="26" numFmtId="0" xfId="0" applyAlignment="1" applyBorder="1" applyFont="1">
      <alignment horizontal="center" readingOrder="0" shrinkToFit="0" vertical="center" wrapText="1"/>
    </xf>
    <xf borderId="7" fillId="16" fontId="1" numFmtId="0" xfId="0" applyAlignment="1" applyBorder="1" applyFont="1">
      <alignment horizontal="center" shrinkToFit="0" vertical="center" wrapText="1"/>
    </xf>
    <xf borderId="3" fillId="16" fontId="1" numFmtId="0" xfId="0" applyAlignment="1" applyBorder="1" applyFont="1">
      <alignment horizontal="center" shrinkToFit="0" vertical="center" wrapText="1"/>
    </xf>
    <xf borderId="7" fillId="20" fontId="2" numFmtId="0" xfId="0" applyAlignment="1" applyBorder="1" applyFill="1" applyFont="1">
      <alignment horizontal="center" shrinkToFit="0" wrapText="1"/>
    </xf>
    <xf borderId="7" fillId="20" fontId="2" numFmtId="0" xfId="0" applyAlignment="1" applyBorder="1" applyFont="1">
      <alignment horizontal="center" shrinkToFit="0" wrapText="1"/>
    </xf>
    <xf borderId="7" fillId="20" fontId="2" numFmtId="0" xfId="0" applyAlignment="1" applyBorder="1" applyFont="1">
      <alignment horizontal="center" readingOrder="0" shrinkToFit="0" wrapText="1"/>
    </xf>
    <xf borderId="3" fillId="20" fontId="2" numFmtId="0" xfId="0" applyAlignment="1" applyBorder="1" applyFont="1">
      <alignment horizontal="center" readingOrder="0" shrinkToFit="0" wrapText="1"/>
    </xf>
    <xf borderId="5" fillId="20" fontId="2" numFmtId="0" xfId="0" applyAlignment="1" applyBorder="1" applyFont="1">
      <alignment horizontal="center" shrinkToFit="0" wrapText="1"/>
    </xf>
    <xf borderId="7" fillId="20" fontId="1" numFmtId="0" xfId="0" applyAlignment="1" applyBorder="1" applyFont="1">
      <alignment horizontal="center" shrinkToFit="0" wrapText="1"/>
    </xf>
    <xf borderId="3" fillId="20" fontId="1" numFmtId="0" xfId="0" applyAlignment="1" applyBorder="1" applyFont="1">
      <alignment horizontal="center" shrinkToFit="0" wrapText="1"/>
    </xf>
    <xf borderId="7" fillId="6" fontId="2" numFmtId="0" xfId="0" applyAlignment="1" applyBorder="1" applyFont="1">
      <alignment horizontal="center" shrinkToFit="0" wrapText="1"/>
    </xf>
    <xf borderId="7" fillId="21" fontId="2" numFmtId="0" xfId="0" applyAlignment="1" applyBorder="1" applyFill="1" applyFont="1">
      <alignment horizontal="center" shrinkToFit="0" wrapText="1"/>
    </xf>
    <xf borderId="7" fillId="21" fontId="2" numFmtId="0" xfId="0" applyAlignment="1" applyBorder="1" applyFont="1">
      <alignment horizontal="center" shrinkToFit="0" wrapText="1"/>
    </xf>
    <xf borderId="7" fillId="21" fontId="2" numFmtId="0" xfId="0" applyAlignment="1" applyBorder="1" applyFont="1">
      <alignment horizontal="center" readingOrder="0" shrinkToFit="0" wrapText="1"/>
    </xf>
    <xf borderId="7" fillId="21" fontId="1" numFmtId="0" xfId="0" applyAlignment="1" applyBorder="1" applyFont="1">
      <alignment horizontal="center" shrinkToFit="0" wrapText="1"/>
    </xf>
    <xf borderId="3" fillId="21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7" fillId="22" fontId="2" numFmtId="0" xfId="0" applyAlignment="1" applyBorder="1" applyFill="1" applyFont="1">
      <alignment horizontal="center" readingOrder="0" shrinkToFit="0" wrapText="1"/>
    </xf>
    <xf borderId="7" fillId="22" fontId="2" numFmtId="0" xfId="0" applyAlignment="1" applyBorder="1" applyFont="1">
      <alignment horizontal="center" shrinkToFit="0" wrapText="1"/>
    </xf>
    <xf borderId="7" fillId="22" fontId="2" numFmtId="0" xfId="0" applyAlignment="1" applyBorder="1" applyFont="1">
      <alignment horizontal="center" readingOrder="0" shrinkToFit="0" wrapText="1"/>
    </xf>
    <xf borderId="7" fillId="22" fontId="28" numFmtId="0" xfId="0" applyAlignment="1" applyBorder="1" applyFont="1">
      <alignment horizontal="center" readingOrder="0" shrinkToFit="0" wrapText="1"/>
    </xf>
    <xf borderId="7" fillId="22" fontId="1" numFmtId="0" xfId="0" applyAlignment="1" applyBorder="1" applyFont="1">
      <alignment horizontal="center" shrinkToFit="0" wrapText="1"/>
    </xf>
    <xf borderId="3" fillId="22" fontId="1" numFmtId="0" xfId="0" applyAlignment="1" applyBorder="1" applyFont="1">
      <alignment horizontal="center" shrinkToFit="0" wrapText="1"/>
    </xf>
    <xf borderId="7" fillId="18" fontId="2" numFmtId="0" xfId="0" applyAlignment="1" applyBorder="1" applyFont="1">
      <alignment horizontal="center" readingOrder="0" shrinkToFit="0" wrapText="1"/>
    </xf>
    <xf borderId="7" fillId="23" fontId="2" numFmtId="0" xfId="0" applyAlignment="1" applyBorder="1" applyFill="1" applyFont="1">
      <alignment horizontal="center" shrinkToFit="0" wrapText="1"/>
    </xf>
    <xf borderId="7" fillId="23" fontId="2" numFmtId="0" xfId="0" applyAlignment="1" applyBorder="1" applyFont="1">
      <alignment horizontal="center" shrinkToFit="0" wrapText="1"/>
    </xf>
    <xf borderId="7" fillId="23" fontId="1" numFmtId="0" xfId="0" applyAlignment="1" applyBorder="1" applyFont="1">
      <alignment horizontal="center" shrinkToFit="0" wrapText="1"/>
    </xf>
    <xf borderId="3" fillId="23" fontId="1" numFmtId="0" xfId="0" applyAlignment="1" applyBorder="1" applyFont="1">
      <alignment horizontal="center" shrinkToFit="0" wrapText="1"/>
    </xf>
    <xf borderId="7" fillId="24" fontId="2" numFmtId="0" xfId="0" applyAlignment="1" applyBorder="1" applyFill="1" applyFont="1">
      <alignment horizontal="center" readingOrder="0" shrinkToFit="0" vertical="center" wrapText="1"/>
    </xf>
    <xf borderId="7" fillId="24" fontId="2" numFmtId="0" xfId="0" applyAlignment="1" applyBorder="1" applyFont="1">
      <alignment horizontal="center" readingOrder="0" shrinkToFit="0" wrapText="1"/>
    </xf>
    <xf borderId="7" fillId="24" fontId="2" numFmtId="0" xfId="0" applyAlignment="1" applyBorder="1" applyFont="1">
      <alignment horizontal="center" readingOrder="0" shrinkToFit="0" vertical="center" wrapText="1"/>
    </xf>
    <xf borderId="7" fillId="24" fontId="2" numFmtId="0" xfId="0" applyAlignment="1" applyBorder="1" applyFont="1">
      <alignment horizontal="center" shrinkToFit="0" wrapText="1"/>
    </xf>
    <xf borderId="7" fillId="24" fontId="1" numFmtId="0" xfId="0" applyAlignment="1" applyBorder="1" applyFont="1">
      <alignment horizontal="center" shrinkToFit="0" wrapText="1"/>
    </xf>
    <xf borderId="3" fillId="24" fontId="1" numFmtId="0" xfId="0" applyAlignment="1" applyBorder="1" applyFont="1">
      <alignment horizontal="center" readingOrder="0" shrinkToFit="0" wrapText="1"/>
    </xf>
    <xf borderId="7" fillId="18" fontId="2" numFmtId="0" xfId="0" applyAlignment="1" applyBorder="1" applyFont="1">
      <alignment readingOrder="0" shrinkToFit="0" wrapText="1"/>
    </xf>
    <xf borderId="7" fillId="18" fontId="2" numFmtId="0" xfId="0" applyAlignment="1" applyBorder="1" applyFont="1">
      <alignment horizontal="center" readingOrder="0" shrinkToFit="0" vertical="center" wrapText="1"/>
    </xf>
    <xf borderId="7" fillId="18" fontId="2" numFmtId="0" xfId="0" applyAlignment="1" applyBorder="1" applyFont="1">
      <alignment horizontal="center" readingOrder="0" shrinkToFit="0" wrapText="1"/>
    </xf>
    <xf borderId="7" fillId="25" fontId="2" numFmtId="0" xfId="0" applyAlignment="1" applyBorder="1" applyFill="1" applyFont="1">
      <alignment shrinkToFit="0" wrapText="1"/>
    </xf>
    <xf borderId="7" fillId="25" fontId="2" numFmtId="0" xfId="0" applyAlignment="1" applyBorder="1" applyFont="1">
      <alignment horizontal="center" shrinkToFit="0" wrapText="1"/>
    </xf>
    <xf borderId="7" fillId="25" fontId="2" numFmtId="0" xfId="0" applyAlignment="1" applyBorder="1" applyFont="1">
      <alignment horizontal="center" shrinkToFit="0" wrapText="1"/>
    </xf>
    <xf borderId="7" fillId="25" fontId="2" numFmtId="0" xfId="0" applyAlignment="1" applyBorder="1" applyFont="1">
      <alignment horizontal="center" readingOrder="0" shrinkToFit="0" wrapText="1"/>
    </xf>
    <xf borderId="7" fillId="25" fontId="1" numFmtId="0" xfId="0" applyAlignment="1" applyBorder="1" applyFont="1">
      <alignment horizontal="center" shrinkToFit="0" wrapText="1"/>
    </xf>
    <xf borderId="3" fillId="25" fontId="1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vertical="bottom" wrapText="1"/>
    </xf>
    <xf borderId="2" fillId="26" fontId="3" numFmtId="0" xfId="0" applyAlignment="1" applyBorder="1" applyFill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2" fillId="27" fontId="3" numFmtId="0" xfId="0" applyAlignment="1" applyBorder="1" applyFill="1" applyFont="1">
      <alignment horizontal="center" shrinkToFit="0" vertical="bottom" wrapText="1"/>
    </xf>
    <xf borderId="2" fillId="0" fontId="31" numFmtId="0" xfId="0" applyAlignment="1" applyBorder="1" applyFont="1">
      <alignment horizontal="center" shrinkToFit="0" vertical="bottom" wrapText="1"/>
    </xf>
    <xf borderId="2" fillId="0" fontId="30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left" shrinkToFit="0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27" fontId="3" numFmtId="0" xfId="0" applyAlignment="1" applyBorder="1" applyFont="1">
      <alignment horizontal="center" readingOrder="0" shrinkToFit="0" vertical="bottom" wrapText="1"/>
    </xf>
    <xf borderId="7" fillId="0" fontId="6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7" fontId="13" numFmtId="0" xfId="0" applyAlignment="1" applyBorder="1" applyFont="1">
      <alignment horizontal="left" readingOrder="0" shrinkToFit="0" vertical="bottom" wrapText="1"/>
    </xf>
    <xf borderId="11" fillId="0" fontId="2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7" fillId="13" fontId="11" numFmtId="0" xfId="0" applyAlignment="1" applyBorder="1" applyFont="1">
      <alignment horizontal="left" readingOrder="0" shrinkToFit="0" vertical="bottom" wrapText="1"/>
    </xf>
    <xf borderId="3" fillId="13" fontId="2" numFmtId="0" xfId="0" applyAlignment="1" applyBorder="1" applyFont="1">
      <alignment horizontal="center" readingOrder="0" shrinkToFit="0" wrapText="1"/>
    </xf>
    <xf borderId="5" fillId="13" fontId="2" numFmtId="0" xfId="0" applyAlignment="1" applyBorder="1" applyFont="1">
      <alignment horizontal="center" readingOrder="0" shrinkToFit="0" wrapText="1"/>
    </xf>
    <xf borderId="7" fillId="14" fontId="15" numFmtId="0" xfId="0" applyAlignment="1" applyBorder="1" applyFont="1">
      <alignment horizontal="left" readingOrder="0" shrinkToFit="0" wrapText="1"/>
    </xf>
    <xf borderId="3" fillId="14" fontId="2" numFmtId="0" xfId="0" applyAlignment="1" applyBorder="1" applyFont="1">
      <alignment horizontal="center" readingOrder="0" shrinkToFit="0" wrapText="1"/>
    </xf>
    <xf borderId="5" fillId="14" fontId="2" numFmtId="0" xfId="0" applyAlignment="1" applyBorder="1" applyFont="1">
      <alignment horizontal="center" shrinkToFit="0" wrapText="1"/>
    </xf>
    <xf borderId="7" fillId="6" fontId="15" numFmtId="0" xfId="0" applyAlignment="1" applyBorder="1" applyFont="1">
      <alignment horizontal="left" readingOrder="0" shrinkToFit="0" wrapText="1"/>
    </xf>
    <xf borderId="3" fillId="6" fontId="2" numFmtId="0" xfId="0" applyAlignment="1" applyBorder="1" applyFont="1">
      <alignment horizontal="center" shrinkToFit="0" wrapText="1"/>
    </xf>
    <xf borderId="5" fillId="6" fontId="2" numFmtId="0" xfId="0" applyAlignment="1" applyBorder="1" applyFont="1">
      <alignment horizontal="center" shrinkToFit="0" wrapText="1"/>
    </xf>
    <xf borderId="7" fillId="18" fontId="15" numFmtId="0" xfId="0" applyAlignment="1" applyBorder="1" applyFont="1">
      <alignment horizontal="left" readingOrder="0" shrinkToFit="0" vertical="center" wrapText="1"/>
    </xf>
    <xf borderId="7" fillId="18" fontId="2" numFmtId="0" xfId="0" applyAlignment="1" applyBorder="1" applyFont="1">
      <alignment horizontal="center" shrinkToFit="0" vertical="center" wrapText="1"/>
    </xf>
    <xf borderId="3" fillId="18" fontId="2" numFmtId="0" xfId="0" applyAlignment="1" applyBorder="1" applyFont="1">
      <alignment horizontal="center" shrinkToFit="0" vertical="center" wrapText="1"/>
    </xf>
    <xf borderId="7" fillId="18" fontId="2" numFmtId="0" xfId="0" applyAlignment="1" applyBorder="1" applyFont="1">
      <alignment horizontal="center" shrinkToFit="0" vertical="center" wrapText="1"/>
    </xf>
    <xf borderId="5" fillId="18" fontId="2" numFmtId="0" xfId="0" applyAlignment="1" applyBorder="1" applyFont="1">
      <alignment horizontal="center" readingOrder="0" shrinkToFit="0" vertical="center" wrapText="1"/>
    </xf>
    <xf borderId="7" fillId="18" fontId="1" numFmtId="0" xfId="0" applyAlignment="1" applyBorder="1" applyFont="1">
      <alignment horizontal="center" shrinkToFit="0" vertical="center" wrapText="1"/>
    </xf>
    <xf borderId="7" fillId="19" fontId="15" numFmtId="0" xfId="0" applyAlignment="1" applyBorder="1" applyFont="1">
      <alignment horizontal="left" readingOrder="0" shrinkToFit="0" wrapText="1"/>
    </xf>
    <xf borderId="7" fillId="19" fontId="2" numFmtId="0" xfId="0" applyAlignment="1" applyBorder="1" applyFont="1">
      <alignment horizontal="center" shrinkToFit="0" wrapText="1"/>
    </xf>
    <xf borderId="7" fillId="19" fontId="2" numFmtId="0" xfId="0" applyAlignment="1" applyBorder="1" applyFont="1">
      <alignment horizontal="center" readingOrder="0" shrinkToFit="0" wrapText="1"/>
    </xf>
    <xf borderId="3" fillId="19" fontId="2" numFmtId="0" xfId="0" applyAlignment="1" applyBorder="1" applyFont="1">
      <alignment horizontal="center" shrinkToFit="0" wrapText="1"/>
    </xf>
    <xf borderId="7" fillId="19" fontId="2" numFmtId="0" xfId="0" applyAlignment="1" applyBorder="1" applyFont="1">
      <alignment horizontal="center" shrinkToFit="0" wrapText="1"/>
    </xf>
    <xf borderId="5" fillId="19" fontId="2" numFmtId="0" xfId="0" applyAlignment="1" applyBorder="1" applyFont="1">
      <alignment horizontal="center" shrinkToFit="0" wrapText="1"/>
    </xf>
    <xf borderId="7" fillId="19" fontId="1" numFmtId="0" xfId="0" applyAlignment="1" applyBorder="1" applyFont="1">
      <alignment horizontal="center" shrinkToFit="0" wrapText="1"/>
    </xf>
    <xf borderId="7" fillId="21" fontId="15" numFmtId="0" xfId="0" applyAlignment="1" applyBorder="1" applyFont="1">
      <alignment horizontal="left" readingOrder="0" shrinkToFit="0" wrapText="1"/>
    </xf>
    <xf borderId="3" fillId="21" fontId="2" numFmtId="0" xfId="0" applyAlignment="1" applyBorder="1" applyFont="1">
      <alignment horizontal="center" shrinkToFit="0" wrapText="1"/>
    </xf>
    <xf borderId="7" fillId="21" fontId="2" numFmtId="0" xfId="0" applyAlignment="1" applyBorder="1" applyFont="1">
      <alignment horizontal="center" readingOrder="0" shrinkToFit="0" wrapText="1"/>
    </xf>
    <xf borderId="5" fillId="21" fontId="2" numFmtId="0" xfId="0" applyAlignment="1" applyBorder="1" applyFont="1">
      <alignment horizontal="center" shrinkToFit="0" wrapText="1"/>
    </xf>
    <xf borderId="7" fillId="15" fontId="11" numFmtId="0" xfId="0" applyAlignment="1" applyBorder="1" applyFont="1">
      <alignment horizontal="left" readingOrder="0" shrinkToFit="0" vertical="bottom" wrapText="1"/>
    </xf>
    <xf borderId="7" fillId="18" fontId="10" numFmtId="0" xfId="0" applyAlignment="1" applyBorder="1" applyFont="1">
      <alignment horizontal="left" readingOrder="0" shrinkToFit="0" vertical="bottom" wrapText="1"/>
    </xf>
    <xf borderId="7" fillId="8" fontId="11" numFmtId="0" xfId="0" applyAlignment="1" applyBorder="1" applyFont="1">
      <alignment horizontal="left" readingOrder="0" shrinkToFit="0" vertical="bottom" wrapText="1"/>
    </xf>
    <xf borderId="7" fillId="21" fontId="11" numFmtId="0" xfId="0" applyAlignment="1" applyBorder="1" applyFont="1">
      <alignment horizontal="left" readingOrder="0" shrinkToFit="0" vertical="bottom" wrapText="1"/>
    </xf>
    <xf borderId="0" fillId="7" fontId="13" numFmtId="0" xfId="0" applyAlignment="1" applyFont="1">
      <alignment horizontal="left" readingOrder="0" shrinkToFit="0" vertical="bottom" wrapText="1"/>
    </xf>
    <xf borderId="7" fillId="2" fontId="15" numFmtId="0" xfId="0" applyAlignment="1" applyBorder="1" applyFont="1">
      <alignment horizontal="left" readingOrder="0" shrinkToFit="0" vertical="center" wrapText="1"/>
    </xf>
    <xf borderId="8" fillId="19" fontId="11" numFmtId="0" xfId="0" applyAlignment="1" applyBorder="1" applyFont="1">
      <alignment horizontal="left" readingOrder="0" shrinkToFit="0" vertical="bottom" wrapText="1"/>
    </xf>
    <xf borderId="8" fillId="19" fontId="2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/>
    </xf>
    <xf borderId="12" fillId="7" fontId="13" numFmtId="0" xfId="0" applyAlignment="1" applyBorder="1" applyFont="1">
      <alignment horizontal="left" readingOrder="0" shrinkToFit="0" vertical="bottom" wrapText="1"/>
    </xf>
    <xf borderId="7" fillId="22" fontId="11" numFmtId="0" xfId="0" applyAlignment="1" applyBorder="1" applyFont="1">
      <alignment horizontal="left" readingOrder="0" shrinkToFit="0" vertical="center" wrapText="1"/>
    </xf>
    <xf borderId="7" fillId="22" fontId="2" numFmtId="0" xfId="0" applyAlignment="1" applyBorder="1" applyFont="1">
      <alignment horizontal="center" readingOrder="0" shrinkToFit="0" vertical="center" wrapText="1"/>
    </xf>
    <xf borderId="7" fillId="22" fontId="2" numFmtId="0" xfId="0" applyAlignment="1" applyBorder="1" applyFont="1">
      <alignment horizontal="center" shrinkToFit="0" vertical="center" wrapText="1"/>
    </xf>
    <xf borderId="7" fillId="22" fontId="2" numFmtId="0" xfId="0" applyAlignment="1" applyBorder="1" applyFont="1">
      <alignment horizontal="center" readingOrder="0" shrinkToFit="0" vertical="center" wrapText="1"/>
    </xf>
    <xf borderId="7" fillId="22" fontId="1" numFmtId="0" xfId="0" applyAlignment="1" applyBorder="1" applyFont="1">
      <alignment horizontal="center" shrinkToFit="0" vertical="center" wrapText="1"/>
    </xf>
    <xf borderId="7" fillId="18" fontId="15" numFmtId="0" xfId="0" applyAlignment="1" applyBorder="1" applyFont="1">
      <alignment horizontal="left" readingOrder="0" shrinkToFit="0" wrapText="1"/>
    </xf>
    <xf borderId="7" fillId="18" fontId="26" numFmtId="0" xfId="0" applyAlignment="1" applyBorder="1" applyFont="1">
      <alignment horizontal="center" readingOrder="0" shrinkToFit="0" wrapText="1"/>
    </xf>
    <xf borderId="7" fillId="18" fontId="32" numFmtId="0" xfId="0" applyAlignment="1" applyBorder="1" applyFont="1">
      <alignment horizontal="center" readingOrder="0" shrinkToFit="0" wrapText="1"/>
    </xf>
    <xf borderId="7" fillId="18" fontId="7" numFmtId="0" xfId="0" applyAlignment="1" applyBorder="1" applyFont="1">
      <alignment horizontal="center" readingOrder="0" shrinkToFit="0" wrapText="1"/>
    </xf>
    <xf borderId="7" fillId="16" fontId="11" numFmtId="0" xfId="0" applyAlignment="1" applyBorder="1" applyFont="1">
      <alignment horizontal="left" readingOrder="0" shrinkToFit="0" vertical="bottom" wrapText="1"/>
    </xf>
    <xf borderId="7" fillId="17" fontId="11" numFmtId="0" xfId="0" applyAlignment="1" applyBorder="1" applyFont="1">
      <alignment horizontal="left" readingOrder="0" shrinkToFit="0" vertical="bottom" wrapText="1"/>
    </xf>
    <xf borderId="7" fillId="17" fontId="1" numFmtId="0" xfId="0" applyAlignment="1" applyBorder="1" applyFont="1">
      <alignment horizontal="center"/>
    </xf>
    <xf borderId="7" fillId="24" fontId="15" numFmtId="0" xfId="0" applyAlignment="1" applyBorder="1" applyFont="1">
      <alignment horizontal="left" readingOrder="0" shrinkToFit="0" wrapText="1"/>
    </xf>
    <xf borderId="3" fillId="24" fontId="2" numFmtId="0" xfId="0" applyAlignment="1" applyBorder="1" applyFont="1">
      <alignment horizontal="center" readingOrder="0" shrinkToFit="0" wrapText="1"/>
    </xf>
    <xf borderId="5" fillId="24" fontId="2" numFmtId="0" xfId="0" applyAlignment="1" applyBorder="1" applyFont="1">
      <alignment horizontal="center" readingOrder="0" shrinkToFit="0" wrapText="1"/>
    </xf>
    <xf borderId="5" fillId="24" fontId="2" numFmtId="0" xfId="0" applyAlignment="1" applyBorder="1" applyFont="1">
      <alignment horizontal="center" readingOrder="0" shrinkToFit="0" vertical="center" wrapText="1"/>
    </xf>
    <xf borderId="7" fillId="24" fontId="1" numFmtId="0" xfId="0" applyAlignment="1" applyBorder="1" applyFont="1">
      <alignment horizontal="center" readingOrder="0" shrinkToFit="0" wrapText="1"/>
    </xf>
    <xf borderId="3" fillId="15" fontId="2" numFmtId="0" xfId="0" applyAlignment="1" applyBorder="1" applyFont="1">
      <alignment horizontal="center" readingOrder="0" shrinkToFit="0" wrapText="1"/>
    </xf>
    <xf borderId="5" fillId="15" fontId="2" numFmtId="0" xfId="0" applyAlignment="1" applyBorder="1" applyFont="1">
      <alignment horizontal="center" shrinkToFit="0" wrapText="1"/>
    </xf>
    <xf borderId="5" fillId="15" fontId="2" numFmtId="0" xfId="0" applyAlignment="1" applyBorder="1" applyFont="1">
      <alignment horizontal="center" readingOrder="0" shrinkToFit="0" wrapText="1"/>
    </xf>
    <xf borderId="7" fillId="4" fontId="15" numFmtId="0" xfId="0" applyAlignment="1" applyBorder="1" applyFont="1">
      <alignment horizontal="left" readingOrder="0" shrinkToFit="0" wrapText="1"/>
    </xf>
    <xf borderId="7" fillId="4" fontId="2" numFmtId="0" xfId="0" applyAlignment="1" applyBorder="1" applyFont="1">
      <alignment horizontal="center" shrinkToFit="0" wrapText="1"/>
    </xf>
    <xf borderId="7" fillId="4" fontId="2" numFmtId="0" xfId="0" applyAlignment="1" applyBorder="1" applyFont="1">
      <alignment horizontal="center" readingOrder="0" shrinkToFit="0" wrapText="1"/>
    </xf>
    <xf borderId="3" fillId="4" fontId="2" numFmtId="0" xfId="0" applyAlignment="1" applyBorder="1" applyFont="1">
      <alignment horizontal="center" readingOrder="0" shrinkToFit="0" wrapText="1"/>
    </xf>
    <xf borderId="5" fillId="4" fontId="2" numFmtId="0" xfId="0" applyAlignment="1" applyBorder="1" applyFont="1">
      <alignment horizontal="center" readingOrder="0" shrinkToFit="0" wrapText="1"/>
    </xf>
    <xf borderId="5" fillId="4" fontId="2" numFmtId="0" xfId="0" applyAlignment="1" applyBorder="1" applyFont="1">
      <alignment horizontal="center" shrinkToFit="0" wrapText="1"/>
    </xf>
    <xf borderId="7" fillId="4" fontId="2" numFmtId="0" xfId="0" applyAlignment="1" applyBorder="1" applyFont="1">
      <alignment horizontal="center" shrinkToFit="0" wrapText="1"/>
    </xf>
    <xf borderId="7" fillId="28" fontId="2" numFmtId="0" xfId="0" applyAlignment="1" applyBorder="1" applyFill="1" applyFont="1">
      <alignment horizontal="center" readingOrder="0" shrinkToFit="0" wrapText="1"/>
    </xf>
    <xf borderId="7" fillId="4" fontId="1" numFmtId="0" xfId="0" applyAlignment="1" applyBorder="1" applyFont="1">
      <alignment horizontal="center" shrinkToFit="0" wrapText="1"/>
    </xf>
    <xf borderId="7" fillId="2" fontId="15" numFmtId="0" xfId="0" applyAlignment="1" applyBorder="1" applyFont="1">
      <alignment horizontal="left" readingOrder="0" shrinkToFit="0" wrapText="1"/>
    </xf>
    <xf borderId="7" fillId="2" fontId="2" numFmtId="0" xfId="0" applyAlignment="1" applyBorder="1" applyFont="1">
      <alignment horizontal="center" shrinkToFit="0" wrapText="1"/>
    </xf>
    <xf borderId="7" fillId="2" fontId="2" numFmtId="0" xfId="0" applyAlignment="1" applyBorder="1" applyFont="1">
      <alignment horizontal="center" readingOrder="0" shrinkToFit="0" wrapText="1"/>
    </xf>
    <xf borderId="7" fillId="2" fontId="2" numFmtId="0" xfId="0" applyAlignment="1" applyBorder="1" applyFont="1">
      <alignment horizontal="center" readingOrder="0" shrinkToFit="0" wrapText="1"/>
    </xf>
    <xf borderId="7" fillId="2" fontId="1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left" readingOrder="0" shrinkToFit="0" vertical="bottom" wrapText="1"/>
    </xf>
    <xf borderId="5" fillId="6" fontId="2" numFmtId="0" xfId="0" applyAlignment="1" applyBorder="1" applyFont="1">
      <alignment horizontal="center" readingOrder="0" shrinkToFit="0" wrapText="1"/>
    </xf>
    <xf borderId="0" fillId="21" fontId="1" numFmtId="0" xfId="0" applyAlignment="1" applyFont="1">
      <alignment horizontal="center"/>
    </xf>
    <xf borderId="7" fillId="29" fontId="2" numFmtId="0" xfId="0" applyAlignment="1" applyBorder="1" applyFill="1" applyFont="1">
      <alignment horizontal="center" shrinkToFit="0" wrapText="1"/>
    </xf>
    <xf borderId="7" fillId="29" fontId="15" numFmtId="0" xfId="0" applyAlignment="1" applyBorder="1" applyFont="1">
      <alignment horizontal="center" readingOrder="0" shrinkToFit="0" wrapText="1"/>
    </xf>
    <xf borderId="7" fillId="29" fontId="15" numFmtId="0" xfId="0" applyAlignment="1" applyBorder="1" applyFont="1">
      <alignment horizontal="center" readingOrder="0" shrinkToFit="0" wrapText="1"/>
    </xf>
    <xf borderId="7" fillId="29" fontId="1" numFmtId="0" xfId="0" applyAlignment="1" applyBorder="1" applyFont="1">
      <alignment horizontal="center" shrinkToFit="0" wrapText="1"/>
    </xf>
    <xf borderId="0" fillId="29" fontId="1" numFmtId="0" xfId="0" applyAlignment="1" applyFont="1">
      <alignment horizontal="center"/>
    </xf>
    <xf borderId="7" fillId="3" fontId="2" numFmtId="0" xfId="0" applyAlignment="1" applyBorder="1" applyFont="1">
      <alignment horizontal="center" shrinkToFit="0" wrapText="1"/>
    </xf>
    <xf borderId="7" fillId="3" fontId="2" numFmtId="0" xfId="0" applyAlignment="1" applyBorder="1" applyFont="1">
      <alignment horizontal="center" readingOrder="0" shrinkToFit="0" wrapText="1"/>
    </xf>
    <xf borderId="7" fillId="3" fontId="2" numFmtId="0" xfId="0" applyAlignment="1" applyBorder="1" applyFont="1">
      <alignment horizontal="center" shrinkToFit="0" wrapText="1"/>
    </xf>
    <xf borderId="7" fillId="3" fontId="1" numFmtId="0" xfId="0" applyAlignment="1" applyBorder="1" applyFont="1">
      <alignment horizontal="center" shrinkToFit="0" wrapText="1"/>
    </xf>
    <xf borderId="0" fillId="3" fontId="1" numFmtId="0" xfId="0" applyAlignment="1" applyFont="1">
      <alignment horizontal="center"/>
    </xf>
    <xf borderId="7" fillId="29" fontId="2" numFmtId="0" xfId="0" applyAlignment="1" applyBorder="1" applyFont="1">
      <alignment horizontal="center" shrinkToFit="0" wrapText="1"/>
    </xf>
    <xf borderId="7" fillId="29" fontId="2" numFmtId="0" xfId="0" applyAlignment="1" applyBorder="1" applyFont="1">
      <alignment horizontal="center" readingOrder="0" shrinkToFit="0" wrapText="1"/>
    </xf>
    <xf borderId="7" fillId="17" fontId="2" numFmtId="0" xfId="0" applyAlignment="1" applyBorder="1" applyFont="1">
      <alignment horizontal="center" shrinkToFit="0" vertical="center" wrapText="1"/>
    </xf>
    <xf borderId="7" fillId="17" fontId="2" numFmtId="0" xfId="0" applyAlignment="1" applyBorder="1" applyFont="1">
      <alignment horizontal="center" readingOrder="0" shrinkToFit="0" vertical="center" wrapText="1"/>
    </xf>
    <xf borderId="7" fillId="17" fontId="2" numFmtId="0" xfId="0" applyAlignment="1" applyBorder="1" applyFont="1">
      <alignment horizontal="center" readingOrder="0" shrinkToFit="0" vertical="center" wrapText="1"/>
    </xf>
    <xf borderId="7" fillId="17" fontId="1" numFmtId="0" xfId="0" applyAlignment="1" applyBorder="1" applyFont="1">
      <alignment horizontal="center" shrinkToFit="0" vertical="center" wrapText="1"/>
    </xf>
    <xf borderId="7" fillId="6" fontId="2" numFmtId="0" xfId="0" applyAlignment="1" applyBorder="1" applyFont="1">
      <alignment horizontal="center" shrinkToFit="0" vertical="center" wrapText="1"/>
    </xf>
    <xf borderId="7" fillId="6" fontId="2" numFmtId="0" xfId="0" applyAlignment="1" applyBorder="1" applyFont="1">
      <alignment horizontal="center" readingOrder="0" shrinkToFit="0" vertical="center" wrapText="1"/>
    </xf>
    <xf borderId="7" fillId="6" fontId="2" numFmtId="0" xfId="0" applyAlignment="1" applyBorder="1" applyFont="1">
      <alignment horizontal="center" readingOrder="0" shrinkToFit="0" vertical="center" wrapText="1"/>
    </xf>
    <xf borderId="7" fillId="6" fontId="1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horizontal="center" vertical="center"/>
    </xf>
    <xf borderId="3" fillId="17" fontId="2" numFmtId="0" xfId="0" applyAlignment="1" applyBorder="1" applyFont="1">
      <alignment horizontal="center" readingOrder="0" shrinkToFit="0" wrapText="1"/>
    </xf>
    <xf borderId="5" fillId="17" fontId="2" numFmtId="0" xfId="0" applyAlignment="1" applyBorder="1" applyFont="1">
      <alignment horizontal="center" readingOrder="0" shrinkToFit="0" wrapText="1"/>
    </xf>
    <xf borderId="0" fillId="17" fontId="1" numFmtId="0" xfId="0" applyAlignment="1" applyFont="1">
      <alignment horizontal="center"/>
    </xf>
    <xf borderId="7" fillId="30" fontId="2" numFmtId="0" xfId="0" applyAlignment="1" applyBorder="1" applyFill="1" applyFont="1">
      <alignment horizontal="center" shrinkToFit="0" wrapText="1"/>
    </xf>
    <xf borderId="7" fillId="30" fontId="2" numFmtId="0" xfId="0" applyAlignment="1" applyBorder="1" applyFont="1">
      <alignment horizontal="center" readingOrder="0" shrinkToFit="0" wrapText="1"/>
    </xf>
    <xf borderId="7" fillId="30" fontId="2" numFmtId="0" xfId="0" applyAlignment="1" applyBorder="1" applyFont="1">
      <alignment horizontal="center" readingOrder="0" shrinkToFit="0" wrapText="1"/>
    </xf>
    <xf borderId="7" fillId="30" fontId="1" numFmtId="0" xfId="0" applyAlignment="1" applyBorder="1" applyFont="1">
      <alignment horizontal="center" shrinkToFit="0" wrapText="1"/>
    </xf>
    <xf borderId="0" fillId="30" fontId="1" numFmtId="0" xfId="0" applyAlignment="1" applyFont="1">
      <alignment horizontal="center"/>
    </xf>
    <xf borderId="7" fillId="0" fontId="15" numFmtId="0" xfId="0" applyAlignment="1" applyBorder="1" applyFont="1">
      <alignment horizontal="center" readingOrder="0" shrinkToFit="0" wrapText="1"/>
    </xf>
    <xf borderId="7" fillId="12" fontId="2" numFmtId="0" xfId="0" applyAlignment="1" applyBorder="1" applyFont="1">
      <alignment horizontal="center" shrinkToFit="0" vertical="center" wrapText="1"/>
    </xf>
    <xf borderId="7" fillId="12" fontId="2" numFmtId="0" xfId="0" applyAlignment="1" applyBorder="1" applyFont="1">
      <alignment horizontal="center" readingOrder="0" shrinkToFit="0" vertical="center" wrapText="1"/>
    </xf>
    <xf borderId="7" fillId="12" fontId="2" numFmtId="0" xfId="0" applyAlignment="1" applyBorder="1" applyFont="1">
      <alignment horizontal="center" shrinkToFit="0" vertical="center" wrapText="1"/>
    </xf>
    <xf borderId="7" fillId="12" fontId="1" numFmtId="0" xfId="0" applyAlignment="1" applyBorder="1" applyFont="1">
      <alignment horizontal="center" shrinkToFit="0" vertical="center" wrapText="1"/>
    </xf>
    <xf borderId="2" fillId="26" fontId="3" numFmtId="0" xfId="0" applyAlignment="1" applyBorder="1" applyFont="1">
      <alignment horizontal="center" shrinkToFit="0" vertical="bottom" wrapText="1"/>
    </xf>
    <xf borderId="3" fillId="6" fontId="2" numFmtId="0" xfId="0" applyAlignment="1" applyBorder="1" applyFont="1">
      <alignment horizontal="center" readingOrder="0" shrinkToFit="0" wrapText="1"/>
    </xf>
    <xf borderId="7" fillId="28" fontId="28" numFmtId="0" xfId="0" applyAlignment="1" applyBorder="1" applyFont="1">
      <alignment horizontal="center" readingOrder="0" shrinkToFit="0" wrapText="1"/>
    </xf>
    <xf borderId="7" fillId="31" fontId="2" numFmtId="0" xfId="0" applyAlignment="1" applyBorder="1" applyFill="1" applyFont="1">
      <alignment horizontal="center" shrinkToFit="0" wrapText="1"/>
    </xf>
    <xf borderId="7" fillId="31" fontId="2" numFmtId="0" xfId="0" applyAlignment="1" applyBorder="1" applyFont="1">
      <alignment horizontal="center" readingOrder="0" shrinkToFit="0" wrapText="1"/>
    </xf>
    <xf borderId="3" fillId="31" fontId="2" numFmtId="0" xfId="0" applyAlignment="1" applyBorder="1" applyFont="1">
      <alignment horizontal="center" shrinkToFit="0" wrapText="1"/>
    </xf>
    <xf borderId="7" fillId="31" fontId="2" numFmtId="0" xfId="0" applyAlignment="1" applyBorder="1" applyFont="1">
      <alignment horizontal="center" readingOrder="0" shrinkToFit="0" wrapText="1"/>
    </xf>
    <xf borderId="5" fillId="31" fontId="2" numFmtId="0" xfId="0" applyAlignment="1" applyBorder="1" applyFont="1">
      <alignment horizontal="center" shrinkToFit="0" wrapText="1"/>
    </xf>
    <xf borderId="7" fillId="31" fontId="1" numFmtId="0" xfId="0" applyAlignment="1" applyBorder="1" applyFont="1">
      <alignment horizontal="center" shrinkToFit="0" wrapText="1"/>
    </xf>
    <xf borderId="0" fillId="31" fontId="1" numFmtId="0" xfId="0" applyAlignment="1" applyFont="1">
      <alignment horizontal="center"/>
    </xf>
    <xf borderId="7" fillId="21" fontId="2" numFmtId="0" xfId="0" applyAlignment="1" applyBorder="1" applyFont="1">
      <alignment horizontal="center" shrinkToFit="0" vertical="center" wrapText="1"/>
    </xf>
    <xf borderId="7" fillId="21" fontId="2" numFmtId="0" xfId="0" applyAlignment="1" applyBorder="1" applyFont="1">
      <alignment horizontal="center" readingOrder="0" shrinkToFit="0" vertical="center" wrapText="1"/>
    </xf>
    <xf borderId="3" fillId="21" fontId="26" numFmtId="0" xfId="0" applyAlignment="1" applyBorder="1" applyFont="1">
      <alignment horizontal="center" readingOrder="0" shrinkToFit="0" vertical="center" wrapText="1"/>
    </xf>
    <xf borderId="7" fillId="21" fontId="2" numFmtId="0" xfId="0" applyAlignment="1" applyBorder="1" applyFont="1">
      <alignment horizontal="center" readingOrder="0" shrinkToFit="0" vertical="center" wrapText="1"/>
    </xf>
    <xf borderId="5" fillId="21" fontId="2" numFmtId="0" xfId="0" applyAlignment="1" applyBorder="1" applyFont="1">
      <alignment horizontal="center" shrinkToFit="0" vertical="center" wrapText="1"/>
    </xf>
    <xf borderId="7" fillId="21" fontId="26" numFmtId="0" xfId="0" applyAlignment="1" applyBorder="1" applyFont="1">
      <alignment horizontal="center" readingOrder="0" shrinkToFit="0" vertical="center" wrapText="1"/>
    </xf>
    <xf borderId="7" fillId="21" fontId="1" numFmtId="0" xfId="0" applyAlignment="1" applyBorder="1" applyFont="1">
      <alignment horizontal="center" shrinkToFit="0" vertical="center" wrapText="1"/>
    </xf>
    <xf borderId="7" fillId="21" fontId="15" numFmtId="0" xfId="0" applyAlignment="1" applyBorder="1" applyFont="1">
      <alignment horizontal="center" readingOrder="0" shrinkToFit="0" wrapText="1"/>
    </xf>
    <xf borderId="7" fillId="21" fontId="18" numFmtId="0" xfId="0" applyAlignment="1" applyBorder="1" applyFont="1">
      <alignment horizontal="center" readingOrder="0" shrinkToFit="0" wrapText="1"/>
    </xf>
    <xf borderId="7" fillId="32" fontId="2" numFmtId="0" xfId="0" applyAlignment="1" applyBorder="1" applyFill="1" applyFont="1">
      <alignment horizontal="center" readingOrder="0" shrinkToFit="0" wrapText="1"/>
    </xf>
    <xf borderId="7" fillId="32" fontId="2" numFmtId="0" xfId="0" applyAlignment="1" applyBorder="1" applyFont="1">
      <alignment horizontal="center" shrinkToFit="0" wrapText="1"/>
    </xf>
    <xf borderId="7" fillId="32" fontId="2" numFmtId="0" xfId="0" applyAlignment="1" applyBorder="1" applyFont="1">
      <alignment horizontal="center" readingOrder="0" shrinkToFit="0" wrapText="1"/>
    </xf>
    <xf borderId="7" fillId="32" fontId="2" numFmtId="0" xfId="0" applyAlignment="1" applyBorder="1" applyFont="1">
      <alignment horizontal="center" shrinkToFit="0" wrapText="1"/>
    </xf>
    <xf borderId="7" fillId="32" fontId="1" numFmtId="0" xfId="0" applyAlignment="1" applyBorder="1" applyFont="1">
      <alignment horizontal="center" shrinkToFit="0" wrapText="1"/>
    </xf>
    <xf borderId="0" fillId="32" fontId="1" numFmtId="0" xfId="0" applyAlignment="1" applyFont="1">
      <alignment horizontal="center"/>
    </xf>
    <xf borderId="0" fillId="15" fontId="1" numFmtId="0" xfId="0" applyAlignment="1" applyFont="1">
      <alignment horizontal="center"/>
    </xf>
    <xf borderId="7" fillId="32" fontId="13" numFmtId="0" xfId="0" applyAlignment="1" applyBorder="1" applyFont="1">
      <alignment horizontal="left" readingOrder="0" shrinkToFit="0" vertical="bottom" wrapText="1"/>
    </xf>
    <xf borderId="7" fillId="32" fontId="13" numFmtId="0" xfId="0" applyAlignment="1" applyBorder="1" applyFont="1">
      <alignment horizontal="left" readingOrder="0" shrinkToFit="0" vertical="bottom" wrapText="1"/>
    </xf>
    <xf borderId="7" fillId="6" fontId="26" numFmtId="0" xfId="0" applyAlignment="1" applyBorder="1" applyFont="1">
      <alignment horizontal="center" readingOrder="0" shrinkToFit="0" vertical="center" wrapText="1"/>
    </xf>
    <xf borderId="7" fillId="28" fontId="2" numFmtId="0" xfId="0" applyAlignment="1" applyBorder="1" applyFont="1">
      <alignment horizontal="center" readingOrder="0" shrinkToFit="0" vertical="center" wrapText="1"/>
    </xf>
    <xf borderId="7" fillId="6" fontId="1" numFmtId="0" xfId="0" applyAlignment="1" applyBorder="1" applyFont="1">
      <alignment horizontal="center" readingOrder="0" shrinkToFit="0" vertical="center" wrapText="1"/>
    </xf>
    <xf borderId="7" fillId="22" fontId="33" numFmtId="0" xfId="0" applyAlignment="1" applyBorder="1" applyFont="1">
      <alignment horizontal="center" readingOrder="0" shrinkToFit="0" vertical="center" wrapText="1"/>
    </xf>
    <xf borderId="7" fillId="22" fontId="22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7" fillId="17" fontId="2" numFmtId="0" xfId="0" applyAlignment="1" applyBorder="1" applyFont="1">
      <alignment horizontal="center" readingOrder="0" shrinkToFit="0" wrapText="1"/>
    </xf>
    <xf borderId="7" fillId="3" fontId="26" numFmtId="0" xfId="0" applyAlignment="1" applyBorder="1" applyFont="1">
      <alignment horizontal="center" readingOrder="0" shrinkToFit="0" wrapText="1"/>
    </xf>
    <xf borderId="7" fillId="3" fontId="18" numFmtId="0" xfId="0" applyAlignment="1" applyBorder="1" applyFont="1">
      <alignment horizontal="center" readingOrder="0" shrinkToFit="0" textRotation="0" vertical="center" wrapText="1"/>
    </xf>
    <xf borderId="0" fillId="7" fontId="2" numFmtId="0" xfId="0" applyAlignment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4" fillId="0" fontId="25" numFmtId="0" xfId="0" applyAlignment="1" applyBorder="1" applyFont="1">
      <alignment horizontal="center" readingOrder="0" shrinkToFit="0" wrapText="1"/>
    </xf>
    <xf borderId="7" fillId="13" fontId="11" numFmtId="0" xfId="0" applyAlignment="1" applyBorder="1" applyFont="1">
      <alignment horizontal="left" readingOrder="0" shrinkToFit="0" vertical="center" wrapText="1"/>
    </xf>
    <xf borderId="7" fillId="13" fontId="2" numFmtId="0" xfId="0" applyAlignment="1" applyBorder="1" applyFont="1">
      <alignment horizontal="center" readingOrder="0" shrinkToFit="0" vertical="center" wrapText="1"/>
    </xf>
    <xf borderId="3" fillId="13" fontId="2" numFmtId="0" xfId="0" applyAlignment="1" applyBorder="1" applyFont="1">
      <alignment horizontal="center" readingOrder="0" shrinkToFit="0" vertical="center" wrapText="1"/>
    </xf>
    <xf borderId="7" fillId="13" fontId="2" numFmtId="0" xfId="0" applyAlignment="1" applyBorder="1" applyFont="1">
      <alignment horizontal="center" readingOrder="0" shrinkToFit="0" vertical="center" wrapText="1"/>
    </xf>
    <xf borderId="5" fillId="13" fontId="2" numFmtId="0" xfId="0" applyAlignment="1" applyBorder="1" applyFont="1">
      <alignment horizontal="center" readingOrder="0" shrinkToFit="0" vertical="center" wrapText="1"/>
    </xf>
    <xf borderId="7" fillId="13" fontId="2" numFmtId="0" xfId="0" applyAlignment="1" applyBorder="1" applyFont="1">
      <alignment horizontal="center" shrinkToFit="0" vertical="center" wrapText="1"/>
    </xf>
    <xf borderId="7" fillId="13" fontId="1" numFmtId="0" xfId="0" applyAlignment="1" applyBorder="1" applyFont="1">
      <alignment horizontal="center" shrinkToFit="0" vertical="center" wrapText="1"/>
    </xf>
    <xf borderId="7" fillId="16" fontId="11" numFmtId="0" xfId="0" applyAlignment="1" applyBorder="1" applyFont="1">
      <alignment horizontal="left" readingOrder="0" shrinkToFit="0" vertical="center" wrapText="1"/>
    </xf>
    <xf borderId="3" fillId="16" fontId="2" numFmtId="0" xfId="0" applyAlignment="1" applyBorder="1" applyFont="1">
      <alignment horizontal="center" shrinkToFit="0" vertical="center" wrapText="1"/>
    </xf>
    <xf borderId="5" fillId="16" fontId="2" numFmtId="0" xfId="0" applyAlignment="1" applyBorder="1" applyFont="1">
      <alignment horizontal="center" shrinkToFit="0" vertical="center" wrapText="1"/>
    </xf>
    <xf borderId="0" fillId="16" fontId="1" numFmtId="0" xfId="0" applyAlignment="1" applyFont="1">
      <alignment horizontal="center" vertical="center"/>
    </xf>
    <xf borderId="7" fillId="21" fontId="13" numFmtId="0" xfId="0" applyAlignment="1" applyBorder="1" applyFont="1">
      <alignment horizontal="left" readingOrder="0" shrinkToFit="0" vertical="center" wrapText="1"/>
    </xf>
    <xf borderId="3" fillId="21" fontId="2" numFmtId="0" xfId="0" applyAlignment="1" applyBorder="1" applyFont="1">
      <alignment horizontal="center" shrinkToFit="0" vertical="center" wrapText="1"/>
    </xf>
    <xf borderId="7" fillId="21" fontId="2" numFmtId="0" xfId="0" applyAlignment="1" applyBorder="1" applyFont="1">
      <alignment horizontal="center" readingOrder="0" shrinkToFit="0" textRotation="0" vertical="center" wrapText="1"/>
    </xf>
    <xf borderId="7" fillId="21" fontId="13" numFmtId="0" xfId="0" applyAlignment="1" applyBorder="1" applyFont="1">
      <alignment horizontal="left" readingOrder="0" shrinkToFit="0" vertical="bottom" wrapText="1"/>
    </xf>
    <xf borderId="0" fillId="32" fontId="13" numFmtId="0" xfId="0" applyAlignment="1" applyFont="1">
      <alignment horizontal="left" readingOrder="0" shrinkToFit="0" vertical="bottom" wrapText="1"/>
    </xf>
    <xf borderId="7" fillId="32" fontId="2" numFmtId="0" xfId="0" applyAlignment="1" applyBorder="1" applyFont="1">
      <alignment horizontal="center" shrinkToFit="0" wrapText="1"/>
    </xf>
    <xf borderId="7" fillId="32" fontId="2" numFmtId="0" xfId="0" applyAlignment="1" applyBorder="1" applyFont="1">
      <alignment shrinkToFit="0" wrapText="1"/>
    </xf>
    <xf borderId="7" fillId="3" fontId="13" numFmtId="0" xfId="0" applyAlignment="1" applyBorder="1" applyFont="1">
      <alignment horizontal="left" readingOrder="0" shrinkToFit="0" vertical="bottom" wrapText="1"/>
    </xf>
    <xf borderId="7" fillId="33" fontId="2" numFmtId="0" xfId="0" applyAlignment="1" applyBorder="1" applyFill="1" applyFont="1">
      <alignment horizontal="center" readingOrder="0" shrinkToFit="0" vertical="center" wrapText="1"/>
    </xf>
    <xf borderId="7" fillId="8" fontId="11" numFmtId="0" xfId="0" applyAlignment="1" applyBorder="1" applyFont="1">
      <alignment horizontal="left" readingOrder="0" shrinkToFit="0" vertical="center" wrapText="1"/>
    </xf>
    <xf borderId="7" fillId="8" fontId="2" numFmtId="0" xfId="0" applyAlignment="1" applyBorder="1" applyFont="1">
      <alignment horizontal="center" readingOrder="0" shrinkToFit="0" vertical="center" wrapText="1"/>
    </xf>
    <xf borderId="0" fillId="8" fontId="1" numFmtId="0" xfId="0" applyFont="1"/>
    <xf borderId="7" fillId="8" fontId="2" numFmtId="0" xfId="0" applyAlignment="1" applyBorder="1" applyFont="1">
      <alignment horizontal="center" shrinkToFit="0" vertical="center" wrapText="1"/>
    </xf>
    <xf borderId="7" fillId="8" fontId="1" numFmtId="0" xfId="0" applyAlignment="1" applyBorder="1" applyFont="1">
      <alignment horizontal="center" shrinkToFit="0" vertical="center" wrapText="1"/>
    </xf>
    <xf borderId="7" fillId="6" fontId="11" numFmtId="0" xfId="0" applyAlignment="1" applyBorder="1" applyFont="1">
      <alignment horizontal="left" readingOrder="0" shrinkToFit="0" vertical="center" wrapText="1"/>
    </xf>
    <xf borderId="7" fillId="17" fontId="15" numFmtId="0" xfId="0" applyAlignment="1" applyBorder="1" applyFont="1">
      <alignment horizontal="left" readingOrder="0" shrinkToFit="0" wrapText="1"/>
    </xf>
    <xf borderId="7" fillId="30" fontId="15" numFmtId="0" xfId="0" applyAlignment="1" applyBorder="1" applyFont="1">
      <alignment horizontal="left" readingOrder="0" shrinkToFit="0" wrapText="1"/>
    </xf>
    <xf borderId="7" fillId="12" fontId="19" numFmtId="0" xfId="0" applyAlignment="1" applyBorder="1" applyFont="1">
      <alignment horizontal="left" readingOrder="0" shrinkToFit="0" wrapText="1"/>
    </xf>
    <xf borderId="7" fillId="12" fontId="2" numFmtId="0" xfId="0" applyAlignment="1" applyBorder="1" applyFont="1">
      <alignment horizontal="center" readingOrder="0" shrinkToFit="0" wrapText="1"/>
    </xf>
    <xf borderId="7" fillId="12" fontId="2" numFmtId="0" xfId="0" applyAlignment="1" applyBorder="1" applyFont="1">
      <alignment horizontal="center" shrinkToFit="0" wrapText="1"/>
    </xf>
    <xf borderId="7" fillId="12" fontId="2" numFmtId="0" xfId="0" applyAlignment="1" applyBorder="1" applyFont="1">
      <alignment horizontal="center" readingOrder="0" shrinkToFit="0" wrapText="1"/>
    </xf>
    <xf borderId="0" fillId="0" fontId="2" numFmtId="166" xfId="0" applyAlignment="1" applyFont="1" applyNumberFormat="1">
      <alignment horizontal="center" shrinkToFit="0" wrapText="1"/>
    </xf>
    <xf borderId="4" fillId="0" fontId="2" numFmtId="0" xfId="0" applyAlignment="1" applyBorder="1" applyFont="1">
      <alignment horizontal="center" readingOrder="0" shrinkToFit="0" wrapText="1"/>
    </xf>
    <xf borderId="3" fillId="16" fontId="2" numFmtId="0" xfId="0" applyAlignment="1" applyBorder="1" applyFont="1">
      <alignment horizontal="center" readingOrder="0" shrinkToFit="0" vertical="center" wrapText="1"/>
    </xf>
    <xf borderId="5" fillId="16" fontId="2" numFmtId="0" xfId="0" applyAlignment="1" applyBorder="1" applyFont="1">
      <alignment horizontal="center" readingOrder="0" shrinkToFit="0" vertical="center" wrapText="1"/>
    </xf>
    <xf borderId="0" fillId="16" fontId="1" numFmtId="0" xfId="0" applyAlignment="1" applyFont="1">
      <alignment horizontal="center" shrinkToFit="0" vertical="center" wrapText="1"/>
    </xf>
    <xf borderId="7" fillId="8" fontId="26" numFmtId="0" xfId="0" applyAlignment="1" applyBorder="1" applyFont="1">
      <alignment horizontal="center" readingOrder="0" shrinkToFit="0" vertical="center" wrapText="1"/>
    </xf>
    <xf borderId="7" fillId="0" fontId="15" numFmtId="0" xfId="0" applyAlignment="1" applyBorder="1" applyFont="1">
      <alignment horizontal="left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7" fillId="12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0" fillId="33" fontId="34" numFmtId="0" xfId="0" applyAlignment="1" applyFont="1">
      <alignment horizontal="center" shrinkToFit="0" wrapText="1"/>
    </xf>
    <xf borderId="0" fillId="33" fontId="34" numFmtId="0" xfId="0" applyAlignment="1" applyFont="1">
      <alignment horizontal="center"/>
    </xf>
    <xf borderId="3" fillId="0" fontId="1" numFmtId="0" xfId="0" applyAlignment="1" applyBorder="1" applyFont="1">
      <alignment horizontal="left" shrinkToFit="0" wrapText="1"/>
    </xf>
    <xf borderId="2" fillId="33" fontId="3" numFmtId="0" xfId="0" applyAlignment="1" applyBorder="1" applyFont="1">
      <alignment horizontal="center" readingOrder="0" shrinkToFit="0" vertical="bottom" wrapText="1"/>
    </xf>
    <xf borderId="2" fillId="26" fontId="3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/>
    </xf>
    <xf borderId="7" fillId="33" fontId="1" numFmtId="0" xfId="0" applyAlignment="1" applyBorder="1" applyFont="1">
      <alignment horizontal="left" shrinkToFit="0" wrapText="1"/>
    </xf>
    <xf borderId="6" fillId="33" fontId="3" numFmtId="0" xfId="0" applyAlignment="1" applyBorder="1" applyFont="1">
      <alignment horizontal="center" readingOrder="0" shrinkToFit="0" vertical="bottom" wrapText="1"/>
    </xf>
    <xf borderId="1" fillId="33" fontId="3" numFmtId="0" xfId="0" applyAlignment="1" applyBorder="1" applyFont="1">
      <alignment horizontal="center" readingOrder="0" shrinkToFit="0" vertical="bottom" wrapText="1"/>
    </xf>
    <xf borderId="5" fillId="33" fontId="1" numFmtId="0" xfId="0" applyAlignment="1" applyBorder="1" applyFont="1">
      <alignment horizontal="center"/>
    </xf>
    <xf borderId="7" fillId="33" fontId="1" numFmtId="0" xfId="0" applyAlignment="1" applyBorder="1" applyFont="1">
      <alignment horizontal="center"/>
    </xf>
    <xf borderId="7" fillId="16" fontId="2" numFmtId="165" xfId="0" applyAlignment="1" applyBorder="1" applyFont="1" applyNumberFormat="1">
      <alignment horizontal="center" readingOrder="0" shrinkToFit="0" vertical="center" wrapText="1"/>
    </xf>
    <xf borderId="3" fillId="21" fontId="2" numFmtId="0" xfId="0" applyAlignment="1" applyBorder="1" applyFont="1">
      <alignment horizontal="center" readingOrder="0" shrinkToFit="0" vertical="center" wrapText="1"/>
    </xf>
    <xf borderId="3" fillId="18" fontId="2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shrinkToFit="0" wrapText="1"/>
    </xf>
    <xf borderId="7" fillId="15" fontId="15" numFmtId="0" xfId="0" applyAlignment="1" applyBorder="1" applyFont="1">
      <alignment horizontal="left" readingOrder="0" shrinkToFit="0" wrapText="1"/>
    </xf>
    <xf borderId="7" fillId="15" fontId="15" numFmtId="0" xfId="0" applyAlignment="1" applyBorder="1" applyFont="1">
      <alignment horizontal="center" readingOrder="0" shrinkToFit="0" wrapText="1"/>
    </xf>
    <xf borderId="7" fillId="3" fontId="2" numFmtId="0" xfId="0" applyAlignment="1" applyBorder="1" applyFont="1">
      <alignment horizontal="center" readingOrder="0" shrinkToFit="0" wrapText="1"/>
    </xf>
    <xf borderId="3" fillId="3" fontId="2" numFmtId="0" xfId="0" applyAlignment="1" applyBorder="1" applyFont="1">
      <alignment horizontal="center" shrinkToFit="0" wrapText="1"/>
    </xf>
    <xf borderId="3" fillId="12" fontId="2" numFmtId="0" xfId="0" applyAlignment="1" applyBorder="1" applyFont="1">
      <alignment horizontal="center" readingOrder="0" shrinkToFit="0" wrapText="1"/>
    </xf>
    <xf borderId="0" fillId="0" fontId="35" numFmtId="0" xfId="0" applyAlignment="1" applyFont="1">
      <alignment horizontal="left" readingOrder="0" shrinkToFit="0" vertical="bottom" wrapText="1"/>
    </xf>
    <xf borderId="3" fillId="13" fontId="2" numFmtId="0" xfId="0" applyAlignment="1" applyBorder="1" applyFont="1">
      <alignment horizontal="center" shrinkToFit="0" wrapText="1"/>
    </xf>
    <xf borderId="0" fillId="33" fontId="34" numFmtId="0" xfId="0" applyAlignment="1" applyFont="1">
      <alignment shrinkToFit="0" wrapText="1"/>
    </xf>
    <xf borderId="0" fillId="0" fontId="22" numFmtId="167" xfId="0" applyAlignment="1" applyFont="1" applyNumberFormat="1">
      <alignment horizontal="left" readingOrder="0"/>
    </xf>
    <xf borderId="0" fillId="0" fontId="1" numFmtId="1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left" readingOrder="0"/>
    </xf>
    <xf borderId="0" fillId="0" fontId="36" numFmtId="0" xfId="0" applyAlignment="1" applyFont="1">
      <alignment horizontal="center" readingOrder="0" shrinkToFit="0" vertical="center" wrapText="1"/>
    </xf>
    <xf borderId="7" fillId="0" fontId="1" numFmtId="0" xfId="0" applyAlignment="1" applyBorder="1" applyFont="1">
      <alignment horizontal="left" readingOrder="0"/>
    </xf>
    <xf borderId="7" fillId="0" fontId="37" numFmtId="168" xfId="0" applyAlignment="1" applyBorder="1" applyFont="1" applyNumberFormat="1">
      <alignment horizontal="center" readingOrder="0"/>
    </xf>
    <xf borderId="7" fillId="0" fontId="38" numFmtId="168" xfId="0" applyAlignment="1" applyBorder="1" applyFont="1" applyNumberFormat="1">
      <alignment horizontal="center" readingOrder="0"/>
    </xf>
    <xf borderId="3" fillId="0" fontId="37" numFmtId="168" xfId="0" applyAlignment="1" applyBorder="1" applyFont="1" applyNumberFormat="1">
      <alignment horizontal="center" readingOrder="0"/>
    </xf>
    <xf borderId="8" fillId="0" fontId="37" numFmtId="168" xfId="0" applyAlignment="1" applyBorder="1" applyFont="1" applyNumberFormat="1">
      <alignment horizontal="center" readingOrder="0"/>
    </xf>
    <xf borderId="7" fillId="0" fontId="37" numFmtId="168" xfId="0" applyAlignment="1" applyBorder="1" applyFont="1" applyNumberFormat="1">
      <alignment horizontal="center" readingOrder="0"/>
    </xf>
    <xf borderId="3" fillId="0" fontId="37" numFmtId="168" xfId="0" applyAlignment="1" applyBorder="1" applyFont="1" applyNumberForma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7" fillId="0" fontId="37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7" fillId="0" fontId="37" numFmtId="0" xfId="0" applyAlignment="1" applyBorder="1" applyFont="1">
      <alignment horizontal="center" readingOrder="0"/>
    </xf>
    <xf borderId="0" fillId="0" fontId="37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7" fillId="0" fontId="36" numFmtId="0" xfId="0" applyAlignment="1" applyBorder="1" applyFont="1">
      <alignment horizontal="center" shrinkToFit="0" vertical="center" wrapText="1"/>
    </xf>
    <xf borderId="7" fillId="0" fontId="39" numFmtId="0" xfId="0" applyAlignment="1" applyBorder="1" applyFont="1">
      <alignment horizontal="center" shrinkToFit="0" vertical="center" wrapText="1"/>
    </xf>
    <xf borderId="7" fillId="0" fontId="39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3" fillId="0" fontId="40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1" xfId="0" applyFont="1" applyNumberFormat="1"/>
    <xf borderId="0" fillId="0" fontId="1" numFmtId="0" xfId="0" applyAlignment="1" applyFont="1">
      <alignment horizontal="left"/>
    </xf>
    <xf borderId="0" fillId="0" fontId="10" numFmtId="0" xfId="0" applyAlignment="1" applyFont="1">
      <alignment horizontal="center" vertical="bottom"/>
    </xf>
    <xf borderId="0" fillId="0" fontId="37" numFmtId="168" xfId="0" applyAlignment="1" applyFont="1" applyNumberFormat="1">
      <alignment horizontal="center" readingOrder="0"/>
    </xf>
    <xf borderId="0" fillId="0" fontId="38" numFmtId="168" xfId="0" applyAlignment="1" applyFont="1" applyNumberFormat="1">
      <alignment horizontal="center" readingOrder="0"/>
    </xf>
    <xf borderId="0" fillId="0" fontId="37" numFmtId="1" xfId="0" applyAlignment="1" applyFont="1" applyNumberFormat="1">
      <alignment horizontal="center" readingOrder="0"/>
    </xf>
    <xf borderId="7" fillId="33" fontId="1" numFmtId="0" xfId="0" applyAlignment="1" applyBorder="1" applyFont="1">
      <alignment horizontal="center" readingOrder="0" shrinkToFit="0" vertical="center" wrapText="1"/>
    </xf>
    <xf borderId="7" fillId="0" fontId="34" numFmtId="0" xfId="0" applyAlignment="1" applyBorder="1" applyFont="1">
      <alignment horizontal="center" readingOrder="0" shrinkToFit="0" vertical="center" wrapText="1"/>
    </xf>
    <xf borderId="7" fillId="0" fontId="36" numFmtId="0" xfId="0" applyAlignment="1" applyBorder="1" applyFont="1">
      <alignment horizontal="center" readingOrder="0" shrinkToFit="0" vertical="center" wrapText="1"/>
    </xf>
    <xf borderId="7" fillId="0" fontId="1" numFmtId="0" xfId="0" applyBorder="1" applyFont="1"/>
    <xf borderId="7" fillId="0" fontId="1" numFmtId="169" xfId="0" applyAlignment="1" applyBorder="1" applyFont="1" applyNumberFormat="1">
      <alignment readingOrder="0"/>
    </xf>
    <xf borderId="7" fillId="0" fontId="1" numFmtId="168" xfId="0" applyAlignment="1" applyBorder="1" applyFont="1" applyNumberFormat="1">
      <alignment horizontal="center" readingOrder="0" shrinkToFit="0" vertical="center" wrapText="1"/>
    </xf>
    <xf borderId="7" fillId="0" fontId="1" numFmtId="169" xfId="0" applyAlignment="1" applyBorder="1" applyFont="1" applyNumberFormat="1">
      <alignment horizontal="center" readingOrder="0" shrinkToFit="0" vertical="center" wrapText="1"/>
    </xf>
    <xf borderId="7" fillId="0" fontId="41" numFmtId="169" xfId="0" applyAlignment="1" applyBorder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7" fillId="0" fontId="40" numFmtId="168" xfId="0" applyAlignment="1" applyBorder="1" applyFont="1" applyNumberFormat="1">
      <alignment horizontal="center" readingOrder="0" shrinkToFit="0" vertical="center" wrapText="1"/>
    </xf>
    <xf borderId="7" fillId="0" fontId="42" numFmtId="0" xfId="0" applyAlignment="1" applyBorder="1" applyFont="1">
      <alignment horizontal="center" readingOrder="0" shrinkToFit="0" vertical="center" wrapText="1"/>
    </xf>
    <xf borderId="3" fillId="0" fontId="34" numFmtId="0" xfId="0" applyAlignment="1" applyBorder="1" applyFont="1">
      <alignment horizontal="center" readingOrder="0" shrinkToFit="0" vertical="center" wrapText="1"/>
    </xf>
    <xf borderId="0" fillId="0" fontId="43" numFmtId="0" xfId="0" applyAlignment="1" applyFont="1">
      <alignment horizontal="left" readingOrder="0"/>
    </xf>
    <xf borderId="7" fillId="0" fontId="1" numFmtId="1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7" fillId="0" fontId="34" numFmtId="1" xfId="0" applyAlignment="1" applyBorder="1" applyFont="1" applyNumberFormat="1">
      <alignment horizontal="center" readingOrder="0" shrinkToFit="0" vertical="center" wrapText="1"/>
    </xf>
    <xf borderId="7" fillId="0" fontId="44" numFmtId="0" xfId="0" applyAlignment="1" applyBorder="1" applyFont="1">
      <alignment horizontal="center" readingOrder="0" shrinkToFit="0" vertical="center" wrapText="1"/>
    </xf>
    <xf borderId="7" fillId="0" fontId="45" numFmtId="0" xfId="0" applyAlignment="1" applyBorder="1" applyFont="1">
      <alignment horizontal="center" readingOrder="0" shrinkToFit="0" vertical="center" wrapText="1"/>
    </xf>
    <xf borderId="7" fillId="7" fontId="46" numFmtId="0" xfId="0" applyAlignment="1" applyBorder="1" applyFont="1">
      <alignment horizontal="center" readingOrder="0" shrinkToFit="0" vertical="center" wrapText="1"/>
    </xf>
    <xf borderId="7" fillId="0" fontId="46" numFmtId="0" xfId="0" applyAlignment="1" applyBorder="1" applyFont="1">
      <alignment horizontal="center" readingOrder="0" shrinkToFit="0" vertical="center" wrapText="1"/>
    </xf>
    <xf borderId="7" fillId="0" fontId="47" numFmtId="0" xfId="0" applyAlignment="1" applyBorder="1" applyFont="1">
      <alignment horizontal="center" readingOrder="0" shrinkToFit="0" vertical="center" wrapText="1"/>
    </xf>
    <xf borderId="7" fillId="0" fontId="1" numFmtId="170" xfId="0" applyAlignment="1" applyBorder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/>
    </xf>
    <xf borderId="7" fillId="7" fontId="47" numFmtId="0" xfId="0" applyAlignment="1" applyBorder="1" applyFont="1">
      <alignment horizontal="center" readingOrder="0" shrinkToFit="0" vertical="center" wrapText="1"/>
    </xf>
    <xf borderId="3" fillId="0" fontId="1" numFmtId="168" xfId="0" applyAlignment="1" applyBorder="1" applyFont="1" applyNumberFormat="1">
      <alignment horizontal="center" readingOrder="0" shrinkToFit="0" vertical="center" wrapText="1"/>
    </xf>
    <xf borderId="7" fillId="0" fontId="1" numFmtId="168" xfId="0" applyAlignment="1" applyBorder="1" applyFont="1" applyNumberFormat="1">
      <alignment horizontal="center" readingOrder="0" shrinkToFit="0" vertical="center" wrapText="1"/>
    </xf>
    <xf borderId="3" fillId="0" fontId="1" numFmtId="168" xfId="0" applyAlignment="1" applyBorder="1" applyFont="1" applyNumberFormat="1">
      <alignment horizontal="center" readingOrder="0" shrinkToFit="0" vertical="center" wrapText="1"/>
    </xf>
    <xf borderId="3" fillId="0" fontId="1" numFmtId="1" xfId="0" applyAlignment="1" applyBorder="1" applyFont="1" applyNumberFormat="1">
      <alignment horizontal="center" readingOrder="0" shrinkToFit="0" vertical="center" wrapText="1"/>
    </xf>
    <xf borderId="7" fillId="0" fontId="44" numFmtId="0" xfId="0" applyAlignment="1" applyBorder="1" applyFont="1">
      <alignment horizontal="center" readingOrder="0" shrinkToFit="0" vertical="center" wrapText="1"/>
    </xf>
    <xf borderId="3" fillId="0" fontId="36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left" readingOrder="0"/>
    </xf>
    <xf borderId="7" fillId="0" fontId="48" numFmtId="168" xfId="0" applyAlignment="1" applyBorder="1" applyFont="1" applyNumberFormat="1">
      <alignment horizontal="center" readingOrder="0" shrinkToFit="0" vertical="center" wrapText="1"/>
    </xf>
    <xf borderId="7" fillId="0" fontId="48" numFmtId="0" xfId="0" applyAlignment="1" applyBorder="1" applyFont="1">
      <alignment horizontal="center" readingOrder="0"/>
    </xf>
    <xf borderId="7" fillId="0" fontId="40" numFmtId="0" xfId="0" applyAlignment="1" applyBorder="1" applyFont="1">
      <alignment horizontal="center" readingOrder="0" shrinkToFit="0" vertical="center" wrapText="1"/>
    </xf>
    <xf borderId="0" fillId="0" fontId="49" numFmtId="0" xfId="0" applyAlignment="1" applyFont="1">
      <alignment horizontal="left" readingOrder="0"/>
    </xf>
    <xf borderId="0" fillId="0" fontId="1" numFmtId="0" xfId="0" applyFont="1"/>
    <xf borderId="0" fillId="26" fontId="1" numFmtId="0" xfId="0" applyAlignment="1" applyFont="1">
      <alignment horizontal="center" shrinkToFit="0" vertical="center" wrapText="1"/>
    </xf>
    <xf borderId="0" fillId="0" fontId="48" numFmtId="0" xfId="0" applyAlignment="1" applyFont="1">
      <alignment readingOrder="0"/>
    </xf>
    <xf borderId="0" fillId="33" fontId="1" numFmtId="0" xfId="0" applyAlignment="1" applyFont="1">
      <alignment horizontal="center" shrinkToFit="0" vertical="center" wrapText="1"/>
    </xf>
    <xf borderId="0" fillId="0" fontId="48" numFmtId="0" xfId="0" applyFont="1"/>
    <xf borderId="0" fillId="33" fontId="1" numFmtId="0" xfId="0" applyFont="1"/>
    <xf borderId="7" fillId="6" fontId="50" numFmtId="0" xfId="0" applyAlignment="1" applyBorder="1" applyFont="1">
      <alignment horizontal="center" readingOrder="0"/>
    </xf>
    <xf borderId="0" fillId="0" fontId="4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34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0" fillId="0" fontId="48" numFmtId="0" xfId="0" applyAlignment="1" applyFont="1">
      <alignment horizontal="center" readingOrder="0"/>
    </xf>
    <xf borderId="0" fillId="0" fontId="37" numFmtId="0" xfId="0" applyAlignment="1" applyFont="1">
      <alignment readingOrder="0"/>
    </xf>
    <xf borderId="7" fillId="0" fontId="1" numFmtId="169" xfId="0" applyAlignment="1" applyBorder="1" applyFont="1" applyNumberFormat="1">
      <alignment horizontal="center" readingOrder="0" vertical="center"/>
    </xf>
    <xf borderId="0" fillId="0" fontId="37" numFmtId="0" xfId="0" applyAlignment="1" applyFont="1">
      <alignment horizontal="center" readingOrder="0" shrinkToFit="0" vertical="center" wrapText="1"/>
    </xf>
    <xf borderId="0" fillId="27" fontId="1" numFmtId="0" xfId="0" applyAlignment="1" applyFont="1">
      <alignment horizontal="center"/>
    </xf>
    <xf borderId="0" fillId="0" fontId="1" numFmtId="0" xfId="0" applyAlignment="1" applyFont="1">
      <alignment readingOrder="0" shrinkToFit="0" textRotation="0" wrapText="0"/>
    </xf>
    <xf borderId="7" fillId="33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7" fillId="33" fontId="34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7" fillId="33" fontId="1" numFmtId="0" xfId="0" applyAlignment="1" applyBorder="1" applyFont="1">
      <alignment readingOrder="0"/>
    </xf>
    <xf borderId="0" fillId="33" fontId="1" numFmtId="0" xfId="0" applyAlignment="1" applyFont="1">
      <alignment horizontal="center"/>
    </xf>
    <xf borderId="0" fillId="33" fontId="1" numFmtId="0" xfId="0" applyAlignment="1" applyFont="1">
      <alignment horizontal="center" readingOrder="0"/>
    </xf>
    <xf borderId="7" fillId="33" fontId="1" numFmtId="168" xfId="0" applyAlignment="1" applyBorder="1" applyFont="1" applyNumberForma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readingOrder="0" shrinkToFit="0" vertical="center" wrapText="1"/>
    </xf>
    <xf borderId="7" fillId="0" fontId="8" numFmtId="168" xfId="0" applyAlignment="1" applyBorder="1" applyFont="1" applyNumberFormat="1">
      <alignment horizontal="center" shrinkToFit="0" wrapText="1"/>
    </xf>
    <xf borderId="0" fillId="33" fontId="1" numFmtId="0" xfId="0" applyAlignment="1" applyFont="1">
      <alignment horizontal="center" readingOrder="0" shrinkToFit="0" vertical="center" wrapText="1"/>
    </xf>
    <xf borderId="7" fillId="0" fontId="8" numFmtId="168" xfId="0" applyAlignment="1" applyBorder="1" applyFont="1" applyNumberFormat="1">
      <alignment horizontal="center" readingOrder="0" shrinkToFit="0" wrapText="1"/>
    </xf>
    <xf borderId="0" fillId="0" fontId="51" numFmtId="0" xfId="0" applyAlignment="1" applyFont="1">
      <alignment horizontal="left" readingOrder="0"/>
    </xf>
    <xf borderId="7" fillId="0" fontId="52" numFmtId="168" xfId="0" applyAlignment="1" applyBorder="1" applyFont="1" applyNumberFormat="1">
      <alignment horizontal="center" readingOrder="0" shrinkToFit="0" wrapText="1"/>
    </xf>
    <xf borderId="7" fillId="0" fontId="1" numFmtId="172" xfId="0" applyAlignment="1" applyBorder="1" applyFont="1" applyNumberFormat="1">
      <alignment horizontal="center" readingOrder="0" shrinkToFit="0" vertical="center" wrapText="1"/>
    </xf>
    <xf borderId="7" fillId="0" fontId="22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left" readingOrder="0" shrinkToFit="0" vertical="center" wrapText="1"/>
    </xf>
    <xf borderId="7" fillId="34" fontId="1" numFmtId="0" xfId="0" applyAlignment="1" applyBorder="1" applyFill="1" applyFont="1">
      <alignment horizontal="center" readingOrder="0" shrinkToFit="0" vertical="center" wrapText="1"/>
    </xf>
    <xf borderId="0" fillId="34" fontId="1" numFmtId="0" xfId="0" applyAlignment="1" applyFont="1">
      <alignment horizontal="center" readingOrder="0" shrinkToFit="0" vertical="center" wrapText="1"/>
    </xf>
    <xf borderId="0" fillId="34" fontId="1" numFmtId="172" xfId="0" applyAlignment="1" applyFont="1" applyNumberFormat="1">
      <alignment horizontal="center" readingOrder="0" shrinkToFit="0" vertical="center" wrapText="1"/>
    </xf>
    <xf borderId="0" fillId="34" fontId="22" numFmtId="0" xfId="0" applyAlignment="1" applyFont="1">
      <alignment horizontal="center" readingOrder="0" shrinkToFit="0" vertical="center" wrapText="1"/>
    </xf>
    <xf borderId="7" fillId="35" fontId="53" numFmtId="0" xfId="0" applyAlignment="1" applyBorder="1" applyFill="1" applyFont="1">
      <alignment horizontal="left" readingOrder="0" shrinkToFit="0" vertical="center" wrapText="1"/>
    </xf>
    <xf borderId="7" fillId="34" fontId="1" numFmtId="172" xfId="0" applyAlignment="1" applyBorder="1" applyFont="1" applyNumberFormat="1">
      <alignment horizontal="center" readingOrder="0" shrinkToFit="0" vertical="center" wrapText="1"/>
    </xf>
    <xf borderId="7" fillId="34" fontId="22" numFmtId="0" xfId="0" applyAlignment="1" applyBorder="1" applyFont="1">
      <alignment horizontal="center" readingOrder="0" shrinkToFit="0" vertical="center" wrapText="1"/>
    </xf>
    <xf borderId="7" fillId="0" fontId="1" numFmtId="173" xfId="0" applyAlignment="1" applyBorder="1" applyFont="1" applyNumberFormat="1">
      <alignment horizontal="center" readingOrder="0" shrinkToFit="0" vertical="center" wrapText="1"/>
    </xf>
    <xf borderId="7" fillId="33" fontId="54" numFmtId="0" xfId="0" applyAlignment="1" applyBorder="1" applyFont="1">
      <alignment horizontal="center" readingOrder="0" shrinkToFit="0" vertical="center" wrapText="1"/>
    </xf>
    <xf borderId="0" fillId="0" fontId="1" numFmtId="172" xfId="0" applyAlignment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left" readingOrder="0" shrinkToFit="0" vertical="center" wrapText="1"/>
    </xf>
    <xf borderId="7" fillId="7" fontId="1" numFmtId="0" xfId="0" applyAlignment="1" applyBorder="1" applyFont="1">
      <alignment horizontal="left" readingOrder="0" shrinkToFit="0" vertical="center" wrapText="1"/>
    </xf>
    <xf borderId="7" fillId="0" fontId="22" numFmtId="168" xfId="0" applyAlignment="1" applyBorder="1" applyFont="1" applyNumberFormat="1">
      <alignment horizontal="center" readingOrder="0" shrinkToFit="0" vertical="center" wrapText="1"/>
    </xf>
    <xf borderId="7" fillId="33" fontId="29" numFmtId="0" xfId="0" applyAlignment="1" applyBorder="1" applyFont="1">
      <alignment horizontal="center" readingOrder="0" shrinkToFit="0" vertical="center" wrapText="1"/>
    </xf>
    <xf borderId="7" fillId="33" fontId="0" numFmtId="0" xfId="0" applyAlignment="1" applyBorder="1" applyFont="1">
      <alignment horizontal="center" readingOrder="0" shrinkToFit="0" vertical="center" wrapText="1"/>
    </xf>
    <xf borderId="7" fillId="0" fontId="29" numFmtId="0" xfId="0" applyAlignment="1" applyBorder="1" applyFont="1">
      <alignment horizontal="center" readingOrder="0" shrinkToFit="0" vertical="center" wrapText="1"/>
    </xf>
    <xf borderId="7" fillId="0" fontId="1" numFmtId="174" xfId="0" applyAlignment="1" applyBorder="1" applyFont="1" applyNumberFormat="1">
      <alignment horizontal="center" readingOrder="0" shrinkToFit="0" vertical="center" wrapText="1"/>
    </xf>
    <xf borderId="7" fillId="0" fontId="22" numFmtId="0" xfId="0" applyAlignment="1" applyBorder="1" applyFont="1">
      <alignment readingOrder="0"/>
    </xf>
    <xf borderId="0" fillId="33" fontId="5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7" fillId="0" fontId="1" numFmtId="175" xfId="0" applyAlignment="1" applyBorder="1" applyFont="1" applyNumberFormat="1">
      <alignment horizontal="center" readingOrder="0" shrinkToFit="0" vertical="center" wrapText="1"/>
    </xf>
    <xf borderId="7" fillId="0" fontId="1" numFmtId="176" xfId="0" applyAlignment="1" applyBorder="1" applyFont="1" applyNumberFormat="1">
      <alignment horizontal="center" readingOrder="0" shrinkToFit="0" vertical="center" wrapText="1"/>
    </xf>
    <xf borderId="7" fillId="0" fontId="1" numFmtId="177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7" fillId="0" fontId="29" numFmtId="0" xfId="0" applyAlignment="1" applyBorder="1" applyFont="1">
      <alignment horizontal="center" readingOrder="0" shrinkToFit="0" vertical="center" wrapText="1"/>
    </xf>
    <xf borderId="7" fillId="0" fontId="1" numFmtId="178" xfId="0" applyAlignment="1" applyBorder="1" applyFont="1" applyNumberFormat="1">
      <alignment horizontal="center" readingOrder="0" shrinkToFit="0" vertical="center" wrapText="1"/>
    </xf>
    <xf borderId="7" fillId="0" fontId="55" numFmtId="0" xfId="0" applyAlignment="1" applyBorder="1" applyFont="1">
      <alignment horizontal="center" readingOrder="0" shrinkToFit="0" vertical="center" wrapText="1"/>
    </xf>
    <xf borderId="7" fillId="33" fontId="56" numFmtId="0" xfId="0" applyAlignment="1" applyBorder="1" applyFont="1">
      <alignment horizontal="center" readingOrder="0" shrinkToFit="0" vertical="center" wrapText="1"/>
    </xf>
    <xf borderId="7" fillId="0" fontId="57" numFmtId="0" xfId="0" applyAlignment="1" applyBorder="1" applyFont="1">
      <alignment horizontal="center" readingOrder="0" shrinkToFit="0" vertical="center" wrapText="1"/>
    </xf>
    <xf borderId="7" fillId="0" fontId="1" numFmtId="179" xfId="0" applyAlignment="1" applyBorder="1" applyFont="1" applyNumberFormat="1">
      <alignment horizontal="center" readingOrder="0" shrinkToFit="0" vertical="center" wrapText="1"/>
    </xf>
    <xf borderId="7" fillId="0" fontId="22" numFmtId="0" xfId="0" applyAlignment="1" applyBorder="1" applyFont="1">
      <alignment horizontal="center" shrinkToFit="0" vertical="center" wrapText="1"/>
    </xf>
    <xf borderId="7" fillId="0" fontId="1" numFmtId="180" xfId="0" applyAlignment="1" applyBorder="1" applyFont="1" applyNumberFormat="1">
      <alignment horizontal="center" readingOrder="0" shrinkToFit="0" vertical="center" wrapText="1"/>
    </xf>
    <xf borderId="0" fillId="33" fontId="29" numFmtId="0" xfId="0" applyAlignment="1" applyFont="1">
      <alignment horizontal="center" readingOrder="0" shrinkToFit="0" vertical="center" wrapText="1"/>
    </xf>
    <xf borderId="7" fillId="33" fontId="29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wrapText="1"/>
    </xf>
    <xf borderId="7" fillId="33" fontId="58" numFmtId="0" xfId="0" applyAlignment="1" applyBorder="1" applyFont="1">
      <alignment horizontal="center" readingOrder="0" shrinkToFit="0" vertical="center" wrapText="1"/>
    </xf>
    <xf borderId="7" fillId="33" fontId="59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33" fontId="60" numFmtId="0" xfId="0" applyAlignment="1" applyBorder="1" applyFont="1">
      <alignment horizontal="center" readingOrder="0" shrinkToFit="0" vertical="center" wrapText="1"/>
    </xf>
    <xf borderId="7" fillId="0" fontId="37" numFmtId="0" xfId="0" applyAlignment="1" applyBorder="1" applyFont="1">
      <alignment horizontal="left" readingOrder="0" shrinkToFit="0" vertical="center" wrapText="1"/>
    </xf>
    <xf borderId="0" fillId="33" fontId="59" numFmtId="0" xfId="0" applyAlignment="1" applyFont="1">
      <alignment horizontal="center" readingOrder="0" shrinkToFit="0" vertical="center" wrapText="1"/>
    </xf>
    <xf borderId="7" fillId="33" fontId="57" numFmtId="0" xfId="0" applyAlignment="1" applyBorder="1" applyFont="1">
      <alignment horizontal="center" readingOrder="0" shrinkToFit="0" vertical="center" wrapText="1"/>
    </xf>
    <xf borderId="7" fillId="0" fontId="8" numFmtId="172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1" numFmtId="181" xfId="0" applyAlignment="1" applyBorder="1" applyFont="1" applyNumberFormat="1">
      <alignment horizontal="center" readingOrder="0" shrinkToFit="0" vertical="center" wrapText="1"/>
    </xf>
    <xf borderId="7" fillId="33" fontId="60" numFmtId="0" xfId="0" applyAlignment="1" applyBorder="1" applyFont="1">
      <alignment horizontal="center" readingOrder="0" shrinkToFit="0" wrapText="0"/>
    </xf>
    <xf borderId="7" fillId="0" fontId="1" numFmtId="10" xfId="0" applyAlignment="1" applyBorder="1" applyFont="1" applyNumberFormat="1">
      <alignment horizontal="center" readingOrder="0" shrinkToFit="0" vertical="center" wrapText="1"/>
    </xf>
    <xf borderId="0" fillId="33" fontId="60" numFmtId="0" xfId="0" applyAlignment="1" applyFont="1">
      <alignment horizontal="center" readingOrder="0"/>
    </xf>
    <xf borderId="0" fillId="33" fontId="60" numFmtId="0" xfId="0" applyAlignment="1" applyFont="1">
      <alignment horizontal="center" readingOrder="0" shrinkToFit="0" vertical="center" wrapText="1"/>
    </xf>
    <xf borderId="7" fillId="33" fontId="59" numFmtId="0" xfId="0" applyAlignment="1" applyBorder="1" applyFont="1">
      <alignment horizontal="center" readingOrder="0"/>
    </xf>
    <xf borderId="7" fillId="33" fontId="60" numFmtId="0" xfId="0" applyAlignment="1" applyBorder="1" applyFont="1">
      <alignment horizontal="center" readingOrder="0" vertical="center"/>
    </xf>
    <xf borderId="7" fillId="33" fontId="60" numFmtId="0" xfId="0" applyAlignment="1" applyBorder="1" applyFont="1">
      <alignment horizontal="center" readingOrder="0"/>
    </xf>
    <xf borderId="7" fillId="33" fontId="59" numFmtId="0" xfId="0" applyAlignment="1" applyBorder="1" applyFont="1">
      <alignment horizontal="center" readingOrder="0" vertical="center"/>
    </xf>
    <xf borderId="7" fillId="0" fontId="22" numFmtId="0" xfId="0" applyAlignment="1" applyBorder="1" applyFont="1">
      <alignment horizontal="left" readingOrder="0" shrinkToFit="0" vertical="center" wrapText="1"/>
    </xf>
    <xf borderId="7" fillId="0" fontId="61" numFmtId="0" xfId="0" applyAlignment="1" applyBorder="1" applyFont="1">
      <alignment horizontal="center" readingOrder="0"/>
    </xf>
    <xf borderId="7" fillId="0" fontId="62" numFmtId="0" xfId="0" applyAlignment="1" applyBorder="1" applyFont="1">
      <alignment horizontal="center" readingOrder="0"/>
    </xf>
    <xf borderId="0" fillId="0" fontId="8" numFmtId="0" xfId="0" applyAlignment="1" applyFont="1">
      <alignment horizontal="center" shrinkToFit="0" wrapText="1"/>
    </xf>
    <xf borderId="7" fillId="17" fontId="11" numFmtId="0" xfId="0" applyAlignment="1" applyBorder="1" applyFont="1">
      <alignment horizontal="left" readingOrder="0" shrinkToFit="0" vertical="center" wrapText="1"/>
    </xf>
    <xf borderId="7" fillId="33" fontId="62" numFmtId="0" xfId="0" applyAlignment="1" applyBorder="1" applyFont="1">
      <alignment horizontal="center" readingOrder="0" shrinkToFit="0" wrapText="1"/>
    </xf>
    <xf borderId="0" fillId="33" fontId="29" numFmtId="0" xfId="0" applyAlignment="1" applyFont="1">
      <alignment horizontal="center" readingOrder="0" shrinkToFit="0" wrapText="1"/>
    </xf>
    <xf borderId="7" fillId="33" fontId="29" numFmtId="0" xfId="0" applyAlignment="1" applyBorder="1" applyFont="1">
      <alignment horizontal="center" readingOrder="0" shrinkToFit="0" wrapText="1"/>
    </xf>
    <xf borderId="7" fillId="0" fontId="20" numFmtId="0" xfId="0" applyAlignment="1" applyBorder="1" applyFont="1">
      <alignment horizontal="center" readingOrder="0" shrinkToFit="0" vertical="center" wrapText="1"/>
    </xf>
    <xf borderId="7" fillId="33" fontId="63" numFmtId="0" xfId="0" applyAlignment="1" applyBorder="1" applyFont="1">
      <alignment horizontal="center" readingOrder="0" shrinkToFit="0" vertical="center" wrapText="1"/>
    </xf>
    <xf borderId="0" fillId="33" fontId="64" numFmtId="0" xfId="0" applyAlignment="1" applyFont="1">
      <alignment readingOrder="0" shrinkToFit="0" wrapText="0"/>
    </xf>
    <xf borderId="7" fillId="0" fontId="65" numFmtId="0" xfId="0" applyAlignment="1" applyBorder="1" applyFont="1">
      <alignment horizontal="center" readingOrder="0"/>
    </xf>
    <xf borderId="0" fillId="0" fontId="1" numFmtId="0" xfId="0" applyAlignment="1" applyFont="1">
      <alignment vertical="center"/>
    </xf>
    <xf borderId="7" fillId="0" fontId="66" numFmtId="0" xfId="0" applyAlignment="1" applyBorder="1" applyFont="1">
      <alignment horizontal="center" readingOrder="0" shrinkToFit="0" wrapText="0"/>
    </xf>
    <xf borderId="7" fillId="0" fontId="8" numFmtId="172" xfId="0" applyAlignment="1" applyBorder="1" applyFont="1" applyNumberForma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0" fontId="67" numFmtId="0" xfId="0" applyAlignment="1" applyBorder="1" applyFont="1">
      <alignment horizontal="center" readingOrder="0" vertical="center"/>
    </xf>
    <xf borderId="0" fillId="0" fontId="8" numFmtId="172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left" readingOrder="0" vertical="center"/>
    </xf>
    <xf borderId="3" fillId="35" fontId="8" numFmtId="0" xfId="0" applyAlignment="1" applyBorder="1" applyFont="1">
      <alignment horizontal="center" readingOrder="0" shrinkToFit="0" vertical="bottom" wrapText="1"/>
    </xf>
    <xf borderId="4" fillId="0" fontId="68" numFmtId="0" xfId="0" applyBorder="1" applyFont="1"/>
    <xf borderId="5" fillId="0" fontId="68" numFmtId="0" xfId="0" applyBorder="1" applyFont="1"/>
    <xf borderId="0" fillId="0" fontId="69" numFmtId="0" xfId="0" applyAlignment="1" applyFont="1">
      <alignment horizontal="center" readingOrder="0" shrinkToFit="0" vertical="center" wrapText="1"/>
    </xf>
    <xf borderId="7" fillId="0" fontId="69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left" readingOrder="0" shrinkToFit="0" vertical="center" wrapText="1"/>
    </xf>
    <xf borderId="3" fillId="35" fontId="34" numFmtId="0" xfId="0" applyAlignment="1" applyBorder="1" applyFont="1">
      <alignment horizontal="center" readingOrder="0" shrinkToFit="0" vertical="center" wrapText="1"/>
    </xf>
    <xf borderId="0" fillId="35" fontId="34" numFmtId="0" xfId="0" applyAlignment="1" applyFont="1">
      <alignment horizontal="center" readingOrder="0" shrinkToFit="0" vertical="center" wrapText="1"/>
    </xf>
    <xf borderId="7" fillId="35" fontId="1" numFmtId="0" xfId="0" applyAlignment="1" applyBorder="1" applyFont="1">
      <alignment horizontal="left" readingOrder="0" shrinkToFit="0" vertical="center" wrapText="1"/>
    </xf>
    <xf borderId="3" fillId="35" fontId="8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vertical="bottom"/>
    </xf>
    <xf borderId="7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shrinkToFit="0" wrapText="1"/>
    </xf>
    <xf borderId="7" fillId="0" fontId="1" numFmtId="172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8" numFmtId="172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 vertical="center"/>
    </xf>
    <xf borderId="0" fillId="0" fontId="2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36" fontId="20" numFmtId="0" xfId="0" applyAlignment="1" applyBorder="1" applyFill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7" fillId="34" fontId="1" numFmtId="168" xfId="0" applyAlignment="1" applyBorder="1" applyFont="1" applyNumberFormat="1">
      <alignment horizontal="center" readingOrder="0" shrinkToFit="0" vertical="center" wrapText="1"/>
    </xf>
    <xf borderId="3" fillId="34" fontId="1" numFmtId="0" xfId="0" applyAlignment="1" applyBorder="1" applyFont="1">
      <alignment horizontal="center" readingOrder="0" shrinkToFit="0" vertical="center" wrapText="1"/>
    </xf>
    <xf borderId="0" fillId="34" fontId="70" numFmtId="0" xfId="0" applyAlignment="1" applyFont="1">
      <alignment horizontal="center" readingOrder="0" shrinkToFit="0" vertical="center" wrapText="1"/>
    </xf>
    <xf borderId="7" fillId="37" fontId="1" numFmtId="0" xfId="0" applyAlignment="1" applyBorder="1" applyFill="1" applyFont="1">
      <alignment horizontal="center" readingOrder="0" shrinkToFit="0" vertical="center" wrapText="1"/>
    </xf>
    <xf borderId="8" fillId="35" fontId="53" numFmtId="0" xfId="0" applyAlignment="1" applyBorder="1" applyFont="1">
      <alignment horizontal="center" readingOrder="0" shrinkToFit="0" vertical="center" wrapText="1"/>
    </xf>
    <xf borderId="7" fillId="37" fontId="1" numFmtId="0" xfId="0" applyAlignment="1" applyBorder="1" applyFont="1">
      <alignment horizontal="center" shrinkToFit="0" vertical="center" wrapText="1"/>
    </xf>
    <xf borderId="12" fillId="0" fontId="68" numFmtId="0" xfId="0" applyBorder="1" applyFont="1"/>
    <xf borderId="7" fillId="34" fontId="20" numFmtId="0" xfId="0" applyAlignment="1" applyBorder="1" applyFont="1">
      <alignment horizontal="center" readingOrder="0" shrinkToFit="0" vertical="center" wrapText="1"/>
    </xf>
    <xf borderId="7" fillId="38" fontId="1" numFmtId="0" xfId="0" applyAlignment="1" applyBorder="1" applyFill="1" applyFont="1">
      <alignment horizontal="center" readingOrder="0" shrinkToFit="0" vertical="center" wrapText="1"/>
    </xf>
    <xf borderId="6" fillId="0" fontId="68" numFmtId="0" xfId="0" applyBorder="1" applyFont="1"/>
    <xf borderId="7" fillId="27" fontId="1" numFmtId="0" xfId="0" applyAlignment="1" applyBorder="1" applyFont="1">
      <alignment horizontal="center" readingOrder="0" shrinkToFit="0" vertical="center" wrapText="1"/>
    </xf>
    <xf borderId="7" fillId="15" fontId="1" numFmtId="0" xfId="0" applyAlignment="1" applyBorder="1" applyFont="1">
      <alignment horizontal="center"/>
    </xf>
    <xf borderId="7" fillId="0" fontId="19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0" fillId="36" fontId="1" numFmtId="0" xfId="0" applyFont="1"/>
    <xf borderId="4" fillId="35" fontId="34" numFmtId="0" xfId="0" applyAlignment="1" applyBorder="1" applyFont="1">
      <alignment horizontal="center" readingOrder="0" shrinkToFit="0" vertical="center" wrapText="1"/>
    </xf>
    <xf borderId="7" fillId="35" fontId="34" numFmtId="0" xfId="0" applyAlignment="1" applyBorder="1" applyFont="1">
      <alignment horizontal="center" readingOrder="0" shrinkToFit="0" vertical="center" wrapText="1"/>
    </xf>
    <xf borderId="5" fillId="35" fontId="34" numFmtId="0" xfId="0" applyAlignment="1" applyBorder="1" applyFont="1">
      <alignment horizontal="center" readingOrder="0" shrinkToFit="0" vertical="center" wrapText="1"/>
    </xf>
    <xf borderId="4" fillId="35" fontId="14" numFmtId="0" xfId="0" applyAlignment="1" applyBorder="1" applyFont="1">
      <alignment horizontal="center" readingOrder="0" shrinkToFit="0" vertical="center" wrapText="1"/>
    </xf>
    <xf borderId="7" fillId="35" fontId="14" numFmtId="0" xfId="0" applyAlignment="1" applyBorder="1" applyFont="1">
      <alignment horizontal="center" readingOrder="0" shrinkToFit="0" vertical="center" wrapText="1"/>
    </xf>
    <xf borderId="7" fillId="35" fontId="9" numFmtId="0" xfId="0" applyAlignment="1" applyBorder="1" applyFont="1">
      <alignment horizontal="center" shrinkToFit="0" wrapText="1"/>
    </xf>
    <xf borderId="4" fillId="35" fontId="9" numFmtId="0" xfId="0" applyAlignment="1" applyBorder="1" applyFont="1">
      <alignment horizontal="center" shrinkToFit="0" wrapText="1"/>
    </xf>
    <xf borderId="4" fillId="35" fontId="9" numFmtId="0" xfId="0" applyAlignment="1" applyBorder="1" applyFont="1">
      <alignment horizontal="center" shrinkToFit="0" wrapText="1"/>
    </xf>
    <xf borderId="5" fillId="35" fontId="9" numFmtId="0" xfId="0" applyAlignment="1" applyBorder="1" applyFont="1">
      <alignment horizontal="center" shrinkToFit="0" wrapText="1"/>
    </xf>
    <xf borderId="7" fillId="0" fontId="8" numFmtId="173" xfId="0" applyAlignment="1" applyBorder="1" applyFont="1" applyNumberFormat="1">
      <alignment horizontal="center" readingOrder="0" shrinkToFit="0" wrapText="1"/>
    </xf>
    <xf borderId="7" fillId="0" fontId="1" numFmtId="172" xfId="0" applyAlignment="1" applyBorder="1" applyFont="1" applyNumberFormat="1">
      <alignment horizontal="center" readingOrder="0"/>
    </xf>
    <xf borderId="7" fillId="0" fontId="1" numFmtId="173" xfId="0" applyAlignment="1" applyBorder="1" applyFont="1" applyNumberFormat="1">
      <alignment horizontal="center" readingOrder="0" shrinkToFit="0" vertical="center" wrapText="1"/>
    </xf>
    <xf borderId="7" fillId="0" fontId="8" numFmtId="172" xfId="0" applyAlignment="1" applyBorder="1" applyFont="1" applyNumberFormat="1">
      <alignment horizontal="center" readingOrder="0" shrinkToFit="0" vertical="center" wrapText="1"/>
    </xf>
    <xf borderId="7" fillId="0" fontId="9" numFmtId="173" xfId="0" applyAlignment="1" applyBorder="1" applyFont="1" applyNumberFormat="1">
      <alignment horizontal="center" readingOrder="0" shrinkToFit="0" vertical="center" wrapText="1"/>
    </xf>
    <xf borderId="7" fillId="0" fontId="2" numFmtId="172" xfId="0" applyAlignment="1" applyBorder="1" applyFont="1" applyNumberFormat="1">
      <alignment horizontal="center" readingOrder="0" shrinkToFit="0" vertical="center" wrapText="1"/>
    </xf>
    <xf borderId="7" fillId="0" fontId="9" numFmtId="182" xfId="0" applyAlignment="1" applyBorder="1" applyFont="1" applyNumberFormat="1">
      <alignment horizontal="center" readingOrder="0" shrinkToFit="0" wrapText="1"/>
    </xf>
    <xf borderId="7" fillId="0" fontId="9" numFmtId="173" xfId="0" applyAlignment="1" applyBorder="1" applyFont="1" applyNumberFormat="1">
      <alignment horizontal="center" readingOrder="0" shrinkToFit="0" vertical="bottom" wrapText="1"/>
    </xf>
    <xf borderId="7" fillId="0" fontId="9" numFmtId="182" xfId="0" applyAlignment="1" applyBorder="1" applyFont="1" applyNumberFormat="1">
      <alignment horizontal="center" readingOrder="0" shrinkToFit="0" vertical="bottom" wrapText="1"/>
    </xf>
    <xf borderId="0" fillId="0" fontId="9" numFmtId="172" xfId="0" applyAlignment="1" applyFont="1" applyNumberFormat="1">
      <alignment readingOrder="0"/>
    </xf>
    <xf borderId="0" fillId="0" fontId="9" numFmtId="173" xfId="0" applyAlignment="1" applyFont="1" applyNumberFormat="1">
      <alignment horizontal="center" readingOrder="0" shrinkToFit="0" vertical="bottom" wrapText="1"/>
    </xf>
    <xf borderId="7" fillId="0" fontId="71" numFmtId="0" xfId="0" applyAlignment="1" applyBorder="1" applyFont="1">
      <alignment horizontal="left" readingOrder="0" shrinkToFit="0" vertical="center" wrapText="1"/>
    </xf>
    <xf borderId="7" fillId="0" fontId="72" numFmtId="0" xfId="0" applyBorder="1" applyFont="1"/>
    <xf borderId="7" fillId="0" fontId="48" numFmtId="0" xfId="0" applyAlignment="1" applyBorder="1" applyFont="1">
      <alignment horizontal="center" readingOrder="0" shrinkToFit="0" vertical="center" wrapText="1"/>
    </xf>
    <xf borderId="7" fillId="0" fontId="72" numFmtId="0" xfId="0" applyAlignment="1" applyBorder="1" applyFont="1">
      <alignment horizontal="center" vertical="center"/>
    </xf>
    <xf borderId="7" fillId="0" fontId="72" numFmtId="0" xfId="0" applyAlignment="1" applyBorder="1" applyFont="1">
      <alignment horizontal="center"/>
    </xf>
    <xf borderId="7" fillId="0" fontId="7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shrinkToFit="0" vertical="bottom" wrapText="1"/>
    </xf>
    <xf borderId="7" fillId="0" fontId="9" numFmtId="0" xfId="0" applyAlignment="1" applyBorder="1" applyFont="1">
      <alignment horizontal="center" readingOrder="0" shrinkToFit="0" textRotation="90" vertical="center" wrapText="1"/>
    </xf>
    <xf borderId="7" fillId="0" fontId="9" numFmtId="0" xfId="0" applyAlignment="1" applyBorder="1" applyFont="1">
      <alignment horizontal="center" readingOrder="0" shrinkToFit="0" textRotation="90" vertical="bottom" wrapText="1"/>
    </xf>
    <xf borderId="7" fillId="0" fontId="9" numFmtId="0" xfId="0" applyAlignment="1" applyBorder="1" applyFont="1">
      <alignment horizontal="center" readingOrder="0" shrinkToFit="0" textRotation="90" wrapText="1"/>
    </xf>
    <xf borderId="7" fillId="0" fontId="1" numFmtId="0" xfId="0" applyAlignment="1" applyBorder="1" applyFont="1">
      <alignment horizontal="left" readingOrder="0" shrinkToFit="0" wrapText="1"/>
    </xf>
    <xf borderId="7" fillId="0" fontId="74" numFmtId="0" xfId="0" applyAlignment="1" applyBorder="1" applyFont="1">
      <alignment horizontal="center" readingOrder="0" shrinkToFit="0" vertical="center" wrapText="1"/>
    </xf>
    <xf borderId="7" fillId="0" fontId="72" numFmtId="0" xfId="0" applyAlignment="1" applyBorder="1" applyFont="1">
      <alignment readingOrder="0"/>
    </xf>
    <xf borderId="7" fillId="0" fontId="9" numFmtId="0" xfId="0" applyAlignment="1" applyBorder="1" applyFont="1">
      <alignment horizontal="center" shrinkToFit="0" vertical="bottom" wrapText="1"/>
    </xf>
    <xf borderId="7" fillId="0" fontId="75" numFmtId="0" xfId="0" applyAlignment="1" applyBorder="1" applyFont="1">
      <alignment horizontal="center" readingOrder="0" shrinkToFit="0" wrapText="1"/>
    </xf>
    <xf borderId="7" fillId="0" fontId="9" numFmtId="0" xfId="0" applyAlignment="1" applyBorder="1" applyFont="1">
      <alignment horizontal="center" readingOrder="0" shrinkToFit="0" vertical="bottom" wrapText="1"/>
    </xf>
    <xf borderId="7" fillId="0" fontId="34" numFmtId="0" xfId="0" applyAlignment="1" applyBorder="1" applyFont="1">
      <alignment horizontal="center" readingOrder="0"/>
    </xf>
    <xf borderId="7" fillId="0" fontId="25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wrapText="1"/>
    </xf>
    <xf borderId="7" fillId="0" fontId="48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wrapText="1"/>
    </xf>
    <xf borderId="7" fillId="0" fontId="72" numFmtId="0" xfId="0" applyAlignment="1" applyBorder="1" applyFont="1">
      <alignment vertical="bottom"/>
    </xf>
    <xf borderId="7" fillId="0" fontId="48" numFmtId="0" xfId="0" applyBorder="1" applyFont="1"/>
    <xf borderId="7" fillId="0" fontId="48" numFmtId="0" xfId="0" applyAlignment="1" applyBorder="1" applyFont="1">
      <alignment horizontal="center" vertical="center"/>
    </xf>
    <xf borderId="7" fillId="0" fontId="72" numFmtId="0" xfId="0" applyAlignment="1" applyBorder="1" applyFont="1">
      <alignment horizontal="center" readingOrder="0" vertical="bottom"/>
    </xf>
    <xf borderId="7" fillId="0" fontId="72" numFmtId="0" xfId="0" applyAlignment="1" applyBorder="1" applyFont="1">
      <alignment horizontal="center" vertical="bottom"/>
    </xf>
    <xf borderId="7" fillId="0" fontId="37" numFmtId="0" xfId="0" applyAlignment="1" applyBorder="1" applyFont="1">
      <alignment horizontal="left" readingOrder="0" shrinkToFit="0" wrapText="1"/>
    </xf>
    <xf borderId="7" fillId="0" fontId="72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7" fillId="0" fontId="48" numFmtId="0" xfId="0" applyAlignment="1" applyBorder="1" applyFont="1">
      <alignment vertical="center"/>
    </xf>
    <xf borderId="7" fillId="0" fontId="72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72" numFmtId="0" xfId="0" applyAlignment="1" applyBorder="1" applyFont="1">
      <alignment readingOrder="0" vertical="bottom"/>
    </xf>
    <xf borderId="7" fillId="0" fontId="76" numFmtId="0" xfId="0" applyAlignment="1" applyBorder="1" applyFont="1">
      <alignment horizontal="center" readingOrder="0" shrinkToFit="0" vertical="center" wrapText="1"/>
    </xf>
    <xf borderId="7" fillId="0" fontId="77" numFmtId="0" xfId="0" applyAlignment="1" applyBorder="1" applyFont="1">
      <alignment horizontal="center" readingOrder="0" shrinkToFit="0" vertical="center" wrapText="1"/>
    </xf>
    <xf borderId="7" fillId="0" fontId="48" numFmtId="0" xfId="0" applyAlignment="1" applyBorder="1" applyFont="1">
      <alignment horizontal="center"/>
    </xf>
    <xf borderId="7" fillId="0" fontId="36" numFmtId="0" xfId="0" applyAlignment="1" applyBorder="1" applyFont="1">
      <alignment horizontal="center"/>
    </xf>
    <xf borderId="7" fillId="0" fontId="48" numFmtId="0" xfId="0" applyAlignment="1" applyBorder="1" applyFont="1">
      <alignment readingOrder="0"/>
    </xf>
    <xf borderId="7" fillId="0" fontId="26" numFmtId="0" xfId="0" applyAlignment="1" applyBorder="1" applyFont="1">
      <alignment horizontal="center" shrinkToFit="0" vertical="center" wrapText="1"/>
    </xf>
    <xf borderId="7" fillId="0" fontId="26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readingOrder="0" shrinkToFit="0" vertical="bottom" wrapText="1"/>
    </xf>
    <xf borderId="7" fillId="0" fontId="48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readingOrder="0" shrinkToFit="0" vertical="bottom" wrapText="1"/>
    </xf>
    <xf borderId="7" fillId="0" fontId="1" numFmtId="0" xfId="0" applyAlignment="1" applyBorder="1" applyFont="1">
      <alignment readingOrder="0" shrinkToFit="0" wrapText="1"/>
    </xf>
    <xf borderId="7" fillId="33" fontId="48" numFmtId="0" xfId="0" applyBorder="1" applyFont="1"/>
    <xf borderId="7" fillId="33" fontId="1" numFmtId="0" xfId="0" applyBorder="1" applyFont="1"/>
    <xf borderId="0" fillId="39" fontId="1" numFmtId="0" xfId="0" applyFill="1" applyFont="1"/>
    <xf borderId="7" fillId="40" fontId="78" numFmtId="0" xfId="0" applyAlignment="1" applyBorder="1" applyFill="1" applyFont="1">
      <alignment horizontal="center" readingOrder="0" shrinkToFit="0" vertical="center" wrapText="1"/>
    </xf>
    <xf borderId="7" fillId="35" fontId="34" numFmtId="172" xfId="0" applyAlignment="1" applyBorder="1" applyFont="1" applyNumberFormat="1">
      <alignment horizontal="center" readingOrder="0" shrinkToFit="0" vertical="center" wrapText="1"/>
    </xf>
    <xf borderId="7" fillId="35" fontId="14" numFmtId="172" xfId="0" applyAlignment="1" applyBorder="1" applyFont="1" applyNumberFormat="1">
      <alignment horizontal="center" readingOrder="0" shrinkToFit="0" vertical="center" wrapText="1"/>
    </xf>
    <xf borderId="4" fillId="35" fontId="14" numFmtId="172" xfId="0" applyAlignment="1" applyBorder="1" applyFont="1" applyNumberFormat="1">
      <alignment horizontal="center" readingOrder="0" shrinkToFit="0" vertical="center" wrapText="1"/>
    </xf>
    <xf borderId="5" fillId="35" fontId="14" numFmtId="173" xfId="0" applyAlignment="1" applyBorder="1" applyFont="1" applyNumberFormat="1">
      <alignment horizontal="center" readingOrder="0" shrinkToFit="0" vertical="center" wrapText="1"/>
    </xf>
    <xf borderId="7" fillId="35" fontId="14" numFmtId="173" xfId="0" applyAlignment="1" applyBorder="1" applyFont="1" applyNumberFormat="1">
      <alignment horizontal="center" readingOrder="0" shrinkToFit="0" vertical="center" wrapText="1"/>
    </xf>
    <xf borderId="4" fillId="35" fontId="14" numFmtId="173" xfId="0" applyAlignment="1" applyBorder="1" applyFont="1" applyNumberFormat="1">
      <alignment horizontal="center" readingOrder="0" shrinkToFit="0" vertical="center" wrapText="1"/>
    </xf>
    <xf borderId="7" fillId="35" fontId="18" numFmtId="173" xfId="0" applyAlignment="1" applyBorder="1" applyFont="1" applyNumberFormat="1">
      <alignment horizontal="center" readingOrder="0"/>
    </xf>
    <xf borderId="7" fillId="35" fontId="2" numFmtId="177" xfId="0" applyAlignment="1" applyBorder="1" applyFont="1" applyNumberFormat="1">
      <alignment horizontal="center" readingOrder="0"/>
    </xf>
    <xf borderId="7" fillId="35" fontId="9" numFmtId="177" xfId="0" applyAlignment="1" applyBorder="1" applyFont="1" applyNumberFormat="1">
      <alignment horizontal="center" readingOrder="0"/>
    </xf>
    <xf borderId="7" fillId="0" fontId="8" numFmtId="0" xfId="0" applyAlignment="1" applyBorder="1" applyFont="1">
      <alignment horizontal="center"/>
    </xf>
    <xf borderId="7" fillId="0" fontId="76" numFmtId="0" xfId="0" applyAlignment="1" applyBorder="1" applyFont="1">
      <alignment horizontal="center" readingOrder="0"/>
    </xf>
    <xf borderId="7" fillId="0" fontId="36" numFmtId="0" xfId="0" applyAlignment="1" applyBorder="1" applyFont="1">
      <alignment horizontal="center" readingOrder="0"/>
    </xf>
    <xf borderId="7" fillId="0" fontId="79" numFmtId="0" xfId="0" applyAlignment="1" applyBorder="1" applyFont="1">
      <alignment horizontal="center" readingOrder="0" shrinkToFit="0" wrapText="1"/>
    </xf>
    <xf borderId="7" fillId="0" fontId="2" numFmtId="182" xfId="0" applyAlignment="1" applyBorder="1" applyFont="1" applyNumberFormat="1">
      <alignment horizontal="center" readingOrder="0" shrinkToFit="0" vertical="center" wrapText="1"/>
    </xf>
    <xf borderId="7" fillId="0" fontId="2" numFmtId="182" xfId="0" applyAlignment="1" applyBorder="1" applyFont="1" applyNumberFormat="1">
      <alignment horizontal="center" readingOrder="0" shrinkToFit="0" vertical="bottom" wrapText="1"/>
    </xf>
    <xf borderId="7" fillId="0" fontId="12" numFmtId="0" xfId="0" applyAlignment="1" applyBorder="1" applyFont="1">
      <alignment horizontal="center" readingOrder="0" shrinkToFit="0" textRotation="90" wrapText="1"/>
    </xf>
    <xf borderId="7" fillId="0" fontId="9" numFmtId="0" xfId="0" applyAlignment="1" applyBorder="1" applyFont="1">
      <alignment horizontal="center" readingOrder="0" textRotation="90"/>
    </xf>
    <xf borderId="7" fillId="0" fontId="8" numFmtId="0" xfId="0" applyBorder="1" applyFont="1"/>
    <xf borderId="7" fillId="0" fontId="73" numFmtId="0" xfId="0" applyAlignment="1" applyBorder="1" applyFont="1">
      <alignment horizontal="center" readingOrder="0" shrinkToFit="0" vertical="center" wrapText="1"/>
    </xf>
    <xf borderId="7" fillId="0" fontId="73" numFmtId="0" xfId="0" applyAlignment="1" applyBorder="1" applyFont="1">
      <alignment horizontal="center" readingOrder="0" shrinkToFit="0" wrapText="1"/>
    </xf>
    <xf borderId="7" fillId="0" fontId="19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 readingOrder="0" shrinkToFit="0" wrapText="1"/>
    </xf>
    <xf borderId="7" fillId="0" fontId="9" numFmtId="0" xfId="0" applyAlignment="1" applyBorder="1" applyFont="1">
      <alignment horizontal="center" readingOrder="0"/>
    </xf>
    <xf borderId="7" fillId="0" fontId="30" numFmtId="0" xfId="0" applyAlignment="1" applyBorder="1" applyFont="1">
      <alignment horizontal="center" readingOrder="0" shrinkToFit="0" wrapText="1"/>
    </xf>
    <xf borderId="7" fillId="0" fontId="72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/>
    </xf>
    <xf borderId="7" fillId="0" fontId="14" numFmtId="0" xfId="0" applyAlignment="1" applyBorder="1" applyFont="1">
      <alignment horizontal="center" readingOrder="0" shrinkToFit="0" wrapText="1"/>
    </xf>
    <xf borderId="7" fillId="0" fontId="73" numFmtId="0" xfId="0" applyAlignment="1" applyBorder="1" applyFont="1">
      <alignment horizontal="center" shrinkToFit="0" wrapText="1"/>
    </xf>
    <xf borderId="7" fillId="0" fontId="8" numFmtId="0" xfId="0" applyAlignment="1" applyBorder="1" applyFont="1">
      <alignment vertical="bottom"/>
    </xf>
    <xf borderId="7" fillId="0" fontId="8" numFmtId="0" xfId="0" applyAlignment="1" applyBorder="1" applyFont="1">
      <alignment horizontal="center" vertical="bottom"/>
    </xf>
    <xf borderId="7" fillId="0" fontId="73" numFmtId="0" xfId="0" applyAlignment="1" applyBorder="1" applyFont="1">
      <alignment horizontal="center" shrinkToFit="0" vertical="bottom" wrapText="1"/>
    </xf>
    <xf borderId="7" fillId="0" fontId="80" numFmtId="0" xfId="0" applyAlignment="1" applyBorder="1" applyFont="1">
      <alignment horizontal="center" readingOrder="0" shrinkToFit="0" wrapText="1"/>
    </xf>
    <xf borderId="7" fillId="0" fontId="48" numFmtId="0" xfId="0" applyAlignment="1" applyBorder="1" applyFont="1">
      <alignment horizontal="center" readingOrder="0" shrinkToFit="0" wrapText="1"/>
    </xf>
    <xf borderId="7" fillId="0" fontId="36" numFmtId="0" xfId="0" applyAlignment="1" applyBorder="1" applyFont="1">
      <alignment horizontal="center" readingOrder="0" vertical="center"/>
    </xf>
    <xf borderId="7" fillId="0" fontId="73" numFmtId="0" xfId="0" applyAlignment="1" applyBorder="1" applyFont="1">
      <alignment horizontal="center" readingOrder="0" shrinkToFit="0" vertical="bottom" wrapText="1"/>
    </xf>
    <xf borderId="7" fillId="0" fontId="81" numFmtId="0" xfId="0" applyAlignment="1" applyBorder="1" applyFont="1">
      <alignment horizontal="center" readingOrder="0"/>
    </xf>
    <xf borderId="7" fillId="0" fontId="26" numFmtId="0" xfId="0" applyAlignment="1" applyBorder="1" applyFont="1">
      <alignment horizontal="center" shrinkToFit="0" wrapText="1"/>
    </xf>
    <xf borderId="7" fillId="0" fontId="82" numFmtId="0" xfId="0" applyAlignment="1" applyBorder="1" applyFont="1">
      <alignment horizontal="center" readingOrder="0"/>
    </xf>
    <xf borderId="7" fillId="0" fontId="76" numFmtId="0" xfId="0" applyAlignment="1" applyBorder="1" applyFont="1">
      <alignment horizontal="center" readingOrder="0" shrinkToFit="0" wrapText="1"/>
    </xf>
    <xf borderId="7" fillId="0" fontId="26" numFmtId="0" xfId="0" applyAlignment="1" applyBorder="1" applyFont="1">
      <alignment horizontal="center" readingOrder="0" shrinkToFit="0" wrapText="1"/>
    </xf>
    <xf borderId="7" fillId="0" fontId="83" numFmtId="0" xfId="0" applyAlignment="1" applyBorder="1" applyFont="1">
      <alignment horizontal="center" readingOrder="0"/>
    </xf>
    <xf borderId="7" fillId="0" fontId="48" numFmtId="0" xfId="0" applyAlignment="1" applyBorder="1" applyFont="1">
      <alignment readingOrder="0" shrinkToFit="0" wrapText="1"/>
    </xf>
    <xf borderId="7" fillId="0" fontId="84" numFmtId="0" xfId="0" applyAlignment="1" applyBorder="1" applyFont="1">
      <alignment horizontal="center" readingOrder="0" shrinkToFit="0" wrapText="1"/>
    </xf>
    <xf borderId="7" fillId="0" fontId="85" numFmtId="0" xfId="0" applyAlignment="1" applyBorder="1" applyFont="1">
      <alignment horizontal="center" readingOrder="0"/>
    </xf>
    <xf borderId="0" fillId="0" fontId="48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2" numFmtId="182" xfId="0" applyAlignment="1" applyFont="1" applyNumberFormat="1">
      <alignment horizontal="center" readingOrder="0" shrinkToFit="0" vertical="center" wrapText="1"/>
    </xf>
    <xf borderId="0" fillId="0" fontId="2" numFmtId="182" xfId="0" applyAlignment="1" applyFont="1" applyNumberFormat="1">
      <alignment horizontal="center" readingOrder="0" shrinkToFit="0" vertical="bottom" wrapText="1"/>
    </xf>
    <xf borderId="0" fillId="0" fontId="9" numFmtId="173" xfId="0" applyAlignment="1" applyFont="1" applyNumberFormat="1">
      <alignment horizontal="center" shrinkToFit="0" wrapText="1"/>
    </xf>
    <xf borderId="0" fillId="0" fontId="73" numFmtId="0" xfId="0" applyAlignment="1" applyFont="1">
      <alignment horizontal="center" shrinkToFit="0" vertical="center" wrapText="1"/>
    </xf>
    <xf borderId="0" fillId="0" fontId="73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86" numFmtId="0" xfId="0" applyAlignment="1" applyFont="1">
      <alignment horizontal="center" readingOrder="0" shrinkToFit="0" vertical="center" wrapText="1"/>
    </xf>
    <xf borderId="0" fillId="0" fontId="86" numFmtId="0" xfId="0" applyAlignment="1" applyFont="1">
      <alignment horizontal="center" readingOrder="0" shrinkToFit="0" wrapText="1"/>
    </xf>
    <xf borderId="0" fillId="0" fontId="73" numFmtId="0" xfId="0" applyAlignment="1" applyFont="1">
      <alignment horizontal="center" readingOrder="0" shrinkToFit="0" vertical="center" wrapText="1"/>
    </xf>
    <xf borderId="0" fillId="0" fontId="73" numFmtId="0" xfId="0" applyAlignment="1" applyFont="1">
      <alignment horizontal="center" readingOrder="0" shrinkToFit="0" wrapText="1"/>
    </xf>
    <xf borderId="0" fillId="0" fontId="73" numFmtId="0" xfId="0" applyAlignment="1" applyFont="1">
      <alignment horizontal="center" shrinkToFit="0" vertical="bottom" wrapText="1"/>
    </xf>
    <xf borderId="0" fillId="0" fontId="73" numFmtId="0" xfId="0" applyAlignment="1" applyFont="1">
      <alignment horizontal="center" readingOrder="0" shrinkToFit="0" vertical="bottom" wrapText="1"/>
    </xf>
    <xf borderId="0" fillId="0" fontId="26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7" fillId="0" fontId="67" numFmtId="0" xfId="0" applyAlignment="1" applyBorder="1" applyFont="1">
      <alignment horizontal="center" shrinkToFit="0" wrapText="1"/>
    </xf>
    <xf borderId="7" fillId="35" fontId="8" numFmtId="0" xfId="0" applyBorder="1" applyFont="1"/>
    <xf borderId="7" fillId="35" fontId="9" numFmtId="0" xfId="0" applyAlignment="1" applyBorder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7" fillId="0" fontId="1" numFmtId="172" xfId="0" applyAlignment="1" applyBorder="1" applyFont="1" applyNumberFormat="1">
      <alignment horizontal="center" readingOrder="0" shrinkToFit="0" vertical="center" wrapText="1"/>
    </xf>
    <xf borderId="7" fillId="0" fontId="8" numFmtId="172" xfId="0" applyAlignment="1" applyBorder="1" applyFont="1" applyNumberFormat="1">
      <alignment horizontal="left" readingOrder="0" shrinkToFit="0" vertical="center" wrapText="0"/>
    </xf>
    <xf borderId="7" fillId="0" fontId="8" numFmtId="172" xfId="0" applyAlignment="1" applyBorder="1" applyFont="1" applyNumberFormat="1">
      <alignment horizontal="left" readingOrder="0" shrinkToFit="0" vertical="bottom" wrapText="1"/>
    </xf>
    <xf borderId="7" fillId="0" fontId="1" numFmtId="173" xfId="0" applyAlignment="1" applyBorder="1" applyFont="1" applyNumberFormat="1">
      <alignment horizontal="center" readingOrder="0" shrinkToFit="0" vertical="center" wrapText="1"/>
    </xf>
    <xf borderId="7" fillId="0" fontId="8" numFmtId="173" xfId="0" applyAlignment="1" applyBorder="1" applyFont="1" applyNumberFormat="1">
      <alignment horizontal="center" readingOrder="0" shrinkToFit="0" vertical="center" wrapText="1"/>
    </xf>
    <xf borderId="7" fillId="0" fontId="9" numFmtId="173" xfId="0" applyAlignment="1" applyBorder="1" applyFont="1" applyNumberForma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2" numFmtId="173" xfId="0" applyAlignment="1" applyBorder="1" applyFont="1" applyNumberForma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0"/>
    </xf>
    <xf borderId="7" fillId="41" fontId="87" numFmtId="0" xfId="0" applyAlignment="1" applyBorder="1" applyFill="1" applyFont="1">
      <alignment horizontal="left" readingOrder="0" shrinkToFit="0" vertical="center" wrapText="0"/>
    </xf>
    <xf borderId="7" fillId="41" fontId="87" numFmtId="49" xfId="0" applyAlignment="1" applyBorder="1" applyFont="1" applyNumberFormat="1">
      <alignment horizontal="left" readingOrder="0" shrinkToFit="0" vertical="center" wrapText="0"/>
    </xf>
    <xf borderId="7" fillId="0" fontId="71" numFmtId="0" xfId="0" applyAlignment="1" applyBorder="1" applyFont="1">
      <alignment horizontal="left" readingOrder="0" shrinkToFit="0" vertical="center" wrapText="1"/>
    </xf>
    <xf borderId="7" fillId="0" fontId="12" numFmtId="0" xfId="0" applyAlignment="1" applyBorder="1" applyFont="1">
      <alignment horizontal="center" readingOrder="0" shrinkToFit="0" textRotation="9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7" fillId="33" fontId="88" numFmtId="0" xfId="0" applyAlignment="1" applyBorder="1" applyFont="1">
      <alignment readingOrder="0" shrinkToFit="0" vertical="center" wrapText="1"/>
    </xf>
    <xf borderId="7" fillId="0" fontId="12" numFmtId="182" xfId="0" applyAlignment="1" applyBorder="1" applyFont="1" applyNumberFormat="1">
      <alignment readingOrder="0" shrinkToFit="0" vertical="bottom" wrapText="1"/>
    </xf>
    <xf borderId="7" fillId="0" fontId="12" numFmtId="0" xfId="0" applyAlignment="1" applyBorder="1" applyFont="1">
      <alignment horizontal="center" readingOrder="0" shrinkToFit="0" vertical="bottom" wrapText="1"/>
    </xf>
    <xf borderId="7" fillId="0" fontId="14" numFmtId="182" xfId="0" applyAlignment="1" applyBorder="1" applyFont="1" applyNumberFormat="1">
      <alignment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readingOrder="0" shrinkToFit="0" vertical="center" wrapText="1"/>
    </xf>
    <xf borderId="7" fillId="0" fontId="14" numFmtId="182" xfId="0" applyAlignment="1" applyBorder="1" applyFont="1" applyNumberForma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readingOrder="0" shrinkToFit="0" vertical="bottom" wrapText="1"/>
    </xf>
    <xf borderId="7" fillId="0" fontId="37" numFmtId="0" xfId="0" applyAlignment="1" applyBorder="1" applyFont="1">
      <alignment horizontal="left" readingOrder="0" shrinkToFit="0" vertical="center" wrapText="1"/>
    </xf>
    <xf borderId="7" fillId="0" fontId="89" numFmtId="0" xfId="0" applyAlignment="1" applyBorder="1" applyFont="1">
      <alignment horizontal="center" readingOrder="0" shrinkToFit="0" vertical="center" wrapText="1"/>
    </xf>
    <xf borderId="7" fillId="42" fontId="90" numFmtId="182" xfId="0" applyAlignment="1" applyBorder="1" applyFill="1" applyFont="1" applyNumberFormat="1">
      <alignment readingOrder="0" shrinkToFit="0" vertical="center" wrapText="1"/>
    </xf>
    <xf borderId="7" fillId="42" fontId="90" numFmtId="0" xfId="0" applyAlignment="1" applyBorder="1" applyFont="1">
      <alignment horizontal="center" readingOrder="0" shrinkToFit="0" vertical="center" wrapText="1"/>
    </xf>
    <xf borderId="7" fillId="42" fontId="91" numFmtId="182" xfId="0" applyAlignment="1" applyBorder="1" applyFont="1" applyNumberFormat="1">
      <alignment readingOrder="0" shrinkToFit="0" vertical="center" wrapText="1"/>
    </xf>
    <xf borderId="7" fillId="42" fontId="9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wrapText="1"/>
    </xf>
    <xf borderId="5" fillId="35" fontId="14" numFmtId="0" xfId="0" applyAlignment="1" applyBorder="1" applyFont="1">
      <alignment horizontal="center" readingOrder="0" shrinkToFit="0" vertical="center" wrapText="1"/>
    </xf>
    <xf borderId="7" fillId="35" fontId="9" numFmtId="0" xfId="0" applyAlignment="1" applyBorder="1" applyFont="1">
      <alignment horizontal="center" shrinkToFit="0" wrapText="1"/>
    </xf>
    <xf borderId="5" fillId="35" fontId="9" numFmtId="0" xfId="0" applyAlignment="1" applyBorder="1" applyFont="1">
      <alignment horizontal="center" shrinkToFit="0" wrapText="1"/>
    </xf>
    <xf borderId="7" fillId="0" fontId="8" numFmtId="173" xfId="0" applyAlignment="1" applyBorder="1" applyFont="1" applyNumberFormat="1">
      <alignment horizontal="center" readingOrder="0" shrinkToFit="0" vertical="bottom" wrapText="1"/>
    </xf>
    <xf borderId="7" fillId="0" fontId="9" numFmtId="182" xfId="0" applyAlignment="1" applyBorder="1" applyFont="1" applyNumberFormat="1">
      <alignment horizontal="center" readingOrder="0" shrinkToFit="0" vertical="center" wrapText="1"/>
    </xf>
    <xf borderId="7" fillId="0" fontId="9" numFmtId="174" xfId="0" applyAlignment="1" applyBorder="1" applyFont="1" applyNumberFormat="1">
      <alignment horizontal="center" readingOrder="0" shrinkToFit="0" vertical="center" wrapText="1"/>
    </xf>
    <xf borderId="7" fillId="33" fontId="9" numFmtId="183" xfId="0" applyAlignment="1" applyBorder="1" applyFont="1" applyNumberFormat="1">
      <alignment horizontal="center" readingOrder="0" shrinkToFit="0" wrapText="1"/>
    </xf>
    <xf borderId="7" fillId="0" fontId="9" numFmtId="0" xfId="0" applyAlignment="1" applyBorder="1" applyFont="1">
      <alignment horizontal="left" readingOrder="0" textRotation="90" vertical="center"/>
    </xf>
    <xf borderId="7" fillId="0" fontId="2" numFmtId="0" xfId="0" applyAlignment="1" applyBorder="1" applyFont="1">
      <alignment readingOrder="0" textRotation="90"/>
    </xf>
    <xf borderId="7" fillId="0" fontId="92" numFmtId="0" xfId="0" applyAlignment="1" applyBorder="1" applyFont="1">
      <alignment readingOrder="0" textRotation="90"/>
    </xf>
    <xf borderId="7" fillId="0" fontId="1" numFmtId="0" xfId="0" applyAlignment="1" applyBorder="1" applyFont="1">
      <alignment horizontal="center" readingOrder="0" textRotation="90"/>
    </xf>
    <xf borderId="7" fillId="0" fontId="1" numFmtId="0" xfId="0" applyAlignment="1" applyBorder="1" applyFont="1">
      <alignment readingOrder="0" textRotation="90"/>
    </xf>
    <xf borderId="7" fillId="0" fontId="22" numFmtId="179" xfId="0" applyAlignment="1" applyBorder="1" applyFont="1" applyNumberFormat="1">
      <alignment horizontal="center" readingOrder="0" shrinkToFit="0" vertical="center" wrapText="1"/>
    </xf>
    <xf borderId="7" fillId="33" fontId="93" numFmtId="0" xfId="0" applyAlignment="1" applyBorder="1" applyFont="1">
      <alignment horizontal="center" readingOrder="0" shrinkToFit="0" vertical="center" wrapText="1"/>
    </xf>
    <xf borderId="7" fillId="0" fontId="18" numFmtId="0" xfId="0" applyAlignment="1" applyBorder="1" applyFont="1">
      <alignment readingOrder="0"/>
    </xf>
    <xf borderId="7" fillId="0" fontId="20" numFmtId="0" xfId="0" applyAlignment="1" applyBorder="1" applyFont="1">
      <alignment readingOrder="0"/>
    </xf>
    <xf borderId="7" fillId="0" fontId="8" numFmtId="0" xfId="0" applyAlignment="1" applyBorder="1" applyFont="1">
      <alignment horizontal="center" readingOrder="0"/>
    </xf>
    <xf borderId="7" fillId="0" fontId="89" numFmtId="0" xfId="0" applyAlignment="1" applyBorder="1" applyFont="1">
      <alignment horizontal="center" readingOrder="0" shrinkToFit="0" wrapText="1"/>
    </xf>
    <xf borderId="7" fillId="0" fontId="8" numFmtId="0" xfId="0" applyAlignment="1" applyBorder="1" applyFont="1">
      <alignment readingOrder="0" vertical="bottom"/>
    </xf>
    <xf borderId="7" fillId="0" fontId="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shrinkToFit="0" vertical="center" wrapText="1"/>
    </xf>
    <xf borderId="7" fillId="0" fontId="94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wrapText="1"/>
    </xf>
    <xf borderId="7" fillId="0" fontId="95" numFmtId="0" xfId="0" applyAlignment="1" applyBorder="1" applyFont="1">
      <alignment horizontal="center" readingOrder="0"/>
    </xf>
    <xf borderId="7" fillId="0" fontId="1" numFmtId="0" xfId="0" applyAlignment="1" applyBorder="1" applyFont="1">
      <alignment shrinkToFit="0" wrapText="1"/>
    </xf>
    <xf borderId="7" fillId="0" fontId="37" numFmtId="0" xfId="0" applyAlignment="1" applyBorder="1" applyFont="1">
      <alignment horizontal="center" readingOrder="0" shrinkToFit="0" wrapText="1"/>
    </xf>
    <xf borderId="0" fillId="28" fontId="18" numFmtId="0" xfId="0" applyAlignment="1" applyFont="1">
      <alignment readingOrder="0" shrinkToFit="0" wrapText="1"/>
    </xf>
    <xf borderId="6" fillId="0" fontId="1" numFmtId="0" xfId="0" applyBorder="1" applyFont="1"/>
    <xf borderId="0" fillId="33" fontId="43" numFmtId="0" xfId="0" applyAlignment="1" applyFont="1">
      <alignment horizontal="center" readingOrder="0"/>
    </xf>
    <xf borderId="0" fillId="33" fontId="20" numFmtId="0" xfId="0" applyAlignment="1" applyFont="1">
      <alignment horizontal="center" readingOrder="0"/>
    </xf>
    <xf borderId="7" fillId="23" fontId="20" numFmtId="0" xfId="0" applyAlignment="1" applyBorder="1" applyFont="1">
      <alignment horizontal="center" readingOrder="0"/>
    </xf>
    <xf borderId="7" fillId="9" fontId="1" numFmtId="168" xfId="0" applyAlignment="1" applyBorder="1" applyFont="1" applyNumberFormat="1">
      <alignment horizontal="center" readingOrder="0"/>
    </xf>
    <xf borderId="7" fillId="43" fontId="1" numFmtId="0" xfId="0" applyAlignment="1" applyBorder="1" applyFill="1" applyFont="1">
      <alignment horizontal="center" readingOrder="0"/>
    </xf>
    <xf borderId="7" fillId="43" fontId="1" numFmtId="0" xfId="0" applyAlignment="1" applyBorder="1" applyFont="1">
      <alignment horizontal="center"/>
    </xf>
    <xf borderId="0" fillId="0" fontId="67" numFmtId="0" xfId="0" applyAlignment="1" applyFont="1">
      <alignment horizontal="center" shrinkToFit="0" vertical="center" wrapText="1"/>
    </xf>
    <xf borderId="7" fillId="0" fontId="67" numFmtId="0" xfId="0" applyAlignment="1" applyBorder="1" applyFont="1">
      <alignment horizontal="center" shrinkToFit="0" vertical="center" wrapText="1"/>
    </xf>
    <xf borderId="7" fillId="0" fontId="67" numFmtId="0" xfId="0" applyAlignment="1" applyBorder="1" applyFont="1">
      <alignment horizontal="center" readingOrder="0" shrinkToFit="0" vertical="center" wrapText="1"/>
    </xf>
    <xf borderId="7" fillId="34" fontId="8" numFmtId="0" xfId="0" applyAlignment="1" applyBorder="1" applyFont="1">
      <alignment horizontal="center" shrinkToFit="0" vertical="center" wrapText="1"/>
    </xf>
    <xf borderId="7" fillId="34" fontId="8" numFmtId="0" xfId="0" applyAlignment="1" applyBorder="1" applyFont="1">
      <alignment horizontal="center" readingOrder="0" shrinkToFit="0" vertical="center" wrapText="1"/>
    </xf>
    <xf borderId="7" fillId="34" fontId="8" numFmtId="172" xfId="0" applyAlignment="1" applyBorder="1" applyFont="1" applyNumberFormat="1">
      <alignment horizontal="center" readingOrder="0" shrinkToFit="0" vertical="center" wrapText="1"/>
    </xf>
    <xf borderId="7" fillId="7" fontId="8" numFmtId="0" xfId="0" applyAlignment="1" applyBorder="1" applyFont="1">
      <alignment horizontal="center" readingOrder="0" shrinkToFit="0" vertical="center" wrapText="1"/>
    </xf>
    <xf borderId="7" fillId="40" fontId="96" numFmtId="0" xfId="0" applyAlignment="1" applyBorder="1" applyFont="1">
      <alignment horizontal="left" readingOrder="0" shrinkToFit="0" vertical="center" wrapText="1"/>
    </xf>
    <xf borderId="7" fillId="0" fontId="67" numFmtId="0" xfId="0" applyAlignment="1" applyBorder="1" applyFont="1">
      <alignment horizontal="center" shrinkToFit="0" wrapText="1"/>
    </xf>
    <xf borderId="7" fillId="35" fontId="34" numFmtId="0" xfId="0" applyAlignment="1" applyBorder="1" applyFont="1">
      <alignment horizontal="left" readingOrder="0" shrinkToFit="0" vertical="center" wrapText="1"/>
    </xf>
    <xf borderId="7" fillId="35" fontId="40" numFmtId="0" xfId="0" applyAlignment="1" applyBorder="1" applyFont="1">
      <alignment horizontal="center" readingOrder="0" shrinkToFit="0" vertical="center" wrapText="1"/>
    </xf>
    <xf borderId="0" fillId="35" fontId="14" numFmtId="0" xfId="0" applyAlignment="1" applyFont="1">
      <alignment horizontal="center" readingOrder="0" shrinkToFit="0" vertical="center" wrapText="1"/>
    </xf>
    <xf borderId="7" fillId="0" fontId="8" numFmtId="173" xfId="0" applyAlignment="1" applyBorder="1" applyFont="1" applyNumberFormat="1">
      <alignment horizontal="center" readingOrder="0" shrinkToFit="0" vertical="center" wrapText="1"/>
    </xf>
    <xf borderId="7" fillId="0" fontId="1" numFmtId="182" xfId="0" applyAlignment="1" applyBorder="1" applyFont="1" applyNumberFormat="1">
      <alignment horizontal="center" readingOrder="0" shrinkToFit="0" vertical="center" wrapText="1"/>
    </xf>
    <xf borderId="7" fillId="0" fontId="9" numFmtId="173" xfId="0" applyAlignment="1" applyBorder="1" applyFont="1" applyNumberFormat="1">
      <alignment horizontal="center" readingOrder="0" shrinkToFit="0" wrapText="1"/>
    </xf>
    <xf borderId="0" fillId="0" fontId="9" numFmtId="173" xfId="0" applyAlignment="1" applyFont="1" applyNumberFormat="1">
      <alignment horizontal="center" readingOrder="0" shrinkToFit="0" wrapText="1"/>
    </xf>
    <xf borderId="0" fillId="0" fontId="2" numFmtId="179" xfId="0" applyAlignment="1" applyFont="1" applyNumberFormat="1">
      <alignment readingOrder="0"/>
    </xf>
    <xf borderId="7" fillId="0" fontId="97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7" fillId="0" fontId="97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shrinkToFit="0" wrapText="1"/>
    </xf>
    <xf borderId="7" fillId="0" fontId="98" numFmtId="0" xfId="0" applyAlignment="1" applyBorder="1" applyFont="1">
      <alignment horizontal="center" shrinkToFit="0" vertical="bottom" wrapText="1"/>
    </xf>
    <xf borderId="0" fillId="0" fontId="99" numFmtId="0" xfId="0" applyFont="1"/>
    <xf borderId="7" fillId="0" fontId="100" numFmtId="0" xfId="0" applyAlignment="1" applyBorder="1" applyFont="1">
      <alignment horizontal="center" readingOrder="0" shrinkToFit="0" vertical="center" wrapText="1"/>
    </xf>
    <xf borderId="7" fillId="0" fontId="95" numFmtId="0" xfId="0" applyAlignment="1" applyBorder="1" applyFont="1">
      <alignment horizontal="center" readingOrder="0" vertical="center"/>
    </xf>
    <xf borderId="0" fillId="0" fontId="101" numFmtId="0" xfId="0" applyAlignment="1" applyFont="1">
      <alignment readingOrder="0"/>
    </xf>
    <xf borderId="7" fillId="0" fontId="102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bottom" wrapText="1"/>
    </xf>
    <xf borderId="7" fillId="0" fontId="10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94" numFmtId="0" xfId="0" applyAlignment="1" applyBorder="1" applyFont="1">
      <alignment horizontal="center" readingOrder="0" vertical="center"/>
    </xf>
    <xf borderId="7" fillId="0" fontId="52" numFmtId="0" xfId="0" applyAlignment="1" applyBorder="1" applyFont="1">
      <alignment horizontal="center" readingOrder="0" shrinkToFit="0" vertical="center" wrapText="1"/>
    </xf>
    <xf borderId="7" fillId="0" fontId="40" numFmtId="0" xfId="0" applyAlignment="1" applyBorder="1" applyFont="1">
      <alignment horizontal="center" vertical="center"/>
    </xf>
    <xf borderId="7" fillId="0" fontId="40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shrinkToFit="0" wrapText="1"/>
    </xf>
    <xf borderId="7" fillId="0" fontId="8" numFmtId="0" xfId="0" applyAlignment="1" applyBorder="1" applyFont="1">
      <alignment shrinkToFit="0" vertical="bottom" wrapText="1"/>
    </xf>
    <xf borderId="7" fillId="0" fontId="34" numFmtId="0" xfId="0" applyAlignment="1" applyBorder="1" applyFont="1">
      <alignment horizontal="center" readingOrder="0" vertical="center"/>
    </xf>
    <xf borderId="7" fillId="0" fontId="34" numFmtId="0" xfId="0" applyAlignment="1" applyBorder="1" applyFont="1">
      <alignment horizontal="center" vertical="center"/>
    </xf>
    <xf borderId="0" fillId="0" fontId="48" numFmtId="0" xfId="0" applyAlignment="1" applyFont="1">
      <alignment horizontal="center" vertical="center"/>
    </xf>
  </cellXfs>
  <cellStyles count="1">
    <cellStyle xfId="0" name="Normal" builtinId="0"/>
  </cellStyles>
  <dxfs count="12">
    <dxf>
      <font>
        <color rgb="FFFF0000"/>
      </font>
      <fill>
        <patternFill patternType="none"/>
      </fill>
      <border/>
    </dxf>
    <dxf>
      <font>
        <b/>
        <color rgb="FF6AA84F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Заказ Расходников ЛЕНИНА 114-style">
      <tableStyleElement dxfId="7" type="headerRow"/>
      <tableStyleElement dxfId="8" type="firstRowStripe"/>
      <tableStyleElement dxfId="9" type="secondRowStripe"/>
      <tableStyleElement dxfId="10" size="0" type="wholeTable"/>
    </tableStyle>
    <tableStyle count="2" pivot="0" name="Заказ Расходников Ленина 61-style"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AP39" displayName="Таблица1" name="Таблица1" id="1">
  <tableColumns count="42">
    <tableColumn name="Столбец 1" id="1"/>
    <tableColumn name="06.06.25" id="2"/>
    <tableColumn name="13.06.25" id="3"/>
    <tableColumn name="20.06.25" id="4"/>
    <tableColumn name="27.06.25" id="5"/>
    <tableColumn name="04.07.25" id="6"/>
    <tableColumn name="18.7.25" id="7"/>
    <tableColumn name="1.8.25" id="8"/>
    <tableColumn name="8.8.25" id="9"/>
    <tableColumn name="15.8.25" id="10"/>
    <tableColumn name="22.8.26" id="11"/>
    <tableColumn name="29.8.26" id="12"/>
    <tableColumn name="05.9.26" id="13"/>
    <tableColumn name="12.09.25" id="14"/>
    <tableColumn name="19.09.25" id="15"/>
    <tableColumn name="26.09.25" id="16"/>
    <tableColumn name="03.10.25" id="17"/>
    <tableColumn name="14.10.25" id="18"/>
    <tableColumn name="24.10.25" id="19"/>
    <tableColumn name="30.10.25" id="20"/>
    <tableColumn name="07.11.25" id="21"/>
    <tableColumn name="14.11.25" id="22"/>
    <tableColumn name="21.11.2025" id="23"/>
    <tableColumn name="29.11.2025" id="24"/>
    <tableColumn name="05.12.2025" id="25"/>
    <tableColumn name="12.12.2025" id="26"/>
    <tableColumn name="19.12.25" id="27"/>
    <tableColumn name="28.12.25" id="28"/>
    <tableColumn name="02.01.2026" id="29"/>
    <tableColumn name="09.01.2026" id="30"/>
    <tableColumn name="16.01.2026" id="31"/>
    <tableColumn name="23.01.2026" id="32"/>
    <tableColumn name="Column 33" id="33"/>
    <tableColumn name="06.02.2026" id="34"/>
    <tableColumn name="13.02.2026" id="35"/>
    <tableColumn name="20.02.2026" id="36"/>
    <tableColumn name="02.03.2026" id="37"/>
    <tableColumn name="Column 38" id="38"/>
    <tableColumn name="Column 39" id="39"/>
    <tableColumn name="Column 40" id="40"/>
    <tableColumn name="27.03.2026" id="41"/>
    <tableColumn name="Column 42" id="42"/>
  </tableColumns>
  <tableStyleInfo name="Заказ Расходников ЛЕНИНА 114-style" showColumnStripes="0" showFirstColumn="1" showLastColumn="1" showRowStripes="1"/>
</table>
</file>

<file path=xl/tables/table2.xml><?xml version="1.0" encoding="utf-8"?>
<table xmlns="http://schemas.openxmlformats.org/spreadsheetml/2006/main" headerRowCount="0" ref="A38:I38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Заказ Расходников Ленина 6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33.88"/>
    <col customWidth="1" min="2" max="2" width="14.13"/>
    <col customWidth="1" min="3" max="3" width="9.5"/>
    <col customWidth="1" min="4" max="4" width="10.63"/>
    <col customWidth="1" min="5" max="5" width="8.75"/>
    <col customWidth="1" min="6" max="6" width="9.63"/>
    <col customWidth="1" min="7" max="7" width="7.13"/>
    <col customWidth="1" min="8" max="8" width="7.63"/>
    <col customWidth="1" min="9" max="9" width="15.13"/>
    <col customWidth="1" min="10" max="10" width="13.13"/>
    <col customWidth="1" min="11" max="11" width="10.63"/>
    <col customWidth="1" min="12" max="12" width="12.63"/>
    <col customWidth="1" min="13" max="13" width="7.88"/>
    <col customWidth="1" min="14" max="15" width="13.63"/>
    <col customWidth="1" min="16" max="16" width="13.25"/>
    <col customWidth="1" min="17" max="17" width="16.88"/>
    <col customWidth="1" min="18" max="18" width="9.5"/>
    <col customWidth="1" min="19" max="19" width="8.13"/>
    <col customWidth="1" min="20" max="20" width="12.0"/>
    <col customWidth="1" min="21" max="21" width="15.13"/>
    <col customWidth="1" min="22" max="22" width="8.88"/>
    <col customWidth="1" min="23" max="23" width="10.5"/>
    <col customWidth="1" min="24" max="24" width="14.38"/>
    <col customWidth="1" min="25" max="25" width="13.13"/>
    <col customWidth="1" min="26" max="26" width="14.88"/>
    <col customWidth="1" min="27" max="27" width="13.38"/>
    <col customWidth="1" min="28" max="28" width="12.0"/>
    <col customWidth="1" min="29" max="29" width="16.25"/>
    <col customWidth="1" min="30" max="30" width="11.25"/>
    <col customWidth="1" min="31" max="31" width="14.0"/>
    <col customWidth="1" min="32" max="32" width="12.25"/>
    <col customWidth="1" min="33" max="33" width="11.5"/>
    <col customWidth="1" min="34" max="34" width="20.25"/>
    <col customWidth="1" min="35" max="35" width="10.38"/>
    <col customWidth="1" min="36" max="56" width="20.13"/>
  </cols>
  <sheetData>
    <row r="1" ht="21.0" customHeight="1" collapsed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4"/>
      <c r="AB1" s="4"/>
      <c r="AC1" s="4"/>
      <c r="AD1" s="5"/>
      <c r="AE1" s="6"/>
      <c r="AF1" s="7"/>
      <c r="AG1" s="8"/>
      <c r="AH1" s="8"/>
      <c r="AI1" s="9"/>
      <c r="AJ1" s="9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</row>
    <row r="2" ht="21.0" hidden="1" customHeight="1" outlineLevel="1">
      <c r="A2" s="11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2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3"/>
      <c r="AC2" s="5"/>
      <c r="AD2" s="5"/>
      <c r="AE2" s="5"/>
      <c r="AF2" s="5"/>
      <c r="AG2" s="14"/>
      <c r="AH2" s="14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ht="21.0" hidden="1" customHeight="1" outlineLevel="1">
      <c r="A3" s="1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3"/>
      <c r="AC3" s="5"/>
      <c r="AD3" s="5"/>
      <c r="AE3" s="5"/>
      <c r="AF3" s="5"/>
      <c r="AG3" s="17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</row>
    <row r="4" ht="21.0" hidden="1" customHeight="1" outlineLevel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2"/>
      <c r="AH4" s="22"/>
      <c r="AI4" s="22"/>
      <c r="AJ4" s="22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</row>
    <row r="5" ht="21.0" hidden="1" customHeight="1" outlineLevel="1">
      <c r="A5" s="24" t="s">
        <v>2</v>
      </c>
      <c r="B5" s="25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</row>
    <row r="6" ht="21.0" hidden="1" customHeight="1" outlineLevel="1">
      <c r="A6" s="27" t="s">
        <v>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/>
      <c r="P6" s="30"/>
      <c r="Q6" s="4"/>
      <c r="R6" s="28"/>
      <c r="S6" s="28"/>
      <c r="T6" s="4"/>
      <c r="U6" s="28"/>
      <c r="V6" s="28"/>
      <c r="W6" s="28"/>
      <c r="X6" s="28"/>
      <c r="Y6" s="28"/>
      <c r="Z6" s="28"/>
      <c r="AA6" s="28"/>
      <c r="AB6" s="31"/>
      <c r="AC6" s="31"/>
      <c r="AD6" s="28"/>
      <c r="AE6" s="28"/>
      <c r="AF6" s="28"/>
      <c r="AG6" s="32"/>
      <c r="AH6" s="32"/>
      <c r="AI6" s="32"/>
      <c r="AJ6" s="32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</row>
    <row r="7" ht="21.0" hidden="1" customHeight="1" outlineLevel="1">
      <c r="A7" s="34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/>
      <c r="P7" s="28"/>
      <c r="Q7" s="28"/>
      <c r="R7" s="28"/>
      <c r="S7" s="28"/>
      <c r="T7" s="4"/>
      <c r="U7" s="31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32"/>
      <c r="AH7" s="32"/>
      <c r="AI7" s="32"/>
      <c r="AJ7" s="32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</row>
    <row r="8" ht="21.0" hidden="1" customHeight="1" outlineLevel="1">
      <c r="A8" s="35" t="s">
        <v>5</v>
      </c>
      <c r="B8" s="31"/>
      <c r="C8" s="28"/>
      <c r="D8" s="28"/>
      <c r="E8" s="28"/>
      <c r="F8" s="28"/>
      <c r="G8" s="31"/>
      <c r="H8" s="28"/>
      <c r="I8" s="28"/>
      <c r="J8" s="28"/>
      <c r="K8" s="28"/>
      <c r="L8" s="28"/>
      <c r="M8" s="28"/>
      <c r="N8" s="28"/>
      <c r="O8" s="29"/>
      <c r="P8" s="30"/>
      <c r="Q8" s="28"/>
      <c r="R8" s="28"/>
      <c r="S8" s="28"/>
      <c r="T8" s="28"/>
      <c r="U8" s="36"/>
      <c r="V8" s="28"/>
      <c r="W8" s="28"/>
      <c r="X8" s="28"/>
      <c r="Y8" s="28"/>
      <c r="Z8" s="28"/>
      <c r="AA8" s="28"/>
      <c r="AB8" s="28"/>
      <c r="AC8" s="31"/>
      <c r="AD8" s="28"/>
      <c r="AE8" s="28"/>
      <c r="AF8" s="28"/>
      <c r="AG8" s="32"/>
      <c r="AH8" s="32"/>
      <c r="AI8" s="32"/>
      <c r="AJ8" s="32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</row>
    <row r="9" ht="21.0" hidden="1" customHeight="1" outlineLevel="1">
      <c r="A9" s="37" t="s">
        <v>6</v>
      </c>
      <c r="B9" s="31"/>
      <c r="C9" s="28"/>
      <c r="D9" s="28"/>
      <c r="E9" s="28"/>
      <c r="F9" s="28"/>
      <c r="G9" s="31"/>
      <c r="H9" s="28"/>
      <c r="I9" s="28"/>
      <c r="J9" s="28"/>
      <c r="K9" s="28"/>
      <c r="L9" s="28"/>
      <c r="M9" s="28"/>
      <c r="N9" s="28"/>
      <c r="O9" s="29"/>
      <c r="P9" s="30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32"/>
      <c r="AH9" s="32"/>
      <c r="AI9" s="32"/>
      <c r="AJ9" s="32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</row>
    <row r="10" ht="21.0" hidden="1" customHeight="1" outlineLevel="1">
      <c r="A10" s="38" t="s">
        <v>7</v>
      </c>
      <c r="B10" s="31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30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32"/>
      <c r="AH10" s="32"/>
      <c r="AI10" s="32"/>
      <c r="AJ10" s="32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</row>
    <row r="11" ht="21.0" hidden="1" customHeight="1" outlineLevel="1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2"/>
      <c r="AH11" s="42"/>
      <c r="AI11" s="42"/>
      <c r="AJ11" s="42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</row>
    <row r="12" ht="21.0" hidden="1" customHeight="1" outlineLevel="1">
      <c r="A12" s="44" t="s">
        <v>8</v>
      </c>
      <c r="B12" s="28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</row>
    <row r="13" ht="21.0" hidden="1" customHeight="1" outlineLevel="1">
      <c r="A13" s="37" t="s">
        <v>6</v>
      </c>
      <c r="B13" s="31"/>
      <c r="C13" s="28"/>
      <c r="D13" s="28"/>
      <c r="E13" s="28"/>
      <c r="F13" s="28"/>
      <c r="G13" s="31"/>
      <c r="H13" s="28"/>
      <c r="I13" s="28"/>
      <c r="J13" s="28"/>
      <c r="K13" s="28"/>
      <c r="L13" s="28"/>
      <c r="M13" s="28"/>
      <c r="N13" s="28"/>
      <c r="O13" s="29"/>
      <c r="P13" s="28"/>
      <c r="Q13" s="28"/>
      <c r="R13" s="28"/>
      <c r="S13" s="28"/>
      <c r="T13" s="28"/>
      <c r="U13" s="28"/>
      <c r="V13" s="28"/>
      <c r="W13" s="28"/>
      <c r="X13" s="31"/>
      <c r="Y13" s="28"/>
      <c r="Z13" s="28"/>
      <c r="AA13" s="28"/>
      <c r="AB13" s="28"/>
      <c r="AC13" s="28"/>
      <c r="AD13" s="31"/>
      <c r="AE13" s="28"/>
      <c r="AF13" s="28"/>
      <c r="AG13" s="32"/>
      <c r="AH13" s="32"/>
      <c r="AI13" s="32"/>
      <c r="AJ13" s="32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</row>
    <row r="14" ht="21.0" hidden="1" customHeight="1" outlineLevel="1">
      <c r="A14" s="34" t="s">
        <v>4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  <c r="P14" s="30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46"/>
      <c r="AD14" s="28"/>
      <c r="AE14" s="28"/>
      <c r="AF14" s="28"/>
      <c r="AG14" s="32"/>
      <c r="AH14" s="32"/>
      <c r="AI14" s="32"/>
      <c r="AJ14" s="32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</row>
    <row r="15" ht="21.0" hidden="1" customHeight="1" outlineLevel="1">
      <c r="A15" s="47" t="s">
        <v>9</v>
      </c>
      <c r="B15" s="31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/>
      <c r="P15" s="30"/>
      <c r="Q15" s="28"/>
      <c r="R15" s="48"/>
      <c r="S15" s="48"/>
      <c r="T15" s="48"/>
      <c r="U15" s="48"/>
      <c r="V15" s="48"/>
      <c r="W15" s="48"/>
      <c r="X15" s="31"/>
      <c r="Y15" s="28"/>
      <c r="Z15" s="48"/>
      <c r="AA15" s="28"/>
      <c r="AB15" s="28"/>
      <c r="AC15" s="46"/>
      <c r="AD15" s="49"/>
      <c r="AE15" s="46"/>
      <c r="AF15" s="46"/>
      <c r="AG15" s="32"/>
      <c r="AH15" s="32"/>
      <c r="AI15" s="32"/>
      <c r="AJ15" s="32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</row>
    <row r="16" ht="21.0" hidden="1" customHeight="1" outlineLevel="1">
      <c r="A16" s="50" t="s">
        <v>7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28"/>
      <c r="Q16" s="28"/>
      <c r="R16" s="48"/>
      <c r="S16" s="48"/>
      <c r="T16" s="48"/>
      <c r="U16" s="48"/>
      <c r="V16" s="48"/>
      <c r="W16" s="48"/>
      <c r="X16" s="28"/>
      <c r="Y16" s="28"/>
      <c r="Z16" s="48"/>
      <c r="AA16" s="28"/>
      <c r="AB16" s="28"/>
      <c r="AC16" s="46"/>
      <c r="AD16" s="46"/>
      <c r="AE16" s="46"/>
      <c r="AF16" s="46"/>
      <c r="AG16" s="32"/>
      <c r="AH16" s="32"/>
      <c r="AI16" s="32"/>
      <c r="AJ16" s="32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</row>
    <row r="17" ht="21.0" hidden="1" customHeight="1" outlineLevel="1">
      <c r="A17" s="51" t="s">
        <v>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28"/>
      <c r="Q17" s="28"/>
      <c r="R17" s="48"/>
      <c r="S17" s="48"/>
      <c r="T17" s="48"/>
      <c r="U17" s="48"/>
      <c r="V17" s="48"/>
      <c r="W17" s="48"/>
      <c r="X17" s="28"/>
      <c r="Y17" s="28"/>
      <c r="Z17" s="48"/>
      <c r="AA17" s="28"/>
      <c r="AB17" s="28"/>
      <c r="AC17" s="46"/>
      <c r="AD17" s="46"/>
      <c r="AE17" s="46"/>
      <c r="AF17" s="46"/>
      <c r="AG17" s="32"/>
      <c r="AH17" s="32"/>
      <c r="AI17" s="32"/>
      <c r="AJ17" s="32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</row>
    <row r="18" ht="21.0" hidden="1" customHeight="1" outlineLevel="1">
      <c r="A18" s="52" t="s">
        <v>10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28"/>
      <c r="Q18" s="28"/>
      <c r="R18" s="48"/>
      <c r="S18" s="48"/>
      <c r="T18" s="48"/>
      <c r="U18" s="48"/>
      <c r="V18" s="48"/>
      <c r="W18" s="48"/>
      <c r="X18" s="31"/>
      <c r="Y18" s="28"/>
      <c r="Z18" s="48"/>
      <c r="AA18" s="48"/>
      <c r="AB18" s="28"/>
      <c r="AC18" s="46"/>
      <c r="AD18" s="46"/>
      <c r="AE18" s="46"/>
      <c r="AF18" s="46"/>
      <c r="AG18" s="32"/>
      <c r="AH18" s="32"/>
      <c r="AI18" s="32"/>
      <c r="AJ18" s="32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</row>
    <row r="19" ht="21.0" hidden="1" customHeight="1" outlineLevel="1">
      <c r="A19" s="53" t="s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S19" s="2"/>
      <c r="T19" s="2"/>
      <c r="U19" s="2"/>
      <c r="V19" s="54"/>
      <c r="W19" s="54"/>
      <c r="X19" s="54"/>
      <c r="Y19" s="2"/>
      <c r="Z19" s="2"/>
      <c r="AA19" s="2"/>
      <c r="AB19" s="54"/>
      <c r="AC19" s="54"/>
      <c r="AD19" s="2"/>
      <c r="AE19" s="2"/>
      <c r="AF19" s="2"/>
      <c r="AG19" s="55"/>
      <c r="AH19" s="55"/>
      <c r="AI19" s="55"/>
      <c r="AJ19" s="55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</row>
    <row r="20" ht="21.0" hidden="1" customHeight="1" outlineLevel="1">
      <c r="A20" s="5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S20" s="2"/>
      <c r="T20" s="2"/>
      <c r="U20" s="2"/>
      <c r="V20" s="54"/>
      <c r="W20" s="54"/>
      <c r="X20" s="54"/>
      <c r="Y20" s="2"/>
      <c r="Z20" s="2"/>
      <c r="AA20" s="2"/>
      <c r="AB20" s="54"/>
      <c r="AC20" s="2"/>
      <c r="AD20" s="2"/>
      <c r="AE20" s="2"/>
      <c r="AF20" s="2"/>
      <c r="AG20" s="55"/>
      <c r="AH20" s="55"/>
      <c r="AI20" s="55"/>
      <c r="AJ20" s="55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</row>
    <row r="21" ht="21.0" hidden="1" customHeight="1" outlineLevel="1">
      <c r="A21" s="58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54"/>
      <c r="AB21" s="54"/>
      <c r="AC21" s="54"/>
      <c r="AD21" s="54"/>
      <c r="AE21" s="54"/>
      <c r="AF21" s="2"/>
      <c r="AG21" s="9"/>
      <c r="AH21" s="9"/>
      <c r="AI21" s="9"/>
      <c r="AJ21" s="9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ht="21.0" hidden="1" customHeight="1" outlineLevel="1">
      <c r="A22" s="52" t="s">
        <v>10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S22" s="2"/>
      <c r="T22" s="2"/>
      <c r="U22" s="2"/>
      <c r="V22" s="2"/>
      <c r="W22" s="2"/>
      <c r="X22" s="2"/>
      <c r="Y22" s="40"/>
      <c r="Z22" s="2"/>
      <c r="AA22" s="54"/>
      <c r="AB22" s="54"/>
      <c r="AC22" s="54"/>
      <c r="AD22" s="54"/>
      <c r="AE22" s="54"/>
      <c r="AF22" s="54"/>
      <c r="AG22" s="55"/>
      <c r="AH22" s="55"/>
      <c r="AI22" s="55"/>
      <c r="AJ22" s="5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</row>
    <row r="23" ht="21.0" hidden="1" customHeight="1" outlineLevel="1">
      <c r="A23" s="59" t="s">
        <v>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9"/>
      <c r="AH23" s="9"/>
      <c r="AI23" s="9"/>
      <c r="AJ23" s="9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ht="21.0" hidden="1" customHeight="1" outlineLevel="1">
      <c r="A24" s="6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"/>
      <c r="AB24" s="4"/>
      <c r="AC24" s="4"/>
      <c r="AD24" s="5"/>
      <c r="AE24" s="6"/>
      <c r="AF24" s="7"/>
      <c r="AG24" s="8"/>
      <c r="AH24" s="8"/>
      <c r="AI24" s="9"/>
      <c r="AJ24" s="9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</row>
    <row r="25" ht="21.0" hidden="1" customHeight="1" outlineLevel="1">
      <c r="A25" s="6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4"/>
      <c r="AB25" s="4"/>
      <c r="AC25" s="4"/>
      <c r="AD25" s="5"/>
      <c r="AE25" s="6"/>
      <c r="AF25" s="6"/>
      <c r="AG25" s="8"/>
      <c r="AH25" s="8"/>
      <c r="AI25" s="9"/>
      <c r="AJ25" s="9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ht="21.0" hidden="1" customHeight="1" outlineLevel="1">
      <c r="A26" s="11" t="s">
        <v>13</v>
      </c>
      <c r="B26" s="5"/>
      <c r="C26" s="5"/>
      <c r="D26" s="5"/>
      <c r="E26" s="5"/>
      <c r="F26" s="5"/>
      <c r="G26" s="5"/>
      <c r="H26" s="7"/>
      <c r="I26" s="7"/>
      <c r="J26" s="7"/>
      <c r="K26" s="7"/>
      <c r="L26" s="7"/>
      <c r="M26" s="7"/>
      <c r="N26" s="7"/>
      <c r="O26" s="61"/>
      <c r="P26" s="7"/>
      <c r="Q26" s="7"/>
      <c r="R26" s="7"/>
      <c r="S26" s="7"/>
      <c r="T26" s="7"/>
      <c r="U26" s="7"/>
      <c r="V26" s="7"/>
      <c r="W26" s="7"/>
      <c r="X26" s="7"/>
      <c r="Y26" s="7"/>
      <c r="Z26" s="5"/>
      <c r="AA26" s="5"/>
      <c r="AB26" s="5"/>
      <c r="AC26" s="5"/>
      <c r="AD26" s="5"/>
      <c r="AE26" s="5"/>
      <c r="AF26" s="5"/>
      <c r="AG26" s="8"/>
      <c r="AH26" s="8"/>
      <c r="AI26" s="8"/>
      <c r="AJ26" s="14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ht="21.0" hidden="1" customHeight="1">
      <c r="A27" s="11" t="s">
        <v>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2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62"/>
      <c r="AF27" s="6"/>
      <c r="AG27" s="17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</row>
    <row r="28" ht="21.0" hidden="1" customHeight="1">
      <c r="A28" s="1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2"/>
      <c r="AH28" s="22"/>
      <c r="AI28" s="22"/>
      <c r="AJ28" s="22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</row>
    <row r="29" ht="21.0" hidden="1" customHeight="1">
      <c r="A29" s="11" t="s">
        <v>2</v>
      </c>
      <c r="B29" s="25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</row>
    <row r="30" ht="21.0" hidden="1" customHeight="1">
      <c r="A30" s="11" t="s">
        <v>5</v>
      </c>
      <c r="B30" s="28"/>
      <c r="C30" s="31"/>
      <c r="D30" s="31"/>
      <c r="E30" s="31"/>
      <c r="F30" s="28"/>
      <c r="G30" s="63"/>
      <c r="H30" s="28"/>
      <c r="I30" s="28"/>
      <c r="J30" s="28"/>
      <c r="K30" s="28"/>
      <c r="L30" s="28"/>
      <c r="M30" s="28"/>
      <c r="N30" s="28"/>
      <c r="O30" s="29"/>
      <c r="P30" s="28"/>
      <c r="Q30" s="28"/>
      <c r="R30" s="28"/>
      <c r="S30" s="28"/>
      <c r="T30" s="28"/>
      <c r="U30" s="54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32"/>
      <c r="AH30" s="32"/>
      <c r="AI30" s="32"/>
      <c r="AJ30" s="32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</row>
    <row r="31" ht="21.0" hidden="1" customHeight="1">
      <c r="A31" s="11" t="s">
        <v>14</v>
      </c>
      <c r="B31" s="40"/>
      <c r="C31" s="40"/>
      <c r="D31" s="64"/>
      <c r="E31" s="64"/>
      <c r="F31" s="40"/>
      <c r="G31" s="40"/>
      <c r="H31" s="40"/>
      <c r="I31" s="40"/>
      <c r="J31" s="40"/>
      <c r="K31" s="40"/>
      <c r="L31" s="40"/>
      <c r="M31" s="40"/>
      <c r="N31" s="40"/>
      <c r="O31" s="41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2"/>
      <c r="AH31" s="42"/>
      <c r="AI31" s="42"/>
      <c r="AJ31" s="42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</row>
    <row r="32" ht="21.0" hidden="1" customHeight="1">
      <c r="A32" s="11" t="s">
        <v>15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65"/>
      <c r="AH32" s="65"/>
      <c r="AI32" s="65"/>
      <c r="AJ32" s="6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</row>
    <row r="33" ht="21.0" hidden="1" customHeight="1">
      <c r="A33" s="11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1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2"/>
      <c r="AH33" s="42"/>
      <c r="AI33" s="42"/>
      <c r="AJ33" s="42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</row>
    <row r="34" ht="21.0" hidden="1" customHeight="1">
      <c r="A34" s="11" t="s">
        <v>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2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6"/>
      <c r="AH34" s="65"/>
      <c r="AI34" s="65"/>
      <c r="AJ34" s="6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</row>
    <row r="35" ht="21.0" hidden="1" customHeight="1">
      <c r="A35" s="11" t="s">
        <v>9</v>
      </c>
      <c r="B35" s="28"/>
      <c r="C35" s="28"/>
      <c r="D35" s="31"/>
      <c r="E35" s="28"/>
      <c r="F35" s="28"/>
      <c r="G35" s="28"/>
      <c r="H35" s="28"/>
      <c r="I35" s="28"/>
      <c r="J35" s="28"/>
      <c r="K35" s="28"/>
      <c r="L35" s="28"/>
      <c r="M35" s="28"/>
      <c r="N35" s="31"/>
      <c r="O35" s="29"/>
      <c r="P35" s="30"/>
      <c r="Q35" s="28"/>
      <c r="R35" s="48"/>
      <c r="S35" s="48"/>
      <c r="T35" s="48"/>
      <c r="U35" s="48"/>
      <c r="V35" s="67"/>
      <c r="W35" s="67"/>
      <c r="X35" s="28"/>
      <c r="Y35" s="28"/>
      <c r="Z35" s="48"/>
      <c r="AA35" s="48"/>
      <c r="AB35" s="28"/>
      <c r="AC35" s="46"/>
      <c r="AD35" s="46"/>
      <c r="AE35" s="46"/>
      <c r="AF35" s="46"/>
      <c r="AG35" s="32"/>
      <c r="AH35" s="32"/>
      <c r="AI35" s="32"/>
      <c r="AJ35" s="32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</row>
    <row r="36" ht="21.0" hidden="1" customHeight="1">
      <c r="A36" s="11" t="s">
        <v>11</v>
      </c>
      <c r="B36" s="54"/>
      <c r="C36" s="54"/>
      <c r="D36" s="36"/>
      <c r="E36" s="54"/>
      <c r="F36" s="54"/>
      <c r="G36" s="54"/>
      <c r="H36" s="54"/>
      <c r="I36" s="54"/>
      <c r="J36" s="54"/>
      <c r="K36" s="54"/>
      <c r="L36" s="54"/>
      <c r="M36" s="54"/>
      <c r="N36" s="2"/>
      <c r="O36" s="68"/>
      <c r="P36" s="54"/>
      <c r="Q36" s="54"/>
      <c r="R36" s="2"/>
      <c r="S36" s="2"/>
      <c r="T36" s="54"/>
      <c r="U36" s="54"/>
      <c r="V36" s="54"/>
      <c r="W36" s="54"/>
      <c r="X36" s="54"/>
      <c r="Y36" s="54"/>
      <c r="Z36" s="2"/>
      <c r="AA36" s="2"/>
      <c r="AB36" s="54"/>
      <c r="AC36" s="54"/>
      <c r="AD36" s="2"/>
      <c r="AE36" s="54"/>
      <c r="AF36" s="2"/>
      <c r="AG36" s="55"/>
      <c r="AH36" s="55"/>
      <c r="AI36" s="55"/>
      <c r="AJ36" s="55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</row>
    <row r="37" ht="21.0" hidden="1" customHeight="1">
      <c r="A37" s="11" t="s">
        <v>16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70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54"/>
      <c r="AC37" s="54"/>
      <c r="AD37" s="69"/>
      <c r="AE37" s="69"/>
      <c r="AF37" s="69"/>
      <c r="AG37" s="71"/>
      <c r="AH37" s="71"/>
      <c r="AI37" s="71"/>
      <c r="AJ37" s="71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</row>
    <row r="38" ht="21.0" hidden="1" customHeight="1">
      <c r="A38" s="11" t="s">
        <v>6</v>
      </c>
      <c r="B38" s="28"/>
      <c r="C38" s="28"/>
      <c r="D38" s="28"/>
      <c r="E38" s="28"/>
      <c r="F38" s="28"/>
      <c r="G38" s="31"/>
      <c r="H38" s="28"/>
      <c r="I38" s="28"/>
      <c r="J38" s="28"/>
      <c r="K38" s="28"/>
      <c r="L38" s="28"/>
      <c r="M38" s="28"/>
      <c r="N38" s="31"/>
      <c r="O38" s="29"/>
      <c r="P38" s="28"/>
      <c r="Q38" s="28"/>
      <c r="R38" s="28"/>
      <c r="S38" s="28"/>
      <c r="T38" s="28"/>
      <c r="U38" s="28"/>
      <c r="V38" s="28"/>
      <c r="W38" s="28"/>
      <c r="X38" s="31"/>
      <c r="Y38" s="28"/>
      <c r="Z38" s="28"/>
      <c r="AA38" s="28"/>
      <c r="AB38" s="28"/>
      <c r="AC38" s="28"/>
      <c r="AD38" s="28"/>
      <c r="AE38" s="28"/>
      <c r="AF38" s="73"/>
      <c r="AG38" s="32"/>
      <c r="AH38" s="32"/>
      <c r="AI38" s="32"/>
      <c r="AJ38" s="74"/>
    </row>
    <row r="39" ht="21.0" hidden="1" customHeight="1">
      <c r="A39" s="11" t="s">
        <v>5</v>
      </c>
      <c r="B39" s="28"/>
      <c r="C39" s="28"/>
      <c r="D39" s="28"/>
      <c r="E39" s="28"/>
      <c r="F39" s="28"/>
      <c r="G39" s="28"/>
      <c r="H39" s="28"/>
      <c r="I39" s="28"/>
      <c r="J39" s="28"/>
      <c r="K39" s="75"/>
      <c r="L39" s="28"/>
      <c r="M39" s="28"/>
      <c r="N39" s="28"/>
      <c r="O39" s="29"/>
      <c r="P39" s="28"/>
      <c r="Q39" s="28"/>
      <c r="R39" s="48"/>
      <c r="S39" s="48"/>
      <c r="T39" s="48"/>
      <c r="U39" s="48"/>
      <c r="V39" s="48"/>
      <c r="W39" s="48"/>
      <c r="X39" s="28"/>
      <c r="Y39" s="28"/>
      <c r="Z39" s="48"/>
      <c r="AA39" s="48"/>
      <c r="AB39" s="28"/>
      <c r="AC39" s="46"/>
      <c r="AD39" s="46"/>
      <c r="AE39" s="46"/>
      <c r="AF39" s="46"/>
      <c r="AG39" s="32"/>
      <c r="AH39" s="32"/>
      <c r="AI39" s="32"/>
      <c r="AJ39" s="32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</row>
    <row r="40" ht="21.0" hidden="1" customHeight="1">
      <c r="A40" s="11" t="s">
        <v>17</v>
      </c>
      <c r="B40" s="2"/>
      <c r="C40" s="2"/>
      <c r="D40" s="54"/>
      <c r="E40" s="54"/>
      <c r="F40" s="2"/>
      <c r="G40" s="2"/>
      <c r="H40" s="54"/>
      <c r="I40" s="54"/>
      <c r="J40" s="2"/>
      <c r="K40" s="54"/>
      <c r="L40" s="54"/>
      <c r="M40" s="54"/>
      <c r="N40" s="54"/>
      <c r="O40" s="68"/>
      <c r="P40" s="54"/>
      <c r="Q40" s="2"/>
      <c r="R40" s="54"/>
      <c r="S40" s="54"/>
      <c r="T40" s="2"/>
      <c r="U40" s="76"/>
      <c r="V40" s="36"/>
      <c r="W40" s="36"/>
      <c r="X40" s="54"/>
      <c r="Y40" s="54"/>
      <c r="Z40" s="54"/>
      <c r="AA40" s="54"/>
      <c r="AB40" s="54"/>
      <c r="AC40" s="54"/>
      <c r="AD40" s="54"/>
      <c r="AE40" s="54"/>
      <c r="AF40" s="54"/>
      <c r="AG40" s="77"/>
      <c r="AH40" s="77"/>
      <c r="AI40" s="77"/>
      <c r="AJ40" s="77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</row>
    <row r="41" ht="21.0" hidden="1" customHeight="1">
      <c r="A41" s="11" t="s">
        <v>15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2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79"/>
      <c r="AG41" s="80"/>
      <c r="AH41" s="80"/>
      <c r="AI41" s="80"/>
      <c r="AJ41" s="80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</row>
    <row r="42" ht="21.0" hidden="1" customHeight="1">
      <c r="A42" s="11" t="s">
        <v>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2"/>
      <c r="P42" s="5"/>
      <c r="Q42" s="5"/>
      <c r="R42" s="5"/>
      <c r="S42" s="5"/>
      <c r="T42" s="5"/>
      <c r="U42" s="5"/>
      <c r="V42" s="5"/>
      <c r="W42" s="5"/>
      <c r="X42" s="5"/>
      <c r="Y42" s="5"/>
      <c r="Z42" s="25"/>
      <c r="AA42" s="5"/>
      <c r="AB42" s="5"/>
      <c r="AC42" s="5"/>
      <c r="AD42" s="5"/>
      <c r="AE42" s="5"/>
      <c r="AF42" s="79"/>
      <c r="AG42" s="80"/>
      <c r="AH42" s="80"/>
      <c r="AI42" s="80"/>
      <c r="AJ42" s="80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</row>
    <row r="43" ht="21.0" hidden="1" customHeight="1">
      <c r="A43" s="1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2"/>
      <c r="P43" s="5"/>
      <c r="Q43" s="5"/>
      <c r="R43" s="5"/>
      <c r="S43" s="5"/>
      <c r="T43" s="5"/>
      <c r="U43" s="5"/>
      <c r="V43" s="5"/>
      <c r="W43" s="5"/>
      <c r="X43" s="5"/>
      <c r="Y43" s="5"/>
      <c r="Z43" s="25"/>
      <c r="AA43" s="5"/>
      <c r="AB43" s="5"/>
      <c r="AC43" s="5"/>
      <c r="AD43" s="5"/>
      <c r="AE43" s="5"/>
      <c r="AF43" s="79"/>
      <c r="AG43" s="80"/>
      <c r="AH43" s="80"/>
      <c r="AI43" s="80"/>
      <c r="AJ43" s="80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</row>
    <row r="44" ht="21.0" hidden="1" customHeight="1">
      <c r="A44" s="1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2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79"/>
      <c r="AG44" s="80"/>
      <c r="AH44" s="80"/>
      <c r="AI44" s="80"/>
      <c r="AJ44" s="80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</row>
    <row r="45" ht="21.0" hidden="1" customHeight="1">
      <c r="A45" s="11" t="s">
        <v>12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2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62"/>
      <c r="AF45" s="13"/>
      <c r="AG45" s="9"/>
      <c r="AH45" s="9"/>
      <c r="AI45" s="9"/>
      <c r="AJ45" s="9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</row>
    <row r="46" ht="21.0" hidden="1" customHeight="1">
      <c r="A46" s="11" t="s">
        <v>10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8"/>
      <c r="P46" s="54"/>
      <c r="Q46" s="54"/>
      <c r="R46" s="54"/>
      <c r="S46" s="54"/>
      <c r="T46" s="54"/>
      <c r="U46" s="54"/>
      <c r="V46" s="54"/>
      <c r="W46" s="54"/>
      <c r="X46" s="54"/>
      <c r="Y46" s="40"/>
      <c r="Z46" s="54"/>
      <c r="AA46" s="54"/>
      <c r="AB46" s="54"/>
      <c r="AC46" s="54"/>
      <c r="AD46" s="54"/>
      <c r="AE46" s="54"/>
      <c r="AF46" s="54"/>
      <c r="AG46" s="82"/>
      <c r="AH46" s="82"/>
      <c r="AI46" s="55"/>
      <c r="AJ46" s="55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</row>
    <row r="47" ht="21.0" hidden="1" customHeight="1">
      <c r="A47" s="11" t="s">
        <v>16</v>
      </c>
      <c r="B47" s="69"/>
      <c r="C47" s="69"/>
      <c r="D47" s="69"/>
      <c r="E47" s="69"/>
      <c r="F47" s="69"/>
      <c r="G47" s="69"/>
      <c r="H47" s="69"/>
      <c r="I47" s="54"/>
      <c r="J47" s="54"/>
      <c r="K47" s="69"/>
      <c r="L47" s="69"/>
      <c r="M47" s="54"/>
      <c r="N47" s="54"/>
      <c r="O47" s="70"/>
      <c r="P47" s="69"/>
      <c r="Q47" s="54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71"/>
      <c r="AH47" s="71"/>
      <c r="AI47" s="71"/>
      <c r="AJ47" s="71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</row>
    <row r="48" ht="21.0" hidden="1" customHeight="1">
      <c r="A48" s="11" t="s">
        <v>6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4"/>
      <c r="P48" s="83"/>
      <c r="Q48" s="83"/>
      <c r="R48" s="83"/>
      <c r="S48" s="83"/>
      <c r="T48" s="83"/>
      <c r="U48" s="83"/>
      <c r="V48" s="28"/>
      <c r="W48" s="28"/>
      <c r="X48" s="83"/>
      <c r="Y48" s="83"/>
      <c r="Z48" s="83"/>
      <c r="AA48" s="83"/>
      <c r="AB48" s="83"/>
      <c r="AC48" s="83"/>
      <c r="AD48" s="83"/>
      <c r="AE48" s="83"/>
      <c r="AF48" s="2"/>
      <c r="AG48" s="9"/>
      <c r="AH48" s="9"/>
      <c r="AI48" s="9"/>
      <c r="AJ48" s="9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</row>
    <row r="49" ht="21.0" hidden="1" customHeight="1">
      <c r="A49" s="11" t="s">
        <v>18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6"/>
      <c r="P49" s="85"/>
      <c r="Q49" s="85"/>
      <c r="R49" s="85"/>
      <c r="S49" s="85"/>
      <c r="T49" s="85"/>
      <c r="U49" s="85"/>
      <c r="V49" s="85"/>
      <c r="W49" s="85"/>
      <c r="X49" s="54"/>
      <c r="Y49" s="54"/>
      <c r="Z49" s="54"/>
      <c r="AA49" s="85"/>
      <c r="AB49" s="54"/>
      <c r="AC49" s="54"/>
      <c r="AD49" s="54"/>
      <c r="AE49" s="54"/>
      <c r="AF49" s="54"/>
      <c r="AG49" s="9"/>
      <c r="AH49" s="9"/>
      <c r="AI49" s="9"/>
      <c r="AJ49" s="9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</row>
    <row r="50" ht="21.0" hidden="1" customHeight="1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9"/>
      <c r="AH50" s="9"/>
      <c r="AI50" s="9"/>
      <c r="AJ50" s="9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</row>
    <row r="51" ht="21.0" hidden="1" customHeight="1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9"/>
      <c r="AH51" s="9"/>
      <c r="AI51" s="9"/>
      <c r="AJ51" s="9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</row>
    <row r="52" ht="21.0" hidden="1" customHeight="1" collapsed="1">
      <c r="A52" s="1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2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14"/>
      <c r="AH52" s="14"/>
      <c r="AI52" s="8"/>
      <c r="AJ52" s="14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ht="21.0" hidden="1" customHeight="1" outlineLevel="1">
      <c r="A53" s="11" t="s">
        <v>19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2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14"/>
      <c r="AH53" s="14"/>
      <c r="AI53" s="8"/>
      <c r="AJ53" s="14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ht="21.0" hidden="1" customHeight="1" outlineLevel="1">
      <c r="A54" s="11" t="s">
        <v>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2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17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</row>
    <row r="55" ht="21.0" hidden="1" customHeight="1" outlineLevel="1">
      <c r="A55" s="1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2"/>
      <c r="AH55" s="22"/>
      <c r="AI55" s="22"/>
      <c r="AJ55" s="22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</row>
    <row r="56" ht="21.0" hidden="1" customHeight="1" outlineLevel="1">
      <c r="A56" s="11" t="s">
        <v>2</v>
      </c>
      <c r="B56" s="25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</row>
    <row r="57" ht="21.0" hidden="1" customHeight="1" outlineLevel="1">
      <c r="A57" s="11" t="s">
        <v>5</v>
      </c>
      <c r="B57" s="28"/>
      <c r="C57" s="28"/>
      <c r="D57" s="31"/>
      <c r="E57" s="31"/>
      <c r="F57" s="28"/>
      <c r="G57" s="28"/>
      <c r="H57" s="28"/>
      <c r="I57" s="28"/>
      <c r="J57" s="28"/>
      <c r="K57" s="28"/>
      <c r="L57" s="28"/>
      <c r="M57" s="28"/>
      <c r="N57" s="28"/>
      <c r="O57" s="29"/>
      <c r="P57" s="28"/>
      <c r="Q57" s="28"/>
      <c r="R57" s="28"/>
      <c r="S57" s="28"/>
      <c r="T57" s="28"/>
      <c r="U57" s="54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32"/>
      <c r="AH57" s="32"/>
      <c r="AI57" s="32"/>
      <c r="AJ57" s="32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</row>
    <row r="58" ht="21.0" hidden="1" customHeight="1" outlineLevel="1">
      <c r="A58" s="11" t="s">
        <v>14</v>
      </c>
      <c r="B58" s="40"/>
      <c r="C58" s="40"/>
      <c r="D58" s="64"/>
      <c r="E58" s="64"/>
      <c r="F58" s="40"/>
      <c r="G58" s="40"/>
      <c r="H58" s="40"/>
      <c r="I58" s="40"/>
      <c r="J58" s="40"/>
      <c r="K58" s="40"/>
      <c r="L58" s="40"/>
      <c r="M58" s="40"/>
      <c r="N58" s="40"/>
      <c r="O58" s="41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63"/>
      <c r="AD58" s="40"/>
      <c r="AE58" s="40"/>
      <c r="AF58" s="40"/>
      <c r="AG58" s="42"/>
      <c r="AH58" s="42"/>
      <c r="AI58" s="42"/>
      <c r="AJ58" s="42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</row>
    <row r="59" ht="21.0" hidden="1" customHeight="1" outlineLevel="1">
      <c r="A59" s="11" t="s">
        <v>20</v>
      </c>
      <c r="B59" s="28"/>
      <c r="C59" s="28"/>
      <c r="D59" s="28"/>
      <c r="E59" s="28"/>
      <c r="F59" s="87"/>
      <c r="G59" s="28"/>
      <c r="H59" s="28"/>
      <c r="I59" s="28"/>
      <c r="J59" s="28"/>
      <c r="K59" s="28"/>
      <c r="L59" s="28"/>
      <c r="M59" s="28"/>
      <c r="N59" s="28"/>
      <c r="O59" s="29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"/>
      <c r="AF59" s="54"/>
      <c r="AG59" s="65"/>
      <c r="AH59" s="65"/>
      <c r="AI59" s="65"/>
      <c r="AJ59" s="6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</row>
    <row r="60" ht="21.0" hidden="1" customHeight="1" outlineLevel="1">
      <c r="A60" s="11" t="s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1"/>
      <c r="P60" s="40"/>
      <c r="Q60" s="40"/>
      <c r="R60" s="40"/>
      <c r="S60" s="83"/>
      <c r="T60" s="83"/>
      <c r="U60" s="83"/>
      <c r="V60" s="83"/>
      <c r="W60" s="83"/>
      <c r="X60" s="83"/>
      <c r="Y60" s="83"/>
      <c r="Z60" s="28"/>
      <c r="AA60" s="28"/>
      <c r="AB60" s="28"/>
      <c r="AC60" s="28"/>
      <c r="AD60" s="28"/>
      <c r="AE60" s="28"/>
      <c r="AF60" s="83"/>
      <c r="AG60" s="88"/>
      <c r="AH60" s="88"/>
      <c r="AI60" s="88"/>
      <c r="AJ60" s="88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</row>
    <row r="61" ht="21.0" hidden="1" customHeight="1" outlineLevel="1">
      <c r="A61" s="11" t="s">
        <v>10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1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2"/>
      <c r="AH61" s="42"/>
      <c r="AI61" s="42"/>
      <c r="AJ61" s="42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</row>
    <row r="62" ht="21.0" hidden="1" customHeight="1" outlineLevel="1">
      <c r="A62" s="11" t="s">
        <v>22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9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65"/>
      <c r="AH62" s="65"/>
      <c r="AI62" s="65"/>
      <c r="AJ62" s="6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</row>
    <row r="63" ht="21.0" hidden="1" customHeight="1" outlineLevel="1">
      <c r="A63" s="11" t="s">
        <v>23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65"/>
      <c r="AH63" s="65"/>
      <c r="AI63" s="65"/>
      <c r="AJ63" s="6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</row>
    <row r="64" ht="21.0" hidden="1" customHeight="1" outlineLevel="1">
      <c r="A64" s="11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9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65"/>
      <c r="AH64" s="65"/>
      <c r="AI64" s="65"/>
      <c r="AJ64" s="6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</row>
    <row r="65" ht="21.0" hidden="1" customHeight="1" outlineLevel="1">
      <c r="A65" s="11" t="s">
        <v>8</v>
      </c>
      <c r="B65" s="28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</row>
    <row r="66" ht="21.0" hidden="1" customHeight="1" outlineLevel="1">
      <c r="A66" s="11" t="s">
        <v>9</v>
      </c>
      <c r="B66" s="28"/>
      <c r="C66" s="28"/>
      <c r="D66" s="31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9"/>
      <c r="P66" s="28"/>
      <c r="Q66" s="28"/>
      <c r="R66" s="48"/>
      <c r="S66" s="48"/>
      <c r="T66" s="48"/>
      <c r="U66" s="48"/>
      <c r="V66" s="48"/>
      <c r="W66" s="48"/>
      <c r="X66" s="28"/>
      <c r="Y66" s="28"/>
      <c r="Z66" s="48"/>
      <c r="AA66" s="48"/>
      <c r="AB66" s="28"/>
      <c r="AC66" s="46"/>
      <c r="AD66" s="46"/>
      <c r="AE66" s="46"/>
      <c r="AF66" s="46"/>
      <c r="AG66" s="32"/>
      <c r="AH66" s="32"/>
      <c r="AI66" s="32"/>
      <c r="AJ66" s="32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</row>
    <row r="67" ht="21.0" hidden="1" customHeight="1" outlineLevel="1">
      <c r="A67" s="11" t="s">
        <v>24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8"/>
      <c r="P67" s="54"/>
      <c r="Q67" s="36"/>
      <c r="R67" s="2"/>
      <c r="S67" s="54"/>
      <c r="T67" s="2"/>
      <c r="U67" s="2"/>
      <c r="V67" s="54"/>
      <c r="W67" s="54"/>
      <c r="X67" s="54"/>
      <c r="Y67" s="2"/>
      <c r="Z67" s="2"/>
      <c r="AA67" s="2"/>
      <c r="AB67" s="54"/>
      <c r="AC67" s="2"/>
      <c r="AD67" s="2"/>
      <c r="AE67" s="2"/>
      <c r="AF67" s="2"/>
      <c r="AG67" s="55"/>
      <c r="AH67" s="55"/>
      <c r="AI67" s="55"/>
      <c r="AJ67" s="55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</row>
    <row r="68" ht="21.0" hidden="1" customHeight="1" outlineLevel="1">
      <c r="A68" s="11" t="s">
        <v>6</v>
      </c>
      <c r="B68" s="28"/>
      <c r="C68" s="28"/>
      <c r="D68" s="28"/>
      <c r="E68" s="28"/>
      <c r="F68" s="28"/>
      <c r="G68" s="31"/>
      <c r="H68" s="28"/>
      <c r="I68" s="28"/>
      <c r="J68" s="28"/>
      <c r="K68" s="28"/>
      <c r="L68" s="28"/>
      <c r="M68" s="28"/>
      <c r="N68" s="28"/>
      <c r="O68" s="29"/>
      <c r="P68" s="28"/>
      <c r="Q68" s="28"/>
      <c r="R68" s="28"/>
      <c r="S68" s="28"/>
      <c r="T68" s="28"/>
      <c r="U68" s="28"/>
      <c r="V68" s="28"/>
      <c r="W68" s="28"/>
      <c r="X68" s="31"/>
      <c r="Y68" s="28"/>
      <c r="Z68" s="28"/>
      <c r="AA68" s="28"/>
      <c r="AB68" s="28"/>
      <c r="AC68" s="28"/>
      <c r="AD68" s="28"/>
      <c r="AE68" s="28"/>
      <c r="AF68" s="28"/>
      <c r="AG68" s="32"/>
      <c r="AH68" s="32"/>
      <c r="AI68" s="32"/>
      <c r="AJ68" s="32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</row>
    <row r="69" ht="21.0" hidden="1" customHeight="1" outlineLevel="1">
      <c r="A69" s="11" t="s">
        <v>5</v>
      </c>
      <c r="B69" s="28"/>
      <c r="C69" s="28"/>
      <c r="D69" s="28"/>
      <c r="E69" s="28"/>
      <c r="F69" s="28"/>
      <c r="G69" s="28"/>
      <c r="H69" s="28"/>
      <c r="I69" s="28"/>
      <c r="J69" s="28"/>
      <c r="K69" s="75"/>
      <c r="L69" s="28"/>
      <c r="M69" s="28"/>
      <c r="N69" s="28"/>
      <c r="O69" s="29"/>
      <c r="P69" s="28"/>
      <c r="Q69" s="28"/>
      <c r="R69" s="48"/>
      <c r="S69" s="48"/>
      <c r="T69" s="48"/>
      <c r="U69" s="48"/>
      <c r="V69" s="48"/>
      <c r="W69" s="48"/>
      <c r="X69" s="28"/>
      <c r="Y69" s="28"/>
      <c r="Z69" s="48"/>
      <c r="AA69" s="48"/>
      <c r="AB69" s="28"/>
      <c r="AC69" s="46"/>
      <c r="AD69" s="46"/>
      <c r="AE69" s="46"/>
      <c r="AF69" s="46"/>
      <c r="AG69" s="32"/>
      <c r="AH69" s="32"/>
      <c r="AI69" s="32"/>
      <c r="AJ69" s="32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</row>
    <row r="70" ht="21.0" hidden="1" customHeight="1" outlineLevel="1">
      <c r="A70" s="11" t="s">
        <v>17</v>
      </c>
      <c r="B70" s="54"/>
      <c r="C70" s="54"/>
      <c r="D70" s="54"/>
      <c r="E70" s="54"/>
      <c r="F70" s="2"/>
      <c r="G70" s="54"/>
      <c r="H70" s="54"/>
      <c r="I70" s="54"/>
      <c r="J70" s="2"/>
      <c r="K70" s="54"/>
      <c r="L70" s="54"/>
      <c r="M70" s="54"/>
      <c r="N70" s="54"/>
      <c r="O70" s="68"/>
      <c r="P70" s="2"/>
      <c r="Q70" s="90"/>
      <c r="R70" s="54"/>
      <c r="S70" s="2"/>
      <c r="T70" s="2"/>
      <c r="U70" s="2"/>
      <c r="V70" s="54"/>
      <c r="W70" s="54"/>
      <c r="X70" s="54"/>
      <c r="Y70" s="54"/>
      <c r="Z70" s="2"/>
      <c r="AA70" s="54"/>
      <c r="AB70" s="54"/>
      <c r="AC70" s="2"/>
      <c r="AD70" s="54"/>
      <c r="AE70" s="2"/>
      <c r="AF70" s="2"/>
      <c r="AG70" s="55"/>
      <c r="AH70" s="55"/>
      <c r="AI70" s="55"/>
      <c r="AJ70" s="55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</row>
    <row r="71" ht="21.0" hidden="1" customHeight="1" outlineLevel="1">
      <c r="A71" s="11" t="s">
        <v>21</v>
      </c>
      <c r="B71" s="54"/>
      <c r="C71" s="54"/>
      <c r="D71" s="54"/>
      <c r="E71" s="54"/>
      <c r="F71" s="2"/>
      <c r="G71" s="54"/>
      <c r="H71" s="54"/>
      <c r="I71" s="54"/>
      <c r="J71" s="2"/>
      <c r="K71" s="54"/>
      <c r="L71" s="54"/>
      <c r="M71" s="54"/>
      <c r="N71" s="54"/>
      <c r="O71" s="68"/>
      <c r="P71" s="54"/>
      <c r="Q71" s="2"/>
      <c r="R71" s="2"/>
      <c r="S71" s="2"/>
      <c r="T71" s="54"/>
      <c r="U71" s="2"/>
      <c r="V71" s="54"/>
      <c r="W71" s="54"/>
      <c r="X71" s="54"/>
      <c r="Y71" s="54"/>
      <c r="Z71" s="2"/>
      <c r="AA71" s="54"/>
      <c r="AB71" s="54"/>
      <c r="AC71" s="54"/>
      <c r="AD71" s="2"/>
      <c r="AE71" s="54"/>
      <c r="AF71" s="54"/>
      <c r="AG71" s="55"/>
      <c r="AH71" s="55"/>
      <c r="AI71" s="55"/>
      <c r="AJ71" s="55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</row>
    <row r="72" ht="21.0" hidden="1" customHeight="1" outlineLevel="1">
      <c r="A72" s="11" t="s">
        <v>22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5"/>
      <c r="AF72" s="91"/>
      <c r="AG72" s="92"/>
      <c r="AH72" s="92"/>
      <c r="AI72" s="92"/>
      <c r="AJ72" s="80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</row>
    <row r="73" ht="21.0" hidden="1" customHeight="1" outlineLevel="1">
      <c r="A73" s="11" t="s">
        <v>23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5"/>
      <c r="AF73" s="91"/>
      <c r="AG73" s="92"/>
      <c r="AH73" s="92"/>
      <c r="AI73" s="92"/>
      <c r="AJ73" s="80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</row>
    <row r="74" ht="21.0" hidden="1" customHeight="1" outlineLevel="1">
      <c r="A74" s="1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91"/>
      <c r="AG74" s="92"/>
      <c r="AH74" s="92"/>
      <c r="AI74" s="92"/>
      <c r="AJ74" s="80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</row>
    <row r="75" ht="21.0" hidden="1" customHeight="1" outlineLevel="1">
      <c r="A75" s="1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91"/>
      <c r="AG75" s="92"/>
      <c r="AH75" s="92"/>
      <c r="AI75" s="92"/>
      <c r="AJ75" s="80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</row>
    <row r="76" ht="21.0" hidden="1" customHeight="1" outlineLevel="1">
      <c r="A76" s="11" t="s">
        <v>12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91"/>
      <c r="AG76" s="17"/>
      <c r="AH76" s="93"/>
      <c r="AI76" s="93"/>
      <c r="AJ76" s="9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</row>
    <row r="77" ht="21.0" hidden="1" customHeight="1" outlineLevel="1">
      <c r="A77" s="11" t="s">
        <v>10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68"/>
      <c r="P77" s="54"/>
      <c r="Q77" s="54"/>
      <c r="R77" s="54"/>
      <c r="S77" s="54"/>
      <c r="T77" s="36"/>
      <c r="U77" s="54"/>
      <c r="V77" s="54"/>
      <c r="W77" s="54"/>
      <c r="X77" s="54"/>
      <c r="Y77" s="63"/>
      <c r="Z77" s="54"/>
      <c r="AA77" s="54"/>
      <c r="AB77" s="54"/>
      <c r="AC77" s="76"/>
      <c r="AD77" s="54"/>
      <c r="AE77" s="54"/>
      <c r="AF77" s="54"/>
      <c r="AG77" s="55"/>
      <c r="AH77" s="55"/>
      <c r="AI77" s="55"/>
      <c r="AJ77" s="55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</row>
    <row r="78" ht="21.0" hidden="1" customHeight="1" outlineLevel="1">
      <c r="A78" s="11" t="s">
        <v>18</v>
      </c>
      <c r="B78" s="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68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94"/>
      <c r="AH78" s="94"/>
      <c r="AI78" s="94"/>
      <c r="AJ78" s="94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</row>
    <row r="79" ht="21.0" hidden="1" customHeight="1" outlineLevel="1">
      <c r="A79" s="11" t="s">
        <v>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96"/>
      <c r="M79" s="4"/>
      <c r="N79" s="4"/>
      <c r="O79" s="97"/>
      <c r="P79" s="4"/>
      <c r="Q79" s="4"/>
      <c r="R79" s="4"/>
      <c r="S79" s="4"/>
      <c r="T79" s="54"/>
      <c r="U79" s="4"/>
      <c r="V79" s="98"/>
      <c r="W79" s="98"/>
      <c r="X79" s="4"/>
      <c r="Y79" s="96"/>
      <c r="Z79" s="4"/>
      <c r="AA79" s="4"/>
      <c r="AB79" s="4"/>
      <c r="AC79" s="2"/>
      <c r="AD79" s="2"/>
      <c r="AE79" s="2"/>
      <c r="AF79" s="2"/>
      <c r="AG79" s="55"/>
      <c r="AH79" s="55"/>
      <c r="AI79" s="55"/>
      <c r="AJ79" s="55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</row>
    <row r="80" ht="21.0" hidden="1" customHeight="1" outlineLevel="1">
      <c r="A80" s="11" t="s">
        <v>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54"/>
      <c r="Q80" s="2"/>
      <c r="R80" s="2"/>
      <c r="S80" s="2"/>
      <c r="T80" s="36"/>
      <c r="U80" s="2"/>
      <c r="V80" s="2"/>
      <c r="W80" s="2"/>
      <c r="X80" s="2"/>
      <c r="Y80" s="2"/>
      <c r="Z80" s="2"/>
      <c r="AA80" s="2"/>
      <c r="AB80" s="2"/>
      <c r="AC80" s="4"/>
      <c r="AD80" s="4"/>
      <c r="AE80" s="4"/>
      <c r="AF80" s="4"/>
      <c r="AG80" s="9"/>
      <c r="AH80" s="9"/>
      <c r="AI80" s="9"/>
      <c r="AJ80" s="9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</row>
    <row r="81" ht="21.0" hidden="1" customHeight="1" outlineLevel="1">
      <c r="A81" s="11" t="s">
        <v>17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2"/>
      <c r="S81" s="2"/>
      <c r="T81" s="54"/>
      <c r="U81" s="2"/>
      <c r="V81" s="54"/>
      <c r="W81" s="54"/>
      <c r="X81" s="54"/>
      <c r="Y81" s="54"/>
      <c r="Z81" s="2"/>
      <c r="AA81" s="54"/>
      <c r="AB81" s="54"/>
      <c r="AC81" s="2"/>
      <c r="AD81" s="2"/>
      <c r="AE81" s="54"/>
      <c r="AF81" s="54"/>
      <c r="AG81" s="9"/>
      <c r="AH81" s="9"/>
      <c r="AI81" s="9"/>
      <c r="AJ81" s="9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ht="21.0" hidden="1" customHeight="1" outlineLevel="1">
      <c r="A82" s="11" t="s">
        <v>21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54"/>
      <c r="AB82" s="2"/>
      <c r="AC82" s="54"/>
      <c r="AD82" s="2"/>
      <c r="AE82" s="2"/>
      <c r="AF82" s="2"/>
      <c r="AG82" s="9"/>
      <c r="AH82" s="9"/>
      <c r="AI82" s="9"/>
      <c r="AJ82" s="9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</row>
    <row r="83" ht="21.0" hidden="1" customHeight="1" outlineLevel="1">
      <c r="A83" s="11" t="s">
        <v>22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68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9"/>
      <c r="AH83" s="9"/>
      <c r="AI83" s="9"/>
      <c r="AJ83" s="9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</row>
    <row r="84" ht="21.0" hidden="1" customHeight="1" outlineLevel="1">
      <c r="A84" s="11" t="s">
        <v>23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68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9"/>
      <c r="AH84" s="9"/>
      <c r="AI84" s="9"/>
      <c r="AJ84" s="9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ht="21.0" hidden="1" customHeight="1" outlineLevel="1">
      <c r="A85" s="11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68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9"/>
      <c r="AH85" s="9"/>
      <c r="AI85" s="9"/>
      <c r="AJ85" s="9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</row>
    <row r="86" ht="21.0" hidden="1" customHeight="1" outlineLevel="1">
      <c r="A86" s="11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68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9"/>
      <c r="AH86" s="9"/>
      <c r="AI86" s="9"/>
      <c r="AJ86" s="9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</row>
    <row r="87" ht="21.0" hidden="1" customHeight="1" outlineLevel="1">
      <c r="A87" s="11" t="s">
        <v>25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68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9"/>
      <c r="AH87" s="9"/>
      <c r="AI87" s="9"/>
      <c r="AJ87" s="9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ht="21.0" hidden="1" customHeight="1" outlineLevel="1">
      <c r="A88" s="11" t="s">
        <v>21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4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28"/>
      <c r="AD88" s="28"/>
      <c r="AE88" s="83"/>
      <c r="AF88" s="2"/>
      <c r="AG88" s="9"/>
      <c r="AH88" s="9"/>
      <c r="AI88" s="9"/>
      <c r="AJ88" s="9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</row>
    <row r="89" ht="21.0" hidden="1" customHeight="1" outlineLevel="1">
      <c r="A89" s="11" t="s">
        <v>10</v>
      </c>
      <c r="B89" s="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68"/>
      <c r="P89" s="54"/>
      <c r="Q89" s="54"/>
      <c r="R89" s="54"/>
      <c r="S89" s="54"/>
      <c r="T89" s="54"/>
      <c r="U89" s="54"/>
      <c r="V89" s="54"/>
      <c r="W89" s="54"/>
      <c r="X89" s="54"/>
      <c r="Y89" s="96"/>
      <c r="Z89" s="54"/>
      <c r="AA89" s="54"/>
      <c r="AB89" s="54"/>
      <c r="AC89" s="54"/>
      <c r="AD89" s="54"/>
      <c r="AE89" s="54"/>
      <c r="AF89" s="54"/>
      <c r="AG89" s="9"/>
      <c r="AH89" s="9"/>
      <c r="AI89" s="9"/>
      <c r="AJ89" s="9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</row>
    <row r="90" ht="21.0" hidden="1" customHeight="1" outlineLevel="1">
      <c r="A90" s="11" t="s">
        <v>22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54"/>
      <c r="Q90" s="2"/>
      <c r="R90" s="2"/>
      <c r="S90" s="2"/>
      <c r="T90" s="36"/>
      <c r="U90" s="2"/>
      <c r="V90" s="2"/>
      <c r="W90" s="2"/>
      <c r="X90" s="2"/>
      <c r="Y90" s="2"/>
      <c r="Z90" s="2"/>
      <c r="AA90" s="2"/>
      <c r="AB90" s="2"/>
      <c r="AC90" s="4"/>
      <c r="AD90" s="4"/>
      <c r="AE90" s="4"/>
      <c r="AF90" s="2"/>
      <c r="AG90" s="9"/>
      <c r="AH90" s="9"/>
      <c r="AI90" s="9"/>
      <c r="AJ90" s="9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ht="21.0" hidden="1" customHeight="1" outlineLevel="1">
      <c r="A91" s="11" t="s">
        <v>23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2"/>
      <c r="S91" s="2"/>
      <c r="T91" s="36"/>
      <c r="U91" s="2"/>
      <c r="V91" s="36"/>
      <c r="W91" s="36"/>
      <c r="X91" s="36"/>
      <c r="Y91" s="36"/>
      <c r="Z91" s="2"/>
      <c r="AA91" s="2"/>
      <c r="AB91" s="2"/>
      <c r="AC91" s="2"/>
      <c r="AD91" s="2"/>
      <c r="AE91" s="2"/>
      <c r="AF91" s="2"/>
      <c r="AG91" s="9"/>
      <c r="AH91" s="9"/>
      <c r="AI91" s="9"/>
      <c r="AJ91" s="9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</row>
    <row r="92" ht="21.0" hidden="1" customHeight="1" outlineLevel="1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9"/>
      <c r="AH92" s="9"/>
      <c r="AI92" s="9"/>
      <c r="AJ92" s="9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</row>
    <row r="93" ht="21.0" hidden="1" customHeight="1" outlineLevel="1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9"/>
      <c r="AH93" s="9"/>
      <c r="AI93" s="9"/>
      <c r="AJ93" s="9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ht="21.0" hidden="1" customHeight="1" outlineLevel="1">
      <c r="A94" s="11" t="s">
        <v>26</v>
      </c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9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2"/>
      <c r="AG94" s="9"/>
      <c r="AH94" s="9"/>
      <c r="AI94" s="9"/>
      <c r="AJ94" s="9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</row>
    <row r="95" ht="21.0" hidden="1" customHeight="1" outlineLevel="1">
      <c r="A95" s="11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9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100"/>
      <c r="AH95" s="100"/>
      <c r="AI95" s="101"/>
      <c r="AJ95" s="100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</row>
    <row r="96" ht="21.0" hidden="1" customHeight="1" outlineLevel="1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9"/>
      <c r="AH96" s="9"/>
      <c r="AI96" s="9"/>
      <c r="AJ96" s="9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ht="21.0" hidden="1" customHeight="1" outlineLevel="1">
      <c r="A97" s="11" t="s">
        <v>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9"/>
      <c r="AH97" s="9"/>
      <c r="AI97" s="9"/>
      <c r="AJ97" s="9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</row>
    <row r="98" ht="21.0" hidden="1" customHeight="1" outlineLevel="1">
      <c r="A98" s="11" t="s">
        <v>5</v>
      </c>
      <c r="B98" s="2"/>
      <c r="C98" s="2"/>
      <c r="D98" s="54"/>
      <c r="E98" s="2"/>
      <c r="F98" s="2"/>
      <c r="G98" s="2"/>
      <c r="H98" s="2"/>
      <c r="I98" s="2"/>
      <c r="J98" s="54"/>
      <c r="K98" s="2"/>
      <c r="L98" s="2"/>
      <c r="M98" s="2"/>
      <c r="N98" s="2"/>
      <c r="O98" s="3"/>
      <c r="P98" s="54"/>
      <c r="Q98" s="54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9"/>
      <c r="AH98" s="9"/>
      <c r="AI98" s="9"/>
      <c r="AJ98" s="9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</row>
    <row r="99" ht="21.0" hidden="1" customHeight="1" outlineLevel="1">
      <c r="A99" s="11" t="s">
        <v>27</v>
      </c>
      <c r="B99" s="2"/>
      <c r="C99" s="2"/>
      <c r="D99" s="2"/>
      <c r="E99" s="54"/>
      <c r="F99" s="54"/>
      <c r="G99" s="2"/>
      <c r="H99" s="2"/>
      <c r="I99" s="2"/>
      <c r="J99" s="54"/>
      <c r="K99" s="54"/>
      <c r="L99" s="2"/>
      <c r="M99" s="54"/>
      <c r="N99" s="54"/>
      <c r="O99" s="68"/>
      <c r="P99" s="2"/>
      <c r="Q99" s="2"/>
      <c r="R99" s="54"/>
      <c r="S99" s="54"/>
      <c r="T99" s="2"/>
      <c r="U99" s="2"/>
      <c r="V99" s="54"/>
      <c r="W99" s="54"/>
      <c r="X99" s="54"/>
      <c r="Y99" s="54"/>
      <c r="Z99" s="54"/>
      <c r="AA99" s="54"/>
      <c r="AB99" s="54"/>
      <c r="AC99" s="2"/>
      <c r="AD99" s="2"/>
      <c r="AE99" s="2"/>
      <c r="AF99" s="2"/>
      <c r="AG99" s="9"/>
      <c r="AH99" s="9"/>
      <c r="AI99" s="9"/>
      <c r="AJ99" s="9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ht="21.0" hidden="1" customHeight="1" outlineLevel="1">
      <c r="A100" s="11" t="s">
        <v>28</v>
      </c>
      <c r="B100" s="54"/>
      <c r="C100" s="2"/>
      <c r="D100" s="54"/>
      <c r="E100" s="54"/>
      <c r="F100" s="2"/>
      <c r="G100" s="54"/>
      <c r="H100" s="54"/>
      <c r="I100" s="54"/>
      <c r="J100" s="2"/>
      <c r="K100" s="2"/>
      <c r="L100" s="54"/>
      <c r="M100" s="54"/>
      <c r="N100" s="2"/>
      <c r="O100" s="3"/>
      <c r="P100" s="54"/>
      <c r="Q100" s="54"/>
      <c r="R100" s="2"/>
      <c r="S100" s="2"/>
      <c r="T100" s="54"/>
      <c r="U100" s="79"/>
      <c r="V100" s="2"/>
      <c r="W100" s="2"/>
      <c r="X100" s="54"/>
      <c r="Y100" s="54"/>
      <c r="Z100" s="2"/>
      <c r="AA100" s="79"/>
      <c r="AB100" s="79"/>
      <c r="AC100" s="2"/>
      <c r="AD100" s="2"/>
      <c r="AE100" s="2"/>
      <c r="AF100" s="2"/>
      <c r="AG100" s="9"/>
      <c r="AH100" s="9"/>
      <c r="AI100" s="9"/>
      <c r="AJ100" s="9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</row>
    <row r="101" ht="21.0" hidden="1" customHeight="1" outlineLevel="1">
      <c r="A101" s="11" t="s">
        <v>29</v>
      </c>
      <c r="B101" s="2"/>
      <c r="C101" s="54"/>
      <c r="D101" s="2"/>
      <c r="E101" s="2"/>
      <c r="F101" s="2"/>
      <c r="G101" s="2"/>
      <c r="H101" s="2"/>
      <c r="I101" s="2"/>
      <c r="J101" s="2"/>
      <c r="K101" s="2"/>
      <c r="L101" s="54"/>
      <c r="M101" s="2"/>
      <c r="N101" s="2"/>
      <c r="O101" s="3"/>
      <c r="P101" s="54"/>
      <c r="Q101" s="54"/>
      <c r="R101" s="2"/>
      <c r="S101" s="2"/>
      <c r="T101" s="54"/>
      <c r="U101" s="2"/>
      <c r="V101" s="2"/>
      <c r="W101" s="2"/>
      <c r="X101" s="2"/>
      <c r="Y101" s="2"/>
      <c r="Z101" s="2"/>
      <c r="AA101" s="2"/>
      <c r="AB101" s="2"/>
      <c r="AC101" s="4"/>
      <c r="AD101" s="4"/>
      <c r="AE101" s="4"/>
      <c r="AF101" s="2"/>
      <c r="AG101" s="9"/>
      <c r="AH101" s="9"/>
      <c r="AI101" s="9"/>
      <c r="AJ101" s="9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</row>
    <row r="102" ht="21.0" hidden="1" customHeight="1" outlineLevel="1">
      <c r="A102" s="11" t="s">
        <v>22</v>
      </c>
      <c r="B102" s="2"/>
      <c r="C102" s="5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54"/>
      <c r="Q102" s="2"/>
      <c r="R102" s="2"/>
      <c r="S102" s="2"/>
      <c r="T102" s="36"/>
      <c r="U102" s="2"/>
      <c r="V102" s="2"/>
      <c r="W102" s="2"/>
      <c r="X102" s="2"/>
      <c r="Y102" s="2"/>
      <c r="Z102" s="2"/>
      <c r="AA102" s="2"/>
      <c r="AB102" s="2"/>
      <c r="AC102" s="4"/>
      <c r="AD102" s="4"/>
      <c r="AE102" s="4"/>
      <c r="AF102" s="2"/>
      <c r="AG102" s="9"/>
      <c r="AH102" s="9"/>
      <c r="AI102" s="9"/>
      <c r="AJ102" s="9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ht="21.0" hidden="1" customHeight="1" outlineLevel="1">
      <c r="A103" s="11" t="s">
        <v>17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54"/>
      <c r="Q103" s="2"/>
      <c r="R103" s="2"/>
      <c r="S103" s="2"/>
      <c r="T103" s="36"/>
      <c r="U103" s="2"/>
      <c r="V103" s="36"/>
      <c r="W103" s="36"/>
      <c r="X103" s="54"/>
      <c r="Y103" s="36"/>
      <c r="Z103" s="2"/>
      <c r="AA103" s="2"/>
      <c r="AB103" s="2"/>
      <c r="AC103" s="2"/>
      <c r="AD103" s="2"/>
      <c r="AE103" s="2"/>
      <c r="AF103" s="2"/>
      <c r="AG103" s="9"/>
      <c r="AH103" s="9"/>
      <c r="AI103" s="9"/>
      <c r="AJ103" s="9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</row>
    <row r="104" ht="21.0" hidden="1" customHeight="1" outlineLevel="1">
      <c r="A104" s="11" t="s">
        <v>6</v>
      </c>
      <c r="B104" s="2"/>
      <c r="C104" s="2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/>
      <c r="R104" s="2"/>
      <c r="S104" s="2"/>
      <c r="T104" s="2"/>
      <c r="U104" s="2"/>
      <c r="V104" s="2"/>
      <c r="W104" s="54"/>
      <c r="X104" s="54"/>
      <c r="Y104" s="2"/>
      <c r="Z104" s="2"/>
      <c r="AA104" s="2"/>
      <c r="AB104" s="2"/>
      <c r="AC104" s="2"/>
      <c r="AD104" s="2"/>
      <c r="AE104" s="2"/>
      <c r="AF104" s="2"/>
      <c r="AG104" s="9"/>
      <c r="AH104" s="9"/>
      <c r="AI104" s="9"/>
      <c r="AJ104" s="9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</row>
    <row r="105" ht="21.0" hidden="1" customHeight="1" outlineLevel="1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9"/>
      <c r="AH105" s="9"/>
      <c r="AI105" s="9"/>
      <c r="AJ105" s="9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ht="21.0" hidden="1" customHeight="1" outlineLevel="1">
      <c r="A106" s="11" t="s">
        <v>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9"/>
      <c r="AH106" s="9"/>
      <c r="AI106" s="9"/>
      <c r="AJ106" s="9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</row>
    <row r="107" ht="21.0" hidden="1" customHeight="1" outlineLevel="1">
      <c r="A107" s="11" t="s">
        <v>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9"/>
      <c r="AH107" s="9"/>
      <c r="AI107" s="9"/>
      <c r="AJ107" s="9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</row>
    <row r="108" ht="21.0" hidden="1" customHeight="1" outlineLevel="1">
      <c r="A108" s="11" t="s">
        <v>5</v>
      </c>
      <c r="B108" s="54"/>
      <c r="C108" s="54"/>
      <c r="D108" s="46"/>
      <c r="E108" s="2"/>
      <c r="F108" s="54"/>
      <c r="G108" s="54"/>
      <c r="H108" s="54"/>
      <c r="I108" s="54"/>
      <c r="J108" s="2"/>
      <c r="K108" s="54"/>
      <c r="L108" s="54"/>
      <c r="M108" s="54"/>
      <c r="N108" s="2"/>
      <c r="O108" s="68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2"/>
      <c r="AA108" s="54"/>
      <c r="AB108" s="54"/>
      <c r="AC108" s="2"/>
      <c r="AD108" s="2"/>
      <c r="AE108" s="2"/>
      <c r="AF108" s="2"/>
      <c r="AG108" s="9"/>
      <c r="AH108" s="9"/>
      <c r="AI108" s="9"/>
      <c r="AJ108" s="9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ht="21.0" hidden="1" customHeight="1" outlineLevel="1">
      <c r="A109" s="11" t="s">
        <v>17</v>
      </c>
      <c r="B109" s="2"/>
      <c r="C109" s="2"/>
      <c r="D109" s="54"/>
      <c r="E109" s="2"/>
      <c r="F109" s="2"/>
      <c r="G109" s="2"/>
      <c r="H109" s="2"/>
      <c r="I109" s="103"/>
      <c r="J109" s="54"/>
      <c r="K109" s="2"/>
      <c r="L109" s="2"/>
      <c r="M109" s="2"/>
      <c r="N109" s="2"/>
      <c r="O109" s="6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9"/>
      <c r="AH109" s="9"/>
      <c r="AI109" s="9"/>
      <c r="AJ109" s="9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</row>
    <row r="110" ht="21.0" hidden="1" customHeight="1" outlineLevel="1">
      <c r="A110" s="11" t="s">
        <v>30</v>
      </c>
      <c r="B110" s="2"/>
      <c r="C110" s="2"/>
      <c r="D110" s="54"/>
      <c r="E110" s="54"/>
      <c r="F110" s="2"/>
      <c r="G110" s="2"/>
      <c r="H110" s="2"/>
      <c r="I110" s="2"/>
      <c r="J110" s="2"/>
      <c r="K110" s="2"/>
      <c r="L110" s="2"/>
      <c r="M110" s="2"/>
      <c r="N110" s="54"/>
      <c r="O110" s="3"/>
      <c r="P110" s="2"/>
      <c r="Q110" s="2"/>
      <c r="R110" s="54"/>
      <c r="S110" s="54"/>
      <c r="T110" s="2"/>
      <c r="U110" s="2"/>
      <c r="V110" s="54"/>
      <c r="W110" s="54"/>
      <c r="X110" s="2"/>
      <c r="Y110" s="2"/>
      <c r="Z110" s="54"/>
      <c r="AA110" s="54"/>
      <c r="AB110" s="2"/>
      <c r="AC110" s="2"/>
      <c r="AD110" s="2"/>
      <c r="AE110" s="2"/>
      <c r="AF110" s="2"/>
      <c r="AG110" s="9"/>
      <c r="AH110" s="9"/>
      <c r="AI110" s="9"/>
      <c r="AJ110" s="9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</row>
    <row r="111" ht="21.0" hidden="1" customHeight="1" outlineLevel="1">
      <c r="A111" s="11" t="s">
        <v>29</v>
      </c>
      <c r="B111" s="2"/>
      <c r="C111" s="2"/>
      <c r="D111" s="2"/>
      <c r="E111" s="2"/>
      <c r="F111" s="2"/>
      <c r="G111" s="2"/>
      <c r="H111" s="2"/>
      <c r="I111" s="2"/>
      <c r="J111" s="54"/>
      <c r="K111" s="54"/>
      <c r="L111" s="2"/>
      <c r="M111" s="2"/>
      <c r="N111" s="54"/>
      <c r="O111" s="68"/>
      <c r="P111" s="54"/>
      <c r="Q111" s="2"/>
      <c r="R111" s="54"/>
      <c r="S111" s="54"/>
      <c r="T111" s="36"/>
      <c r="U111" s="2"/>
      <c r="V111" s="54"/>
      <c r="W111" s="54"/>
      <c r="X111" s="2"/>
      <c r="Y111" s="2"/>
      <c r="Z111" s="54"/>
      <c r="AA111" s="54"/>
      <c r="AB111" s="2"/>
      <c r="AC111" s="4"/>
      <c r="AD111" s="4"/>
      <c r="AE111" s="4"/>
      <c r="AF111" s="2"/>
      <c r="AG111" s="9"/>
      <c r="AH111" s="9"/>
      <c r="AI111" s="9"/>
      <c r="AJ111" s="9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ht="21.0" hidden="1" customHeight="1" outlineLevel="1">
      <c r="A112" s="11" t="s">
        <v>22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54"/>
      <c r="Q112" s="2"/>
      <c r="R112" s="2"/>
      <c r="S112" s="2"/>
      <c r="T112" s="36"/>
      <c r="U112" s="2"/>
      <c r="V112" s="2"/>
      <c r="W112" s="2"/>
      <c r="X112" s="2"/>
      <c r="Y112" s="2"/>
      <c r="Z112" s="2"/>
      <c r="AA112" s="2"/>
      <c r="AB112" s="54"/>
      <c r="AC112" s="4"/>
      <c r="AD112" s="4"/>
      <c r="AE112" s="4"/>
      <c r="AF112" s="2"/>
      <c r="AG112" s="9"/>
      <c r="AH112" s="9"/>
      <c r="AI112" s="9"/>
      <c r="AJ112" s="9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</row>
    <row r="113" ht="21.0" hidden="1" customHeight="1" outlineLevel="1">
      <c r="A113" s="11" t="s">
        <v>23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/>
      <c r="R113" s="2"/>
      <c r="S113" s="2"/>
      <c r="T113" s="36"/>
      <c r="U113" s="2"/>
      <c r="V113" s="36"/>
      <c r="W113" s="36"/>
      <c r="X113" s="36"/>
      <c r="Y113" s="36"/>
      <c r="Z113" s="2"/>
      <c r="AA113" s="2"/>
      <c r="AB113" s="2"/>
      <c r="AC113" s="2"/>
      <c r="AD113" s="2"/>
      <c r="AE113" s="2"/>
      <c r="AF113" s="2"/>
      <c r="AG113" s="9"/>
      <c r="AH113" s="9"/>
      <c r="AI113" s="9"/>
      <c r="AJ113" s="9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</row>
    <row r="114" ht="21.0" hidden="1" customHeight="1" outlineLevel="1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9"/>
      <c r="AH114" s="9"/>
      <c r="AI114" s="9"/>
      <c r="AJ114" s="9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ht="21.0" hidden="1" customHeight="1" outlineLevel="1">
      <c r="A115" s="11" t="s">
        <v>12</v>
      </c>
      <c r="B115" s="2"/>
      <c r="AF115" s="2"/>
      <c r="AG115" s="9"/>
      <c r="AH115" s="9"/>
      <c r="AI115" s="9"/>
      <c r="AJ115" s="9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ht="21.0" hidden="1" customHeight="1" outlineLevel="1">
      <c r="A116" s="11" t="s">
        <v>18</v>
      </c>
      <c r="B116" s="54"/>
      <c r="C116" s="54"/>
      <c r="D116" s="54"/>
      <c r="E116" s="54"/>
      <c r="F116" s="2"/>
      <c r="G116" s="54"/>
      <c r="H116" s="54"/>
      <c r="I116" s="54"/>
      <c r="J116" s="54"/>
      <c r="K116" s="2"/>
      <c r="L116" s="54"/>
      <c r="M116" s="54"/>
      <c r="N116" s="54"/>
      <c r="O116" s="3"/>
      <c r="P116" s="2"/>
      <c r="Q116" s="54"/>
      <c r="R116" s="54"/>
      <c r="S116" s="54"/>
      <c r="T116" s="2"/>
      <c r="U116" s="2"/>
      <c r="V116" s="54"/>
      <c r="W116" s="54"/>
      <c r="X116" s="2"/>
      <c r="Y116" s="2"/>
      <c r="Z116" s="2"/>
      <c r="AA116" s="54"/>
      <c r="AB116" s="54"/>
      <c r="AC116" s="2"/>
      <c r="AD116" s="2"/>
      <c r="AE116" s="2"/>
      <c r="AF116" s="2"/>
      <c r="AG116" s="9"/>
      <c r="AH116" s="9"/>
      <c r="AI116" s="9"/>
      <c r="AJ116" s="9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</row>
    <row r="117" ht="21.0" hidden="1" customHeight="1" outlineLevel="1">
      <c r="A117" s="11" t="s">
        <v>31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54"/>
      <c r="Q117" s="54"/>
      <c r="R117" s="2"/>
      <c r="S117" s="2"/>
      <c r="T117" s="54"/>
      <c r="U117" s="54"/>
      <c r="V117" s="2"/>
      <c r="W117" s="2"/>
      <c r="X117" s="54"/>
      <c r="Y117" s="54"/>
      <c r="Z117" s="54"/>
      <c r="AA117" s="2"/>
      <c r="AB117" s="2"/>
      <c r="AC117" s="2"/>
      <c r="AD117" s="2"/>
      <c r="AE117" s="2"/>
      <c r="AF117" s="2"/>
      <c r="AG117" s="9"/>
      <c r="AH117" s="9"/>
      <c r="AI117" s="9"/>
      <c r="AJ117" s="9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</row>
    <row r="118" ht="21.0" hidden="1" customHeight="1" outlineLevel="1">
      <c r="A118" s="11" t="s">
        <v>32</v>
      </c>
      <c r="B118" s="2"/>
      <c r="C118" s="54"/>
      <c r="D118" s="54"/>
      <c r="E118" s="2"/>
      <c r="F118" s="54"/>
      <c r="G118" s="2"/>
      <c r="H118" s="2"/>
      <c r="I118" s="2"/>
      <c r="J118" s="54"/>
      <c r="K118" s="54"/>
      <c r="L118" s="54"/>
      <c r="M118" s="2"/>
      <c r="N118" s="2"/>
      <c r="O118" s="68"/>
      <c r="P118" s="54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9"/>
      <c r="AH118" s="9"/>
      <c r="AI118" s="9"/>
      <c r="AJ118" s="9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</row>
    <row r="119" ht="21.0" hidden="1" customHeight="1" outlineLevel="1">
      <c r="A119" s="11" t="s">
        <v>17</v>
      </c>
      <c r="B119" s="2"/>
      <c r="C119" s="54"/>
      <c r="D119" s="2"/>
      <c r="E119" s="54"/>
      <c r="F119" s="2"/>
      <c r="G119" s="54"/>
      <c r="H119" s="54"/>
      <c r="I119" s="2"/>
      <c r="J119" s="54"/>
      <c r="K119" s="2"/>
      <c r="L119" s="54"/>
      <c r="M119" s="54"/>
      <c r="N119" s="2"/>
      <c r="O119" s="68"/>
      <c r="P119" s="54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9"/>
      <c r="AH119" s="9"/>
      <c r="AI119" s="9"/>
      <c r="AJ119" s="9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</row>
    <row r="120" ht="21.0" hidden="1" customHeight="1" outlineLevel="1">
      <c r="A120" s="11" t="s">
        <v>10</v>
      </c>
      <c r="B120" s="2"/>
      <c r="C120" s="2"/>
      <c r="D120" s="2"/>
      <c r="E120" s="2"/>
      <c r="F120" s="2"/>
      <c r="G120" s="2"/>
      <c r="H120" s="2"/>
      <c r="I120" s="2"/>
      <c r="J120" s="2"/>
      <c r="K120" s="54"/>
      <c r="L120" s="2"/>
      <c r="M120" s="2"/>
      <c r="N120" s="2"/>
      <c r="O120" s="3"/>
      <c r="P120" s="54"/>
      <c r="Q120" s="2"/>
      <c r="R120" s="2"/>
      <c r="S120" s="2"/>
      <c r="T120" s="36"/>
      <c r="U120" s="2"/>
      <c r="V120" s="2"/>
      <c r="W120" s="2"/>
      <c r="X120" s="2"/>
      <c r="Y120" s="2"/>
      <c r="Z120" s="2"/>
      <c r="AA120" s="2"/>
      <c r="AB120" s="2"/>
      <c r="AC120" s="4"/>
      <c r="AD120" s="4"/>
      <c r="AE120" s="4"/>
      <c r="AF120" s="2"/>
      <c r="AG120" s="9"/>
      <c r="AH120" s="9"/>
      <c r="AI120" s="9"/>
      <c r="AJ120" s="9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</row>
    <row r="121" ht="21.0" hidden="1" customHeight="1" outlineLevel="1">
      <c r="A121" s="11" t="s">
        <v>22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54"/>
      <c r="Q121" s="2"/>
      <c r="R121" s="2"/>
      <c r="S121" s="2"/>
      <c r="T121" s="36"/>
      <c r="U121" s="2"/>
      <c r="V121" s="2"/>
      <c r="W121" s="2"/>
      <c r="X121" s="2"/>
      <c r="Y121" s="2"/>
      <c r="Z121" s="2"/>
      <c r="AA121" s="2"/>
      <c r="AB121" s="2"/>
      <c r="AC121" s="4"/>
      <c r="AD121" s="4"/>
      <c r="AE121" s="4"/>
      <c r="AF121" s="2"/>
      <c r="AG121" s="9"/>
      <c r="AH121" s="9"/>
      <c r="AI121" s="9"/>
      <c r="AJ121" s="9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</row>
    <row r="122" ht="21.0" hidden="1" customHeight="1" outlineLevel="1">
      <c r="A122" s="11" t="s">
        <v>23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54"/>
      <c r="U122" s="54"/>
      <c r="V122" s="36"/>
      <c r="W122" s="36"/>
      <c r="X122" s="54"/>
      <c r="Y122" s="54"/>
      <c r="Z122" s="54"/>
      <c r="AA122" s="2"/>
      <c r="AB122" s="2"/>
      <c r="AC122" s="2"/>
      <c r="AD122" s="2"/>
      <c r="AE122" s="2"/>
      <c r="AF122" s="2"/>
      <c r="AG122" s="9"/>
      <c r="AH122" s="9"/>
      <c r="AI122" s="9"/>
      <c r="AJ122" s="9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</row>
    <row r="123" ht="21.0" hidden="1" customHeight="1" outlineLevel="1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5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9"/>
      <c r="AH123" s="9"/>
      <c r="AI123" s="9"/>
      <c r="AJ123" s="9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</row>
    <row r="124" ht="21.0" hidden="1" customHeight="1" outlineLevel="1">
      <c r="A124" s="11" t="s">
        <v>25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9"/>
      <c r="AH124" s="9"/>
      <c r="AI124" s="9"/>
      <c r="AJ124" s="9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</row>
    <row r="125" ht="21.0" hidden="1" customHeight="1" outlineLevel="1">
      <c r="A125" s="11" t="s">
        <v>10</v>
      </c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68"/>
      <c r="P125" s="2"/>
      <c r="Q125" s="54"/>
      <c r="R125" s="54"/>
      <c r="S125" s="54"/>
      <c r="T125" s="54"/>
      <c r="U125" s="2"/>
      <c r="V125" s="54"/>
      <c r="W125" s="54"/>
      <c r="X125" s="54"/>
      <c r="Y125" s="54"/>
      <c r="Z125" s="54"/>
      <c r="AA125" s="54"/>
      <c r="AB125" s="54"/>
      <c r="AC125" s="54"/>
      <c r="AD125" s="54"/>
      <c r="AE125" s="2"/>
      <c r="AF125" s="54"/>
      <c r="AG125" s="104"/>
      <c r="AH125" s="104"/>
      <c r="AI125" s="104"/>
      <c r="AJ125" s="104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</row>
    <row r="126" ht="21.0" hidden="1" customHeight="1" outlineLevel="1">
      <c r="A126" s="11" t="s">
        <v>21</v>
      </c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2"/>
      <c r="N126" s="54"/>
      <c r="O126" s="68"/>
      <c r="P126" s="54"/>
      <c r="Q126" s="54"/>
      <c r="R126" s="2"/>
      <c r="S126" s="2"/>
      <c r="T126" s="54"/>
      <c r="U126" s="54"/>
      <c r="V126" s="54"/>
      <c r="W126" s="2"/>
      <c r="X126" s="54"/>
      <c r="Y126" s="54"/>
      <c r="Z126" s="54"/>
      <c r="AA126" s="54"/>
      <c r="AB126" s="54"/>
      <c r="AC126" s="2"/>
      <c r="AD126" s="54"/>
      <c r="AE126" s="54"/>
      <c r="AF126" s="54"/>
      <c r="AG126" s="9"/>
      <c r="AH126" s="9"/>
      <c r="AI126" s="104"/>
      <c r="AJ126" s="104"/>
      <c r="AK126" s="10"/>
      <c r="AL126" s="105"/>
      <c r="AM126" s="10"/>
      <c r="AN126" s="105"/>
      <c r="AO126" s="10"/>
      <c r="AP126" s="105"/>
      <c r="AQ126" s="10"/>
      <c r="AR126" s="105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</row>
    <row r="127" ht="21.0" hidden="1" customHeight="1" outlineLevel="1">
      <c r="A127" s="11" t="s">
        <v>32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54"/>
      <c r="AB127" s="54"/>
      <c r="AC127" s="2"/>
      <c r="AD127" s="2"/>
      <c r="AE127" s="2"/>
      <c r="AF127" s="2"/>
      <c r="AG127" s="9"/>
      <c r="AH127" s="9"/>
      <c r="AI127" s="9"/>
      <c r="AJ127" s="9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</row>
    <row r="128" ht="21.0" hidden="1" customHeight="1" outlineLevel="1">
      <c r="A128" s="11" t="s">
        <v>29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54"/>
      <c r="AB128" s="54"/>
      <c r="AC128" s="2"/>
      <c r="AD128" s="2"/>
      <c r="AE128" s="2"/>
      <c r="AF128" s="2"/>
      <c r="AG128" s="9"/>
      <c r="AH128" s="9"/>
      <c r="AI128" s="9"/>
      <c r="AJ128" s="9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</row>
    <row r="129" ht="21.0" hidden="1" customHeight="1" outlineLevel="1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9"/>
      <c r="AH129" s="9"/>
      <c r="AI129" s="9"/>
      <c r="AJ129" s="9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</row>
    <row r="130" ht="21.0" hidden="1" customHeight="1" outlineLevel="1">
      <c r="A130" s="11" t="s">
        <v>33</v>
      </c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9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101"/>
      <c r="AH130" s="101"/>
      <c r="AI130" s="101"/>
      <c r="AJ130" s="101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</row>
    <row r="131" ht="21.0" hidden="1" customHeight="1" outlineLevel="1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2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17"/>
      <c r="AH131" s="93"/>
      <c r="AI131" s="93"/>
      <c r="AJ131" s="18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</row>
    <row r="132" ht="21.0" hidden="1" customHeight="1" outlineLevel="1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9"/>
      <c r="AH132" s="9"/>
      <c r="AI132" s="9"/>
      <c r="AJ132" s="9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</row>
    <row r="133" ht="21.0" hidden="1" customHeight="1" outlineLevel="1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9"/>
      <c r="AH133" s="9"/>
      <c r="AI133" s="9"/>
      <c r="AJ133" s="9"/>
      <c r="AK133" s="105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</row>
    <row r="134" ht="21.0" hidden="1" customHeight="1" outlineLevel="1">
      <c r="A134" s="11" t="s">
        <v>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9"/>
      <c r="AH134" s="9"/>
      <c r="AI134" s="9"/>
      <c r="AJ134" s="9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</row>
    <row r="135" ht="21.0" hidden="1" customHeight="1" outlineLevel="1">
      <c r="A135" s="11" t="s">
        <v>27</v>
      </c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68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107"/>
      <c r="AD135" s="108"/>
      <c r="AE135" s="54"/>
      <c r="AF135" s="2"/>
      <c r="AG135" s="9"/>
      <c r="AH135" s="9"/>
      <c r="AI135" s="9"/>
      <c r="AJ135" s="9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</row>
    <row r="136" ht="21.0" hidden="1" customHeight="1" outlineLevel="1">
      <c r="A136" s="11" t="s">
        <v>29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4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8"/>
      <c r="AH136" s="88"/>
      <c r="AI136" s="88"/>
      <c r="AJ136" s="88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</row>
    <row r="137" ht="21.0" hidden="1" customHeight="1" outlineLevel="1">
      <c r="A137" s="11" t="s">
        <v>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/>
      <c r="R137" s="2"/>
      <c r="S137" s="54"/>
      <c r="T137" s="54"/>
      <c r="U137" s="54"/>
      <c r="V137" s="54"/>
      <c r="W137" s="2"/>
      <c r="X137" s="54"/>
      <c r="Y137" s="2"/>
      <c r="Z137" s="2"/>
      <c r="AA137" s="54"/>
      <c r="AB137" s="54"/>
      <c r="AC137" s="2"/>
      <c r="AD137" s="2"/>
      <c r="AE137" s="54"/>
      <c r="AF137" s="2"/>
      <c r="AG137" s="9"/>
      <c r="AH137" s="9"/>
      <c r="AI137" s="9"/>
      <c r="AJ137" s="9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</row>
    <row r="138" ht="21.0" hidden="1" customHeight="1" outlineLevel="1">
      <c r="A138" s="11" t="s">
        <v>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9"/>
      <c r="AH138" s="9"/>
      <c r="AI138" s="9"/>
      <c r="AJ138" s="9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</row>
    <row r="139" ht="21.0" hidden="1" customHeight="1" outlineLevel="1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9"/>
      <c r="AH139" s="9"/>
      <c r="AI139" s="9"/>
      <c r="AJ139" s="9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</row>
    <row r="140" ht="21.0" hidden="1" customHeight="1" outlineLevel="1">
      <c r="A140" s="11" t="s">
        <v>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9"/>
      <c r="AH140" s="9"/>
      <c r="AI140" s="9"/>
      <c r="AJ140" s="9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</row>
    <row r="141" ht="21.0" hidden="1" customHeight="1" outlineLevel="1">
      <c r="A141" s="11" t="s">
        <v>5</v>
      </c>
      <c r="B141" s="2"/>
      <c r="C141" s="2"/>
      <c r="D141" s="2"/>
      <c r="E141" s="2"/>
      <c r="F141" s="54"/>
      <c r="G141" s="54"/>
      <c r="H141" s="54"/>
      <c r="I141" s="2"/>
      <c r="J141" s="2"/>
      <c r="K141" s="54"/>
      <c r="L141" s="54"/>
      <c r="M141" s="2"/>
      <c r="N141" s="2"/>
      <c r="O141" s="68"/>
      <c r="P141" s="54"/>
      <c r="Q141" s="2"/>
      <c r="R141" s="2"/>
      <c r="S141" s="54"/>
      <c r="T141" s="54"/>
      <c r="U141" s="2"/>
      <c r="V141" s="2"/>
      <c r="W141" s="54"/>
      <c r="X141" s="54"/>
      <c r="Y141" s="2"/>
      <c r="Z141" s="2"/>
      <c r="AA141" s="54"/>
      <c r="AB141" s="54"/>
      <c r="AC141" s="2"/>
      <c r="AD141" s="2"/>
      <c r="AE141" s="54"/>
      <c r="AF141" s="2"/>
      <c r="AG141" s="9"/>
      <c r="AH141" s="9"/>
      <c r="AI141" s="9"/>
      <c r="AJ141" s="9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</row>
    <row r="142" ht="21.0" hidden="1" customHeight="1" outlineLevel="1">
      <c r="A142" s="11" t="s">
        <v>31</v>
      </c>
      <c r="B142" s="54"/>
      <c r="C142" s="54"/>
      <c r="D142" s="54"/>
      <c r="E142" s="54"/>
      <c r="F142" s="2"/>
      <c r="G142" s="2"/>
      <c r="H142" s="2"/>
      <c r="I142" s="54"/>
      <c r="J142" s="54"/>
      <c r="K142" s="2"/>
      <c r="L142" s="2"/>
      <c r="M142" s="54"/>
      <c r="N142" s="54"/>
      <c r="O142" s="3"/>
      <c r="P142" s="2"/>
      <c r="Q142" s="54"/>
      <c r="R142" s="54"/>
      <c r="S142" s="54"/>
      <c r="T142" s="2"/>
      <c r="U142" s="54"/>
      <c r="V142" s="54"/>
      <c r="W142" s="2"/>
      <c r="X142" s="2"/>
      <c r="Y142" s="54"/>
      <c r="Z142" s="54"/>
      <c r="AA142" s="2"/>
      <c r="AB142" s="2"/>
      <c r="AC142" s="54"/>
      <c r="AD142" s="54"/>
      <c r="AE142" s="2"/>
      <c r="AF142" s="2"/>
      <c r="AG142" s="9"/>
      <c r="AH142" s="9"/>
      <c r="AI142" s="9"/>
      <c r="AJ142" s="9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</row>
    <row r="143" ht="21.0" hidden="1" customHeight="1" outlineLevel="1">
      <c r="A143" s="11" t="s">
        <v>6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9"/>
      <c r="AH143" s="9"/>
      <c r="AI143" s="9"/>
      <c r="AJ143" s="9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</row>
    <row r="144" ht="21.0" hidden="1" customHeight="1" outlineLevel="1">
      <c r="A144" s="11" t="s">
        <v>35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54"/>
      <c r="AF144" s="2"/>
      <c r="AG144" s="9"/>
      <c r="AH144" s="9"/>
      <c r="AI144" s="9"/>
      <c r="AJ144" s="9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</row>
    <row r="145" ht="21.0" hidden="1" customHeight="1" outlineLevel="1">
      <c r="A145" s="11" t="s">
        <v>17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9"/>
      <c r="AH145" s="9"/>
      <c r="AI145" s="9"/>
      <c r="AJ145" s="9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</row>
    <row r="146" ht="21.0" hidden="1" customHeight="1" outlineLevel="1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4"/>
      <c r="AG146" s="9"/>
      <c r="AH146" s="9"/>
      <c r="AI146" s="9"/>
      <c r="AJ146" s="9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</row>
    <row r="147" ht="21.0" hidden="1" customHeight="1" outlineLevel="1">
      <c r="A147" s="11" t="s">
        <v>12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4"/>
      <c r="AG147" s="9"/>
      <c r="AH147" s="9"/>
      <c r="AI147" s="9"/>
      <c r="AJ147" s="9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</row>
    <row r="148" ht="21.0" hidden="1" customHeight="1" outlineLevel="1">
      <c r="A148" s="11" t="s">
        <v>18</v>
      </c>
      <c r="B148" s="2"/>
      <c r="C148" s="54"/>
      <c r="D148" s="54"/>
      <c r="E148" s="2"/>
      <c r="F148" s="2"/>
      <c r="G148" s="2"/>
      <c r="H148" s="2"/>
      <c r="I148" s="2"/>
      <c r="J148" s="2"/>
      <c r="K148" s="54"/>
      <c r="L148" s="54"/>
      <c r="M148" s="2"/>
      <c r="N148" s="54"/>
      <c r="O148" s="3"/>
      <c r="P148" s="54"/>
      <c r="Q148" s="2"/>
      <c r="R148" s="54"/>
      <c r="S148" s="54"/>
      <c r="T148" s="2"/>
      <c r="U148" s="54"/>
      <c r="V148" s="54"/>
      <c r="W148" s="54"/>
      <c r="X148" s="2"/>
      <c r="Y148" s="2"/>
      <c r="Z148" s="54"/>
      <c r="AA148" s="54"/>
      <c r="AB148" s="2"/>
      <c r="AC148" s="54"/>
      <c r="AD148" s="54"/>
      <c r="AE148" s="54"/>
      <c r="AF148" s="2"/>
      <c r="AG148" s="9"/>
      <c r="AH148" s="9"/>
      <c r="AI148" s="9"/>
      <c r="AJ148" s="9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</row>
    <row r="149" ht="21.0" hidden="1" customHeight="1" outlineLevel="1">
      <c r="A149" s="11" t="s">
        <v>36</v>
      </c>
      <c r="B149" s="54"/>
      <c r="C149" s="2"/>
      <c r="D149" s="2"/>
      <c r="E149" s="54"/>
      <c r="F149" s="54"/>
      <c r="G149" s="2"/>
      <c r="H149" s="2"/>
      <c r="I149" s="54"/>
      <c r="J149" s="54"/>
      <c r="K149" s="2"/>
      <c r="L149" s="2"/>
      <c r="M149" s="54"/>
      <c r="N149" s="54"/>
      <c r="O149" s="68"/>
      <c r="P149" s="54"/>
      <c r="Q149" s="54"/>
      <c r="R149" s="54"/>
      <c r="S149" s="2"/>
      <c r="T149" s="54"/>
      <c r="U149" s="2"/>
      <c r="V149" s="2"/>
      <c r="W149" s="2"/>
      <c r="X149" s="54"/>
      <c r="Y149" s="54"/>
      <c r="Z149" s="2"/>
      <c r="AA149" s="2"/>
      <c r="AB149" s="54"/>
      <c r="AC149" s="54"/>
      <c r="AD149" s="2"/>
      <c r="AE149" s="2"/>
      <c r="AF149" s="2"/>
      <c r="AG149" s="9"/>
      <c r="AH149" s="9"/>
      <c r="AI149" s="9"/>
      <c r="AJ149" s="9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</row>
    <row r="150" ht="21.0" hidden="1" customHeight="1" outlineLevel="1">
      <c r="A150" s="11" t="s">
        <v>31</v>
      </c>
      <c r="B150" s="2"/>
      <c r="C150" s="2"/>
      <c r="D150" s="2"/>
      <c r="E150" s="2"/>
      <c r="F150" s="2"/>
      <c r="G150" s="2"/>
      <c r="H150" s="54"/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9"/>
      <c r="AH150" s="9"/>
      <c r="AI150" s="9"/>
      <c r="AJ150" s="9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</row>
    <row r="151" ht="21.0" hidden="1" customHeight="1" outlineLevel="1">
      <c r="A151" s="11" t="s">
        <v>14</v>
      </c>
      <c r="B151" s="2"/>
      <c r="C151" s="2"/>
      <c r="D151" s="2"/>
      <c r="E151" s="2"/>
      <c r="F151" s="2"/>
      <c r="G151" s="54"/>
      <c r="H151" s="2"/>
      <c r="I151" s="2"/>
      <c r="J151" s="2"/>
      <c r="K151" s="2"/>
      <c r="L151" s="2"/>
      <c r="M151" s="2"/>
      <c r="N151" s="2"/>
      <c r="O151" s="3"/>
      <c r="P151" s="54"/>
      <c r="Q151" s="54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54"/>
      <c r="AE151" s="54"/>
      <c r="AF151" s="2"/>
      <c r="AG151" s="9"/>
      <c r="AH151" s="9"/>
      <c r="AI151" s="9"/>
      <c r="AJ151" s="9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</row>
    <row r="152" ht="21.0" hidden="1" customHeight="1" outlineLevel="1">
      <c r="A152" s="11" t="s">
        <v>37</v>
      </c>
      <c r="B152" s="2"/>
      <c r="C152" s="2"/>
      <c r="D152" s="2"/>
      <c r="E152" s="2"/>
      <c r="F152" s="2"/>
      <c r="G152" s="54"/>
      <c r="H152" s="54"/>
      <c r="I152" s="2"/>
      <c r="J152" s="2"/>
      <c r="K152" s="2"/>
      <c r="L152" s="2"/>
      <c r="M152" s="2"/>
      <c r="N152" s="2"/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9"/>
      <c r="AH152" s="9"/>
      <c r="AI152" s="9"/>
      <c r="AJ152" s="9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</row>
    <row r="153" ht="21.0" hidden="1" customHeight="1" outlineLevel="1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9"/>
      <c r="AH153" s="9"/>
      <c r="AI153" s="9"/>
      <c r="AJ153" s="9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</row>
    <row r="154" ht="21.0" hidden="1" customHeight="1" outlineLevel="1">
      <c r="A154" s="11" t="s">
        <v>25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9"/>
      <c r="AH154" s="9"/>
      <c r="AI154" s="9"/>
      <c r="AJ154" s="9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</row>
    <row r="155" ht="21.0" hidden="1" customHeight="1" outlineLevel="1">
      <c r="A155" s="11" t="s">
        <v>38</v>
      </c>
      <c r="B155" s="54"/>
      <c r="C155" s="54"/>
      <c r="D155" s="54"/>
      <c r="E155" s="2"/>
      <c r="F155" s="54"/>
      <c r="G155" s="54"/>
      <c r="H155" s="54"/>
      <c r="I155" s="2"/>
      <c r="J155" s="54"/>
      <c r="K155" s="54"/>
      <c r="L155" s="2"/>
      <c r="M155" s="2"/>
      <c r="N155" s="54"/>
      <c r="O155" s="68"/>
      <c r="P155" s="2"/>
      <c r="Q155" s="2"/>
      <c r="R155" s="54"/>
      <c r="S155" s="54"/>
      <c r="T155" s="2"/>
      <c r="U155" s="2"/>
      <c r="V155" s="54"/>
      <c r="W155" s="54"/>
      <c r="X155" s="54"/>
      <c r="Y155" s="2"/>
      <c r="Z155" s="54"/>
      <c r="AA155" s="54"/>
      <c r="AB155" s="54"/>
      <c r="AC155" s="2"/>
      <c r="AD155" s="54"/>
      <c r="AE155" s="54"/>
      <c r="AF155" s="2"/>
      <c r="AG155" s="9"/>
      <c r="AH155" s="9"/>
      <c r="AI155" s="9"/>
      <c r="AJ155" s="9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</row>
    <row r="156" ht="21.0" hidden="1" customHeight="1" outlineLevel="1">
      <c r="A156" s="11" t="s">
        <v>37</v>
      </c>
      <c r="B156" s="2"/>
      <c r="C156" s="54"/>
      <c r="D156" s="54"/>
      <c r="E156" s="54"/>
      <c r="F156" s="54"/>
      <c r="G156" s="2"/>
      <c r="H156" s="2"/>
      <c r="I156" s="54"/>
      <c r="J156" s="54"/>
      <c r="K156" s="2"/>
      <c r="L156" s="54"/>
      <c r="M156" s="54"/>
      <c r="N156" s="2"/>
      <c r="O156" s="3"/>
      <c r="P156" s="54"/>
      <c r="Q156" s="54"/>
      <c r="R156" s="2"/>
      <c r="S156" s="2"/>
      <c r="T156" s="54"/>
      <c r="U156" s="54"/>
      <c r="V156" s="54"/>
      <c r="W156" s="2"/>
      <c r="X156" s="54"/>
      <c r="Y156" s="54"/>
      <c r="Z156" s="54"/>
      <c r="AA156" s="2"/>
      <c r="AB156" s="54"/>
      <c r="AC156" s="54"/>
      <c r="AD156" s="54"/>
      <c r="AE156" s="2"/>
      <c r="AF156" s="2"/>
      <c r="AG156" s="9"/>
      <c r="AH156" s="9"/>
      <c r="AI156" s="9"/>
      <c r="AJ156" s="9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</row>
    <row r="157" ht="21.0" hidden="1" customHeight="1" outlineLevel="1">
      <c r="A157" s="11" t="s">
        <v>29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/>
      <c r="R157" s="2"/>
      <c r="S157" s="54"/>
      <c r="T157" s="54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54"/>
      <c r="AF157" s="2"/>
      <c r="AG157" s="9"/>
      <c r="AH157" s="9"/>
      <c r="AI157" s="9"/>
      <c r="AJ157" s="9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</row>
    <row r="158" ht="21.0" hidden="1" customHeight="1" outlineLevel="1">
      <c r="A158" s="11" t="s">
        <v>36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/>
      <c r="R158" s="54"/>
      <c r="S158" s="54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9"/>
      <c r="AH158" s="9"/>
      <c r="AI158" s="9"/>
      <c r="AJ158" s="9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</row>
    <row r="159" ht="21.0" hidden="1" customHeight="1" outlineLevel="1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9"/>
      <c r="AH159" s="9"/>
      <c r="AI159" s="9"/>
      <c r="AJ159" s="9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</row>
    <row r="160" ht="21.0" hidden="1" customHeight="1" outlineLevel="1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9"/>
      <c r="AH160" s="9"/>
      <c r="AI160" s="9"/>
      <c r="AJ160" s="9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</row>
    <row r="161" ht="21.0" hidden="1" customHeight="1" outlineLevel="1">
      <c r="A161" s="11"/>
      <c r="B161" s="79"/>
      <c r="C161" s="79"/>
      <c r="D161" s="79"/>
      <c r="E161" s="79"/>
      <c r="F161" s="79"/>
      <c r="G161" s="79"/>
      <c r="H161" s="7"/>
      <c r="I161" s="7"/>
      <c r="J161" s="7"/>
      <c r="K161" s="7"/>
      <c r="L161" s="7"/>
      <c r="M161" s="7"/>
      <c r="N161" s="7"/>
      <c r="O161" s="6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/>
      <c r="AH161" s="8"/>
      <c r="AI161" s="8"/>
      <c r="AJ161" s="101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</row>
    <row r="162" ht="21.0" hidden="1" customHeight="1" outlineLevel="1">
      <c r="A162" s="11" t="s">
        <v>39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2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17"/>
      <c r="AH162" s="93"/>
      <c r="AI162" s="93"/>
      <c r="AJ162" s="18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</row>
    <row r="163" ht="21.0" hidden="1" customHeight="1" outlineLevel="1">
      <c r="A163" s="11" t="s">
        <v>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9"/>
      <c r="AH163" s="9"/>
      <c r="AI163" s="9"/>
      <c r="AJ163" s="9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</row>
    <row r="164" ht="21.0" hidden="1" customHeight="1" outlineLevel="1">
      <c r="A164" s="11" t="s">
        <v>27</v>
      </c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68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25"/>
      <c r="AD164" s="25"/>
      <c r="AE164" s="54"/>
      <c r="AF164" s="2"/>
      <c r="AG164" s="9"/>
      <c r="AH164" s="9"/>
      <c r="AI164" s="9"/>
      <c r="AJ164" s="9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</row>
    <row r="165" ht="21.0" hidden="1" customHeight="1" outlineLevel="1">
      <c r="A165" s="11" t="s">
        <v>29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4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8"/>
      <c r="AH165" s="88"/>
      <c r="AI165" s="88"/>
      <c r="AJ165" s="88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</row>
    <row r="166" ht="21.0" hidden="1" customHeight="1" outlineLevel="1">
      <c r="A166" s="11" t="s">
        <v>34</v>
      </c>
      <c r="B166" s="2"/>
      <c r="C166" s="2"/>
      <c r="D166" s="54"/>
      <c r="E166" s="54"/>
      <c r="F166" s="2"/>
      <c r="G166" s="54"/>
      <c r="H166" s="54"/>
      <c r="I166" s="54"/>
      <c r="J166" s="2"/>
      <c r="K166" s="2"/>
      <c r="L166" s="54"/>
      <c r="M166" s="54"/>
      <c r="N166" s="2"/>
      <c r="O166" s="3"/>
      <c r="P166" s="54"/>
      <c r="Q166" s="54"/>
      <c r="R166" s="2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2"/>
      <c r="AF166" s="2"/>
      <c r="AG166" s="9"/>
      <c r="AH166" s="9"/>
      <c r="AI166" s="9"/>
      <c r="AJ166" s="9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</row>
    <row r="167" ht="21.0" hidden="1" customHeight="1" outlineLevel="1">
      <c r="A167" s="11" t="s">
        <v>6</v>
      </c>
      <c r="B167" s="2"/>
      <c r="C167" s="2"/>
      <c r="D167" s="2"/>
      <c r="E167" s="2"/>
      <c r="F167" s="54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54"/>
      <c r="AC167" s="2"/>
      <c r="AD167" s="2"/>
      <c r="AE167" s="2"/>
      <c r="AF167" s="2"/>
      <c r="AG167" s="9"/>
      <c r="AH167" s="9"/>
      <c r="AI167" s="9"/>
      <c r="AJ167" s="9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</row>
    <row r="168" ht="21.0" hidden="1" customHeight="1" outlineLevel="1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9"/>
      <c r="AH168" s="9"/>
      <c r="AI168" s="9"/>
      <c r="AJ168" s="9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</row>
    <row r="169" ht="21.0" hidden="1" customHeight="1" outlineLevel="1">
      <c r="A169" s="11" t="s">
        <v>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9"/>
      <c r="AH169" s="9"/>
      <c r="AI169" s="9"/>
      <c r="AJ169" s="9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</row>
    <row r="170" ht="21.0" hidden="1" customHeight="1" outlineLevel="1">
      <c r="A170" s="11" t="s">
        <v>5</v>
      </c>
      <c r="B170" s="2"/>
      <c r="C170" s="2"/>
      <c r="D170" s="2"/>
      <c r="E170" s="2"/>
      <c r="F170" s="54"/>
      <c r="G170" s="54"/>
      <c r="H170" s="54"/>
      <c r="I170" s="2"/>
      <c r="J170" s="2"/>
      <c r="K170" s="54"/>
      <c r="L170" s="54"/>
      <c r="M170" s="2"/>
      <c r="N170" s="2"/>
      <c r="O170" s="68"/>
      <c r="P170" s="54"/>
      <c r="Q170" s="2"/>
      <c r="R170" s="2"/>
      <c r="S170" s="54"/>
      <c r="T170" s="54"/>
      <c r="U170" s="2"/>
      <c r="V170" s="2"/>
      <c r="W170" s="54"/>
      <c r="X170" s="54"/>
      <c r="Y170" s="2"/>
      <c r="Z170" s="2"/>
      <c r="AA170" s="54"/>
      <c r="AB170" s="54"/>
      <c r="AC170" s="2"/>
      <c r="AD170" s="2"/>
      <c r="AE170" s="54"/>
      <c r="AF170" s="2"/>
      <c r="AG170" s="9"/>
      <c r="AH170" s="9"/>
      <c r="AI170" s="9"/>
      <c r="AJ170" s="9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</row>
    <row r="171" ht="21.0" hidden="1" customHeight="1" outlineLevel="1">
      <c r="A171" s="11" t="s">
        <v>31</v>
      </c>
      <c r="B171" s="54"/>
      <c r="C171" s="54"/>
      <c r="D171" s="54"/>
      <c r="E171" s="54"/>
      <c r="F171" s="54"/>
      <c r="G171" s="54"/>
      <c r="H171" s="2"/>
      <c r="I171" s="54"/>
      <c r="J171" s="54"/>
      <c r="K171" s="54"/>
      <c r="L171" s="2"/>
      <c r="M171" s="54"/>
      <c r="N171" s="54"/>
      <c r="O171" s="68"/>
      <c r="P171" s="2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2"/>
      <c r="AG171" s="9"/>
      <c r="AH171" s="9"/>
      <c r="AI171" s="9"/>
      <c r="AJ171" s="9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</row>
    <row r="172" ht="21.0" hidden="1" customHeight="1" outlineLevel="1">
      <c r="A172" s="11" t="s">
        <v>29</v>
      </c>
      <c r="B172" s="54"/>
      <c r="C172" s="2"/>
      <c r="D172" s="2"/>
      <c r="E172" s="2"/>
      <c r="F172" s="54"/>
      <c r="G172" s="54"/>
      <c r="H172" s="54"/>
      <c r="I172" s="2"/>
      <c r="J172" s="2"/>
      <c r="K172" s="54"/>
      <c r="L172" s="54"/>
      <c r="M172" s="2"/>
      <c r="N172" s="2"/>
      <c r="O172" s="3"/>
      <c r="P172" s="54"/>
      <c r="Q172" s="54"/>
      <c r="R172" s="2"/>
      <c r="S172" s="2"/>
      <c r="T172" s="2"/>
      <c r="U172" s="54"/>
      <c r="V172" s="54"/>
      <c r="W172" s="2"/>
      <c r="X172" s="2"/>
      <c r="Y172" s="2"/>
      <c r="Z172" s="54"/>
      <c r="AA172" s="54"/>
      <c r="AB172" s="54"/>
      <c r="AC172" s="2"/>
      <c r="AD172" s="2"/>
      <c r="AE172" s="2"/>
      <c r="AF172" s="2"/>
      <c r="AG172" s="9"/>
      <c r="AH172" s="9"/>
      <c r="AI172" s="9"/>
      <c r="AJ172" s="9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</row>
    <row r="173" ht="21.0" hidden="1" customHeight="1" outlineLevel="1">
      <c r="A173" s="11" t="s">
        <v>6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2"/>
      <c r="S173" s="2"/>
      <c r="T173" s="2"/>
      <c r="U173" s="2"/>
      <c r="V173" s="2"/>
      <c r="W173" s="2"/>
      <c r="X173" s="2"/>
      <c r="Y173" s="54"/>
      <c r="Z173" s="2"/>
      <c r="AA173" s="2"/>
      <c r="AB173" s="2"/>
      <c r="AC173" s="2"/>
      <c r="AD173" s="2"/>
      <c r="AE173" s="2"/>
      <c r="AF173" s="2"/>
      <c r="AG173" s="9"/>
      <c r="AH173" s="9"/>
      <c r="AI173" s="9"/>
      <c r="AJ173" s="9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</row>
    <row r="174" ht="21.0" hidden="1" customHeight="1" outlineLevel="1">
      <c r="A174" s="11" t="s">
        <v>40</v>
      </c>
      <c r="B174" s="2"/>
      <c r="C174" s="2"/>
      <c r="D174" s="2"/>
      <c r="E174" s="2"/>
      <c r="F174" s="2"/>
      <c r="G174" s="2"/>
      <c r="H174" s="54"/>
      <c r="I174" s="2"/>
      <c r="J174" s="2"/>
      <c r="K174" s="2"/>
      <c r="L174" s="2"/>
      <c r="M174" s="2"/>
      <c r="N174" s="2"/>
      <c r="O174" s="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9"/>
      <c r="AH174" s="9"/>
      <c r="AI174" s="9"/>
      <c r="AJ174" s="9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</row>
    <row r="175" ht="21.0" hidden="1" customHeight="1" outlineLevel="1">
      <c r="A175" s="11" t="s">
        <v>36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54"/>
      <c r="S175" s="54"/>
      <c r="T175" s="54"/>
      <c r="U175" s="2"/>
      <c r="V175" s="2"/>
      <c r="W175" s="54"/>
      <c r="X175" s="54"/>
      <c r="Y175" s="54"/>
      <c r="Z175" s="2"/>
      <c r="AA175" s="2"/>
      <c r="AB175" s="2"/>
      <c r="AC175" s="54"/>
      <c r="AD175" s="54"/>
      <c r="AE175" s="2"/>
      <c r="AF175" s="4"/>
      <c r="AG175" s="9"/>
      <c r="AH175" s="9"/>
      <c r="AI175" s="9"/>
      <c r="AJ175" s="9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</row>
    <row r="176" ht="21.0" hidden="1" customHeight="1" outlineLevel="1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4"/>
      <c r="AG176" s="9"/>
      <c r="AH176" s="9"/>
      <c r="AI176" s="9"/>
      <c r="AJ176" s="9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</row>
    <row r="177" ht="21.0" hidden="1" customHeight="1" outlineLevel="1">
      <c r="A177" s="11" t="s">
        <v>12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4"/>
      <c r="AG177" s="9"/>
      <c r="AH177" s="9"/>
      <c r="AI177" s="9"/>
      <c r="AJ177" s="9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</row>
    <row r="178" ht="21.0" hidden="1" customHeight="1" outlineLevel="1">
      <c r="A178" s="11" t="s">
        <v>18</v>
      </c>
      <c r="B178" s="2"/>
      <c r="C178" s="54"/>
      <c r="D178" s="54"/>
      <c r="E178" s="2"/>
      <c r="F178" s="2"/>
      <c r="G178" s="54"/>
      <c r="H178" s="54"/>
      <c r="I178" s="2"/>
      <c r="J178" s="2"/>
      <c r="K178" s="54"/>
      <c r="L178" s="54"/>
      <c r="M178" s="2"/>
      <c r="N178" s="54"/>
      <c r="O178" s="68"/>
      <c r="P178" s="54"/>
      <c r="Q178" s="2"/>
      <c r="R178" s="54"/>
      <c r="S178" s="54"/>
      <c r="T178" s="54"/>
      <c r="U178" s="54"/>
      <c r="V178" s="54"/>
      <c r="W178" s="54"/>
      <c r="X178" s="54"/>
      <c r="Y178" s="2"/>
      <c r="Z178" s="54"/>
      <c r="AA178" s="54"/>
      <c r="AB178" s="54"/>
      <c r="AC178" s="54"/>
      <c r="AD178" s="54"/>
      <c r="AE178" s="54"/>
      <c r="AF178" s="2"/>
      <c r="AG178" s="9"/>
      <c r="AH178" s="9"/>
      <c r="AI178" s="9"/>
      <c r="AJ178" s="9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</row>
    <row r="179" ht="21.0" hidden="1" customHeight="1" outlineLevel="1">
      <c r="A179" s="11" t="s">
        <v>36</v>
      </c>
      <c r="B179" s="54"/>
      <c r="C179" s="2"/>
      <c r="D179" s="54"/>
      <c r="E179" s="54"/>
      <c r="F179" s="54"/>
      <c r="G179" s="2"/>
      <c r="H179" s="2"/>
      <c r="I179" s="54"/>
      <c r="J179" s="54"/>
      <c r="K179" s="2"/>
      <c r="L179" s="2"/>
      <c r="M179" s="54"/>
      <c r="N179" s="54"/>
      <c r="O179" s="68"/>
      <c r="P179" s="54"/>
      <c r="Q179" s="54"/>
      <c r="R179" s="54"/>
      <c r="S179" s="2"/>
      <c r="T179" s="54"/>
      <c r="U179" s="54"/>
      <c r="V179" s="54"/>
      <c r="W179" s="2"/>
      <c r="X179" s="54"/>
      <c r="Y179" s="54"/>
      <c r="Z179" s="54"/>
      <c r="AA179" s="2"/>
      <c r="AB179" s="54"/>
      <c r="AC179" s="54"/>
      <c r="AD179" s="54"/>
      <c r="AE179" s="2"/>
      <c r="AF179" s="2"/>
      <c r="AG179" s="9"/>
      <c r="AH179" s="9"/>
      <c r="AI179" s="9"/>
      <c r="AJ179" s="9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</row>
    <row r="180" ht="21.0" hidden="1" customHeight="1" outlineLevel="1">
      <c r="A180" s="11" t="s">
        <v>31</v>
      </c>
      <c r="B180" s="2"/>
      <c r="C180" s="2"/>
      <c r="D180" s="2"/>
      <c r="E180" s="2"/>
      <c r="F180" s="2"/>
      <c r="G180" s="2"/>
      <c r="H180" s="54"/>
      <c r="I180" s="2"/>
      <c r="J180" s="2"/>
      <c r="K180" s="2"/>
      <c r="L180" s="2"/>
      <c r="M180" s="2"/>
      <c r="N180" s="2"/>
      <c r="O180" s="3"/>
      <c r="P180" s="2"/>
      <c r="Q180" s="54"/>
      <c r="R180" s="54"/>
      <c r="S180" s="2"/>
      <c r="T180" s="2"/>
      <c r="U180" s="54"/>
      <c r="V180" s="54"/>
      <c r="W180" s="2"/>
      <c r="X180" s="2"/>
      <c r="Y180" s="54"/>
      <c r="Z180" s="54"/>
      <c r="AA180" s="2"/>
      <c r="AB180" s="2"/>
      <c r="AC180" s="54"/>
      <c r="AD180" s="54"/>
      <c r="AE180" s="2"/>
      <c r="AF180" s="2"/>
      <c r="AG180" s="9"/>
      <c r="AH180" s="9"/>
      <c r="AI180" s="9"/>
      <c r="AJ180" s="9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</row>
    <row r="181" ht="21.0" hidden="1" customHeight="1" outlineLevel="1">
      <c r="A181" s="11" t="s">
        <v>14</v>
      </c>
      <c r="B181" s="2"/>
      <c r="C181" s="2"/>
      <c r="D181" s="2"/>
      <c r="E181" s="2"/>
      <c r="F181" s="2"/>
      <c r="G181" s="54"/>
      <c r="H181" s="2"/>
      <c r="I181" s="2"/>
      <c r="J181" s="2"/>
      <c r="K181" s="2"/>
      <c r="L181" s="2"/>
      <c r="M181" s="2"/>
      <c r="N181" s="2"/>
      <c r="O181" s="3"/>
      <c r="P181" s="54"/>
      <c r="Q181" s="54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9"/>
      <c r="AH181" s="9"/>
      <c r="AI181" s="9"/>
      <c r="AJ181" s="9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</row>
    <row r="182" ht="21.0" hidden="1" customHeight="1" outlineLevel="1">
      <c r="A182" s="11" t="s">
        <v>41</v>
      </c>
      <c r="B182" s="2"/>
      <c r="C182" s="54"/>
      <c r="D182" s="54"/>
      <c r="E182" s="2"/>
      <c r="F182" s="2"/>
      <c r="G182" s="54"/>
      <c r="H182" s="54"/>
      <c r="I182" s="2"/>
      <c r="J182" s="2"/>
      <c r="K182" s="2"/>
      <c r="L182" s="2"/>
      <c r="M182" s="2"/>
      <c r="N182" s="2"/>
      <c r="O182" s="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9"/>
      <c r="AH182" s="9"/>
      <c r="AI182" s="9"/>
      <c r="AJ182" s="9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</row>
    <row r="183" ht="21.0" hidden="1" customHeight="1" outlineLevel="1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9"/>
      <c r="AH183" s="9"/>
      <c r="AI183" s="9"/>
      <c r="AJ183" s="9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</row>
    <row r="184" ht="21.0" hidden="1" customHeight="1" outlineLevel="1">
      <c r="A184" s="11" t="s">
        <v>25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9"/>
      <c r="AH184" s="9"/>
      <c r="AI184" s="9"/>
      <c r="AJ184" s="9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</row>
    <row r="185" ht="21.0" hidden="1" customHeight="1" outlineLevel="1">
      <c r="A185" s="11" t="s">
        <v>42</v>
      </c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68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2"/>
      <c r="AG185" s="9"/>
      <c r="AH185" s="9"/>
      <c r="AI185" s="9"/>
      <c r="AJ185" s="9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</row>
    <row r="186" ht="21.0" hidden="1" customHeight="1" outlineLevel="1">
      <c r="A186" s="11" t="s">
        <v>37</v>
      </c>
      <c r="B186" s="54"/>
      <c r="C186" s="54"/>
      <c r="D186" s="54"/>
      <c r="E186" s="54"/>
      <c r="F186" s="54"/>
      <c r="G186" s="54"/>
      <c r="H186" s="2"/>
      <c r="I186" s="54"/>
      <c r="J186" s="54"/>
      <c r="K186" s="54"/>
      <c r="L186" s="54"/>
      <c r="M186" s="54"/>
      <c r="N186" s="54"/>
      <c r="O186" s="68"/>
      <c r="P186" s="2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2"/>
      <c r="AF186" s="2"/>
      <c r="AG186" s="9"/>
      <c r="AH186" s="9"/>
      <c r="AI186" s="9"/>
      <c r="AJ186" s="9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</row>
    <row r="187" ht="21.0" hidden="1" customHeight="1" outlineLevel="1">
      <c r="A187" s="11" t="s">
        <v>29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/>
      <c r="R187" s="2"/>
      <c r="S187" s="54"/>
      <c r="T187" s="54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9"/>
      <c r="AH187" s="9"/>
      <c r="AI187" s="9"/>
      <c r="AJ187" s="9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</row>
    <row r="188" ht="21.0" hidden="1" customHeight="1" outlineLevel="1">
      <c r="A188" s="11" t="s">
        <v>41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54"/>
      <c r="M188" s="2"/>
      <c r="N188" s="2"/>
      <c r="O188" s="68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54"/>
      <c r="AA188" s="54"/>
      <c r="AB188" s="54"/>
      <c r="AC188" s="54"/>
      <c r="AD188" s="54"/>
      <c r="AE188" s="2"/>
      <c r="AF188" s="2"/>
      <c r="AG188" s="9"/>
      <c r="AH188" s="9"/>
      <c r="AI188" s="9"/>
      <c r="AJ188" s="9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</row>
    <row r="189" ht="21.0" hidden="1" customHeight="1" outlineLevel="1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9"/>
      <c r="AH189" s="9"/>
      <c r="AI189" s="9"/>
      <c r="AJ189" s="9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</row>
    <row r="190" ht="21.0" hidden="1" customHeight="1" outlineLevel="1">
      <c r="A190" s="11" t="s">
        <v>43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9"/>
      <c r="AH190" s="9"/>
      <c r="AI190" s="9"/>
      <c r="AJ190" s="9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</row>
    <row r="191" ht="21.0" hidden="1" customHeight="1" outlineLevel="1">
      <c r="A191" s="11" t="s">
        <v>44</v>
      </c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68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2"/>
      <c r="AG191" s="9"/>
      <c r="AH191" s="9"/>
      <c r="AI191" s="9"/>
      <c r="AJ191" s="9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</row>
    <row r="192" ht="21.0" hidden="1" customHeight="1" outlineLevel="1">
      <c r="A192" s="11" t="s">
        <v>37</v>
      </c>
      <c r="B192" s="54"/>
      <c r="C192" s="54"/>
      <c r="D192" s="54"/>
      <c r="E192" s="54"/>
      <c r="F192" s="54"/>
      <c r="G192" s="54"/>
      <c r="H192" s="2"/>
      <c r="I192" s="54"/>
      <c r="J192" s="54"/>
      <c r="K192" s="54"/>
      <c r="L192" s="54"/>
      <c r="M192" s="54"/>
      <c r="N192" s="54"/>
      <c r="O192" s="68"/>
      <c r="P192" s="2"/>
      <c r="Q192" s="54"/>
      <c r="R192" s="54"/>
      <c r="S192" s="54"/>
      <c r="T192" s="54"/>
      <c r="U192" s="54"/>
      <c r="V192" s="54"/>
      <c r="W192" s="54"/>
      <c r="X192" s="2"/>
      <c r="Y192" s="54"/>
      <c r="Z192" s="54"/>
      <c r="AA192" s="54"/>
      <c r="AB192" s="54"/>
      <c r="AC192" s="54"/>
      <c r="AD192" s="54"/>
      <c r="AE192" s="2"/>
      <c r="AF192" s="2"/>
      <c r="AG192" s="9"/>
      <c r="AH192" s="9"/>
      <c r="AI192" s="9"/>
      <c r="AJ192" s="9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</row>
    <row r="193" ht="21.0" hidden="1" customHeight="1" outlineLevel="1">
      <c r="A193" s="11" t="s">
        <v>45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54"/>
      <c r="M193" s="2"/>
      <c r="N193" s="2"/>
      <c r="O193" s="68"/>
      <c r="P193" s="2"/>
      <c r="Q193" s="2"/>
      <c r="R193" s="2"/>
      <c r="S193" s="2"/>
      <c r="T193" s="2"/>
      <c r="U193" s="2"/>
      <c r="V193" s="2"/>
      <c r="W193" s="54"/>
      <c r="X193" s="2"/>
      <c r="Y193" s="2"/>
      <c r="Z193" s="2"/>
      <c r="AA193" s="2"/>
      <c r="AB193" s="2"/>
      <c r="AC193" s="2"/>
      <c r="AD193" s="2"/>
      <c r="AE193" s="2"/>
      <c r="AF193" s="2"/>
      <c r="AG193" s="9"/>
      <c r="AH193" s="9"/>
      <c r="AI193" s="9"/>
      <c r="AJ193" s="9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</row>
    <row r="194" ht="21.0" hidden="1" customHeight="1" outlineLevel="1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9"/>
      <c r="AH194" s="9"/>
      <c r="AI194" s="9"/>
      <c r="AJ194" s="9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</row>
    <row r="195" ht="21.0" hidden="1" customHeight="1" outlineLevel="1">
      <c r="A195" s="11"/>
      <c r="B195" s="2"/>
      <c r="C195" s="2"/>
      <c r="D195" s="2"/>
      <c r="E195" s="2"/>
      <c r="F195" s="2"/>
      <c r="G195" s="2"/>
      <c r="H195" s="2"/>
      <c r="I195" s="54"/>
      <c r="J195" s="2"/>
      <c r="K195" s="2"/>
      <c r="L195" s="2"/>
      <c r="M195" s="2"/>
      <c r="N195" s="2"/>
      <c r="O195" s="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9"/>
      <c r="AH195" s="9"/>
      <c r="AI195" s="9"/>
      <c r="AJ195" s="9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</row>
    <row r="196" ht="21.0" hidden="1" customHeight="1" outlineLevel="1">
      <c r="A196" s="11" t="s">
        <v>46</v>
      </c>
      <c r="B196" s="79"/>
      <c r="C196" s="79"/>
      <c r="D196" s="79"/>
      <c r="E196" s="79"/>
      <c r="F196" s="7"/>
      <c r="G196" s="7"/>
      <c r="H196" s="7"/>
      <c r="I196" s="7"/>
      <c r="J196" s="7"/>
      <c r="K196" s="7"/>
      <c r="L196" s="7"/>
      <c r="M196" s="7"/>
      <c r="N196" s="7"/>
      <c r="O196" s="6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5"/>
      <c r="AF196" s="7"/>
      <c r="AG196" s="8"/>
      <c r="AH196" s="8"/>
      <c r="AI196" s="8"/>
      <c r="AJ196" s="101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</row>
    <row r="197" ht="21.0" hidden="1" customHeight="1" outlineLevel="1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2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17"/>
      <c r="AH197" s="93"/>
      <c r="AI197" s="93"/>
      <c r="AJ197" s="18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</row>
    <row r="198" ht="21.0" hidden="1" customHeight="1" outlineLevel="1">
      <c r="A198" s="11" t="s">
        <v>2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9"/>
      <c r="AH198" s="9"/>
      <c r="AI198" s="9"/>
      <c r="AJ198" s="9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</row>
    <row r="199" ht="21.0" hidden="1" customHeight="1" outlineLevel="1">
      <c r="A199" s="11" t="s">
        <v>27</v>
      </c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68"/>
      <c r="P199" s="54"/>
      <c r="Q199" s="79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25"/>
      <c r="AE199" s="54"/>
      <c r="AF199" s="2"/>
      <c r="AG199" s="9"/>
      <c r="AH199" s="9"/>
      <c r="AI199" s="9"/>
      <c r="AJ199" s="9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</row>
    <row r="200" ht="21.0" hidden="1" customHeight="1" outlineLevel="1">
      <c r="A200" s="11" t="s">
        <v>34</v>
      </c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68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2"/>
      <c r="AG200" s="9"/>
      <c r="AH200" s="9"/>
      <c r="AI200" s="9"/>
      <c r="AJ200" s="9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</row>
    <row r="201" ht="21.0" hidden="1" customHeight="1" outlineLevel="1">
      <c r="A201" s="11" t="s">
        <v>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54"/>
      <c r="R201" s="2"/>
      <c r="S201" s="5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9"/>
      <c r="AH201" s="9"/>
      <c r="AI201" s="9"/>
      <c r="AJ201" s="9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</row>
    <row r="202" ht="21.0" hidden="1" customHeight="1" outlineLevel="1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9"/>
      <c r="AH202" s="9"/>
      <c r="AI202" s="9"/>
      <c r="AJ202" s="9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</row>
    <row r="203" ht="21.0" hidden="1" customHeight="1" outlineLevel="1">
      <c r="A203" s="11" t="s">
        <v>8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9"/>
      <c r="AH203" s="9"/>
      <c r="AI203" s="9"/>
      <c r="AJ203" s="9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</row>
    <row r="204" ht="21.0" hidden="1" customHeight="1" outlineLevel="1">
      <c r="A204" s="11" t="s">
        <v>29</v>
      </c>
      <c r="B204" s="54"/>
      <c r="C204" s="54"/>
      <c r="D204" s="2"/>
      <c r="E204" s="2"/>
      <c r="F204" s="2"/>
      <c r="G204" s="54"/>
      <c r="H204" s="54"/>
      <c r="I204" s="2"/>
      <c r="J204" s="2"/>
      <c r="K204" s="2"/>
      <c r="L204" s="54"/>
      <c r="M204" s="54"/>
      <c r="N204" s="2"/>
      <c r="O204" s="3"/>
      <c r="P204" s="2"/>
      <c r="Q204" s="54"/>
      <c r="R204" s="54"/>
      <c r="S204" s="2"/>
      <c r="T204" s="2"/>
      <c r="U204" s="2"/>
      <c r="V204" s="54"/>
      <c r="W204" s="54"/>
      <c r="X204" s="54"/>
      <c r="Y204" s="2"/>
      <c r="Z204" s="2"/>
      <c r="AA204" s="54"/>
      <c r="AB204" s="54"/>
      <c r="AC204" s="2"/>
      <c r="AD204" s="2"/>
      <c r="AE204" s="2"/>
      <c r="AF204" s="2"/>
      <c r="AG204" s="9"/>
      <c r="AH204" s="9"/>
      <c r="AI204" s="9"/>
      <c r="AJ204" s="9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</row>
    <row r="205" ht="21.0" hidden="1" customHeight="1" outlineLevel="1">
      <c r="A205" s="11" t="s">
        <v>36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9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65"/>
      <c r="AH205" s="65"/>
      <c r="AI205" s="65"/>
      <c r="AJ205" s="65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</row>
    <row r="206" ht="21.0" hidden="1" customHeight="1" outlineLevel="1">
      <c r="A206" s="11" t="s">
        <v>6</v>
      </c>
      <c r="B206" s="2"/>
      <c r="C206" s="2"/>
      <c r="D206" s="2"/>
      <c r="E206" s="2"/>
      <c r="F206" s="2"/>
      <c r="G206" s="2"/>
      <c r="H206" s="2"/>
      <c r="I206" s="54"/>
      <c r="J206" s="2"/>
      <c r="K206" s="2"/>
      <c r="L206" s="2"/>
      <c r="M206" s="2"/>
      <c r="N206" s="2"/>
      <c r="O206" s="3"/>
      <c r="P206" s="54"/>
      <c r="Q206" s="2"/>
      <c r="R206" s="2"/>
      <c r="S206" s="2"/>
      <c r="T206" s="2"/>
      <c r="U206" s="2"/>
      <c r="V206" s="54"/>
      <c r="W206" s="54"/>
      <c r="X206" s="2"/>
      <c r="Y206" s="2"/>
      <c r="Z206" s="2"/>
      <c r="AA206" s="2"/>
      <c r="AB206" s="2"/>
      <c r="AC206" s="2"/>
      <c r="AD206" s="2"/>
      <c r="AE206" s="2"/>
      <c r="AF206" s="2"/>
      <c r="AG206" s="9"/>
      <c r="AH206" s="9"/>
      <c r="AI206" s="9"/>
      <c r="AJ206" s="9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</row>
    <row r="207" ht="21.0" hidden="1" customHeight="1" outlineLevel="1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54"/>
      <c r="M207" s="2"/>
      <c r="N207" s="2"/>
      <c r="O207" s="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9"/>
      <c r="AH207" s="9"/>
      <c r="AI207" s="9"/>
      <c r="AJ207" s="9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</row>
    <row r="208" ht="21.0" hidden="1" customHeight="1" outlineLevel="1">
      <c r="A208" s="11" t="s">
        <v>12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9"/>
      <c r="AH208" s="9"/>
      <c r="AI208" s="9"/>
      <c r="AJ208" s="9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</row>
    <row r="209" ht="21.0" hidden="1" customHeight="1" outlineLevel="1">
      <c r="A209" s="11" t="s">
        <v>18</v>
      </c>
      <c r="B209" s="2"/>
      <c r="C209" s="54"/>
      <c r="D209" s="54"/>
      <c r="E209" s="54"/>
      <c r="F209" s="54"/>
      <c r="G209" s="2"/>
      <c r="H209" s="2"/>
      <c r="I209" s="54"/>
      <c r="J209" s="54"/>
      <c r="K209" s="54"/>
      <c r="L209" s="54"/>
      <c r="M209" s="54"/>
      <c r="N209" s="54"/>
      <c r="O209" s="3"/>
      <c r="P209" s="54"/>
      <c r="Q209" s="54"/>
      <c r="R209" s="54"/>
      <c r="S209" s="54"/>
      <c r="T209" s="54"/>
      <c r="U209" s="108"/>
      <c r="V209" s="108"/>
      <c r="W209" s="54"/>
      <c r="X209" s="54"/>
      <c r="Y209" s="108"/>
      <c r="Z209" s="108"/>
      <c r="AA209" s="54"/>
      <c r="AB209" s="54"/>
      <c r="AC209" s="54"/>
      <c r="AD209" s="54"/>
      <c r="AE209" s="54"/>
      <c r="AF209" s="2"/>
      <c r="AG209" s="9"/>
      <c r="AH209" s="9"/>
      <c r="AI209" s="9"/>
      <c r="AJ209" s="9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</row>
    <row r="210" ht="21.0" hidden="1" customHeight="1" outlineLevel="1">
      <c r="A210" s="11" t="s">
        <v>31</v>
      </c>
      <c r="B210" s="54"/>
      <c r="C210" s="54"/>
      <c r="D210" s="54"/>
      <c r="E210" s="2"/>
      <c r="F210" s="2"/>
      <c r="G210" s="54"/>
      <c r="H210" s="54"/>
      <c r="I210" s="2"/>
      <c r="J210" s="54"/>
      <c r="K210" s="54"/>
      <c r="L210" s="54"/>
      <c r="M210" s="54"/>
      <c r="N210" s="54"/>
      <c r="O210" s="68"/>
      <c r="P210" s="54"/>
      <c r="Q210" s="54"/>
      <c r="R210" s="54"/>
      <c r="S210" s="54"/>
      <c r="T210" s="54"/>
      <c r="U210" s="2"/>
      <c r="V210" s="54"/>
      <c r="W210" s="54"/>
      <c r="X210" s="54"/>
      <c r="Y210" s="2"/>
      <c r="Z210" s="54"/>
      <c r="AA210" s="54"/>
      <c r="AB210" s="54"/>
      <c r="AC210" s="54"/>
      <c r="AD210" s="54"/>
      <c r="AE210" s="54"/>
      <c r="AF210" s="2"/>
      <c r="AG210" s="9"/>
      <c r="AH210" s="9"/>
      <c r="AI210" s="9"/>
      <c r="AJ210" s="9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</row>
    <row r="211" ht="21.0" hidden="1" customHeight="1" outlineLevel="1">
      <c r="A211" s="11" t="s">
        <v>14</v>
      </c>
      <c r="B211" s="54"/>
      <c r="C211" s="54"/>
      <c r="D211" s="2"/>
      <c r="E211" s="2"/>
      <c r="F211" s="2"/>
      <c r="G211" s="54"/>
      <c r="H211" s="2"/>
      <c r="I211" s="2"/>
      <c r="J211" s="2"/>
      <c r="K211" s="2"/>
      <c r="L211" s="2"/>
      <c r="M211" s="54"/>
      <c r="N211" s="54"/>
      <c r="O211" s="3"/>
      <c r="P211" s="54"/>
      <c r="Q211" s="54"/>
      <c r="R211" s="2"/>
      <c r="S211" s="2"/>
      <c r="T211" s="2"/>
      <c r="U211" s="5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9"/>
      <c r="AH211" s="9"/>
      <c r="AI211" s="9"/>
      <c r="AJ211" s="9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</row>
    <row r="212" ht="21.0" hidden="1" customHeight="1" outlineLevel="1">
      <c r="A212" s="11"/>
      <c r="B212" s="2"/>
      <c r="C212" s="2"/>
      <c r="D212" s="2"/>
      <c r="E212" s="2"/>
      <c r="F212" s="2"/>
      <c r="G212" s="54"/>
      <c r="H212" s="54"/>
      <c r="I212" s="2"/>
      <c r="J212" s="2"/>
      <c r="K212" s="2"/>
      <c r="L212" s="2"/>
      <c r="M212" s="2"/>
      <c r="N212" s="2"/>
      <c r="O212" s="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9"/>
      <c r="AH212" s="9"/>
      <c r="AI212" s="9"/>
      <c r="AJ212" s="9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</row>
    <row r="213" ht="21.0" hidden="1" customHeight="1" outlineLevel="1">
      <c r="A213" s="1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9"/>
      <c r="AH213" s="9"/>
      <c r="AI213" s="9"/>
      <c r="AJ213" s="9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</row>
    <row r="214" ht="21.0" hidden="1" customHeight="1" outlineLevel="1">
      <c r="A214" s="11" t="s">
        <v>25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9"/>
      <c r="AH214" s="9"/>
      <c r="AI214" s="9"/>
      <c r="AJ214" s="9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</row>
    <row r="215" ht="21.0" hidden="1" customHeight="1" outlineLevel="1">
      <c r="A215" s="11" t="s">
        <v>42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9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65"/>
      <c r="AH215" s="65"/>
      <c r="AI215" s="65"/>
      <c r="AJ215" s="65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</row>
    <row r="216" ht="21.0" hidden="1" customHeight="1" outlineLevel="1">
      <c r="A216" s="11" t="s">
        <v>47</v>
      </c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68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82"/>
      <c r="AH216" s="82"/>
      <c r="AI216" s="82"/>
      <c r="AJ216" s="82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</row>
    <row r="217" ht="21.0" hidden="1" customHeight="1" outlineLevel="1">
      <c r="A217" s="11" t="s">
        <v>14</v>
      </c>
      <c r="B217" s="2"/>
      <c r="C217" s="2"/>
      <c r="D217" s="54"/>
      <c r="E217" s="2"/>
      <c r="F217" s="2"/>
      <c r="G217" s="2"/>
      <c r="H217" s="54"/>
      <c r="I217" s="54"/>
      <c r="J217" s="2"/>
      <c r="K217" s="2"/>
      <c r="L217" s="54"/>
      <c r="M217" s="2"/>
      <c r="N217" s="2"/>
      <c r="O217" s="3"/>
      <c r="P217" s="2"/>
      <c r="Q217" s="2"/>
      <c r="R217" s="2"/>
      <c r="S217" s="54"/>
      <c r="T217" s="54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9"/>
      <c r="AH217" s="9"/>
      <c r="AI217" s="9"/>
      <c r="AJ217" s="9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</row>
    <row r="218" ht="21.0" hidden="1" customHeight="1" outlineLevel="1">
      <c r="A218" s="11" t="s">
        <v>48</v>
      </c>
      <c r="B218" s="2"/>
      <c r="C218" s="2"/>
      <c r="D218" s="54"/>
      <c r="E218" s="2"/>
      <c r="F218" s="2"/>
      <c r="G218" s="2"/>
      <c r="H218" s="54"/>
      <c r="I218" s="54"/>
      <c r="J218" s="2"/>
      <c r="K218" s="2"/>
      <c r="L218" s="54"/>
      <c r="M218" s="2"/>
      <c r="N218" s="2"/>
      <c r="O218" s="3"/>
      <c r="P218" s="2"/>
      <c r="Q218" s="2"/>
      <c r="R218" s="2"/>
      <c r="S218" s="54"/>
      <c r="T218" s="54"/>
      <c r="U218" s="2"/>
      <c r="V218" s="2"/>
      <c r="W218" s="2"/>
      <c r="X218" s="2"/>
      <c r="Y218" s="2"/>
      <c r="Z218" s="2"/>
      <c r="AA218" s="54"/>
      <c r="AB218" s="2"/>
      <c r="AC218" s="2"/>
      <c r="AD218" s="2"/>
      <c r="AE218" s="2"/>
      <c r="AF218" s="2"/>
      <c r="AG218" s="9"/>
      <c r="AH218" s="9"/>
      <c r="AI218" s="9"/>
      <c r="AJ218" s="9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</row>
    <row r="219" ht="21.0" hidden="1" customHeight="1" outlineLevel="1">
      <c r="A219" s="1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9"/>
      <c r="AH219" s="9"/>
      <c r="AI219" s="9"/>
      <c r="AJ219" s="9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</row>
    <row r="220" ht="21.0" hidden="1" customHeight="1" outlineLevel="1">
      <c r="A220" s="11" t="s">
        <v>49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9"/>
      <c r="AH220" s="9"/>
      <c r="AI220" s="9"/>
      <c r="AJ220" s="9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</row>
    <row r="221" ht="21.0" hidden="1" customHeight="1" outlineLevel="1">
      <c r="A221" s="11" t="s">
        <v>44</v>
      </c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9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65"/>
      <c r="AH221" s="65"/>
      <c r="AI221" s="65"/>
      <c r="AJ221" s="65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</row>
    <row r="222" ht="21.0" hidden="1" customHeight="1" outlineLevel="1">
      <c r="A222" s="11" t="s">
        <v>37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9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65"/>
      <c r="AH222" s="65"/>
      <c r="AI222" s="65"/>
      <c r="AJ222" s="65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</row>
    <row r="223" ht="21.0" hidden="1" customHeight="1" outlineLevel="1">
      <c r="A223" s="11" t="s">
        <v>42</v>
      </c>
      <c r="B223" s="2"/>
      <c r="C223" s="2"/>
      <c r="D223" s="2"/>
      <c r="E223" s="2"/>
      <c r="F223" s="2"/>
      <c r="G223" s="2"/>
      <c r="H223" s="54"/>
      <c r="I223" s="2"/>
      <c r="J223" s="2"/>
      <c r="K223" s="2"/>
      <c r="L223" s="54"/>
      <c r="M223" s="2"/>
      <c r="N223" s="2"/>
      <c r="O223" s="68"/>
      <c r="P223" s="2"/>
      <c r="Q223" s="2"/>
      <c r="R223" s="2"/>
      <c r="S223" s="2"/>
      <c r="T223" s="2"/>
      <c r="U223" s="5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9"/>
      <c r="AH223" s="9"/>
      <c r="AI223" s="9"/>
      <c r="AJ223" s="9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</row>
    <row r="224" ht="21.0" hidden="1" customHeight="1" outlineLevel="1">
      <c r="A224" s="1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9"/>
      <c r="AH224" s="9"/>
      <c r="AI224" s="9"/>
      <c r="AJ224" s="9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</row>
    <row r="225" ht="21.0" hidden="1" customHeight="1" outlineLevel="1">
      <c r="A225" s="1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9"/>
      <c r="AH225" s="9"/>
      <c r="AI225" s="9"/>
      <c r="AJ225" s="9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</row>
    <row r="226" ht="21.0" hidden="1" customHeight="1" outlineLevel="1">
      <c r="A226" s="11" t="s">
        <v>50</v>
      </c>
      <c r="B226" s="79"/>
      <c r="C226" s="79"/>
      <c r="D226" s="79"/>
      <c r="E226" s="79"/>
      <c r="F226" s="5"/>
      <c r="G226" s="5"/>
      <c r="H226" s="5"/>
      <c r="I226" s="5"/>
      <c r="J226" s="5"/>
      <c r="K226" s="5"/>
      <c r="L226" s="5"/>
      <c r="M226" s="5"/>
      <c r="N226" s="5"/>
      <c r="O226" s="12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7"/>
      <c r="AG226" s="8"/>
      <c r="AH226" s="8"/>
      <c r="AI226" s="8"/>
      <c r="AJ226" s="101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</row>
    <row r="227" ht="21.0" hidden="1" customHeight="1" outlineLevel="1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2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17"/>
      <c r="AH227" s="93"/>
      <c r="AI227" s="93"/>
      <c r="AJ227" s="18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</row>
    <row r="228" ht="21.0" hidden="1" customHeight="1" outlineLevel="1">
      <c r="A228" s="11" t="s">
        <v>2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9"/>
      <c r="AH228" s="9"/>
      <c r="AI228" s="9"/>
      <c r="AJ228" s="9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</row>
    <row r="229" ht="21.0" hidden="1" customHeight="1" outlineLevel="1">
      <c r="A229" s="11" t="s">
        <v>27</v>
      </c>
      <c r="B229" s="54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68"/>
      <c r="P229" s="54"/>
      <c r="Q229" s="110"/>
      <c r="R229" s="109"/>
      <c r="S229" s="109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2"/>
      <c r="AG229" s="9"/>
      <c r="AH229" s="9"/>
      <c r="AI229" s="9"/>
      <c r="AJ229" s="9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</row>
    <row r="230" ht="21.0" hidden="1" customHeight="1" outlineLevel="1">
      <c r="A230" s="11" t="s">
        <v>34</v>
      </c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68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2"/>
      <c r="AG230" s="9"/>
      <c r="AH230" s="9"/>
      <c r="AI230" s="9"/>
      <c r="AJ230" s="9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</row>
    <row r="231" ht="21.0" hidden="1" customHeight="1" outlineLevel="1">
      <c r="A231" s="11" t="s">
        <v>37</v>
      </c>
      <c r="B231" s="2"/>
      <c r="C231" s="2"/>
      <c r="D231" s="2"/>
      <c r="E231" s="2"/>
      <c r="F231" s="2"/>
      <c r="G231" s="2"/>
      <c r="H231" s="2"/>
      <c r="I231" s="2"/>
      <c r="J231" s="2"/>
      <c r="K231" s="54"/>
      <c r="L231" s="2"/>
      <c r="M231" s="2"/>
      <c r="N231" s="2"/>
      <c r="O231" s="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9"/>
      <c r="AH231" s="9"/>
      <c r="AI231" s="9"/>
      <c r="AJ231" s="9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</row>
    <row r="232" ht="21.0" hidden="1" customHeight="1" outlineLevel="1">
      <c r="A232" s="11" t="s">
        <v>51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54"/>
      <c r="S232" s="2"/>
      <c r="T232" s="54"/>
      <c r="U232" s="54"/>
      <c r="V232" s="54"/>
      <c r="W232" s="54"/>
      <c r="X232" s="54"/>
      <c r="Y232" s="2"/>
      <c r="Z232" s="2"/>
      <c r="AA232" s="54"/>
      <c r="AB232" s="54"/>
      <c r="AC232" s="2"/>
      <c r="AD232" s="2"/>
      <c r="AE232" s="2"/>
      <c r="AF232" s="2"/>
      <c r="AG232" s="9"/>
      <c r="AH232" s="9"/>
      <c r="AI232" s="9"/>
      <c r="AJ232" s="9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</row>
    <row r="233" ht="21.0" hidden="1" customHeight="1" outlineLevel="1">
      <c r="A233" s="1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9"/>
      <c r="AH233" s="9"/>
      <c r="AI233" s="9"/>
      <c r="AJ233" s="9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</row>
    <row r="234" ht="21.0" hidden="1" customHeight="1" outlineLevel="1">
      <c r="A234" s="11" t="s">
        <v>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9"/>
      <c r="AH234" s="9"/>
      <c r="AI234" s="9"/>
      <c r="AJ234" s="9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</row>
    <row r="235" ht="27.0" hidden="1" customHeight="1" outlineLevel="1">
      <c r="A235" s="11" t="s">
        <v>29</v>
      </c>
      <c r="B235" s="109"/>
      <c r="C235" s="109"/>
      <c r="D235" s="111"/>
      <c r="E235" s="111"/>
      <c r="F235" s="109"/>
      <c r="G235" s="109"/>
      <c r="H235" s="109"/>
      <c r="I235" s="2"/>
      <c r="J235" s="54"/>
      <c r="K235" s="109"/>
      <c r="L235" s="109"/>
      <c r="M235" s="54"/>
      <c r="N235" s="2"/>
      <c r="O235" s="3"/>
      <c r="P235" s="54"/>
      <c r="Q235" s="109"/>
      <c r="R235" s="54"/>
      <c r="S235" s="2"/>
      <c r="T235" s="54"/>
      <c r="U235" s="54"/>
      <c r="V235" s="109"/>
      <c r="W235" s="109"/>
      <c r="X235" s="54"/>
      <c r="Y235" s="54"/>
      <c r="Z235" s="109"/>
      <c r="AA235" s="109"/>
      <c r="AB235" s="54"/>
      <c r="AC235" s="54"/>
      <c r="AD235" s="2"/>
      <c r="AE235" s="2"/>
      <c r="AF235" s="2"/>
      <c r="AG235" s="9"/>
      <c r="AH235" s="9"/>
      <c r="AI235" s="9"/>
      <c r="AJ235" s="9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</row>
    <row r="236" ht="33.0" hidden="1" customHeight="1" outlineLevel="1">
      <c r="A236" s="11" t="s">
        <v>52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9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65"/>
      <c r="AH236" s="65"/>
      <c r="AI236" s="65"/>
      <c r="AJ236" s="65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</row>
    <row r="237" ht="21.0" hidden="1" customHeight="1" outlineLevel="1">
      <c r="A237" s="11" t="s">
        <v>36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9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65"/>
      <c r="AH237" s="65"/>
      <c r="AI237" s="65"/>
      <c r="AJ237" s="65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</row>
    <row r="238" ht="21.0" hidden="1" customHeight="1" outlineLevel="1">
      <c r="A238" s="11" t="s">
        <v>42</v>
      </c>
      <c r="B238" s="54"/>
      <c r="C238" s="2"/>
      <c r="D238" s="2"/>
      <c r="E238" s="2"/>
      <c r="F238" s="2"/>
      <c r="G238" s="2"/>
      <c r="H238" s="2"/>
      <c r="I238" s="54"/>
      <c r="J238" s="2"/>
      <c r="K238" s="2"/>
      <c r="L238" s="2"/>
      <c r="M238" s="2"/>
      <c r="N238" s="2"/>
      <c r="O238" s="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9"/>
      <c r="AH238" s="9"/>
      <c r="AI238" s="9"/>
      <c r="AJ238" s="9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</row>
    <row r="239" ht="21.0" hidden="1" customHeight="1" outlineLevel="1">
      <c r="A239" s="11" t="s">
        <v>31</v>
      </c>
      <c r="B239" s="2"/>
      <c r="C239" s="2"/>
      <c r="D239" s="2"/>
      <c r="E239" s="2"/>
      <c r="F239" s="2"/>
      <c r="G239" s="2"/>
      <c r="H239" s="2"/>
      <c r="I239" s="2"/>
      <c r="J239" s="54"/>
      <c r="K239" s="2"/>
      <c r="L239" s="2"/>
      <c r="M239" s="2"/>
      <c r="N239" s="2"/>
      <c r="O239" s="3"/>
      <c r="P239" s="2"/>
      <c r="Q239" s="2"/>
      <c r="R239" s="2"/>
      <c r="S239" s="2"/>
      <c r="T239" s="2"/>
      <c r="U239" s="2"/>
      <c r="V239" s="54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9"/>
      <c r="AH239" s="9"/>
      <c r="AI239" s="9"/>
      <c r="AJ239" s="9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</row>
    <row r="240" ht="21.0" hidden="1" customHeight="1" outlineLevel="1">
      <c r="A240" s="11" t="s">
        <v>53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2"/>
      <c r="Q240" s="2"/>
      <c r="R240" s="2"/>
      <c r="S240" s="2"/>
      <c r="T240" s="2"/>
      <c r="U240" s="10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9"/>
      <c r="AH240" s="9"/>
      <c r="AI240" s="9"/>
      <c r="AJ240" s="9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</row>
    <row r="241" ht="21.0" hidden="1" customHeight="1" outlineLevel="1">
      <c r="A241" s="1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9"/>
      <c r="AH241" s="9"/>
      <c r="AI241" s="9"/>
      <c r="AJ241" s="9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</row>
    <row r="242" ht="21.0" hidden="1" customHeight="1" outlineLevel="1">
      <c r="A242" s="11" t="s">
        <v>12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9"/>
      <c r="AH242" s="9"/>
      <c r="AI242" s="9"/>
      <c r="AJ242" s="9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</row>
    <row r="243" ht="21.0" hidden="1" customHeight="1" outlineLevel="1">
      <c r="A243" s="11" t="s">
        <v>18</v>
      </c>
      <c r="B243" s="54"/>
      <c r="C243" s="54"/>
      <c r="D243" s="54"/>
      <c r="E243" s="54"/>
      <c r="F243" s="54"/>
      <c r="G243" s="54"/>
      <c r="H243" s="2"/>
      <c r="I243" s="54"/>
      <c r="J243" s="54"/>
      <c r="K243" s="54"/>
      <c r="L243" s="54"/>
      <c r="M243" s="54"/>
      <c r="N243" s="54"/>
      <c r="O243" s="68"/>
      <c r="P243" s="54"/>
      <c r="Q243" s="54"/>
      <c r="R243" s="54"/>
      <c r="S243" s="54"/>
      <c r="T243" s="54"/>
      <c r="U243" s="108"/>
      <c r="V243" s="25"/>
      <c r="W243" s="54"/>
      <c r="X243" s="54"/>
      <c r="Y243" s="108"/>
      <c r="Z243" s="25"/>
      <c r="AA243" s="54"/>
      <c r="AB243" s="54"/>
      <c r="AC243" s="54"/>
      <c r="AD243" s="54"/>
      <c r="AE243" s="54"/>
      <c r="AF243" s="2"/>
      <c r="AG243" s="9"/>
      <c r="AH243" s="9"/>
      <c r="AI243" s="9"/>
      <c r="AJ243" s="9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</row>
    <row r="244" ht="21.0" hidden="1" customHeight="1" outlineLevel="1">
      <c r="A244" s="11" t="s">
        <v>31</v>
      </c>
      <c r="B244" s="54"/>
      <c r="C244" s="54"/>
      <c r="D244" s="54"/>
      <c r="E244" s="54"/>
      <c r="F244" s="2"/>
      <c r="G244" s="54"/>
      <c r="H244" s="54"/>
      <c r="I244" s="54"/>
      <c r="J244" s="54"/>
      <c r="K244" s="54"/>
      <c r="L244" s="54"/>
      <c r="M244" s="54"/>
      <c r="N244" s="54"/>
      <c r="O244" s="68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2"/>
      <c r="AG244" s="9"/>
      <c r="AH244" s="9"/>
      <c r="AI244" s="9"/>
      <c r="AJ244" s="9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</row>
    <row r="245" ht="21.0" hidden="1" customHeight="1" outlineLevel="1">
      <c r="A245" s="11" t="s">
        <v>14</v>
      </c>
      <c r="B245" s="54"/>
      <c r="C245" s="54"/>
      <c r="D245" s="2"/>
      <c r="E245" s="2"/>
      <c r="F245" s="2"/>
      <c r="G245" s="54"/>
      <c r="H245" s="2"/>
      <c r="I245" s="2"/>
      <c r="J245" s="2"/>
      <c r="K245" s="2"/>
      <c r="L245" s="2"/>
      <c r="M245" s="2"/>
      <c r="N245" s="54"/>
      <c r="O245" s="3"/>
      <c r="P245" s="54"/>
      <c r="Q245" s="54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9"/>
      <c r="AH245" s="9"/>
      <c r="AI245" s="9"/>
      <c r="AJ245" s="9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</row>
    <row r="246" ht="21.0" hidden="1" customHeight="1" outlineLevel="1">
      <c r="A246" s="11"/>
      <c r="B246" s="2"/>
      <c r="C246" s="2"/>
      <c r="D246" s="2"/>
      <c r="E246" s="2"/>
      <c r="F246" s="2"/>
      <c r="G246" s="54"/>
      <c r="H246" s="54"/>
      <c r="I246" s="2"/>
      <c r="J246" s="2"/>
      <c r="K246" s="2"/>
      <c r="L246" s="2"/>
      <c r="M246" s="2"/>
      <c r="N246" s="2"/>
      <c r="O246" s="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9"/>
      <c r="AH246" s="9"/>
      <c r="AI246" s="9"/>
      <c r="AJ246" s="9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</row>
    <row r="247" ht="21.0" hidden="1" customHeight="1" outlineLevel="1">
      <c r="A247" s="1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9"/>
      <c r="AH247" s="9"/>
      <c r="AI247" s="9"/>
      <c r="AJ247" s="9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</row>
    <row r="248" ht="21.0" hidden="1" customHeight="1" outlineLevel="1">
      <c r="A248" s="11" t="s">
        <v>25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9"/>
      <c r="AH248" s="9"/>
      <c r="AI248" s="9"/>
      <c r="AJ248" s="9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</row>
    <row r="249" ht="21.0" hidden="1" customHeight="1" outlineLevel="1">
      <c r="A249" s="11" t="s">
        <v>47</v>
      </c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68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82"/>
      <c r="AH249" s="82"/>
      <c r="AI249" s="82"/>
      <c r="AJ249" s="82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</row>
    <row r="250" ht="21.0" hidden="1" customHeight="1" outlineLevel="1">
      <c r="A250" s="11" t="s">
        <v>54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2"/>
      <c r="Q250" s="2"/>
      <c r="R250" s="2"/>
      <c r="S250" s="2"/>
      <c r="T250" s="54"/>
      <c r="U250" s="2"/>
      <c r="V250" s="2"/>
      <c r="W250" s="54"/>
      <c r="X250" s="54"/>
      <c r="Y250" s="2"/>
      <c r="Z250" s="2"/>
      <c r="AA250" s="54"/>
      <c r="AB250" s="54"/>
      <c r="AC250" s="2"/>
      <c r="AD250" s="2"/>
      <c r="AE250" s="2"/>
      <c r="AF250" s="2"/>
      <c r="AG250" s="9"/>
      <c r="AH250" s="9"/>
      <c r="AI250" s="9"/>
      <c r="AJ250" s="9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</row>
    <row r="251" ht="21.0" hidden="1" customHeight="1" outlineLevel="1">
      <c r="A251" s="11" t="s">
        <v>14</v>
      </c>
      <c r="B251" s="2"/>
      <c r="C251" s="2"/>
      <c r="D251" s="54"/>
      <c r="E251" s="2"/>
      <c r="F251" s="2"/>
      <c r="G251" s="2"/>
      <c r="H251" s="54"/>
      <c r="I251" s="54"/>
      <c r="J251" s="2"/>
      <c r="K251" s="54"/>
      <c r="L251" s="54"/>
      <c r="M251" s="54"/>
      <c r="N251" s="2"/>
      <c r="O251" s="3"/>
      <c r="P251" s="2"/>
      <c r="Q251" s="2"/>
      <c r="R251" s="2"/>
      <c r="S251" s="54"/>
      <c r="T251" s="54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9"/>
      <c r="AH251" s="9"/>
      <c r="AI251" s="9"/>
      <c r="AJ251" s="9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</row>
    <row r="252" ht="21.0" hidden="1" customHeight="1" outlineLevel="1">
      <c r="A252" s="11" t="s">
        <v>27</v>
      </c>
      <c r="B252" s="2"/>
      <c r="C252" s="2"/>
      <c r="D252" s="2"/>
      <c r="E252" s="2"/>
      <c r="F252" s="2"/>
      <c r="G252" s="2"/>
      <c r="H252" s="2"/>
      <c r="I252" s="2"/>
      <c r="J252" s="2"/>
      <c r="K252" s="54"/>
      <c r="L252" s="2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9"/>
      <c r="AH252" s="9"/>
      <c r="AI252" s="9"/>
      <c r="AJ252" s="9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</row>
    <row r="253" ht="21.0" hidden="1" customHeight="1" outlineLevel="1">
      <c r="A253" s="11" t="s">
        <v>42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9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65"/>
      <c r="AH253" s="65"/>
      <c r="AI253" s="65"/>
      <c r="AJ253" s="65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</row>
    <row r="254" ht="21.0" hidden="1" customHeight="1" outlineLevel="1">
      <c r="A254" s="11" t="s">
        <v>51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12"/>
      <c r="P254" s="103"/>
      <c r="Q254" s="2"/>
      <c r="R254" s="2"/>
      <c r="S254" s="54"/>
      <c r="T254" s="54"/>
      <c r="U254" s="2"/>
      <c r="V254" s="2"/>
      <c r="W254" s="54"/>
      <c r="X254" s="54"/>
      <c r="Y254" s="2"/>
      <c r="Z254" s="2"/>
      <c r="AA254" s="54"/>
      <c r="AB254" s="54"/>
      <c r="AC254" s="2"/>
      <c r="AD254" s="2"/>
      <c r="AE254" s="54"/>
      <c r="AF254" s="54"/>
      <c r="AG254" s="9"/>
      <c r="AH254" s="9"/>
      <c r="AI254" s="9"/>
      <c r="AJ254" s="9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</row>
    <row r="255" ht="21.0" hidden="1" customHeight="1" outlineLevel="1">
      <c r="A255" s="11" t="s">
        <v>31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54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9"/>
      <c r="AH255" s="9"/>
      <c r="AI255" s="9"/>
      <c r="AJ255" s="9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</row>
    <row r="256" ht="21.0" hidden="1" customHeight="1" outlineLevel="1">
      <c r="A256" s="1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9"/>
      <c r="AH256" s="9"/>
      <c r="AI256" s="9"/>
      <c r="AJ256" s="9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</row>
    <row r="257" ht="21.0" hidden="1" customHeight="1" outlineLevel="1">
      <c r="A257" s="11" t="s">
        <v>49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9"/>
      <c r="AH257" s="9"/>
      <c r="AI257" s="9"/>
      <c r="AJ257" s="9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</row>
    <row r="258" ht="37.5" hidden="1" customHeight="1" outlineLevel="1">
      <c r="A258" s="11" t="s">
        <v>44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9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65"/>
      <c r="AH258" s="65"/>
      <c r="AI258" s="65"/>
      <c r="AJ258" s="65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</row>
    <row r="259" ht="21.0" hidden="1" customHeight="1" outlineLevel="1">
      <c r="A259" s="11" t="s">
        <v>37</v>
      </c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9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65"/>
      <c r="AH259" s="65"/>
      <c r="AI259" s="65"/>
      <c r="AJ259" s="65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</row>
    <row r="260" ht="21.0" hidden="1" customHeight="1" outlineLevel="1">
      <c r="A260" s="11" t="s">
        <v>55</v>
      </c>
      <c r="B260" s="2"/>
      <c r="C260" s="2"/>
      <c r="D260" s="2"/>
      <c r="E260" s="2"/>
      <c r="F260" s="2"/>
      <c r="G260" s="54"/>
      <c r="H260" s="54"/>
      <c r="I260" s="2"/>
      <c r="J260" s="54"/>
      <c r="K260" s="54"/>
      <c r="L260" s="54"/>
      <c r="M260" s="2"/>
      <c r="N260" s="54"/>
      <c r="O260" s="68"/>
      <c r="P260" s="2"/>
      <c r="Q260" s="2"/>
      <c r="R260" s="54"/>
      <c r="S260" s="54"/>
      <c r="T260" s="2"/>
      <c r="U260" s="2"/>
      <c r="V260" s="54"/>
      <c r="W260" s="54"/>
      <c r="X260" s="2"/>
      <c r="Y260" s="2"/>
      <c r="Z260" s="54"/>
      <c r="AA260" s="54"/>
      <c r="AB260" s="2"/>
      <c r="AC260" s="2"/>
      <c r="AD260" s="54"/>
      <c r="AE260" s="54"/>
      <c r="AF260" s="2"/>
      <c r="AG260" s="9"/>
      <c r="AH260" s="104"/>
      <c r="AI260" s="104"/>
      <c r="AJ260" s="9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</row>
    <row r="261" ht="31.5" hidden="1" customHeight="1" outlineLevel="1">
      <c r="A261" s="11" t="s">
        <v>31</v>
      </c>
      <c r="B261" s="2"/>
      <c r="C261" s="2"/>
      <c r="D261" s="2"/>
      <c r="E261" s="2"/>
      <c r="F261" s="54"/>
      <c r="G261" s="2"/>
      <c r="H261" s="2"/>
      <c r="I261" s="2"/>
      <c r="J261" s="2"/>
      <c r="K261" s="2"/>
      <c r="L261" s="2"/>
      <c r="M261" s="2"/>
      <c r="N261" s="2"/>
      <c r="O261" s="68"/>
      <c r="P261" s="54"/>
      <c r="Q261" s="54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9"/>
      <c r="AH261" s="9"/>
      <c r="AI261" s="9"/>
      <c r="AJ261" s="9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</row>
    <row r="262" ht="21.0" hidden="1" customHeight="1" outlineLevel="1">
      <c r="A262" s="11" t="s">
        <v>17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54"/>
      <c r="Q262" s="54"/>
      <c r="R262" s="2"/>
      <c r="S262" s="2"/>
      <c r="T262" s="54"/>
      <c r="U262" s="54"/>
      <c r="V262" s="2"/>
      <c r="W262" s="54"/>
      <c r="X262" s="54"/>
      <c r="Y262" s="54"/>
      <c r="Z262" s="2"/>
      <c r="AA262" s="2"/>
      <c r="AB262" s="54"/>
      <c r="AC262" s="54"/>
      <c r="AD262" s="54"/>
      <c r="AE262" s="2"/>
      <c r="AF262" s="54"/>
      <c r="AG262" s="104"/>
      <c r="AH262" s="9"/>
      <c r="AI262" s="9"/>
      <c r="AJ262" s="104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</row>
    <row r="263" ht="31.5" hidden="1" customHeight="1" outlineLevel="1">
      <c r="A263" s="11" t="s">
        <v>52</v>
      </c>
      <c r="B263" s="2"/>
      <c r="C263" s="2"/>
      <c r="D263" s="2"/>
      <c r="E263" s="2"/>
      <c r="F263" s="2"/>
      <c r="G263" s="2"/>
      <c r="H263" s="2"/>
      <c r="I263" s="2"/>
      <c r="J263" s="54"/>
      <c r="K263" s="2"/>
      <c r="L263" s="2"/>
      <c r="M263" s="2"/>
      <c r="N263" s="103"/>
      <c r="O263" s="112"/>
      <c r="P263" s="2"/>
      <c r="Q263" s="2"/>
      <c r="R263" s="54"/>
      <c r="S263" s="54"/>
      <c r="T263" s="2"/>
      <c r="U263" s="2"/>
      <c r="V263" s="54"/>
      <c r="W263" s="54"/>
      <c r="X263" s="2"/>
      <c r="Y263" s="2"/>
      <c r="Z263" s="54"/>
      <c r="AA263" s="54"/>
      <c r="AB263" s="2"/>
      <c r="AC263" s="2"/>
      <c r="AD263" s="54"/>
      <c r="AE263" s="54"/>
      <c r="AF263" s="2"/>
      <c r="AG263" s="9"/>
      <c r="AH263" s="104"/>
      <c r="AI263" s="104"/>
      <c r="AJ263" s="104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</row>
    <row r="264" ht="21.0" hidden="1" customHeight="1" outlineLevel="1">
      <c r="A264" s="1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9"/>
      <c r="AH264" s="9"/>
      <c r="AI264" s="9"/>
      <c r="AJ264" s="9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</row>
    <row r="265" hidden="1" outlineLevel="1">
      <c r="A265" s="11" t="s">
        <v>56</v>
      </c>
      <c r="B265" s="79"/>
      <c r="C265" s="79"/>
      <c r="D265" s="79"/>
      <c r="E265" s="79"/>
      <c r="F265" s="5"/>
      <c r="G265" s="5"/>
      <c r="H265" s="79"/>
      <c r="I265" s="79"/>
      <c r="J265" s="79"/>
      <c r="K265" s="79"/>
      <c r="L265" s="79"/>
      <c r="M265" s="5"/>
      <c r="N265" s="5"/>
      <c r="O265" s="99"/>
      <c r="P265" s="79"/>
      <c r="Q265" s="79"/>
      <c r="R265" s="79"/>
      <c r="S265" s="79"/>
      <c r="T265" s="5"/>
      <c r="U265" s="5"/>
      <c r="V265" s="79"/>
      <c r="W265" s="79"/>
      <c r="X265" s="79"/>
      <c r="Y265" s="79"/>
      <c r="Z265" s="79"/>
      <c r="AA265" s="5"/>
      <c r="AB265" s="5"/>
      <c r="AC265" s="79"/>
      <c r="AD265" s="79"/>
      <c r="AE265" s="79"/>
      <c r="AF265" s="79"/>
      <c r="AG265" s="101"/>
      <c r="AH265" s="14"/>
      <c r="AI265" s="14"/>
      <c r="AJ265" s="101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</row>
    <row r="266" hidden="1" outlineLevel="1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2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17"/>
      <c r="AH266" s="93"/>
      <c r="AI266" s="93"/>
      <c r="AJ266" s="18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</row>
    <row r="267" hidden="1" outlineLevel="1">
      <c r="A267" s="11" t="s">
        <v>2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9"/>
      <c r="AH267" s="9"/>
      <c r="AI267" s="9"/>
      <c r="AJ267" s="9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</row>
    <row r="268" hidden="1" outlineLevel="1">
      <c r="A268" s="11" t="s">
        <v>51</v>
      </c>
      <c r="B268" s="113"/>
      <c r="C268" s="113"/>
      <c r="D268" s="113"/>
      <c r="E268" s="113"/>
      <c r="F268" s="113"/>
      <c r="G268" s="113"/>
      <c r="H268" s="113"/>
      <c r="I268" s="113"/>
      <c r="J268" s="114"/>
      <c r="K268" s="113"/>
      <c r="L268" s="113"/>
      <c r="M268" s="113"/>
      <c r="N268" s="113"/>
      <c r="O268" s="115"/>
      <c r="P268" s="113"/>
      <c r="Q268" s="116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7"/>
      <c r="AG268" s="118"/>
      <c r="AH268" s="118"/>
      <c r="AI268" s="118"/>
      <c r="AJ268" s="118"/>
      <c r="AK268" s="119"/>
      <c r="AL268" s="119"/>
      <c r="AM268" s="119"/>
      <c r="AN268" s="119"/>
      <c r="AO268" s="119"/>
      <c r="AP268" s="119"/>
      <c r="AQ268" s="119"/>
      <c r="AR268" s="119"/>
      <c r="AS268" s="119"/>
      <c r="AT268" s="119"/>
      <c r="AU268" s="119"/>
      <c r="AV268" s="119"/>
      <c r="AW268" s="119"/>
      <c r="AX268" s="119"/>
      <c r="AY268" s="119"/>
      <c r="AZ268" s="119"/>
      <c r="BA268" s="119"/>
      <c r="BB268" s="119"/>
      <c r="BC268" s="119"/>
      <c r="BD268" s="119"/>
    </row>
    <row r="269" hidden="1" outlineLevel="1">
      <c r="A269" s="11" t="s">
        <v>34</v>
      </c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5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7"/>
      <c r="AG269" s="118"/>
      <c r="AH269" s="118"/>
      <c r="AI269" s="118"/>
      <c r="AJ269" s="118"/>
      <c r="AK269" s="119"/>
      <c r="AL269" s="119"/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19"/>
      <c r="AZ269" s="119"/>
      <c r="BA269" s="119"/>
      <c r="BB269" s="119"/>
      <c r="BC269" s="119"/>
      <c r="BD269" s="119"/>
    </row>
    <row r="270" hidden="1" outlineLevel="1">
      <c r="A270" s="11" t="s">
        <v>57</v>
      </c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68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2"/>
      <c r="AG270" s="9"/>
      <c r="AH270" s="9"/>
      <c r="AI270" s="9"/>
      <c r="AJ270" s="9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</row>
    <row r="271" hidden="1" outlineLevel="1">
      <c r="A271" s="11" t="s">
        <v>58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54"/>
      <c r="AC271" s="54"/>
      <c r="AD271" s="54"/>
      <c r="AE271" s="54"/>
      <c r="AF271" s="2"/>
      <c r="AG271" s="9"/>
      <c r="AH271" s="9"/>
      <c r="AI271" s="9"/>
      <c r="AJ271" s="9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</row>
    <row r="272" hidden="1" outlineLevel="1">
      <c r="A272" s="11" t="s">
        <v>54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54"/>
      <c r="AC272" s="2"/>
      <c r="AD272" s="2"/>
      <c r="AE272" s="54"/>
      <c r="AF272" s="2"/>
      <c r="AG272" s="9"/>
      <c r="AH272" s="9"/>
      <c r="AI272" s="9"/>
      <c r="AJ272" s="9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</row>
    <row r="273" hidden="1" outlineLevel="1">
      <c r="A273" s="1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9"/>
      <c r="AH273" s="9"/>
      <c r="AI273" s="9"/>
      <c r="AJ273" s="9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</row>
    <row r="274" hidden="1" outlineLevel="1">
      <c r="A274" s="11" t="s">
        <v>8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9"/>
      <c r="AH274" s="9"/>
      <c r="AI274" s="9"/>
      <c r="AJ274" s="9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</row>
    <row r="275" hidden="1" outlineLevel="1">
      <c r="A275" s="11" t="s">
        <v>36</v>
      </c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1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2"/>
      <c r="AH275" s="122"/>
      <c r="AI275" s="122"/>
      <c r="AJ275" s="122"/>
      <c r="AK275" s="123"/>
      <c r="AL275" s="123"/>
      <c r="AM275" s="123"/>
      <c r="AN275" s="123"/>
      <c r="AO275" s="123"/>
      <c r="AP275" s="123"/>
      <c r="AQ275" s="123"/>
      <c r="AR275" s="123"/>
      <c r="AS275" s="123"/>
      <c r="AT275" s="123"/>
      <c r="AU275" s="123"/>
      <c r="AV275" s="123"/>
      <c r="AW275" s="123"/>
      <c r="AX275" s="123"/>
      <c r="AY275" s="123"/>
      <c r="AZ275" s="123"/>
      <c r="BA275" s="123"/>
      <c r="BB275" s="123"/>
      <c r="BC275" s="123"/>
      <c r="BD275" s="123"/>
    </row>
    <row r="276" hidden="1" outlineLevel="1">
      <c r="A276" s="11" t="s">
        <v>59</v>
      </c>
      <c r="B276" s="117"/>
      <c r="C276" s="113"/>
      <c r="D276" s="113"/>
      <c r="E276" s="117"/>
      <c r="F276" s="113"/>
      <c r="G276" s="113"/>
      <c r="H276" s="113"/>
      <c r="I276" s="117"/>
      <c r="J276" s="117"/>
      <c r="K276" s="113"/>
      <c r="L276" s="113"/>
      <c r="M276" s="117"/>
      <c r="N276" s="117"/>
      <c r="O276" s="115"/>
      <c r="P276" s="113"/>
      <c r="Q276" s="117"/>
      <c r="R276" s="113"/>
      <c r="S276" s="113"/>
      <c r="T276" s="113"/>
      <c r="U276" s="117"/>
      <c r="V276" s="117"/>
      <c r="W276" s="113"/>
      <c r="X276" s="113"/>
      <c r="Y276" s="117"/>
      <c r="Z276" s="117"/>
      <c r="AA276" s="113"/>
      <c r="AB276" s="113"/>
      <c r="AC276" s="117"/>
      <c r="AD276" s="117"/>
      <c r="AE276" s="114"/>
      <c r="AF276" s="113"/>
      <c r="AG276" s="118"/>
      <c r="AH276" s="118"/>
      <c r="AI276" s="118"/>
      <c r="AJ276" s="118"/>
      <c r="AK276" s="119"/>
      <c r="AL276" s="119"/>
      <c r="AM276" s="119"/>
      <c r="AN276" s="119"/>
      <c r="AO276" s="119"/>
      <c r="AP276" s="119"/>
      <c r="AQ276" s="119"/>
      <c r="AR276" s="119"/>
      <c r="AS276" s="119"/>
      <c r="AT276" s="119"/>
      <c r="AU276" s="119"/>
      <c r="AV276" s="119"/>
      <c r="AW276" s="119"/>
      <c r="AX276" s="119"/>
      <c r="AY276" s="119"/>
      <c r="AZ276" s="119"/>
      <c r="BA276" s="119"/>
      <c r="BB276" s="119"/>
      <c r="BC276" s="119"/>
      <c r="BD276" s="119"/>
    </row>
    <row r="277" hidden="1" outlineLevel="1">
      <c r="A277" s="11" t="s">
        <v>17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94"/>
      <c r="AH277" s="94"/>
      <c r="AI277" s="94"/>
      <c r="AJ277" s="94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</row>
    <row r="278" hidden="1" outlineLevel="1">
      <c r="A278" s="1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9"/>
      <c r="AH278" s="9"/>
      <c r="AI278" s="9"/>
      <c r="AJ278" s="9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</row>
    <row r="279" hidden="1" outlineLevel="1">
      <c r="A279" s="11" t="s">
        <v>12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9"/>
      <c r="AH279" s="9"/>
      <c r="AI279" s="9"/>
      <c r="AJ279" s="9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</row>
    <row r="280" hidden="1" outlineLevel="1">
      <c r="A280" s="11" t="s">
        <v>47</v>
      </c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68"/>
      <c r="P280" s="54"/>
      <c r="Q280" s="54"/>
      <c r="R280" s="54"/>
      <c r="S280" s="54"/>
      <c r="T280" s="54"/>
      <c r="U280" s="25"/>
      <c r="V280" s="25"/>
      <c r="W280" s="54"/>
      <c r="X280" s="54"/>
      <c r="Y280" s="25"/>
      <c r="Z280" s="25"/>
      <c r="AA280" s="54"/>
      <c r="AB280" s="54"/>
      <c r="AC280" s="54"/>
      <c r="AD280" s="54"/>
      <c r="AE280" s="54"/>
      <c r="AF280" s="2"/>
      <c r="AG280" s="9"/>
      <c r="AH280" s="9"/>
      <c r="AI280" s="9"/>
      <c r="AJ280" s="9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</row>
    <row r="281" hidden="1" outlineLevel="1">
      <c r="A281" s="11" t="s">
        <v>31</v>
      </c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5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7"/>
      <c r="AG281" s="118"/>
      <c r="AH281" s="118"/>
      <c r="AI281" s="118"/>
      <c r="AJ281" s="118"/>
      <c r="AK281" s="119"/>
      <c r="AL281" s="119"/>
      <c r="AM281" s="119"/>
      <c r="AN281" s="119"/>
      <c r="AO281" s="119"/>
      <c r="AP281" s="119"/>
      <c r="AQ281" s="119"/>
      <c r="AR281" s="119"/>
      <c r="AS281" s="119"/>
      <c r="AT281" s="119"/>
      <c r="AU281" s="119"/>
      <c r="AV281" s="119"/>
      <c r="AW281" s="119"/>
      <c r="AX281" s="119"/>
      <c r="AY281" s="119"/>
      <c r="AZ281" s="119"/>
      <c r="BA281" s="119"/>
      <c r="BB281" s="119"/>
      <c r="BC281" s="119"/>
      <c r="BD281" s="119"/>
    </row>
    <row r="282" hidden="1" outlineLevel="1">
      <c r="A282" s="11" t="s">
        <v>52</v>
      </c>
      <c r="B282" s="54"/>
      <c r="C282" s="2"/>
      <c r="D282" s="2"/>
      <c r="E282" s="2"/>
      <c r="F282" s="2"/>
      <c r="G282" s="2"/>
      <c r="H282" s="2"/>
      <c r="I282" s="2"/>
      <c r="J282" s="2"/>
      <c r="K282" s="54"/>
      <c r="L282" s="2"/>
      <c r="M282" s="2"/>
      <c r="N282" s="2"/>
      <c r="O282" s="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9"/>
      <c r="AH282" s="9"/>
      <c r="AI282" s="9"/>
      <c r="AJ282" s="9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</row>
    <row r="283" hidden="1" outlineLevel="1">
      <c r="A283" s="11" t="s">
        <v>18</v>
      </c>
      <c r="B283" s="2"/>
      <c r="C283" s="2"/>
      <c r="D283" s="2"/>
      <c r="E283" s="2"/>
      <c r="F283" s="2"/>
      <c r="G283" s="2"/>
      <c r="H283" s="2"/>
      <c r="I283" s="2"/>
      <c r="J283" s="2"/>
      <c r="K283" s="54"/>
      <c r="L283" s="2"/>
      <c r="M283" s="2"/>
      <c r="N283" s="2"/>
      <c r="O283" s="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54"/>
      <c r="AC283" s="2"/>
      <c r="AD283" s="2"/>
      <c r="AE283" s="2"/>
      <c r="AF283" s="2"/>
      <c r="AG283" s="9"/>
      <c r="AH283" s="9"/>
      <c r="AI283" s="9"/>
      <c r="AJ283" s="9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</row>
    <row r="284" hidden="1" outlineLevel="1">
      <c r="A284" s="1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9"/>
      <c r="AH284" s="9"/>
      <c r="AI284" s="9"/>
      <c r="AJ284" s="9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</row>
    <row r="285" hidden="1" outlineLevel="1">
      <c r="A285" s="11" t="s">
        <v>25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9"/>
      <c r="AH285" s="9"/>
      <c r="AI285" s="9"/>
      <c r="AJ285" s="9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</row>
    <row r="286" hidden="1" outlineLevel="1">
      <c r="A286" s="11" t="s">
        <v>54</v>
      </c>
      <c r="B286" s="54"/>
      <c r="C286" s="2"/>
      <c r="D286" s="2"/>
      <c r="E286" s="54"/>
      <c r="F286" s="54"/>
      <c r="G286" s="2"/>
      <c r="H286" s="2"/>
      <c r="I286" s="54"/>
      <c r="J286" s="54"/>
      <c r="K286" s="2"/>
      <c r="L286" s="2"/>
      <c r="M286" s="54"/>
      <c r="N286" s="54"/>
      <c r="O286" s="3"/>
      <c r="P286" s="2"/>
      <c r="Q286" s="54"/>
      <c r="R286" s="54"/>
      <c r="S286" s="2"/>
      <c r="T286" s="2"/>
      <c r="U286" s="54"/>
      <c r="V286" s="54"/>
      <c r="W286" s="2"/>
      <c r="X286" s="2"/>
      <c r="Y286" s="54"/>
      <c r="Z286" s="54"/>
      <c r="AA286" s="54"/>
      <c r="AB286" s="2"/>
      <c r="AC286" s="54"/>
      <c r="AD286" s="54"/>
      <c r="AE286" s="2"/>
      <c r="AF286" s="2"/>
      <c r="AG286" s="9"/>
      <c r="AH286" s="9"/>
      <c r="AI286" s="9"/>
      <c r="AJ286" s="9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</row>
    <row r="287" hidden="1" outlineLevel="1">
      <c r="A287" s="11" t="s">
        <v>52</v>
      </c>
      <c r="B287" s="107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124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107"/>
      <c r="AG287" s="125"/>
      <c r="AH287" s="125"/>
      <c r="AI287" s="125"/>
      <c r="AJ287" s="125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</row>
    <row r="288" hidden="1" outlineLevel="1">
      <c r="A288" s="11" t="s">
        <v>47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54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54"/>
      <c r="AC288" s="2"/>
      <c r="AD288" s="2"/>
      <c r="AE288" s="2"/>
      <c r="AF288" s="2"/>
      <c r="AG288" s="9"/>
      <c r="AH288" s="9"/>
      <c r="AI288" s="9"/>
      <c r="AJ288" s="9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</row>
    <row r="289" hidden="1" outlineLevel="1">
      <c r="A289" s="1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9"/>
      <c r="AH289" s="9"/>
      <c r="AI289" s="9"/>
      <c r="AJ289" s="9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</row>
    <row r="290" hidden="1" outlineLevel="1">
      <c r="A290" s="11" t="s">
        <v>49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9"/>
      <c r="AH290" s="9"/>
      <c r="AI290" s="9"/>
      <c r="AJ290" s="9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</row>
    <row r="291" hidden="1" outlineLevel="1">
      <c r="A291" s="11" t="s">
        <v>60</v>
      </c>
      <c r="B291" s="2"/>
      <c r="C291" s="2"/>
      <c r="D291" s="54"/>
      <c r="E291" s="54"/>
      <c r="F291" s="2"/>
      <c r="G291" s="54"/>
      <c r="H291" s="54"/>
      <c r="I291" s="54"/>
      <c r="J291" s="54"/>
      <c r="K291" s="54"/>
      <c r="L291" s="54"/>
      <c r="M291" s="54"/>
      <c r="N291" s="54"/>
      <c r="O291" s="68"/>
      <c r="P291" s="54"/>
      <c r="Q291" s="54"/>
      <c r="R291" s="54"/>
      <c r="S291" s="54"/>
      <c r="T291" s="54"/>
      <c r="U291" s="127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2"/>
      <c r="AG291" s="9"/>
      <c r="AH291" s="104"/>
      <c r="AI291" s="104"/>
      <c r="AJ291" s="9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</row>
    <row r="292" hidden="1" outlineLevel="1">
      <c r="A292" s="11" t="s">
        <v>17</v>
      </c>
      <c r="B292" s="54"/>
      <c r="C292" s="54"/>
      <c r="D292" s="2"/>
      <c r="E292" s="2"/>
      <c r="F292" s="54"/>
      <c r="G292" s="54"/>
      <c r="H292" s="2"/>
      <c r="I292" s="2"/>
      <c r="J292" s="54"/>
      <c r="K292" s="54"/>
      <c r="L292" s="2"/>
      <c r="M292" s="2"/>
      <c r="N292" s="54"/>
      <c r="O292" s="68"/>
      <c r="P292" s="2"/>
      <c r="Q292" s="2"/>
      <c r="R292" s="54"/>
      <c r="S292" s="54"/>
      <c r="T292" s="2"/>
      <c r="U292" s="2"/>
      <c r="V292" s="54"/>
      <c r="W292" s="54"/>
      <c r="X292" s="54"/>
      <c r="Y292" s="54"/>
      <c r="Z292" s="54"/>
      <c r="AA292" s="54"/>
      <c r="AB292" s="54"/>
      <c r="AC292" s="2"/>
      <c r="AD292" s="54"/>
      <c r="AE292" s="54"/>
      <c r="AF292" s="2"/>
      <c r="AG292" s="9"/>
      <c r="AH292" s="9"/>
      <c r="AI292" s="9"/>
      <c r="AJ292" s="104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</row>
    <row r="293" hidden="1" outlineLevel="1">
      <c r="A293" s="11" t="s">
        <v>61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2"/>
      <c r="Q293" s="2"/>
      <c r="R293" s="2"/>
      <c r="S293" s="2"/>
      <c r="T293" s="2"/>
      <c r="U293" s="2"/>
      <c r="V293" s="2"/>
      <c r="W293" s="2"/>
      <c r="X293" s="2"/>
      <c r="Y293" s="54"/>
      <c r="Z293" s="54"/>
      <c r="AA293" s="2"/>
      <c r="AB293" s="2"/>
      <c r="AC293" s="2"/>
      <c r="AD293" s="54"/>
      <c r="AE293" s="2"/>
      <c r="AF293" s="2"/>
      <c r="AG293" s="9"/>
      <c r="AH293" s="9"/>
      <c r="AI293" s="9"/>
      <c r="AJ293" s="9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</row>
    <row r="294" hidden="1" outlineLevel="1">
      <c r="A294" s="11" t="s">
        <v>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2"/>
      <c r="Q294" s="2"/>
      <c r="R294" s="2"/>
      <c r="S294" s="2"/>
      <c r="T294" s="2"/>
      <c r="U294" s="2"/>
      <c r="V294" s="2"/>
      <c r="W294" s="113"/>
      <c r="X294" s="2"/>
      <c r="Y294" s="2"/>
      <c r="Z294" s="2"/>
      <c r="AA294" s="54"/>
      <c r="AB294" s="54"/>
      <c r="AC294" s="2"/>
      <c r="AD294" s="2"/>
      <c r="AE294" s="54"/>
      <c r="AF294" s="2"/>
      <c r="AG294" s="9"/>
      <c r="AH294" s="9"/>
      <c r="AI294" s="9"/>
      <c r="AJ294" s="9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</row>
    <row r="295" hidden="1" outlineLevel="1">
      <c r="A295" s="11" t="s">
        <v>62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54"/>
      <c r="AD295" s="54"/>
      <c r="AE295" s="2"/>
      <c r="AF295" s="2"/>
      <c r="AG295" s="9"/>
      <c r="AH295" s="9"/>
      <c r="AI295" s="9"/>
      <c r="AJ295" s="9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</row>
    <row r="296" hidden="1" outlineLevel="1">
      <c r="A296" s="1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9"/>
      <c r="AH296" s="9"/>
      <c r="AI296" s="9"/>
      <c r="AJ296" s="9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</row>
    <row r="297" hidden="1" outlineLevel="1">
      <c r="A297" s="1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9"/>
      <c r="AH297" s="9"/>
      <c r="AI297" s="9"/>
      <c r="AJ297" s="9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</row>
    <row r="298" hidden="1" outlineLevel="1">
      <c r="A298" s="11" t="s">
        <v>63</v>
      </c>
      <c r="B298" s="79"/>
      <c r="C298" s="79"/>
      <c r="D298" s="5"/>
      <c r="E298" s="79"/>
      <c r="F298" s="79"/>
      <c r="G298" s="79"/>
      <c r="H298" s="79"/>
      <c r="I298" s="79"/>
      <c r="J298" s="5"/>
      <c r="K298" s="7"/>
      <c r="L298" s="7"/>
      <c r="M298" s="7"/>
      <c r="N298" s="7"/>
      <c r="O298" s="61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9"/>
      <c r="AG298" s="128"/>
      <c r="AH298" s="129"/>
      <c r="AI298" s="129"/>
      <c r="AJ298" s="12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</row>
    <row r="299" hidden="1" outlineLevel="1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2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17"/>
      <c r="AH299" s="93"/>
      <c r="AI299" s="93"/>
      <c r="AJ299" s="18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</row>
    <row r="300" hidden="1" outlineLevel="1">
      <c r="A300" s="11" t="s">
        <v>2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9"/>
      <c r="AH300" s="9"/>
      <c r="AI300" s="9"/>
      <c r="AJ300" s="9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</row>
    <row r="301" hidden="1" outlineLevel="1">
      <c r="A301" s="11" t="s">
        <v>34</v>
      </c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68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2"/>
      <c r="AG301" s="9"/>
      <c r="AH301" s="9"/>
      <c r="AI301" s="9"/>
      <c r="AJ301" s="9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</row>
    <row r="302" hidden="1" outlineLevel="1">
      <c r="A302" s="11" t="s">
        <v>58</v>
      </c>
      <c r="B302" s="54"/>
      <c r="C302" s="54"/>
      <c r="D302" s="2"/>
      <c r="E302" s="2"/>
      <c r="F302" s="54"/>
      <c r="G302" s="54"/>
      <c r="H302" s="2"/>
      <c r="I302" s="2"/>
      <c r="J302" s="54"/>
      <c r="K302" s="54"/>
      <c r="L302" s="2"/>
      <c r="M302" s="2"/>
      <c r="N302" s="54"/>
      <c r="O302" s="68"/>
      <c r="P302" s="2"/>
      <c r="Q302" s="2"/>
      <c r="R302" s="54"/>
      <c r="S302" s="54"/>
      <c r="T302" s="2"/>
      <c r="U302" s="2"/>
      <c r="V302" s="54"/>
      <c r="W302" s="54"/>
      <c r="X302" s="2"/>
      <c r="Y302" s="2"/>
      <c r="Z302" s="54"/>
      <c r="AA302" s="54"/>
      <c r="AB302" s="2"/>
      <c r="AC302" s="2"/>
      <c r="AD302" s="54"/>
      <c r="AE302" s="54"/>
      <c r="AF302" s="2"/>
      <c r="AG302" s="9"/>
      <c r="AH302" s="9"/>
      <c r="AI302" s="9"/>
      <c r="AJ302" s="9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</row>
    <row r="303" hidden="1" outlineLevel="1">
      <c r="A303" s="11" t="s">
        <v>64</v>
      </c>
      <c r="B303" s="2"/>
      <c r="C303" s="2"/>
      <c r="D303" s="2"/>
      <c r="E303" s="2"/>
      <c r="F303" s="2"/>
      <c r="G303" s="2"/>
      <c r="H303" s="2"/>
      <c r="I303" s="54"/>
      <c r="J303" s="2"/>
      <c r="K303" s="2"/>
      <c r="L303" s="2"/>
      <c r="M303" s="2"/>
      <c r="N303" s="2"/>
      <c r="O303" s="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9"/>
      <c r="AH303" s="9"/>
      <c r="AI303" s="9"/>
      <c r="AJ303" s="9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</row>
    <row r="304" hidden="1" outlineLevel="1">
      <c r="A304" s="11" t="s">
        <v>65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54"/>
      <c r="Q304" s="2"/>
      <c r="R304" s="2"/>
      <c r="S304" s="2"/>
      <c r="T304" s="2"/>
      <c r="U304" s="2"/>
      <c r="V304" s="54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9"/>
      <c r="AH304" s="9"/>
      <c r="AI304" s="9"/>
      <c r="AJ304" s="9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</row>
    <row r="305" hidden="1" outlineLevel="1">
      <c r="A305" s="11" t="s">
        <v>66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2"/>
      <c r="Q305" s="2"/>
      <c r="R305" s="2"/>
      <c r="S305" s="2"/>
      <c r="T305" s="2"/>
      <c r="U305" s="2"/>
      <c r="V305" s="54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9"/>
      <c r="AH305" s="9"/>
      <c r="AI305" s="9"/>
      <c r="AJ305" s="9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</row>
    <row r="306" hidden="1" outlineLevel="1">
      <c r="A306" s="1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9"/>
      <c r="AH306" s="9"/>
      <c r="AI306" s="9"/>
      <c r="AJ306" s="9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</row>
    <row r="307" hidden="1" outlineLevel="1">
      <c r="A307" s="11" t="s">
        <v>8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9"/>
      <c r="AH307" s="9"/>
      <c r="AI307" s="9"/>
      <c r="AJ307" s="9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</row>
    <row r="308" hidden="1" outlineLevel="1">
      <c r="A308" s="11" t="s">
        <v>36</v>
      </c>
      <c r="B308" s="120"/>
      <c r="C308" s="120"/>
      <c r="D308" s="120"/>
      <c r="E308" s="120"/>
      <c r="F308" s="120"/>
      <c r="G308" s="120"/>
      <c r="H308" s="120"/>
      <c r="I308" s="120"/>
      <c r="J308" s="130"/>
      <c r="K308" s="120"/>
      <c r="L308" s="120"/>
      <c r="M308" s="120"/>
      <c r="N308" s="120"/>
      <c r="O308" s="121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2"/>
      <c r="AH308" s="122"/>
      <c r="AI308" s="122"/>
      <c r="AJ308" s="122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</row>
    <row r="309" hidden="1" outlineLevel="1">
      <c r="A309" s="11" t="s">
        <v>66</v>
      </c>
      <c r="B309" s="2"/>
      <c r="C309" s="2"/>
      <c r="D309" s="2"/>
      <c r="E309" s="2"/>
      <c r="F309" s="2"/>
      <c r="G309" s="2"/>
      <c r="H309" s="2"/>
      <c r="I309" s="2"/>
      <c r="J309" s="2"/>
      <c r="K309" s="54"/>
      <c r="L309" s="54"/>
      <c r="M309" s="2"/>
      <c r="N309" s="2"/>
      <c r="O309" s="68"/>
      <c r="P309" s="54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94"/>
      <c r="AH309" s="94"/>
      <c r="AI309" s="94"/>
      <c r="AJ309" s="94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</row>
    <row r="310" ht="45.0" hidden="1" customHeight="1" outlineLevel="1">
      <c r="A310" s="11" t="s">
        <v>40</v>
      </c>
      <c r="B310" s="117"/>
      <c r="C310" s="117"/>
      <c r="D310" s="117"/>
      <c r="E310" s="117"/>
      <c r="F310" s="117"/>
      <c r="G310" s="117"/>
      <c r="H310" s="113"/>
      <c r="I310" s="113"/>
      <c r="J310" s="117"/>
      <c r="K310" s="113"/>
      <c r="L310" s="113"/>
      <c r="M310" s="113"/>
      <c r="N310" s="113"/>
      <c r="O310" s="115"/>
      <c r="P310" s="113"/>
      <c r="Q310" s="117"/>
      <c r="R310" s="117"/>
      <c r="S310" s="113"/>
      <c r="T310" s="113"/>
      <c r="U310" s="117"/>
      <c r="V310" s="117"/>
      <c r="W310" s="113"/>
      <c r="X310" s="113"/>
      <c r="Y310" s="117"/>
      <c r="Z310" s="117"/>
      <c r="AA310" s="113"/>
      <c r="AB310" s="113"/>
      <c r="AC310" s="117"/>
      <c r="AD310" s="117"/>
      <c r="AE310" s="113"/>
      <c r="AF310" s="117"/>
      <c r="AG310" s="118"/>
      <c r="AH310" s="118"/>
      <c r="AI310" s="118"/>
      <c r="AJ310" s="118"/>
      <c r="AK310" s="119"/>
      <c r="AL310" s="119"/>
      <c r="AM310" s="119"/>
      <c r="AN310" s="119"/>
      <c r="AO310" s="119"/>
      <c r="AP310" s="119"/>
      <c r="AQ310" s="119"/>
      <c r="AR310" s="119"/>
      <c r="AS310" s="119"/>
      <c r="AT310" s="119"/>
      <c r="AU310" s="119"/>
      <c r="AV310" s="119"/>
      <c r="AW310" s="119"/>
      <c r="AX310" s="119"/>
      <c r="AY310" s="119"/>
      <c r="AZ310" s="119"/>
      <c r="BA310" s="119"/>
      <c r="BB310" s="119"/>
      <c r="BC310" s="119"/>
      <c r="BD310" s="119"/>
    </row>
    <row r="311" hidden="1" outlineLevel="1">
      <c r="A311" s="11" t="s">
        <v>67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54"/>
      <c r="N311" s="54"/>
      <c r="O311" s="68"/>
      <c r="P311" s="2"/>
      <c r="Q311" s="54"/>
      <c r="R311" s="54"/>
      <c r="S311" s="2"/>
      <c r="T311" s="2"/>
      <c r="U311" s="54"/>
      <c r="V311" s="54"/>
      <c r="W311" s="2"/>
      <c r="X311" s="2"/>
      <c r="Y311" s="54"/>
      <c r="Z311" s="54"/>
      <c r="AA311" s="2"/>
      <c r="AB311" s="2"/>
      <c r="AC311" s="54"/>
      <c r="AD311" s="54"/>
      <c r="AE311" s="2"/>
      <c r="AF311" s="2"/>
      <c r="AG311" s="9"/>
      <c r="AH311" s="9"/>
      <c r="AI311" s="9"/>
      <c r="AJ311" s="9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</row>
    <row r="312" hidden="1" outlineLevel="1">
      <c r="A312" s="11" t="s">
        <v>68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9"/>
      <c r="AH312" s="9"/>
      <c r="AI312" s="9"/>
      <c r="AJ312" s="9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</row>
    <row r="313" hidden="1" outlineLevel="1">
      <c r="A313" s="1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2"/>
      <c r="Q313" s="2"/>
      <c r="R313" s="2"/>
      <c r="S313" s="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9"/>
      <c r="AH313" s="9"/>
      <c r="AI313" s="9"/>
      <c r="AJ313" s="9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</row>
    <row r="314" hidden="1" outlineLevel="1">
      <c r="A314" s="11" t="s">
        <v>12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9"/>
      <c r="AH314" s="9"/>
      <c r="AI314" s="9"/>
      <c r="AJ314" s="9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</row>
    <row r="315" hidden="1" outlineLevel="1">
      <c r="A315" s="11" t="s">
        <v>47</v>
      </c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68"/>
      <c r="P315" s="54"/>
      <c r="Q315" s="54"/>
      <c r="R315" s="54"/>
      <c r="S315" s="54"/>
      <c r="T315" s="54"/>
      <c r="U315" s="25"/>
      <c r="V315" s="25"/>
      <c r="W315" s="54"/>
      <c r="X315" s="54"/>
      <c r="Y315" s="25"/>
      <c r="Z315" s="25"/>
      <c r="AA315" s="54"/>
      <c r="AB315" s="54"/>
      <c r="AC315" s="54"/>
      <c r="AD315" s="54"/>
      <c r="AE315" s="54"/>
      <c r="AF315" s="2"/>
      <c r="AG315" s="9"/>
      <c r="AH315" s="9"/>
      <c r="AI315" s="9"/>
      <c r="AJ315" s="9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</row>
    <row r="316" hidden="1" outlineLevel="1">
      <c r="A316" s="11" t="s">
        <v>31</v>
      </c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5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7"/>
      <c r="AG316" s="118"/>
      <c r="AH316" s="118"/>
      <c r="AI316" s="118"/>
      <c r="AJ316" s="118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</row>
    <row r="317" hidden="1" outlineLevel="1">
      <c r="A317" s="11" t="s">
        <v>18</v>
      </c>
      <c r="B317" s="54"/>
      <c r="C317" s="2"/>
      <c r="D317" s="2"/>
      <c r="E317" s="2"/>
      <c r="F317" s="2"/>
      <c r="G317" s="2"/>
      <c r="H317" s="2"/>
      <c r="I317" s="54"/>
      <c r="J317" s="2"/>
      <c r="K317" s="2"/>
      <c r="L317" s="2"/>
      <c r="M317" s="2"/>
      <c r="N317" s="2"/>
      <c r="O317" s="3"/>
      <c r="P317" s="2"/>
      <c r="Q317" s="2"/>
      <c r="R317" s="2"/>
      <c r="S317" s="2"/>
      <c r="T317" s="2"/>
      <c r="U317" s="2"/>
      <c r="V317" s="2"/>
      <c r="W317" s="2"/>
      <c r="X317" s="2"/>
      <c r="Y317" s="54"/>
      <c r="Z317" s="2"/>
      <c r="AA317" s="2"/>
      <c r="AB317" s="2"/>
      <c r="AC317" s="54"/>
      <c r="AD317" s="54"/>
      <c r="AE317" s="54"/>
      <c r="AF317" s="2"/>
      <c r="AG317" s="9"/>
      <c r="AH317" s="9"/>
      <c r="AI317" s="9"/>
      <c r="AJ317" s="9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</row>
    <row r="318" hidden="1" outlineLevel="1">
      <c r="A318" s="11" t="s">
        <v>58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2"/>
      <c r="Q318" s="2"/>
      <c r="R318" s="2"/>
      <c r="S318" s="2"/>
      <c r="T318" s="2"/>
      <c r="U318" s="5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9"/>
      <c r="AH318" s="9"/>
      <c r="AI318" s="9"/>
      <c r="AJ318" s="9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</row>
    <row r="319" hidden="1" outlineLevel="1">
      <c r="A319" s="11" t="s">
        <v>68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54"/>
      <c r="AE319" s="2"/>
      <c r="AF319" s="2"/>
      <c r="AG319" s="9"/>
      <c r="AH319" s="9"/>
      <c r="AI319" s="9"/>
      <c r="AJ319" s="9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</row>
    <row r="320" hidden="1" outlineLevel="1">
      <c r="A320" s="1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9"/>
      <c r="AH320" s="9"/>
      <c r="AI320" s="9"/>
      <c r="AJ320" s="9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</row>
    <row r="321" hidden="1" outlineLevel="1">
      <c r="A321" s="11" t="s">
        <v>25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9"/>
      <c r="AH321" s="9"/>
      <c r="AI321" s="9"/>
      <c r="AJ321" s="9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</row>
    <row r="322" hidden="1" outlineLevel="1">
      <c r="A322" s="11" t="s">
        <v>54</v>
      </c>
      <c r="B322" s="54"/>
      <c r="C322" s="54"/>
      <c r="D322" s="54"/>
      <c r="E322" s="54"/>
      <c r="F322" s="54"/>
      <c r="G322" s="54"/>
      <c r="H322" s="2"/>
      <c r="I322" s="54"/>
      <c r="J322" s="54"/>
      <c r="K322" s="54"/>
      <c r="L322" s="54"/>
      <c r="M322" s="54"/>
      <c r="N322" s="54"/>
      <c r="O322" s="99"/>
      <c r="P322" s="54"/>
      <c r="Q322" s="54"/>
      <c r="R322" s="54"/>
      <c r="S322" s="127"/>
      <c r="T322" s="2"/>
      <c r="U322" s="54"/>
      <c r="V322" s="54"/>
      <c r="W322" s="54"/>
      <c r="X322" s="2"/>
      <c r="Y322" s="54"/>
      <c r="Z322" s="54"/>
      <c r="AA322" s="2"/>
      <c r="AB322" s="2"/>
      <c r="AC322" s="54"/>
      <c r="AD322" s="54"/>
      <c r="AE322" s="2"/>
      <c r="AF322" s="2"/>
      <c r="AG322" s="9"/>
      <c r="AH322" s="9"/>
      <c r="AI322" s="9"/>
      <c r="AJ322" s="9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</row>
    <row r="323" ht="18.0" hidden="1" customHeight="1" outlineLevel="1">
      <c r="A323" s="11" t="s">
        <v>52</v>
      </c>
      <c r="B323" s="131"/>
      <c r="C323" s="132"/>
      <c r="D323" s="133"/>
      <c r="E323" s="113"/>
      <c r="F323" s="132"/>
      <c r="G323" s="132"/>
      <c r="H323" s="133"/>
      <c r="I323" s="133"/>
      <c r="J323" s="132"/>
      <c r="K323" s="132"/>
      <c r="L323" s="133"/>
      <c r="M323" s="133"/>
      <c r="N323" s="132"/>
      <c r="O323" s="134"/>
      <c r="P323" s="133"/>
      <c r="Q323" s="133"/>
      <c r="R323" s="132"/>
      <c r="S323" s="133"/>
      <c r="T323" s="133"/>
      <c r="U323" s="130"/>
      <c r="V323" s="132"/>
      <c r="W323" s="132"/>
      <c r="X323" s="133"/>
      <c r="Y323" s="133"/>
      <c r="Z323" s="132"/>
      <c r="AA323" s="133"/>
      <c r="AB323" s="133"/>
      <c r="AC323" s="133"/>
      <c r="AD323" s="133"/>
      <c r="AE323" s="133"/>
      <c r="AF323" s="133"/>
      <c r="AG323" s="135"/>
      <c r="AH323" s="136"/>
      <c r="AI323" s="136"/>
      <c r="AJ323" s="136"/>
      <c r="AK323" s="119"/>
      <c r="AL323" s="119"/>
      <c r="AM323" s="119"/>
      <c r="AN323" s="119"/>
      <c r="AO323" s="119"/>
      <c r="AP323" s="119"/>
      <c r="AQ323" s="119"/>
      <c r="AR323" s="119"/>
      <c r="AS323" s="119"/>
      <c r="AT323" s="119"/>
      <c r="AU323" s="119"/>
      <c r="AV323" s="119"/>
      <c r="AW323" s="119"/>
      <c r="AX323" s="119"/>
      <c r="AY323" s="119"/>
      <c r="AZ323" s="119"/>
      <c r="BA323" s="119"/>
      <c r="BB323" s="119"/>
      <c r="BC323" s="119"/>
      <c r="BD323" s="119"/>
    </row>
    <row r="324" hidden="1" outlineLevel="1">
      <c r="A324" s="11" t="s">
        <v>47</v>
      </c>
      <c r="B324" s="2"/>
      <c r="C324" s="2"/>
      <c r="D324" s="2"/>
      <c r="E324" s="2"/>
      <c r="F324" s="2"/>
      <c r="G324" s="2"/>
      <c r="H324" s="54"/>
      <c r="I324" s="2"/>
      <c r="J324" s="2"/>
      <c r="K324" s="2"/>
      <c r="L324" s="2"/>
      <c r="M324" s="2"/>
      <c r="N324" s="2"/>
      <c r="O324" s="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9"/>
      <c r="AH324" s="9"/>
      <c r="AI324" s="9"/>
      <c r="AJ324" s="9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</row>
    <row r="325" hidden="1" outlineLevel="1">
      <c r="A325" s="11" t="s">
        <v>36</v>
      </c>
      <c r="B325" s="2"/>
      <c r="C325" s="2"/>
      <c r="D325" s="2"/>
      <c r="E325" s="2"/>
      <c r="F325" s="2"/>
      <c r="G325" s="2"/>
      <c r="H325" s="54"/>
      <c r="I325" s="2"/>
      <c r="J325" s="2"/>
      <c r="K325" s="2"/>
      <c r="L325" s="2"/>
      <c r="M325" s="2"/>
      <c r="N325" s="2"/>
      <c r="O325" s="3"/>
      <c r="P325" s="2"/>
      <c r="Q325" s="54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54"/>
      <c r="AC325" s="2"/>
      <c r="AD325" s="2"/>
      <c r="AE325" s="2"/>
      <c r="AF325" s="2"/>
      <c r="AG325" s="9"/>
      <c r="AH325" s="9"/>
      <c r="AI325" s="9"/>
      <c r="AJ325" s="9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</row>
    <row r="326" hidden="1" outlineLevel="1">
      <c r="A326" s="11" t="s">
        <v>65</v>
      </c>
      <c r="B326" s="2"/>
      <c r="C326" s="2"/>
      <c r="D326" s="2"/>
      <c r="E326" s="2"/>
      <c r="F326" s="2"/>
      <c r="G326" s="2"/>
      <c r="H326" s="54"/>
      <c r="I326" s="2"/>
      <c r="J326" s="2"/>
      <c r="K326" s="2"/>
      <c r="L326" s="2"/>
      <c r="M326" s="2"/>
      <c r="N326" s="2"/>
      <c r="O326" s="3"/>
      <c r="P326" s="2"/>
      <c r="Q326" s="2"/>
      <c r="R326" s="54"/>
      <c r="S326" s="54"/>
      <c r="T326" s="54"/>
      <c r="U326" s="2"/>
      <c r="V326" s="54"/>
      <c r="W326" s="54"/>
      <c r="X326" s="54"/>
      <c r="Y326" s="2"/>
      <c r="Z326" s="54"/>
      <c r="AA326" s="54"/>
      <c r="AB326" s="2"/>
      <c r="AC326" s="54"/>
      <c r="AD326" s="54"/>
      <c r="AE326" s="54"/>
      <c r="AF326" s="2"/>
      <c r="AG326" s="9"/>
      <c r="AH326" s="9"/>
      <c r="AI326" s="9"/>
      <c r="AJ326" s="9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</row>
    <row r="327" hidden="1" outlineLevel="1">
      <c r="A327" s="11" t="s">
        <v>68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2"/>
      <c r="Q327" s="2"/>
      <c r="R327" s="2"/>
      <c r="S327" s="2"/>
      <c r="T327" s="2"/>
      <c r="U327" s="2"/>
      <c r="V327" s="2"/>
      <c r="W327" s="2"/>
      <c r="X327" s="2"/>
      <c r="Y327" s="54"/>
      <c r="Z327" s="2"/>
      <c r="AA327" s="2"/>
      <c r="AB327" s="54"/>
      <c r="AC327" s="2"/>
      <c r="AD327" s="2"/>
      <c r="AE327" s="54"/>
      <c r="AF327" s="2"/>
      <c r="AG327" s="9"/>
      <c r="AH327" s="9"/>
      <c r="AI327" s="9"/>
      <c r="AJ327" s="9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</row>
    <row r="328" hidden="1" outlineLevel="1">
      <c r="A328" s="11" t="s">
        <v>51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54"/>
      <c r="M328" s="2"/>
      <c r="N328" s="2"/>
      <c r="O328" s="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9"/>
      <c r="AH328" s="9"/>
      <c r="AI328" s="9"/>
      <c r="AJ328" s="9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</row>
    <row r="329" hidden="1" outlineLevel="1">
      <c r="A329" s="1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9"/>
      <c r="AH329" s="9"/>
      <c r="AI329" s="9"/>
      <c r="AJ329" s="9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</row>
    <row r="330" hidden="1" outlineLevel="1">
      <c r="A330" s="11" t="s">
        <v>49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9"/>
      <c r="AH330" s="9"/>
      <c r="AI330" s="9"/>
      <c r="AJ330" s="9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</row>
    <row r="331" hidden="1" outlineLevel="1">
      <c r="A331" s="11" t="s">
        <v>57</v>
      </c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113"/>
      <c r="O331" s="68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2"/>
      <c r="AG331" s="9"/>
      <c r="AH331" s="9"/>
      <c r="AI331" s="9"/>
      <c r="AJ331" s="104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</row>
    <row r="332" hidden="1" outlineLevel="1">
      <c r="A332" s="11" t="s">
        <v>69</v>
      </c>
      <c r="B332" s="54"/>
      <c r="C332" s="54"/>
      <c r="D332" s="2"/>
      <c r="E332" s="2"/>
      <c r="F332" s="54"/>
      <c r="G332" s="54"/>
      <c r="H332" s="2"/>
      <c r="I332" s="2"/>
      <c r="J332" s="54"/>
      <c r="K332" s="54"/>
      <c r="L332" s="54"/>
      <c r="M332" s="2"/>
      <c r="N332" s="113"/>
      <c r="O332" s="68"/>
      <c r="P332" s="54"/>
      <c r="Q332" s="2"/>
      <c r="R332" s="54"/>
      <c r="S332" s="54"/>
      <c r="T332" s="54"/>
      <c r="U332" s="2"/>
      <c r="V332" s="54"/>
      <c r="W332" s="54"/>
      <c r="X332" s="54"/>
      <c r="Y332" s="2"/>
      <c r="Z332" s="54"/>
      <c r="AA332" s="79"/>
      <c r="AB332" s="54"/>
      <c r="AC332" s="2"/>
      <c r="AD332" s="54"/>
      <c r="AE332" s="54"/>
      <c r="AF332" s="2"/>
      <c r="AG332" s="9"/>
      <c r="AH332" s="9"/>
      <c r="AI332" s="9"/>
      <c r="AJ332" s="9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</row>
    <row r="333" hidden="1" outlineLevel="1">
      <c r="A333" s="11" t="s">
        <v>35</v>
      </c>
      <c r="B333" s="54"/>
      <c r="C333" s="5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9"/>
      <c r="AH333" s="9"/>
      <c r="AI333" s="9"/>
      <c r="AJ333" s="9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</row>
    <row r="334" hidden="1" outlineLevel="1">
      <c r="A334" s="11" t="s">
        <v>70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54"/>
      <c r="AC334" s="2"/>
      <c r="AD334" s="2"/>
      <c r="AE334" s="54"/>
      <c r="AF334" s="2"/>
      <c r="AG334" s="9"/>
      <c r="AH334" s="9"/>
      <c r="AI334" s="9"/>
      <c r="AJ334" s="9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</row>
    <row r="335" hidden="1" outlineLevel="1">
      <c r="A335" s="1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9"/>
      <c r="AH335" s="9"/>
      <c r="AI335" s="9"/>
      <c r="AJ335" s="9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</row>
    <row r="336" hidden="1" outlineLevel="1">
      <c r="A336" s="11" t="s">
        <v>71</v>
      </c>
      <c r="B336" s="79"/>
      <c r="C336" s="79"/>
      <c r="D336" s="79"/>
      <c r="E336" s="79"/>
      <c r="F336" s="79"/>
      <c r="G336" s="5"/>
      <c r="H336" s="7"/>
      <c r="I336" s="7"/>
      <c r="J336" s="7"/>
      <c r="K336" s="7"/>
      <c r="L336" s="7"/>
      <c r="M336" s="7"/>
      <c r="N336" s="7"/>
      <c r="O336" s="61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137"/>
      <c r="AH336" s="137"/>
      <c r="AI336" s="137"/>
      <c r="AJ336" s="128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</row>
    <row r="337" hidden="1" outlineLevel="1">
      <c r="A337" s="11" t="s">
        <v>2</v>
      </c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9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40"/>
      <c r="AG337" s="141"/>
      <c r="AH337" s="142"/>
      <c r="AI337" s="142"/>
      <c r="AJ337" s="142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</row>
    <row r="338" hidden="1" outlineLevel="1">
      <c r="A338" s="11"/>
      <c r="B338" s="143">
        <v>2.0</v>
      </c>
      <c r="C338" s="143">
        <v>3.0</v>
      </c>
      <c r="D338" s="143">
        <v>4.0</v>
      </c>
      <c r="E338" s="143">
        <v>5.0</v>
      </c>
      <c r="F338" s="143">
        <v>6.0</v>
      </c>
      <c r="G338" s="143">
        <v>7.0</v>
      </c>
      <c r="H338" s="143">
        <v>8.0</v>
      </c>
      <c r="I338" s="143">
        <v>9.0</v>
      </c>
      <c r="J338" s="143">
        <v>10.0</v>
      </c>
      <c r="K338" s="143">
        <v>11.0</v>
      </c>
      <c r="L338" s="143">
        <v>12.0</v>
      </c>
      <c r="M338" s="143">
        <v>13.0</v>
      </c>
      <c r="N338" s="143">
        <v>14.0</v>
      </c>
      <c r="O338" s="144">
        <v>15.0</v>
      </c>
      <c r="P338" s="143">
        <v>16.0</v>
      </c>
      <c r="Q338" s="143">
        <v>17.0</v>
      </c>
      <c r="R338" s="143">
        <v>18.0</v>
      </c>
      <c r="S338" s="143">
        <v>19.0</v>
      </c>
      <c r="T338" s="143">
        <v>20.0</v>
      </c>
      <c r="U338" s="143">
        <v>21.0</v>
      </c>
      <c r="V338" s="143">
        <v>22.0</v>
      </c>
      <c r="W338" s="143">
        <v>23.0</v>
      </c>
      <c r="X338" s="143">
        <v>24.0</v>
      </c>
      <c r="Y338" s="143">
        <v>25.0</v>
      </c>
      <c r="Z338" s="143">
        <v>26.0</v>
      </c>
      <c r="AA338" s="143">
        <v>27.0</v>
      </c>
      <c r="AB338" s="143">
        <v>28.0</v>
      </c>
      <c r="AC338" s="143">
        <v>29.0</v>
      </c>
      <c r="AD338" s="143">
        <v>30.0</v>
      </c>
      <c r="AE338" s="143"/>
      <c r="AF338" s="143"/>
      <c r="AG338" s="145" t="s">
        <v>72</v>
      </c>
      <c r="AH338" s="146" t="s">
        <v>73</v>
      </c>
      <c r="AI338" s="146" t="s">
        <v>74</v>
      </c>
      <c r="AJ338" s="147" t="s">
        <v>75</v>
      </c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</row>
    <row r="339" hidden="1" outlineLevel="1">
      <c r="A339" s="11" t="s">
        <v>34</v>
      </c>
      <c r="B339" s="148" t="s">
        <v>76</v>
      </c>
      <c r="C339" s="148"/>
      <c r="D339" s="148"/>
      <c r="E339" s="148" t="s">
        <v>77</v>
      </c>
      <c r="F339" s="148" t="s">
        <v>76</v>
      </c>
      <c r="G339" s="148"/>
      <c r="H339" s="148"/>
      <c r="I339" s="148" t="s">
        <v>76</v>
      </c>
      <c r="J339" s="148" t="s">
        <v>76</v>
      </c>
      <c r="K339" s="148"/>
      <c r="L339" s="148"/>
      <c r="M339" s="148" t="s">
        <v>76</v>
      </c>
      <c r="N339" s="148" t="s">
        <v>77</v>
      </c>
      <c r="O339" s="149"/>
      <c r="P339" s="148"/>
      <c r="Q339" s="148" t="s">
        <v>77</v>
      </c>
      <c r="R339" s="148" t="s">
        <v>76</v>
      </c>
      <c r="S339" s="148"/>
      <c r="T339" s="148"/>
      <c r="U339" s="148"/>
      <c r="V339" s="148" t="s">
        <v>76</v>
      </c>
      <c r="W339" s="148"/>
      <c r="X339" s="148"/>
      <c r="Y339" s="148" t="s">
        <v>76</v>
      </c>
      <c r="Z339" s="148" t="s">
        <v>76</v>
      </c>
      <c r="AA339" s="148"/>
      <c r="AB339" s="148"/>
      <c r="AC339" s="148" t="s">
        <v>76</v>
      </c>
      <c r="AD339" s="148" t="s">
        <v>76</v>
      </c>
      <c r="AE339" s="148"/>
      <c r="AF339" s="150"/>
      <c r="AG339" s="151"/>
      <c r="AH339" s="151"/>
      <c r="AI339" s="151"/>
      <c r="AJ339" s="152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</row>
    <row r="340" hidden="1" outlineLevel="1">
      <c r="A340" s="11" t="s">
        <v>58</v>
      </c>
      <c r="B340" s="153"/>
      <c r="C340" s="153" t="s">
        <v>76</v>
      </c>
      <c r="D340" s="153" t="s">
        <v>76</v>
      </c>
      <c r="E340" s="154"/>
      <c r="F340" s="153"/>
      <c r="G340" s="153"/>
      <c r="H340" s="153" t="s">
        <v>76</v>
      </c>
      <c r="I340" s="154"/>
      <c r="J340" s="153"/>
      <c r="K340" s="153" t="s">
        <v>76</v>
      </c>
      <c r="L340" s="153" t="s">
        <v>76</v>
      </c>
      <c r="M340" s="154"/>
      <c r="N340" s="153"/>
      <c r="O340" s="155" t="s">
        <v>76</v>
      </c>
      <c r="P340" s="153" t="s">
        <v>76</v>
      </c>
      <c r="Q340" s="154"/>
      <c r="R340" s="153"/>
      <c r="S340" s="153" t="s">
        <v>76</v>
      </c>
      <c r="T340" s="153" t="s">
        <v>76</v>
      </c>
      <c r="U340" s="154"/>
      <c r="V340" s="153"/>
      <c r="W340" s="153" t="s">
        <v>76</v>
      </c>
      <c r="X340" s="153" t="s">
        <v>76</v>
      </c>
      <c r="Y340" s="154"/>
      <c r="Z340" s="153"/>
      <c r="AA340" s="153" t="s">
        <v>76</v>
      </c>
      <c r="AB340" s="153" t="s">
        <v>76</v>
      </c>
      <c r="AC340" s="154"/>
      <c r="AD340" s="153"/>
      <c r="AE340" s="153"/>
      <c r="AF340" s="154"/>
      <c r="AG340" s="156"/>
      <c r="AH340" s="156"/>
      <c r="AI340" s="156"/>
      <c r="AJ340" s="157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</row>
    <row r="341" hidden="1" outlineLevel="1">
      <c r="A341" s="11" t="s">
        <v>78</v>
      </c>
      <c r="B341" s="158"/>
      <c r="C341" s="158"/>
      <c r="D341" s="158"/>
      <c r="E341" s="158"/>
      <c r="F341" s="158"/>
      <c r="G341" s="159" t="s">
        <v>79</v>
      </c>
      <c r="H341" s="158"/>
      <c r="I341" s="158"/>
      <c r="J341" s="158"/>
      <c r="K341" s="158"/>
      <c r="L341" s="158"/>
      <c r="M341" s="158"/>
      <c r="N341" s="158"/>
      <c r="O341" s="160"/>
      <c r="P341" s="159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61"/>
      <c r="AH341" s="161"/>
      <c r="AI341" s="161"/>
      <c r="AJ341" s="162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</row>
    <row r="342" ht="17.25" hidden="1" customHeight="1" outlineLevel="1">
      <c r="A342" s="11" t="s">
        <v>80</v>
      </c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4"/>
      <c r="P342" s="163"/>
      <c r="Q342" s="163"/>
      <c r="R342" s="163"/>
      <c r="S342" s="163"/>
      <c r="T342" s="163"/>
      <c r="U342" s="165" t="s">
        <v>79</v>
      </c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6"/>
      <c r="AH342" s="166"/>
      <c r="AI342" s="166"/>
      <c r="AJ342" s="167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</row>
    <row r="343" ht="16.5" hidden="1" customHeight="1" outlineLevel="1">
      <c r="A343" s="11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9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70"/>
      <c r="AH343" s="170"/>
      <c r="AI343" s="170"/>
      <c r="AJ343" s="171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</row>
    <row r="344" hidden="1" outlineLevel="1">
      <c r="A344" s="1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9"/>
      <c r="AH344" s="9"/>
      <c r="AI344" s="9"/>
      <c r="AJ344" s="141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</row>
    <row r="345" hidden="1" outlineLevel="1">
      <c r="A345" s="11" t="s">
        <v>8</v>
      </c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9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40"/>
      <c r="AG345" s="141"/>
      <c r="AH345" s="142"/>
      <c r="AI345" s="142"/>
      <c r="AJ345" s="9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</row>
    <row r="346" hidden="1" outlineLevel="1">
      <c r="A346" s="11" t="s">
        <v>40</v>
      </c>
      <c r="B346" s="172"/>
      <c r="C346" s="172"/>
      <c r="D346" s="173" t="s">
        <v>76</v>
      </c>
      <c r="E346" s="173" t="s">
        <v>76</v>
      </c>
      <c r="F346" s="172"/>
      <c r="G346" s="172"/>
      <c r="H346" s="173" t="s">
        <v>76</v>
      </c>
      <c r="I346" s="173" t="s">
        <v>76</v>
      </c>
      <c r="J346" s="172"/>
      <c r="K346" s="172"/>
      <c r="L346" s="173" t="s">
        <v>76</v>
      </c>
      <c r="M346" s="173" t="s">
        <v>76</v>
      </c>
      <c r="N346" s="172"/>
      <c r="O346" s="174"/>
      <c r="P346" s="173" t="s">
        <v>77</v>
      </c>
      <c r="Q346" s="173" t="s">
        <v>76</v>
      </c>
      <c r="R346" s="172"/>
      <c r="S346" s="172"/>
      <c r="T346" s="173" t="s">
        <v>76</v>
      </c>
      <c r="U346" s="173" t="s">
        <v>81</v>
      </c>
      <c r="V346" s="172"/>
      <c r="W346" s="172"/>
      <c r="X346" s="173" t="s">
        <v>76</v>
      </c>
      <c r="Y346" s="173" t="s">
        <v>76</v>
      </c>
      <c r="Z346" s="172"/>
      <c r="AA346" s="172"/>
      <c r="AB346" s="173" t="s">
        <v>82</v>
      </c>
      <c r="AC346" s="173" t="s">
        <v>76</v>
      </c>
      <c r="AD346" s="172"/>
      <c r="AE346" s="172"/>
      <c r="AF346" s="172"/>
      <c r="AG346" s="175"/>
      <c r="AH346" s="175"/>
      <c r="AI346" s="175"/>
      <c r="AJ346" s="176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</row>
    <row r="347" hidden="1" outlineLevel="1">
      <c r="A347" s="11" t="s">
        <v>67</v>
      </c>
      <c r="B347" s="159" t="s">
        <v>76</v>
      </c>
      <c r="C347" s="159" t="s">
        <v>76</v>
      </c>
      <c r="D347" s="158"/>
      <c r="E347" s="158"/>
      <c r="F347" s="159" t="s">
        <v>76</v>
      </c>
      <c r="G347" s="159" t="s">
        <v>76</v>
      </c>
      <c r="H347" s="158"/>
      <c r="I347" s="158"/>
      <c r="J347" s="159" t="s">
        <v>76</v>
      </c>
      <c r="K347" s="159" t="s">
        <v>76</v>
      </c>
      <c r="L347" s="158"/>
      <c r="M347" s="158"/>
      <c r="N347" s="159" t="s">
        <v>76</v>
      </c>
      <c r="O347" s="177" t="s">
        <v>76</v>
      </c>
      <c r="P347" s="158"/>
      <c r="Q347" s="159"/>
      <c r="R347" s="159" t="s">
        <v>76</v>
      </c>
      <c r="S347" s="159"/>
      <c r="T347" s="158"/>
      <c r="U347" s="159" t="s">
        <v>83</v>
      </c>
      <c r="V347" s="159" t="s">
        <v>76</v>
      </c>
      <c r="W347" s="159" t="s">
        <v>76</v>
      </c>
      <c r="X347" s="158"/>
      <c r="Y347" s="158"/>
      <c r="Z347" s="159" t="s">
        <v>76</v>
      </c>
      <c r="AA347" s="159" t="s">
        <v>76</v>
      </c>
      <c r="AB347" s="158"/>
      <c r="AC347" s="158"/>
      <c r="AD347" s="159" t="s">
        <v>76</v>
      </c>
      <c r="AE347" s="159"/>
      <c r="AF347" s="158"/>
      <c r="AG347" s="161"/>
      <c r="AH347" s="161"/>
      <c r="AI347" s="161"/>
      <c r="AJ347" s="162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</row>
    <row r="348" hidden="1" outlineLevel="1">
      <c r="A348" s="11" t="s">
        <v>31</v>
      </c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9"/>
      <c r="P348" s="168"/>
      <c r="Q348" s="168"/>
      <c r="R348" s="168"/>
      <c r="S348" s="178" t="s">
        <v>79</v>
      </c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70"/>
      <c r="AH348" s="170"/>
      <c r="AI348" s="170"/>
      <c r="AJ348" s="171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</row>
    <row r="349" hidden="1" outlineLevel="1">
      <c r="A349" s="11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4"/>
      <c r="P349" s="163"/>
      <c r="Q349" s="163"/>
      <c r="R349" s="163"/>
      <c r="S349" s="163"/>
      <c r="T349" s="163"/>
      <c r="U349" s="163"/>
      <c r="V349" s="165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6"/>
      <c r="AH349" s="166"/>
      <c r="AI349" s="166"/>
      <c r="AJ349" s="167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</row>
    <row r="350" hidden="1" outlineLevel="1">
      <c r="A350" s="11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80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81"/>
      <c r="AH350" s="181"/>
      <c r="AI350" s="181"/>
      <c r="AJ350" s="182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</row>
    <row r="351" hidden="1" outlineLevel="1">
      <c r="A351" s="11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9"/>
      <c r="P351" s="138"/>
      <c r="Q351" s="138"/>
      <c r="R351" s="138"/>
      <c r="S351" s="4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40"/>
      <c r="AG351" s="141"/>
      <c r="AH351" s="142"/>
      <c r="AI351" s="142"/>
      <c r="AJ351" s="9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</row>
    <row r="352" hidden="1" outlineLevel="1">
      <c r="A352" s="11" t="s">
        <v>12</v>
      </c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9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40"/>
      <c r="AG352" s="141"/>
      <c r="AH352" s="142"/>
      <c r="AI352" s="142"/>
      <c r="AJ352" s="9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</row>
    <row r="353" hidden="1" outlineLevel="1">
      <c r="A353" s="11" t="s">
        <v>31</v>
      </c>
      <c r="B353" s="183"/>
      <c r="C353" s="183" t="s">
        <v>76</v>
      </c>
      <c r="D353" s="183" t="s">
        <v>76</v>
      </c>
      <c r="E353" s="183" t="s">
        <v>76</v>
      </c>
      <c r="F353" s="183"/>
      <c r="G353" s="183" t="s">
        <v>76</v>
      </c>
      <c r="H353" s="183" t="s">
        <v>76</v>
      </c>
      <c r="I353" s="183" t="s">
        <v>76</v>
      </c>
      <c r="J353" s="183"/>
      <c r="K353" s="183" t="s">
        <v>76</v>
      </c>
      <c r="L353" s="183" t="s">
        <v>76</v>
      </c>
      <c r="M353" s="183" t="s">
        <v>76</v>
      </c>
      <c r="N353" s="183"/>
      <c r="O353" s="184"/>
      <c r="P353" s="183"/>
      <c r="Q353" s="183"/>
      <c r="R353" s="183"/>
      <c r="S353" s="183"/>
      <c r="T353" s="183"/>
      <c r="U353" s="183"/>
      <c r="V353" s="183"/>
      <c r="W353" s="183" t="s">
        <v>76</v>
      </c>
      <c r="X353" s="183"/>
      <c r="Y353" s="183"/>
      <c r="Z353" s="183" t="s">
        <v>76</v>
      </c>
      <c r="AA353" s="183" t="s">
        <v>76</v>
      </c>
      <c r="AB353" s="183"/>
      <c r="AC353" s="183"/>
      <c r="AD353" s="183" t="s">
        <v>76</v>
      </c>
      <c r="AE353" s="183"/>
      <c r="AF353" s="185"/>
      <c r="AG353" s="186"/>
      <c r="AH353" s="186"/>
      <c r="AI353" s="186"/>
      <c r="AJ353" s="187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</row>
    <row r="354" hidden="1" outlineLevel="1">
      <c r="A354" s="11" t="s">
        <v>18</v>
      </c>
      <c r="B354" s="188"/>
      <c r="C354" s="189"/>
      <c r="D354" s="189"/>
      <c r="E354" s="189"/>
      <c r="F354" s="188" t="s">
        <v>76</v>
      </c>
      <c r="G354" s="189"/>
      <c r="H354" s="189"/>
      <c r="I354" s="188"/>
      <c r="J354" s="188"/>
      <c r="K354" s="189"/>
      <c r="L354" s="189"/>
      <c r="M354" s="189"/>
      <c r="N354" s="189"/>
      <c r="O354" s="190"/>
      <c r="P354" s="189"/>
      <c r="Q354" s="188" t="s">
        <v>79</v>
      </c>
      <c r="R354" s="188" t="s">
        <v>84</v>
      </c>
      <c r="S354" s="189"/>
      <c r="T354" s="189"/>
      <c r="U354" s="189"/>
      <c r="V354" s="188" t="s">
        <v>85</v>
      </c>
      <c r="W354" s="189"/>
      <c r="X354" s="189"/>
      <c r="Y354" s="189"/>
      <c r="Z354" s="189"/>
      <c r="AA354" s="189"/>
      <c r="AB354" s="189"/>
      <c r="AC354" s="189"/>
      <c r="AD354" s="189"/>
      <c r="AE354" s="189"/>
      <c r="AF354" s="189"/>
      <c r="AG354" s="191"/>
      <c r="AH354" s="191"/>
      <c r="AI354" s="191"/>
      <c r="AJ354" s="192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</row>
    <row r="355" hidden="1" outlineLevel="1">
      <c r="A355" s="11" t="s">
        <v>69</v>
      </c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4"/>
      <c r="P355" s="193"/>
      <c r="Q355" s="193"/>
      <c r="R355" s="193"/>
      <c r="S355" s="193"/>
      <c r="T355" s="193"/>
      <c r="U355" s="193"/>
      <c r="V355" s="193"/>
      <c r="W355" s="193"/>
      <c r="X355" s="195" t="s">
        <v>76</v>
      </c>
      <c r="Y355" s="195" t="s">
        <v>76</v>
      </c>
      <c r="Z355" s="193"/>
      <c r="AA355" s="193"/>
      <c r="AB355" s="195" t="s">
        <v>76</v>
      </c>
      <c r="AC355" s="195" t="s">
        <v>76</v>
      </c>
      <c r="AD355" s="193"/>
      <c r="AE355" s="193"/>
      <c r="AF355" s="193"/>
      <c r="AG355" s="196"/>
      <c r="AH355" s="196"/>
      <c r="AI355" s="196"/>
      <c r="AJ355" s="197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</row>
    <row r="356" hidden="1" outlineLevel="1">
      <c r="A356" s="11" t="s">
        <v>78</v>
      </c>
      <c r="B356" s="198" t="s">
        <v>86</v>
      </c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200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  <c r="AD356" s="199"/>
      <c r="AE356" s="199"/>
      <c r="AF356" s="199"/>
      <c r="AG356" s="201"/>
      <c r="AH356" s="201"/>
      <c r="AI356" s="201"/>
      <c r="AJ356" s="202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</row>
    <row r="357" hidden="1" outlineLevel="1">
      <c r="A357" s="11" t="s">
        <v>70</v>
      </c>
      <c r="B357" s="203"/>
      <c r="C357" s="203"/>
      <c r="D357" s="203"/>
      <c r="E357" s="203"/>
      <c r="F357" s="203"/>
      <c r="G357" s="203"/>
      <c r="H357" s="203"/>
      <c r="I357" s="203"/>
      <c r="J357" s="204" t="s">
        <v>87</v>
      </c>
      <c r="K357" s="203"/>
      <c r="L357" s="203"/>
      <c r="M357" s="203"/>
      <c r="N357" s="203"/>
      <c r="O357" s="205" t="s">
        <v>88</v>
      </c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6"/>
      <c r="AH357" s="206"/>
      <c r="AI357" s="206"/>
      <c r="AJ357" s="207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</row>
    <row r="358" hidden="1" outlineLevel="1">
      <c r="A358" s="11" t="s">
        <v>89</v>
      </c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208" t="s">
        <v>79</v>
      </c>
      <c r="O358" s="160"/>
      <c r="P358" s="158"/>
      <c r="Q358" s="209"/>
      <c r="R358" s="209"/>
      <c r="S358" s="209"/>
      <c r="T358" s="208" t="s">
        <v>79</v>
      </c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61"/>
      <c r="AH358" s="161"/>
      <c r="AI358" s="161"/>
      <c r="AJ358" s="162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</row>
    <row r="359" hidden="1" outlineLevel="1">
      <c r="A359" s="11" t="s">
        <v>23</v>
      </c>
      <c r="B359" s="210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1" t="s">
        <v>90</v>
      </c>
      <c r="P359" s="212" t="s">
        <v>79</v>
      </c>
      <c r="Q359" s="213"/>
      <c r="R359" s="213"/>
      <c r="S359" s="213"/>
      <c r="T359" s="213"/>
      <c r="U359" s="214" t="s">
        <v>79</v>
      </c>
      <c r="V359" s="210"/>
      <c r="W359" s="210"/>
      <c r="X359" s="210"/>
      <c r="Y359" s="210"/>
      <c r="Z359" s="210"/>
      <c r="AA359" s="210"/>
      <c r="AB359" s="210"/>
      <c r="AC359" s="210"/>
      <c r="AD359" s="210"/>
      <c r="AE359" s="210"/>
      <c r="AF359" s="210"/>
      <c r="AG359" s="215"/>
      <c r="AH359" s="215"/>
      <c r="AI359" s="215"/>
      <c r="AJ359" s="216"/>
      <c r="AK359" s="119"/>
      <c r="AL359" s="119"/>
      <c r="AM359" s="119"/>
      <c r="AN359" s="119"/>
      <c r="AO359" s="119"/>
      <c r="AP359" s="119"/>
      <c r="AQ359" s="119"/>
      <c r="AR359" s="119"/>
      <c r="AS359" s="119"/>
      <c r="AT359" s="119"/>
      <c r="AU359" s="119"/>
      <c r="AV359" s="119"/>
      <c r="AW359" s="119"/>
      <c r="AX359" s="119"/>
      <c r="AY359" s="119"/>
      <c r="AZ359" s="119"/>
      <c r="BA359" s="119"/>
      <c r="BB359" s="119"/>
      <c r="BC359" s="119"/>
      <c r="BD359" s="119"/>
    </row>
    <row r="360" hidden="1" outlineLevel="1">
      <c r="A360" s="11" t="s">
        <v>80</v>
      </c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8"/>
      <c r="P360" s="217"/>
      <c r="Q360" s="217"/>
      <c r="R360" s="219" t="s">
        <v>91</v>
      </c>
      <c r="S360" s="219"/>
      <c r="T360" s="220"/>
      <c r="U360" s="217"/>
      <c r="V360" s="221"/>
      <c r="W360" s="217"/>
      <c r="X360" s="217"/>
      <c r="Y360" s="219" t="s">
        <v>92</v>
      </c>
      <c r="Z360" s="217"/>
      <c r="AA360" s="217"/>
      <c r="AB360" s="217"/>
      <c r="AC360" s="217"/>
      <c r="AD360" s="217"/>
      <c r="AE360" s="217"/>
      <c r="AF360" s="217"/>
      <c r="AG360" s="222"/>
      <c r="AH360" s="222"/>
      <c r="AI360" s="222"/>
      <c r="AJ360" s="223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</row>
    <row r="361" hidden="1" outlineLevel="1">
      <c r="A361" s="11" t="s">
        <v>34</v>
      </c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24"/>
      <c r="P361" s="203"/>
      <c r="Q361" s="203"/>
      <c r="R361" s="204"/>
      <c r="S361" s="204" t="s">
        <v>79</v>
      </c>
      <c r="T361" s="204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6"/>
      <c r="AH361" s="206"/>
      <c r="AI361" s="206"/>
      <c r="AJ361" s="207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</row>
    <row r="362" hidden="1" outlineLevel="1">
      <c r="A362" s="11"/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5"/>
      <c r="O362" s="226"/>
      <c r="P362" s="225"/>
      <c r="Q362" s="225"/>
      <c r="R362" s="227"/>
      <c r="S362" s="227"/>
      <c r="T362" s="227"/>
      <c r="U362" s="225"/>
      <c r="V362" s="225"/>
      <c r="W362" s="225"/>
      <c r="X362" s="225"/>
      <c r="Y362" s="225"/>
      <c r="Z362" s="225"/>
      <c r="AA362" s="225"/>
      <c r="AB362" s="225"/>
      <c r="AC362" s="225"/>
      <c r="AD362" s="225"/>
      <c r="AE362" s="225"/>
      <c r="AF362" s="225"/>
      <c r="AG362" s="228"/>
      <c r="AH362" s="228"/>
      <c r="AI362" s="228"/>
      <c r="AJ362" s="229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</row>
    <row r="363" hidden="1" outlineLevel="1">
      <c r="A363" s="11"/>
      <c r="B363" s="230"/>
      <c r="C363" s="230"/>
      <c r="D363" s="230"/>
      <c r="E363" s="230"/>
      <c r="F363" s="230"/>
      <c r="G363" s="230"/>
      <c r="H363" s="230"/>
      <c r="I363" s="230"/>
      <c r="J363" s="230"/>
      <c r="K363" s="230"/>
      <c r="L363" s="230"/>
      <c r="M363" s="230"/>
      <c r="N363" s="230"/>
      <c r="O363" s="231"/>
      <c r="P363" s="230"/>
      <c r="Q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2"/>
      <c r="AG363" s="233"/>
      <c r="AH363" s="234"/>
      <c r="AI363" s="234"/>
      <c r="AJ363" s="9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</row>
    <row r="364" hidden="1" outlineLevel="1">
      <c r="A364" s="11" t="s">
        <v>25</v>
      </c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9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40"/>
      <c r="AG364" s="141"/>
      <c r="AH364" s="142"/>
      <c r="AI364" s="142"/>
      <c r="AJ364" s="9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</row>
    <row r="365" hidden="1" outlineLevel="1">
      <c r="A365" s="11" t="s">
        <v>65</v>
      </c>
      <c r="B365" s="235" t="s">
        <v>76</v>
      </c>
      <c r="C365" s="235" t="s">
        <v>76</v>
      </c>
      <c r="D365" s="235"/>
      <c r="E365" s="235"/>
      <c r="F365" s="235" t="s">
        <v>76</v>
      </c>
      <c r="G365" s="235" t="s">
        <v>76</v>
      </c>
      <c r="H365" s="236"/>
      <c r="I365" s="235"/>
      <c r="J365" s="235"/>
      <c r="K365" s="235" t="s">
        <v>76</v>
      </c>
      <c r="L365" s="235" t="s">
        <v>93</v>
      </c>
      <c r="M365" s="235"/>
      <c r="N365" s="235"/>
      <c r="O365" s="237" t="s">
        <v>76</v>
      </c>
      <c r="P365" s="235" t="s">
        <v>76</v>
      </c>
      <c r="Q365" s="235"/>
      <c r="R365" s="235"/>
      <c r="S365" s="238"/>
      <c r="T365" s="235" t="s">
        <v>76</v>
      </c>
      <c r="U365" s="235" t="s">
        <v>76</v>
      </c>
      <c r="V365" s="235" t="s">
        <v>76</v>
      </c>
      <c r="W365" s="235"/>
      <c r="X365" s="235" t="s">
        <v>76</v>
      </c>
      <c r="Y365" s="235" t="s">
        <v>76</v>
      </c>
      <c r="Z365" s="235"/>
      <c r="AA365" s="236"/>
      <c r="AB365" s="236"/>
      <c r="AC365" s="235" t="s">
        <v>76</v>
      </c>
      <c r="AD365" s="235" t="s">
        <v>76</v>
      </c>
      <c r="AE365" s="235"/>
      <c r="AF365" s="236"/>
      <c r="AG365" s="239"/>
      <c r="AH365" s="239"/>
      <c r="AI365" s="239"/>
      <c r="AJ365" s="24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</row>
    <row r="366" hidden="1" outlineLevel="1">
      <c r="A366" s="11" t="s">
        <v>78</v>
      </c>
      <c r="B366" s="179"/>
      <c r="C366" s="179"/>
      <c r="D366" s="241" t="s">
        <v>94</v>
      </c>
      <c r="E366" s="241" t="s">
        <v>76</v>
      </c>
      <c r="F366" s="179"/>
      <c r="G366" s="179"/>
      <c r="H366" s="241" t="s">
        <v>76</v>
      </c>
      <c r="I366" s="241" t="s">
        <v>76</v>
      </c>
      <c r="J366" s="241" t="s">
        <v>76</v>
      </c>
      <c r="K366" s="179"/>
      <c r="L366" s="241"/>
      <c r="M366" s="241" t="s">
        <v>76</v>
      </c>
      <c r="N366" s="241" t="s">
        <v>76</v>
      </c>
      <c r="O366" s="180"/>
      <c r="P366" s="179"/>
      <c r="Q366" s="241" t="s">
        <v>76</v>
      </c>
      <c r="R366" s="241" t="s">
        <v>76</v>
      </c>
      <c r="S366" s="241" t="s">
        <v>76</v>
      </c>
      <c r="T366" s="179"/>
      <c r="U366" s="179"/>
      <c r="V366" s="241"/>
      <c r="W366" s="241" t="s">
        <v>76</v>
      </c>
      <c r="X366" s="241"/>
      <c r="Y366" s="179"/>
      <c r="Z366" s="241" t="s">
        <v>76</v>
      </c>
      <c r="AA366" s="241" t="s">
        <v>76</v>
      </c>
      <c r="AB366" s="241" t="s">
        <v>76</v>
      </c>
      <c r="AC366" s="241"/>
      <c r="AD366" s="179"/>
      <c r="AE366" s="179"/>
      <c r="AF366" s="179"/>
      <c r="AG366" s="181"/>
      <c r="AH366" s="181"/>
      <c r="AI366" s="181"/>
      <c r="AJ366" s="182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</row>
    <row r="367" hidden="1" outlineLevel="1">
      <c r="A367" s="11" t="s">
        <v>34</v>
      </c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5" t="s">
        <v>95</v>
      </c>
      <c r="M367" s="163"/>
      <c r="N367" s="163"/>
      <c r="O367" s="164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6"/>
      <c r="AH367" s="166"/>
      <c r="AI367" s="166"/>
      <c r="AJ367" s="167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</row>
    <row r="368" hidden="1" outlineLevel="1">
      <c r="A368" s="11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3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  <c r="AA368" s="242"/>
      <c r="AB368" s="242"/>
      <c r="AC368" s="242"/>
      <c r="AD368" s="242"/>
      <c r="AE368" s="242"/>
      <c r="AF368" s="242"/>
      <c r="AG368" s="244"/>
      <c r="AH368" s="244"/>
      <c r="AI368" s="244"/>
      <c r="AJ368" s="245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</row>
    <row r="369" hidden="1" outlineLevel="1">
      <c r="A369" s="1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9"/>
      <c r="AH369" s="9"/>
      <c r="AI369" s="9"/>
      <c r="AJ369" s="9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</row>
    <row r="370" hidden="1" outlineLevel="1">
      <c r="A370" s="11" t="s">
        <v>49</v>
      </c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9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40"/>
      <c r="AG370" s="141"/>
      <c r="AH370" s="142"/>
      <c r="AI370" s="142"/>
      <c r="AJ370" s="9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</row>
    <row r="371" hidden="1" outlineLevel="1">
      <c r="A371" s="11" t="s">
        <v>57</v>
      </c>
      <c r="B371" s="246" t="s">
        <v>96</v>
      </c>
      <c r="C371" s="247" t="s">
        <v>76</v>
      </c>
      <c r="D371" s="247"/>
      <c r="E371" s="247"/>
      <c r="F371" s="247" t="s">
        <v>76</v>
      </c>
      <c r="G371" s="247" t="s">
        <v>76</v>
      </c>
      <c r="H371" s="247"/>
      <c r="I371" s="247"/>
      <c r="J371" s="247" t="s">
        <v>76</v>
      </c>
      <c r="K371" s="247" t="s">
        <v>76</v>
      </c>
      <c r="L371" s="247"/>
      <c r="M371" s="247"/>
      <c r="N371" s="246" t="s">
        <v>76</v>
      </c>
      <c r="O371" s="248" t="s">
        <v>76</v>
      </c>
      <c r="P371" s="247"/>
      <c r="Q371" s="247"/>
      <c r="R371" s="246" t="s">
        <v>76</v>
      </c>
      <c r="S371" s="246" t="s">
        <v>76</v>
      </c>
      <c r="T371" s="246"/>
      <c r="U371" s="246"/>
      <c r="V371" s="246" t="s">
        <v>76</v>
      </c>
      <c r="W371" s="246" t="s">
        <v>76</v>
      </c>
      <c r="X371" s="246"/>
      <c r="Y371" s="246"/>
      <c r="Z371" s="246" t="s">
        <v>76</v>
      </c>
      <c r="AA371" s="246"/>
      <c r="AB371" s="246"/>
      <c r="AC371" s="246"/>
      <c r="AD371" s="246" t="s">
        <v>76</v>
      </c>
      <c r="AE371" s="246"/>
      <c r="AF371" s="249"/>
      <c r="AG371" s="250"/>
      <c r="AH371" s="250"/>
      <c r="AI371" s="250"/>
      <c r="AJ371" s="251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</row>
    <row r="372" hidden="1" outlineLevel="1">
      <c r="A372" s="11" t="s">
        <v>70</v>
      </c>
      <c r="B372" s="252" t="s">
        <v>97</v>
      </c>
      <c r="C372" s="241"/>
      <c r="D372" s="241" t="s">
        <v>76</v>
      </c>
      <c r="E372" s="241" t="s">
        <v>76</v>
      </c>
      <c r="F372" s="241"/>
      <c r="G372" s="241"/>
      <c r="H372" s="241" t="s">
        <v>76</v>
      </c>
      <c r="I372" s="241" t="s">
        <v>76</v>
      </c>
      <c r="J372" s="241"/>
      <c r="K372" s="241"/>
      <c r="L372" s="241" t="s">
        <v>76</v>
      </c>
      <c r="M372" s="241" t="s">
        <v>76</v>
      </c>
      <c r="N372" s="253"/>
      <c r="O372" s="254"/>
      <c r="P372" s="241" t="s">
        <v>76</v>
      </c>
      <c r="Q372" s="241" t="s">
        <v>76</v>
      </c>
      <c r="R372" s="241"/>
      <c r="S372" s="241"/>
      <c r="T372" s="241" t="s">
        <v>76</v>
      </c>
      <c r="U372" s="241" t="s">
        <v>76</v>
      </c>
      <c r="V372" s="241"/>
      <c r="W372" s="241"/>
      <c r="X372" s="241" t="s">
        <v>76</v>
      </c>
      <c r="Y372" s="241" t="s">
        <v>76</v>
      </c>
      <c r="Z372" s="241"/>
      <c r="AA372" s="241"/>
      <c r="AB372" s="241" t="s">
        <v>76</v>
      </c>
      <c r="AC372" s="241" t="s">
        <v>76</v>
      </c>
      <c r="AD372" s="241"/>
      <c r="AE372" s="241"/>
      <c r="AF372" s="179"/>
      <c r="AG372" s="181"/>
      <c r="AH372" s="181"/>
      <c r="AI372" s="181"/>
      <c r="AJ372" s="182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</row>
    <row r="373" hidden="1" outlineLevel="1">
      <c r="A373" s="11" t="s">
        <v>89</v>
      </c>
      <c r="B373" s="255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7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8" t="s">
        <v>98</v>
      </c>
      <c r="AB373" s="256"/>
      <c r="AC373" s="256"/>
      <c r="AD373" s="256"/>
      <c r="AE373" s="256"/>
      <c r="AF373" s="256"/>
      <c r="AG373" s="259"/>
      <c r="AH373" s="259"/>
      <c r="AI373" s="259"/>
      <c r="AJ373" s="26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</row>
    <row r="374" hidden="1" outlineLevel="1">
      <c r="A374" s="74"/>
      <c r="B374" s="261" t="s">
        <v>99</v>
      </c>
      <c r="C374" s="261" t="s">
        <v>100</v>
      </c>
      <c r="D374" s="261" t="s">
        <v>101</v>
      </c>
      <c r="E374" s="261" t="s">
        <v>102</v>
      </c>
      <c r="F374" s="262" t="s">
        <v>103</v>
      </c>
      <c r="G374" s="261" t="s">
        <v>104</v>
      </c>
      <c r="H374" s="261" t="s">
        <v>105</v>
      </c>
      <c r="I374" s="261" t="s">
        <v>99</v>
      </c>
      <c r="J374" s="261" t="s">
        <v>100</v>
      </c>
      <c r="K374" s="261" t="s">
        <v>101</v>
      </c>
      <c r="L374" s="261" t="s">
        <v>102</v>
      </c>
      <c r="M374" s="262" t="s">
        <v>103</v>
      </c>
      <c r="N374" s="261" t="s">
        <v>104</v>
      </c>
      <c r="O374" s="263" t="s">
        <v>105</v>
      </c>
      <c r="P374" s="264" t="s">
        <v>99</v>
      </c>
      <c r="Q374" s="261" t="s">
        <v>100</v>
      </c>
      <c r="R374" s="261" t="s">
        <v>101</v>
      </c>
      <c r="S374" s="261" t="s">
        <v>102</v>
      </c>
      <c r="T374" s="262" t="s">
        <v>103</v>
      </c>
      <c r="U374" s="261" t="s">
        <v>104</v>
      </c>
      <c r="V374" s="261" t="s">
        <v>105</v>
      </c>
      <c r="W374" s="261" t="s">
        <v>99</v>
      </c>
      <c r="X374" s="261" t="s">
        <v>100</v>
      </c>
      <c r="Y374" s="261" t="s">
        <v>101</v>
      </c>
      <c r="Z374" s="261" t="s">
        <v>102</v>
      </c>
      <c r="AA374" s="262" t="s">
        <v>103</v>
      </c>
      <c r="AB374" s="261" t="s">
        <v>104</v>
      </c>
      <c r="AC374" s="261" t="s">
        <v>105</v>
      </c>
      <c r="AD374" s="261" t="s">
        <v>99</v>
      </c>
      <c r="AE374" s="261" t="s">
        <v>100</v>
      </c>
      <c r="AF374" s="261"/>
      <c r="AG374" s="265"/>
      <c r="AH374" s="265"/>
      <c r="AI374" s="265"/>
      <c r="AJ374" s="266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</row>
    <row r="375" hidden="1" outlineLevel="1">
      <c r="A375" s="267"/>
      <c r="B375" s="268">
        <v>2.0</v>
      </c>
      <c r="C375" s="268">
        <v>3.0</v>
      </c>
      <c r="D375" s="268">
        <v>4.0</v>
      </c>
      <c r="E375" s="268">
        <v>5.0</v>
      </c>
      <c r="F375" s="268">
        <v>6.0</v>
      </c>
      <c r="G375" s="268">
        <v>7.0</v>
      </c>
      <c r="H375" s="268">
        <v>8.0</v>
      </c>
      <c r="I375" s="268">
        <v>9.0</v>
      </c>
      <c r="J375" s="268">
        <v>10.0</v>
      </c>
      <c r="K375" s="268">
        <v>11.0</v>
      </c>
      <c r="L375" s="268">
        <v>12.0</v>
      </c>
      <c r="M375" s="268">
        <v>13.0</v>
      </c>
      <c r="N375" s="268">
        <v>14.0</v>
      </c>
      <c r="O375" s="269">
        <v>15.0</v>
      </c>
      <c r="P375" s="270">
        <v>16.0</v>
      </c>
      <c r="Q375" s="268">
        <v>17.0</v>
      </c>
      <c r="R375" s="268">
        <v>18.0</v>
      </c>
      <c r="S375" s="268">
        <v>19.0</v>
      </c>
      <c r="T375" s="268">
        <v>20.0</v>
      </c>
      <c r="U375" s="268">
        <v>21.0</v>
      </c>
      <c r="V375" s="268">
        <v>22.0</v>
      </c>
      <c r="W375" s="268">
        <v>23.0</v>
      </c>
      <c r="X375" s="268">
        <v>24.0</v>
      </c>
      <c r="Y375" s="268">
        <v>25.0</v>
      </c>
      <c r="Z375" s="268">
        <v>26.0</v>
      </c>
      <c r="AA375" s="268">
        <v>27.0</v>
      </c>
      <c r="AB375" s="268">
        <v>28.0</v>
      </c>
      <c r="AC375" s="268">
        <v>29.0</v>
      </c>
      <c r="AD375" s="268">
        <v>30.0</v>
      </c>
      <c r="AE375" s="268">
        <v>31.0</v>
      </c>
      <c r="AF375" s="268"/>
      <c r="AG375" s="271" t="s">
        <v>72</v>
      </c>
      <c r="AH375" s="272" t="s">
        <v>73</v>
      </c>
      <c r="AI375" s="272" t="s">
        <v>74</v>
      </c>
      <c r="AJ375" s="273" t="s">
        <v>75</v>
      </c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</row>
    <row r="376" hidden="1" outlineLevel="1">
      <c r="A376" s="274" t="s">
        <v>106</v>
      </c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275"/>
      <c r="P376" s="276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40"/>
      <c r="AG376" s="141"/>
      <c r="AH376" s="142"/>
      <c r="AI376" s="142"/>
      <c r="AJ376" s="277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</row>
    <row r="377" hidden="1" outlineLevel="1">
      <c r="A377" s="278" t="s">
        <v>34</v>
      </c>
      <c r="B377" s="148"/>
      <c r="C377" s="148" t="s">
        <v>76</v>
      </c>
      <c r="D377" s="148" t="s">
        <v>76</v>
      </c>
      <c r="E377" s="148"/>
      <c r="F377" s="148"/>
      <c r="G377" s="148"/>
      <c r="H377" s="148"/>
      <c r="I377" s="148"/>
      <c r="J377" s="148"/>
      <c r="K377" s="148"/>
      <c r="L377" s="148"/>
      <c r="M377" s="148"/>
      <c r="N377" s="279"/>
      <c r="O377" s="149"/>
      <c r="P377" s="148"/>
      <c r="Q377" s="280"/>
      <c r="R377" s="148"/>
      <c r="S377" s="148"/>
      <c r="T377" s="148"/>
      <c r="U377" s="148"/>
      <c r="V377" s="148" t="s">
        <v>76</v>
      </c>
      <c r="W377" s="148" t="s">
        <v>76</v>
      </c>
      <c r="X377" s="148"/>
      <c r="Y377" s="148"/>
      <c r="Z377" s="148" t="s">
        <v>76</v>
      </c>
      <c r="AA377" s="148" t="s">
        <v>76</v>
      </c>
      <c r="AB377" s="148"/>
      <c r="AC377" s="148" t="s">
        <v>107</v>
      </c>
      <c r="AD377" s="148" t="s">
        <v>108</v>
      </c>
      <c r="AE377" s="148" t="s">
        <v>108</v>
      </c>
      <c r="AF377" s="150"/>
      <c r="AG377" s="151"/>
      <c r="AH377" s="151"/>
      <c r="AI377" s="151"/>
      <c r="AJ377" s="151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</row>
    <row r="378" hidden="1" outlineLevel="1">
      <c r="A378" s="281" t="s">
        <v>58</v>
      </c>
      <c r="B378" s="153" t="s">
        <v>76</v>
      </c>
      <c r="C378" s="153"/>
      <c r="D378" s="153"/>
      <c r="E378" s="153" t="s">
        <v>76</v>
      </c>
      <c r="F378" s="153" t="s">
        <v>76</v>
      </c>
      <c r="G378" s="153"/>
      <c r="H378" s="153"/>
      <c r="I378" s="153" t="s">
        <v>109</v>
      </c>
      <c r="J378" s="153" t="s">
        <v>110</v>
      </c>
      <c r="K378" s="153"/>
      <c r="L378" s="153"/>
      <c r="M378" s="153" t="s">
        <v>76</v>
      </c>
      <c r="N378" s="282" t="s">
        <v>76</v>
      </c>
      <c r="O378" s="155"/>
      <c r="P378" s="153"/>
      <c r="Q378" s="283"/>
      <c r="R378" s="153"/>
      <c r="S378" s="153"/>
      <c r="T378" s="153" t="s">
        <v>76</v>
      </c>
      <c r="U378" s="153" t="s">
        <v>76</v>
      </c>
      <c r="V378" s="153"/>
      <c r="W378" s="153"/>
      <c r="X378" s="153" t="s">
        <v>76</v>
      </c>
      <c r="Y378" s="153" t="s">
        <v>76</v>
      </c>
      <c r="Z378" s="153"/>
      <c r="AA378" s="153"/>
      <c r="AB378" s="153"/>
      <c r="AC378" s="153"/>
      <c r="AD378" s="153"/>
      <c r="AE378" s="153"/>
      <c r="AF378" s="154"/>
      <c r="AG378" s="156"/>
      <c r="AH378" s="156"/>
      <c r="AI378" s="156"/>
      <c r="AJ378" s="156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</row>
    <row r="379" ht="16.5" hidden="1" customHeight="1" outlineLevel="1">
      <c r="A379" s="284" t="s">
        <v>89</v>
      </c>
      <c r="B379" s="203"/>
      <c r="C379" s="203"/>
      <c r="D379" s="203"/>
      <c r="E379" s="203"/>
      <c r="F379" s="203"/>
      <c r="G379" s="203"/>
      <c r="H379" s="203"/>
      <c r="I379" s="203"/>
      <c r="J379" s="203"/>
      <c r="K379" s="204" t="s">
        <v>76</v>
      </c>
      <c r="L379" s="204" t="s">
        <v>76</v>
      </c>
      <c r="M379" s="203"/>
      <c r="N379" s="285"/>
      <c r="O379" s="224"/>
      <c r="P379" s="203"/>
      <c r="Q379" s="286"/>
      <c r="R379" s="204" t="s">
        <v>76</v>
      </c>
      <c r="S379" s="204" t="s">
        <v>76</v>
      </c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6"/>
      <c r="AH379" s="206"/>
      <c r="AI379" s="206"/>
      <c r="AJ379" s="206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</row>
    <row r="380" ht="36.0" hidden="1" customHeight="1" outlineLevel="1">
      <c r="A380" s="287" t="s">
        <v>29</v>
      </c>
      <c r="B380" s="288"/>
      <c r="C380" s="288"/>
      <c r="D380" s="288"/>
      <c r="E380" s="288"/>
      <c r="F380" s="288"/>
      <c r="G380" s="253"/>
      <c r="H380" s="253" t="s">
        <v>76</v>
      </c>
      <c r="I380" s="253" t="s">
        <v>111</v>
      </c>
      <c r="J380" s="253"/>
      <c r="K380" s="288"/>
      <c r="L380" s="288"/>
      <c r="M380" s="288"/>
      <c r="N380" s="289"/>
      <c r="O380" s="290"/>
      <c r="P380" s="288"/>
      <c r="Q380" s="291" t="s">
        <v>77</v>
      </c>
      <c r="R380" s="288"/>
      <c r="S380" s="288"/>
      <c r="T380" s="288"/>
      <c r="U380" s="288"/>
      <c r="V380" s="288"/>
      <c r="W380" s="288"/>
      <c r="X380" s="288"/>
      <c r="Y380" s="288"/>
      <c r="Z380" s="288"/>
      <c r="AA380" s="288"/>
      <c r="AB380" s="288"/>
      <c r="AC380" s="288"/>
      <c r="AD380" s="288"/>
      <c r="AE380" s="288"/>
      <c r="AF380" s="288"/>
      <c r="AG380" s="292"/>
      <c r="AH380" s="292"/>
      <c r="AI380" s="292"/>
      <c r="AJ380" s="292"/>
      <c r="AK380" s="119"/>
      <c r="AL380" s="119"/>
      <c r="AM380" s="119"/>
      <c r="AN380" s="119"/>
      <c r="AO380" s="119"/>
      <c r="AP380" s="119"/>
      <c r="AQ380" s="119"/>
      <c r="AR380" s="119"/>
      <c r="AS380" s="119"/>
      <c r="AT380" s="119"/>
      <c r="AU380" s="119"/>
      <c r="AV380" s="119"/>
      <c r="AW380" s="119"/>
      <c r="AX380" s="119"/>
      <c r="AY380" s="119"/>
      <c r="AZ380" s="119"/>
      <c r="BA380" s="119"/>
      <c r="BB380" s="119"/>
      <c r="BC380" s="119"/>
      <c r="BD380" s="119"/>
    </row>
    <row r="381" ht="43.5" hidden="1" customHeight="1" outlineLevel="1">
      <c r="A381" s="293" t="s">
        <v>80</v>
      </c>
      <c r="B381" s="294"/>
      <c r="C381" s="294"/>
      <c r="D381" s="294"/>
      <c r="E381" s="294"/>
      <c r="F381" s="294"/>
      <c r="G381" s="295" t="s">
        <v>76</v>
      </c>
      <c r="H381" s="294"/>
      <c r="I381" s="295" t="s">
        <v>112</v>
      </c>
      <c r="J381" s="294"/>
      <c r="K381" s="294"/>
      <c r="L381" s="294"/>
      <c r="M381" s="294"/>
      <c r="N381" s="296"/>
      <c r="O381" s="297"/>
      <c r="P381" s="294"/>
      <c r="Q381" s="298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  <c r="AC381" s="294"/>
      <c r="AD381" s="294"/>
      <c r="AE381" s="294"/>
      <c r="AF381" s="294"/>
      <c r="AG381" s="299"/>
      <c r="AH381" s="299"/>
      <c r="AI381" s="299"/>
      <c r="AJ381" s="299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</row>
    <row r="382" ht="36.75" hidden="1" customHeight="1" outlineLevel="1">
      <c r="A382" s="300"/>
      <c r="B382" s="225"/>
      <c r="C382" s="225"/>
      <c r="D382" s="225"/>
      <c r="E382" s="225"/>
      <c r="F382" s="225"/>
      <c r="G382" s="227"/>
      <c r="H382" s="225"/>
      <c r="I382" s="225"/>
      <c r="J382" s="225"/>
      <c r="K382" s="225"/>
      <c r="L382" s="225"/>
      <c r="M382" s="225"/>
      <c r="N382" s="301"/>
      <c r="O382" s="302" t="s">
        <v>113</v>
      </c>
      <c r="P382" s="227" t="s">
        <v>114</v>
      </c>
      <c r="Q382" s="303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  <c r="AB382" s="227" t="s">
        <v>115</v>
      </c>
      <c r="AC382" s="225"/>
      <c r="AD382" s="225"/>
      <c r="AE382" s="225"/>
      <c r="AF382" s="225"/>
      <c r="AG382" s="228"/>
      <c r="AH382" s="228"/>
      <c r="AI382" s="228"/>
      <c r="AJ382" s="228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</row>
    <row r="383" hidden="1" outlineLevel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9"/>
      <c r="AH383" s="9"/>
      <c r="AI383" s="9"/>
      <c r="AJ383" s="277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</row>
    <row r="384" hidden="1" outlineLevel="1">
      <c r="A384" s="274" t="s">
        <v>116</v>
      </c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9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40"/>
      <c r="AG384" s="141"/>
      <c r="AH384" s="142"/>
      <c r="AI384" s="142"/>
      <c r="AJ384" s="277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</row>
    <row r="385" hidden="1" outlineLevel="1">
      <c r="A385" s="304" t="s">
        <v>67</v>
      </c>
      <c r="B385" s="159"/>
      <c r="C385" s="159"/>
      <c r="D385" s="159" t="s">
        <v>76</v>
      </c>
      <c r="E385" s="159" t="s">
        <v>76</v>
      </c>
      <c r="F385" s="159"/>
      <c r="G385" s="159"/>
      <c r="H385" s="159" t="s">
        <v>76</v>
      </c>
      <c r="I385" s="159" t="s">
        <v>76</v>
      </c>
      <c r="J385" s="159"/>
      <c r="K385" s="159"/>
      <c r="L385" s="159" t="s">
        <v>76</v>
      </c>
      <c r="M385" s="159" t="s">
        <v>76</v>
      </c>
      <c r="N385" s="159"/>
      <c r="O385" s="177"/>
      <c r="P385" s="159" t="s">
        <v>76</v>
      </c>
      <c r="Q385" s="159" t="s">
        <v>76</v>
      </c>
      <c r="R385" s="159"/>
      <c r="S385" s="159"/>
      <c r="T385" s="159" t="s">
        <v>76</v>
      </c>
      <c r="U385" s="159" t="s">
        <v>76</v>
      </c>
      <c r="V385" s="159"/>
      <c r="W385" s="159"/>
      <c r="X385" s="159" t="s">
        <v>76</v>
      </c>
      <c r="Y385" s="159" t="s">
        <v>76</v>
      </c>
      <c r="Z385" s="159"/>
      <c r="AA385" s="159"/>
      <c r="AB385" s="159" t="s">
        <v>76</v>
      </c>
      <c r="AC385" s="159" t="s">
        <v>76</v>
      </c>
      <c r="AD385" s="159"/>
      <c r="AE385" s="159"/>
      <c r="AF385" s="158"/>
      <c r="AG385" s="161"/>
      <c r="AH385" s="161"/>
      <c r="AI385" s="161"/>
      <c r="AJ385" s="161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</row>
    <row r="386" hidden="1" outlineLevel="1">
      <c r="A386" s="305" t="s">
        <v>117</v>
      </c>
      <c r="B386" s="179"/>
      <c r="C386" s="179"/>
      <c r="D386" s="241"/>
      <c r="E386" s="241"/>
      <c r="F386" s="241" t="s">
        <v>76</v>
      </c>
      <c r="G386" s="241" t="s">
        <v>76</v>
      </c>
      <c r="H386" s="179"/>
      <c r="I386" s="179"/>
      <c r="J386" s="241" t="s">
        <v>76</v>
      </c>
      <c r="K386" s="241" t="s">
        <v>76</v>
      </c>
      <c r="L386" s="179"/>
      <c r="M386" s="179"/>
      <c r="N386" s="241" t="s">
        <v>76</v>
      </c>
      <c r="O386" s="254" t="s">
        <v>76</v>
      </c>
      <c r="P386" s="179"/>
      <c r="Q386" s="179"/>
      <c r="R386" s="241" t="s">
        <v>76</v>
      </c>
      <c r="S386" s="241" t="s">
        <v>76</v>
      </c>
      <c r="T386" s="179"/>
      <c r="U386" s="179"/>
      <c r="V386" s="241" t="s">
        <v>76</v>
      </c>
      <c r="W386" s="241" t="s">
        <v>76</v>
      </c>
      <c r="X386" s="179"/>
      <c r="Y386" s="179"/>
      <c r="Z386" s="241" t="s">
        <v>76</v>
      </c>
      <c r="AA386" s="241" t="s">
        <v>76</v>
      </c>
      <c r="AB386" s="179"/>
      <c r="AC386" s="179"/>
      <c r="AD386" s="241" t="s">
        <v>80</v>
      </c>
      <c r="AE386" s="241" t="s">
        <v>118</v>
      </c>
      <c r="AF386" s="179"/>
      <c r="AG386" s="181"/>
      <c r="AH386" s="181"/>
      <c r="AI386" s="181"/>
      <c r="AJ386" s="181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</row>
    <row r="387" hidden="1" outlineLevel="1">
      <c r="A387" s="306" t="s">
        <v>40</v>
      </c>
      <c r="B387" s="173" t="s">
        <v>76</v>
      </c>
      <c r="C387" s="173" t="s">
        <v>76</v>
      </c>
      <c r="D387" s="173"/>
      <c r="E387" s="173"/>
      <c r="F387" s="172"/>
      <c r="G387" s="172"/>
      <c r="H387" s="173"/>
      <c r="I387" s="173"/>
      <c r="J387" s="172"/>
      <c r="K387" s="172"/>
      <c r="L387" s="173"/>
      <c r="M387" s="173"/>
      <c r="N387" s="172"/>
      <c r="O387" s="174"/>
      <c r="P387" s="173"/>
      <c r="Q387" s="173"/>
      <c r="R387" s="172"/>
      <c r="S387" s="172"/>
      <c r="T387" s="173"/>
      <c r="U387" s="173"/>
      <c r="V387" s="172"/>
      <c r="W387" s="172"/>
      <c r="X387" s="173"/>
      <c r="Y387" s="173"/>
      <c r="Z387" s="172"/>
      <c r="AA387" s="172"/>
      <c r="AB387" s="173"/>
      <c r="AC387" s="173"/>
      <c r="AD387" s="172"/>
      <c r="AE387" s="172"/>
      <c r="AF387" s="172"/>
      <c r="AG387" s="175"/>
      <c r="AH387" s="175"/>
      <c r="AI387" s="175"/>
      <c r="AJ387" s="175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</row>
    <row r="388" hidden="1" outlineLevel="1">
      <c r="A388" s="307"/>
      <c r="B388" s="227"/>
      <c r="C388" s="227"/>
      <c r="D388" s="227"/>
      <c r="E388" s="227"/>
      <c r="F388" s="225"/>
      <c r="G388" s="225"/>
      <c r="H388" s="227"/>
      <c r="I388" s="227"/>
      <c r="J388" s="225"/>
      <c r="K388" s="225"/>
      <c r="L388" s="227"/>
      <c r="M388" s="227"/>
      <c r="N388" s="225"/>
      <c r="O388" s="226"/>
      <c r="P388" s="227"/>
      <c r="Q388" s="227"/>
      <c r="R388" s="225"/>
      <c r="S388" s="225"/>
      <c r="T388" s="227"/>
      <c r="U388" s="227"/>
      <c r="V388" s="225"/>
      <c r="W388" s="225"/>
      <c r="X388" s="227"/>
      <c r="Y388" s="227"/>
      <c r="Z388" s="225"/>
      <c r="AA388" s="225"/>
      <c r="AB388" s="227"/>
      <c r="AC388" s="227"/>
      <c r="AD388" s="225"/>
      <c r="AE388" s="225"/>
      <c r="AF388" s="225"/>
      <c r="AG388" s="228"/>
      <c r="AH388" s="228"/>
      <c r="AI388" s="228"/>
      <c r="AJ388" s="228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</row>
    <row r="389" hidden="1" outlineLevel="1">
      <c r="A389" s="30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9"/>
      <c r="P389" s="138"/>
      <c r="Q389" s="138"/>
      <c r="R389" s="138"/>
      <c r="S389" s="4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  <c r="AE389" s="138"/>
      <c r="AF389" s="140"/>
      <c r="AG389" s="141"/>
      <c r="AH389" s="142"/>
      <c r="AI389" s="142"/>
      <c r="AJ389" s="277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</row>
    <row r="390" hidden="1" outlineLevel="1">
      <c r="A390" s="274" t="s">
        <v>119</v>
      </c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9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40"/>
      <c r="AG390" s="141"/>
      <c r="AH390" s="142"/>
      <c r="AI390" s="142"/>
      <c r="AJ390" s="277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</row>
    <row r="391" hidden="1" outlineLevel="1">
      <c r="A391" s="309" t="s">
        <v>31</v>
      </c>
      <c r="B391" s="183"/>
      <c r="C391" s="183"/>
      <c r="D391" s="183" t="s">
        <v>76</v>
      </c>
      <c r="E391" s="183" t="s">
        <v>76</v>
      </c>
      <c r="F391" s="183"/>
      <c r="G391" s="183"/>
      <c r="H391" s="183" t="s">
        <v>76</v>
      </c>
      <c r="I391" s="183" t="s">
        <v>76</v>
      </c>
      <c r="J391" s="183"/>
      <c r="K391" s="183"/>
      <c r="L391" s="183" t="s">
        <v>76</v>
      </c>
      <c r="M391" s="183" t="s">
        <v>76</v>
      </c>
      <c r="N391" s="183"/>
      <c r="O391" s="184"/>
      <c r="P391" s="183" t="s">
        <v>76</v>
      </c>
      <c r="Q391" s="183" t="s">
        <v>76</v>
      </c>
      <c r="R391" s="183"/>
      <c r="S391" s="183"/>
      <c r="T391" s="183" t="s">
        <v>76</v>
      </c>
      <c r="U391" s="183" t="s">
        <v>76</v>
      </c>
      <c r="V391" s="183"/>
      <c r="W391" s="183" t="s">
        <v>76</v>
      </c>
      <c r="X391" s="183" t="s">
        <v>76</v>
      </c>
      <c r="Y391" s="183" t="s">
        <v>76</v>
      </c>
      <c r="Z391" s="183"/>
      <c r="AA391" s="183" t="s">
        <v>76</v>
      </c>
      <c r="AB391" s="183" t="s">
        <v>76</v>
      </c>
      <c r="AC391" s="183" t="s">
        <v>76</v>
      </c>
      <c r="AD391" s="183"/>
      <c r="AE391" s="183" t="s">
        <v>76</v>
      </c>
      <c r="AF391" s="185"/>
      <c r="AG391" s="186"/>
      <c r="AH391" s="186"/>
      <c r="AI391" s="186"/>
      <c r="AJ391" s="186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</row>
    <row r="392" hidden="1" outlineLevel="1">
      <c r="A392" s="310" t="s">
        <v>69</v>
      </c>
      <c r="B392" s="195" t="s">
        <v>120</v>
      </c>
      <c r="C392" s="195" t="s">
        <v>121</v>
      </c>
      <c r="D392" s="193"/>
      <c r="E392" s="193"/>
      <c r="F392" s="195" t="s">
        <v>122</v>
      </c>
      <c r="G392" s="195" t="s">
        <v>123</v>
      </c>
      <c r="H392" s="193"/>
      <c r="I392" s="193"/>
      <c r="J392" s="195" t="s">
        <v>122</v>
      </c>
      <c r="K392" s="195" t="s">
        <v>124</v>
      </c>
      <c r="L392" s="193"/>
      <c r="M392" s="193"/>
      <c r="N392" s="195" t="s">
        <v>125</v>
      </c>
      <c r="O392" s="311" t="s">
        <v>126</v>
      </c>
      <c r="P392" s="193"/>
      <c r="Q392" s="193"/>
      <c r="R392" s="195" t="s">
        <v>127</v>
      </c>
      <c r="S392" s="195" t="s">
        <v>76</v>
      </c>
      <c r="T392" s="193"/>
      <c r="U392" s="193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3"/>
      <c r="AG392" s="196"/>
      <c r="AH392" s="196"/>
      <c r="AI392" s="196"/>
      <c r="AJ392" s="299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</row>
    <row r="393" hidden="1" outlineLevel="1">
      <c r="A393" s="307" t="s">
        <v>80</v>
      </c>
      <c r="B393" s="225"/>
      <c r="C393" s="225"/>
      <c r="D393" s="225"/>
      <c r="E393" s="225"/>
      <c r="F393" s="225"/>
      <c r="G393" s="225"/>
      <c r="H393" s="225"/>
      <c r="I393" s="225"/>
      <c r="J393" s="225"/>
      <c r="K393" s="225"/>
      <c r="L393" s="225"/>
      <c r="M393" s="225"/>
      <c r="N393" s="225"/>
      <c r="O393" s="226"/>
      <c r="P393" s="225"/>
      <c r="Q393" s="225"/>
      <c r="R393" s="227"/>
      <c r="S393" s="227"/>
      <c r="T393" s="227"/>
      <c r="U393" s="225"/>
      <c r="V393" s="227" t="s">
        <v>76</v>
      </c>
      <c r="W393" s="225"/>
      <c r="X393" s="225"/>
      <c r="Y393" s="225"/>
      <c r="Z393" s="227" t="s">
        <v>76</v>
      </c>
      <c r="AA393" s="225"/>
      <c r="AB393" s="225"/>
      <c r="AC393" s="225"/>
      <c r="AD393" s="227" t="s">
        <v>128</v>
      </c>
      <c r="AE393" s="225"/>
      <c r="AF393" s="225"/>
      <c r="AG393" s="228"/>
      <c r="AH393" s="228"/>
      <c r="AI393" s="228"/>
      <c r="AJ393" s="228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</row>
    <row r="394" hidden="1" outlineLevel="1">
      <c r="A394" s="274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3"/>
      <c r="P394" s="312"/>
      <c r="Q394" s="312"/>
      <c r="R394" s="312"/>
      <c r="S394" s="312"/>
      <c r="T394" s="312"/>
      <c r="U394" s="312"/>
      <c r="V394" s="312"/>
      <c r="W394" s="312"/>
      <c r="X394" s="312"/>
      <c r="Y394" s="312"/>
      <c r="Z394" s="312"/>
      <c r="AA394" s="312"/>
      <c r="AB394" s="312"/>
      <c r="AC394" s="312"/>
      <c r="AD394" s="312"/>
      <c r="AE394" s="312"/>
      <c r="AF394" s="312"/>
      <c r="AG394" s="277"/>
      <c r="AH394" s="277"/>
      <c r="AI394" s="277"/>
      <c r="AJ394" s="277"/>
      <c r="AK394" s="314"/>
      <c r="AL394" s="314"/>
      <c r="AM394" s="314"/>
      <c r="AN394" s="314"/>
      <c r="AO394" s="314"/>
      <c r="AP394" s="314"/>
      <c r="AQ394" s="314"/>
      <c r="AR394" s="314"/>
      <c r="AS394" s="314"/>
      <c r="AT394" s="314"/>
      <c r="AU394" s="314"/>
      <c r="AV394" s="314"/>
      <c r="AW394" s="314"/>
      <c r="AX394" s="314"/>
      <c r="AY394" s="314"/>
      <c r="AZ394" s="314"/>
      <c r="BA394" s="314"/>
      <c r="BB394" s="314"/>
      <c r="BC394" s="314"/>
      <c r="BD394" s="314"/>
    </row>
    <row r="395" hidden="1" outlineLevel="1">
      <c r="A395" s="315"/>
      <c r="B395" s="230"/>
      <c r="C395" s="230"/>
      <c r="D395" s="230"/>
      <c r="E395" s="230"/>
      <c r="F395" s="230"/>
      <c r="G395" s="230"/>
      <c r="H395" s="230"/>
      <c r="I395" s="230"/>
      <c r="J395" s="230"/>
      <c r="K395" s="230"/>
      <c r="L395" s="230"/>
      <c r="M395" s="230"/>
      <c r="N395" s="230"/>
      <c r="O395" s="231"/>
      <c r="P395" s="230"/>
      <c r="Q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2"/>
      <c r="AG395" s="233"/>
      <c r="AH395" s="234"/>
      <c r="AI395" s="234"/>
      <c r="AJ395" s="277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</row>
    <row r="396" hidden="1" outlineLevel="1">
      <c r="A396" s="274" t="s">
        <v>129</v>
      </c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9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40"/>
      <c r="AG396" s="141"/>
      <c r="AH396" s="142"/>
      <c r="AI396" s="142"/>
      <c r="AJ396" s="277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</row>
    <row r="397" ht="91.5" hidden="1" customHeight="1" outlineLevel="1">
      <c r="A397" s="316" t="s">
        <v>65</v>
      </c>
      <c r="B397" s="317"/>
      <c r="C397" s="317" t="s">
        <v>76</v>
      </c>
      <c r="D397" s="317" t="s">
        <v>130</v>
      </c>
      <c r="E397" s="317"/>
      <c r="F397" s="317"/>
      <c r="G397" s="317" t="s">
        <v>76</v>
      </c>
      <c r="H397" s="318"/>
      <c r="I397" s="317" t="s">
        <v>76</v>
      </c>
      <c r="J397" s="317" t="s">
        <v>131</v>
      </c>
      <c r="K397" s="317"/>
      <c r="L397" s="317"/>
      <c r="M397" s="317"/>
      <c r="N397" s="317"/>
      <c r="O397" s="319" t="s">
        <v>130</v>
      </c>
      <c r="P397" s="317" t="s">
        <v>76</v>
      </c>
      <c r="Q397" s="317"/>
      <c r="R397" s="317"/>
      <c r="S397" s="317" t="s">
        <v>76</v>
      </c>
      <c r="T397" s="317" t="s">
        <v>76</v>
      </c>
      <c r="U397" s="317" t="s">
        <v>132</v>
      </c>
      <c r="V397" s="317"/>
      <c r="W397" s="317"/>
      <c r="X397" s="317" t="s">
        <v>76</v>
      </c>
      <c r="Y397" s="317" t="s">
        <v>130</v>
      </c>
      <c r="Z397" s="317"/>
      <c r="AA397" s="317"/>
      <c r="AB397" s="317" t="s">
        <v>76</v>
      </c>
      <c r="AC397" s="317" t="s">
        <v>133</v>
      </c>
      <c r="AD397" s="317"/>
      <c r="AE397" s="317"/>
      <c r="AF397" s="318"/>
      <c r="AG397" s="320"/>
      <c r="AH397" s="320"/>
      <c r="AI397" s="320"/>
      <c r="AJ397" s="320"/>
      <c r="AK397" s="119"/>
      <c r="AL397" s="119"/>
      <c r="AM397" s="119"/>
      <c r="AN397" s="119"/>
      <c r="AO397" s="119"/>
      <c r="AP397" s="119"/>
      <c r="AQ397" s="119"/>
      <c r="AR397" s="119"/>
      <c r="AS397" s="119"/>
      <c r="AT397" s="119"/>
      <c r="AU397" s="119"/>
      <c r="AV397" s="119"/>
      <c r="AW397" s="119"/>
      <c r="AX397" s="119"/>
      <c r="AY397" s="119"/>
      <c r="AZ397" s="119"/>
      <c r="BA397" s="119"/>
      <c r="BB397" s="119"/>
      <c r="BC397" s="119"/>
      <c r="BD397" s="119"/>
    </row>
    <row r="398" hidden="1" outlineLevel="1">
      <c r="A398" s="321" t="s">
        <v>78</v>
      </c>
      <c r="B398" s="322" t="s">
        <v>130</v>
      </c>
      <c r="C398" s="322"/>
      <c r="D398" s="322"/>
      <c r="E398" s="322" t="s">
        <v>76</v>
      </c>
      <c r="F398" s="322" t="s">
        <v>76</v>
      </c>
      <c r="G398" s="322"/>
      <c r="H398" s="322" t="s">
        <v>134</v>
      </c>
      <c r="I398" s="322"/>
      <c r="J398" s="322"/>
      <c r="K398" s="322" t="s">
        <v>135</v>
      </c>
      <c r="L398" s="322" t="s">
        <v>136</v>
      </c>
      <c r="M398" s="322" t="s">
        <v>130</v>
      </c>
      <c r="N398" s="322" t="s">
        <v>76</v>
      </c>
      <c r="O398" s="180"/>
      <c r="P398" s="241"/>
      <c r="Q398" s="323" t="s">
        <v>76</v>
      </c>
      <c r="R398" s="324" t="s">
        <v>137</v>
      </c>
      <c r="S398" s="241"/>
      <c r="T398" s="179"/>
      <c r="U398" s="241"/>
      <c r="V398" s="241"/>
      <c r="W398" s="241"/>
      <c r="X398" s="241"/>
      <c r="Y398" s="179"/>
      <c r="Z398" s="241"/>
      <c r="AA398" s="241"/>
      <c r="AB398" s="241"/>
      <c r="AC398" s="241"/>
      <c r="AD398" s="179"/>
      <c r="AE398" s="179"/>
      <c r="AF398" s="179"/>
      <c r="AG398" s="181"/>
      <c r="AH398" s="181"/>
      <c r="AI398" s="181"/>
      <c r="AJ398" s="181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</row>
    <row r="399" hidden="1" outlineLevel="1">
      <c r="A399" s="325" t="s">
        <v>117</v>
      </c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4"/>
      <c r="P399" s="163"/>
      <c r="Q399" s="163"/>
      <c r="R399" s="163"/>
      <c r="S399" s="163"/>
      <c r="T399" s="163"/>
      <c r="U399" s="165" t="s">
        <v>138</v>
      </c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6"/>
      <c r="AH399" s="166"/>
      <c r="AI399" s="166"/>
      <c r="AJ399" s="166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</row>
    <row r="400" hidden="1" outlineLevel="1">
      <c r="A400" s="326" t="s">
        <v>139</v>
      </c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9"/>
      <c r="P400" s="168"/>
      <c r="Q400" s="168"/>
      <c r="R400" s="168"/>
      <c r="S400" s="168"/>
      <c r="T400" s="168"/>
      <c r="U400" s="168"/>
      <c r="V400" s="178" t="s">
        <v>140</v>
      </c>
      <c r="W400" s="178" t="s">
        <v>130</v>
      </c>
      <c r="X400" s="168"/>
      <c r="Y400" s="178"/>
      <c r="Z400" s="178" t="s">
        <v>130</v>
      </c>
      <c r="AA400" s="178" t="s">
        <v>130</v>
      </c>
      <c r="AB400" s="168"/>
      <c r="AC400" s="178"/>
      <c r="AD400" s="178" t="s">
        <v>130</v>
      </c>
      <c r="AE400" s="178" t="s">
        <v>130</v>
      </c>
      <c r="AF400" s="168"/>
      <c r="AG400" s="170"/>
      <c r="AH400" s="170"/>
      <c r="AI400" s="170"/>
      <c r="AJ400" s="170"/>
      <c r="AK400" s="327"/>
      <c r="AL400" s="327"/>
      <c r="AM400" s="327"/>
      <c r="AN400" s="327"/>
      <c r="AO400" s="327"/>
      <c r="AP400" s="327"/>
      <c r="AQ400" s="327"/>
      <c r="AR400" s="327"/>
      <c r="AS400" s="327"/>
      <c r="AT400" s="327"/>
      <c r="AU400" s="327"/>
      <c r="AV400" s="327"/>
      <c r="AW400" s="327"/>
      <c r="AX400" s="327"/>
      <c r="AY400" s="327"/>
      <c r="AZ400" s="327"/>
      <c r="BA400" s="327"/>
      <c r="BB400" s="327"/>
      <c r="BC400" s="327"/>
      <c r="BD400" s="327"/>
    </row>
    <row r="401" hidden="1" outlineLevel="1">
      <c r="A401" s="274"/>
      <c r="B401" s="312"/>
      <c r="C401" s="312"/>
      <c r="D401" s="312"/>
      <c r="E401" s="312"/>
      <c r="F401" s="312"/>
      <c r="G401" s="312"/>
      <c r="H401" s="312"/>
      <c r="I401" s="312"/>
      <c r="J401" s="312"/>
      <c r="K401" s="312"/>
      <c r="L401" s="312"/>
      <c r="M401" s="312"/>
      <c r="N401" s="312"/>
      <c r="O401" s="313"/>
      <c r="P401" s="312"/>
      <c r="Q401" s="312"/>
      <c r="R401" s="312"/>
      <c r="S401" s="312"/>
      <c r="T401" s="312"/>
      <c r="U401" s="312"/>
      <c r="V401" s="312"/>
      <c r="W401" s="312"/>
      <c r="X401" s="312"/>
      <c r="Y401" s="312"/>
      <c r="Z401" s="312"/>
      <c r="AA401" s="312"/>
      <c r="AB401" s="312"/>
      <c r="AC401" s="312"/>
      <c r="AD401" s="312"/>
      <c r="AE401" s="312"/>
      <c r="AF401" s="312"/>
      <c r="AG401" s="277"/>
      <c r="AH401" s="277"/>
      <c r="AI401" s="277"/>
      <c r="AJ401" s="277"/>
      <c r="AK401" s="314"/>
      <c r="AL401" s="314"/>
      <c r="AM401" s="314"/>
      <c r="AN401" s="314"/>
      <c r="AO401" s="314"/>
      <c r="AP401" s="314"/>
      <c r="AQ401" s="314"/>
      <c r="AR401" s="314"/>
      <c r="AS401" s="314"/>
      <c r="AT401" s="314"/>
      <c r="AU401" s="314"/>
      <c r="AV401" s="314"/>
      <c r="AW401" s="314"/>
      <c r="AX401" s="314"/>
      <c r="AY401" s="314"/>
      <c r="AZ401" s="314"/>
      <c r="BA401" s="314"/>
      <c r="BB401" s="314"/>
      <c r="BC401" s="314"/>
      <c r="BD401" s="314"/>
    </row>
    <row r="402" hidden="1" outlineLevel="1">
      <c r="A402" s="30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9"/>
      <c r="AH402" s="9"/>
      <c r="AI402" s="9"/>
      <c r="AJ402" s="277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</row>
    <row r="403" hidden="1" outlineLevel="1">
      <c r="A403" s="274" t="s">
        <v>141</v>
      </c>
      <c r="B403" s="138"/>
      <c r="C403" s="138"/>
      <c r="D403" s="138"/>
      <c r="E403" s="138"/>
      <c r="F403" s="138"/>
      <c r="G403" s="138"/>
      <c r="H403" s="138"/>
      <c r="I403" s="138"/>
      <c r="J403" s="138"/>
      <c r="K403" s="276"/>
      <c r="L403" s="276"/>
      <c r="M403" s="276"/>
      <c r="N403" s="138"/>
      <c r="O403" s="139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40"/>
      <c r="AG403" s="141"/>
      <c r="AH403" s="142"/>
      <c r="AI403" s="142"/>
      <c r="AJ403" s="277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</row>
    <row r="404" hidden="1" outlineLevel="1">
      <c r="A404" s="328" t="s">
        <v>57</v>
      </c>
      <c r="B404" s="246"/>
      <c r="C404" s="247"/>
      <c r="D404" s="247" t="s">
        <v>76</v>
      </c>
      <c r="E404" s="247"/>
      <c r="F404" s="247" t="s">
        <v>76</v>
      </c>
      <c r="G404" s="247"/>
      <c r="H404" s="247" t="s">
        <v>76</v>
      </c>
      <c r="I404" s="247"/>
      <c r="J404" s="329"/>
      <c r="K404" s="247"/>
      <c r="L404" s="247"/>
      <c r="M404" s="330"/>
      <c r="N404" s="331"/>
      <c r="O404" s="248"/>
      <c r="P404" s="247"/>
      <c r="Q404" s="247"/>
      <c r="R404" s="246"/>
      <c r="S404" s="246"/>
      <c r="T404" s="246"/>
      <c r="U404" s="246"/>
      <c r="V404" s="246"/>
      <c r="W404" s="246"/>
      <c r="X404" s="246"/>
      <c r="Y404" s="246"/>
      <c r="Z404" s="246"/>
      <c r="AA404" s="246"/>
      <c r="AB404" s="246"/>
      <c r="AC404" s="246"/>
      <c r="AD404" s="246"/>
      <c r="AE404" s="246"/>
      <c r="AF404" s="249"/>
      <c r="AG404" s="250"/>
      <c r="AH404" s="250"/>
      <c r="AI404" s="250"/>
      <c r="AJ404" s="332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</row>
    <row r="405" hidden="1" outlineLevel="1">
      <c r="A405" s="304" t="s">
        <v>142</v>
      </c>
      <c r="B405" s="159" t="s">
        <v>76</v>
      </c>
      <c r="C405" s="158"/>
      <c r="D405" s="158"/>
      <c r="E405" s="158"/>
      <c r="F405" s="159"/>
      <c r="G405" s="159"/>
      <c r="H405" s="158"/>
      <c r="I405" s="158"/>
      <c r="J405" s="333"/>
      <c r="K405" s="159"/>
      <c r="L405" s="158"/>
      <c r="M405" s="334"/>
      <c r="N405" s="335"/>
      <c r="O405" s="177"/>
      <c r="P405" s="158"/>
      <c r="Q405" s="158"/>
      <c r="R405" s="159"/>
      <c r="S405" s="159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61"/>
      <c r="AH405" s="161"/>
      <c r="AI405" s="161"/>
      <c r="AJ405" s="161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</row>
    <row r="406" hidden="1" outlineLevel="1">
      <c r="A406" s="336" t="s">
        <v>143</v>
      </c>
      <c r="B406" s="337"/>
      <c r="C406" s="338" t="s">
        <v>76</v>
      </c>
      <c r="D406" s="337"/>
      <c r="E406" s="338" t="s">
        <v>76</v>
      </c>
      <c r="F406" s="338"/>
      <c r="G406" s="338" t="s">
        <v>76</v>
      </c>
      <c r="H406" s="337"/>
      <c r="I406" s="338" t="s">
        <v>144</v>
      </c>
      <c r="J406" s="339" t="s">
        <v>76</v>
      </c>
      <c r="K406" s="338"/>
      <c r="L406" s="337"/>
      <c r="M406" s="340" t="s">
        <v>76</v>
      </c>
      <c r="N406" s="341"/>
      <c r="O406" s="342"/>
      <c r="P406" s="338" t="s">
        <v>76</v>
      </c>
      <c r="Q406" s="338" t="s">
        <v>76</v>
      </c>
      <c r="R406" s="337"/>
      <c r="S406" s="337"/>
      <c r="T406" s="338" t="s">
        <v>145</v>
      </c>
      <c r="U406" s="338" t="s">
        <v>76</v>
      </c>
      <c r="V406" s="337"/>
      <c r="W406" s="337"/>
      <c r="X406" s="338" t="s">
        <v>76</v>
      </c>
      <c r="Y406" s="338" t="s">
        <v>76</v>
      </c>
      <c r="Z406" s="337"/>
      <c r="AA406" s="337"/>
      <c r="AB406" s="338" t="s">
        <v>76</v>
      </c>
      <c r="AC406" s="343" t="s">
        <v>76</v>
      </c>
      <c r="AD406" s="337"/>
      <c r="AE406" s="337"/>
      <c r="AF406" s="337"/>
      <c r="AG406" s="344"/>
      <c r="AH406" s="344"/>
      <c r="AI406" s="344"/>
      <c r="AJ406" s="344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</row>
    <row r="407" hidden="1" outlineLevel="1">
      <c r="A407" s="345" t="s">
        <v>146</v>
      </c>
      <c r="B407" s="346"/>
      <c r="C407" s="346"/>
      <c r="D407" s="346"/>
      <c r="E407" s="346"/>
      <c r="F407" s="346"/>
      <c r="G407" s="346"/>
      <c r="H407" s="346"/>
      <c r="I407" s="346"/>
      <c r="J407" s="346"/>
      <c r="K407" s="347" t="s">
        <v>76</v>
      </c>
      <c r="L407" s="347" t="s">
        <v>76</v>
      </c>
      <c r="M407" s="346"/>
      <c r="N407" s="347" t="s">
        <v>76</v>
      </c>
      <c r="O407" s="348" t="s">
        <v>76</v>
      </c>
      <c r="P407" s="346"/>
      <c r="Q407" s="346"/>
      <c r="R407" s="347" t="s">
        <v>76</v>
      </c>
      <c r="S407" s="347" t="s">
        <v>76</v>
      </c>
      <c r="T407" s="346"/>
      <c r="U407" s="346"/>
      <c r="V407" s="347" t="s">
        <v>76</v>
      </c>
      <c r="W407" s="347" t="s">
        <v>76</v>
      </c>
      <c r="X407" s="346"/>
      <c r="Y407" s="347"/>
      <c r="Z407" s="347" t="s">
        <v>76</v>
      </c>
      <c r="AA407" s="347" t="s">
        <v>76</v>
      </c>
      <c r="AB407" s="346"/>
      <c r="AC407" s="346"/>
      <c r="AD407" s="347" t="s">
        <v>76</v>
      </c>
      <c r="AE407" s="347" t="s">
        <v>76</v>
      </c>
      <c r="AF407" s="346"/>
      <c r="AG407" s="349"/>
      <c r="AH407" s="349"/>
      <c r="AI407" s="349"/>
      <c r="AJ407" s="349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</row>
    <row r="408" hidden="1" outlineLevel="1">
      <c r="A408" s="267"/>
      <c r="B408" s="312"/>
      <c r="C408" s="312"/>
      <c r="D408" s="312"/>
      <c r="E408" s="312"/>
      <c r="F408" s="312"/>
      <c r="G408" s="312"/>
      <c r="H408" s="312"/>
      <c r="I408" s="312"/>
      <c r="J408" s="312"/>
      <c r="K408" s="312"/>
      <c r="L408" s="312"/>
      <c r="M408" s="312"/>
      <c r="N408" s="312"/>
      <c r="O408" s="313"/>
      <c r="P408" s="312"/>
      <c r="Q408" s="312"/>
      <c r="R408" s="312"/>
      <c r="S408" s="312"/>
      <c r="T408" s="312"/>
      <c r="U408" s="312"/>
      <c r="V408" s="312"/>
      <c r="W408" s="312"/>
      <c r="X408" s="312"/>
      <c r="Y408" s="312"/>
      <c r="Z408" s="312"/>
      <c r="AA408" s="312"/>
      <c r="AB408" s="312"/>
      <c r="AC408" s="312"/>
      <c r="AD408" s="312"/>
      <c r="AE408" s="312"/>
      <c r="AF408" s="312"/>
      <c r="AG408" s="277"/>
      <c r="AH408" s="277"/>
      <c r="AI408" s="277"/>
      <c r="AJ408" s="277"/>
      <c r="AK408" s="314"/>
      <c r="AL408" s="314"/>
      <c r="AM408" s="314"/>
      <c r="AN408" s="314"/>
      <c r="AO408" s="314"/>
      <c r="AP408" s="314"/>
      <c r="AQ408" s="314"/>
      <c r="AR408" s="314"/>
      <c r="AS408" s="314"/>
      <c r="AT408" s="314"/>
      <c r="AU408" s="314"/>
      <c r="AV408" s="314"/>
      <c r="AW408" s="314"/>
      <c r="AX408" s="314"/>
      <c r="AY408" s="314"/>
      <c r="AZ408" s="314"/>
      <c r="BA408" s="314"/>
      <c r="BB408" s="314"/>
      <c r="BC408" s="314"/>
      <c r="BD408" s="314"/>
    </row>
    <row r="409" hidden="1" outlineLevel="1">
      <c r="A409" s="6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9"/>
      <c r="AH409" s="9"/>
      <c r="AI409" s="9"/>
      <c r="AJ409" s="9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</row>
    <row r="410" ht="14.25" hidden="1" customHeight="1" outlineLevel="1">
      <c r="A410" s="350" t="s">
        <v>147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9"/>
      <c r="AH410" s="9"/>
      <c r="AI410" s="9"/>
      <c r="AJ410" s="9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</row>
    <row r="411" hidden="1" outlineLevel="1">
      <c r="A411" s="350" t="s">
        <v>148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9"/>
      <c r="AH411" s="9"/>
      <c r="AI411" s="9"/>
      <c r="AJ411" s="9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</row>
    <row r="412" hidden="1" outlineLevel="1">
      <c r="A412" s="350"/>
      <c r="B412" s="261" t="s">
        <v>102</v>
      </c>
      <c r="C412" s="262" t="s">
        <v>103</v>
      </c>
      <c r="D412" s="261" t="s">
        <v>104</v>
      </c>
      <c r="E412" s="261" t="s">
        <v>105</v>
      </c>
      <c r="F412" s="261" t="s">
        <v>99</v>
      </c>
      <c r="G412" s="261" t="s">
        <v>100</v>
      </c>
      <c r="H412" s="261" t="s">
        <v>101</v>
      </c>
      <c r="I412" s="261" t="s">
        <v>102</v>
      </c>
      <c r="J412" s="262" t="s">
        <v>103</v>
      </c>
      <c r="K412" s="261" t="s">
        <v>104</v>
      </c>
      <c r="L412" s="261" t="s">
        <v>105</v>
      </c>
      <c r="M412" s="261" t="s">
        <v>99</v>
      </c>
      <c r="N412" s="261" t="s">
        <v>100</v>
      </c>
      <c r="O412" s="263" t="s">
        <v>101</v>
      </c>
      <c r="P412" s="261" t="s">
        <v>102</v>
      </c>
      <c r="Q412" s="262" t="s">
        <v>103</v>
      </c>
      <c r="R412" s="261" t="s">
        <v>104</v>
      </c>
      <c r="S412" s="261" t="s">
        <v>105</v>
      </c>
      <c r="T412" s="261" t="s">
        <v>99</v>
      </c>
      <c r="U412" s="261" t="s">
        <v>100</v>
      </c>
      <c r="V412" s="261" t="s">
        <v>101</v>
      </c>
      <c r="W412" s="261" t="s">
        <v>102</v>
      </c>
      <c r="X412" s="262" t="s">
        <v>103</v>
      </c>
      <c r="Y412" s="261" t="s">
        <v>104</v>
      </c>
      <c r="Z412" s="261" t="s">
        <v>105</v>
      </c>
      <c r="AA412" s="261" t="s">
        <v>99</v>
      </c>
      <c r="AB412" s="261" t="s">
        <v>100</v>
      </c>
      <c r="AC412" s="261" t="s">
        <v>101</v>
      </c>
      <c r="AD412" s="261" t="s">
        <v>102</v>
      </c>
      <c r="AE412" s="261"/>
      <c r="AF412" s="261"/>
      <c r="AG412" s="261"/>
      <c r="AH412" s="261"/>
      <c r="AI412" s="261"/>
      <c r="AJ412" s="266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</row>
    <row r="413" hidden="1" outlineLevel="1">
      <c r="A413" s="350"/>
      <c r="B413" s="268">
        <v>2.0</v>
      </c>
      <c r="C413" s="268">
        <v>3.0</v>
      </c>
      <c r="D413" s="268">
        <v>4.0</v>
      </c>
      <c r="E413" s="268">
        <v>5.0</v>
      </c>
      <c r="F413" s="268">
        <v>6.0</v>
      </c>
      <c r="G413" s="268">
        <v>7.0</v>
      </c>
      <c r="H413" s="268">
        <v>8.0</v>
      </c>
      <c r="I413" s="268">
        <v>9.0</v>
      </c>
      <c r="J413" s="268">
        <v>10.0</v>
      </c>
      <c r="K413" s="268">
        <v>11.0</v>
      </c>
      <c r="L413" s="268">
        <v>12.0</v>
      </c>
      <c r="M413" s="268">
        <v>13.0</v>
      </c>
      <c r="N413" s="268">
        <v>14.0</v>
      </c>
      <c r="O413" s="269">
        <v>15.0</v>
      </c>
      <c r="P413" s="268">
        <v>16.0</v>
      </c>
      <c r="Q413" s="268">
        <v>17.0</v>
      </c>
      <c r="R413" s="268">
        <v>18.0</v>
      </c>
      <c r="S413" s="268">
        <v>19.0</v>
      </c>
      <c r="T413" s="268">
        <v>20.0</v>
      </c>
      <c r="U413" s="268">
        <v>21.0</v>
      </c>
      <c r="V413" s="268">
        <v>22.0</v>
      </c>
      <c r="W413" s="268">
        <v>23.0</v>
      </c>
      <c r="X413" s="268">
        <v>24.0</v>
      </c>
      <c r="Y413" s="268">
        <v>25.0</v>
      </c>
      <c r="Z413" s="268">
        <v>26.0</v>
      </c>
      <c r="AA413" s="268">
        <v>27.0</v>
      </c>
      <c r="AB413" s="268">
        <v>28.0</v>
      </c>
      <c r="AC413" s="268">
        <v>29.0</v>
      </c>
      <c r="AD413" s="268">
        <v>30.0</v>
      </c>
      <c r="AE413" s="268"/>
      <c r="AF413" s="268"/>
      <c r="AG413" s="271" t="s">
        <v>72</v>
      </c>
      <c r="AH413" s="272" t="s">
        <v>73</v>
      </c>
      <c r="AI413" s="272" t="s">
        <v>74</v>
      </c>
      <c r="AJ413" s="273" t="s">
        <v>75</v>
      </c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</row>
    <row r="414" ht="54.0" hidden="1" customHeight="1" outlineLevel="1">
      <c r="A414" s="350" t="s">
        <v>149</v>
      </c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275"/>
      <c r="P414" s="276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40"/>
      <c r="AG414" s="141"/>
      <c r="AH414" s="142"/>
      <c r="AI414" s="142"/>
      <c r="AJ414" s="277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</row>
    <row r="415" hidden="1" outlineLevel="1">
      <c r="A415" s="350" t="s">
        <v>34</v>
      </c>
      <c r="B415" s="148" t="s">
        <v>76</v>
      </c>
      <c r="C415" s="148"/>
      <c r="D415" s="148" t="s">
        <v>107</v>
      </c>
      <c r="E415" s="148" t="s">
        <v>76</v>
      </c>
      <c r="F415" s="148"/>
      <c r="G415" s="148" t="s">
        <v>107</v>
      </c>
      <c r="H415" s="148"/>
      <c r="I415" s="148"/>
      <c r="J415" s="148" t="s">
        <v>76</v>
      </c>
      <c r="K415" s="148" t="s">
        <v>76</v>
      </c>
      <c r="L415" s="148"/>
      <c r="M415" s="148"/>
      <c r="N415" s="279" t="s">
        <v>76</v>
      </c>
      <c r="O415" s="149" t="s">
        <v>76</v>
      </c>
      <c r="P415" s="148"/>
      <c r="Q415" s="280"/>
      <c r="R415" s="148" t="s">
        <v>76</v>
      </c>
      <c r="S415" s="148" t="s">
        <v>76</v>
      </c>
      <c r="T415" s="148"/>
      <c r="U415" s="148"/>
      <c r="V415" s="148" t="s">
        <v>76</v>
      </c>
      <c r="W415" s="148" t="s">
        <v>76</v>
      </c>
      <c r="X415" s="148"/>
      <c r="Y415" s="148"/>
      <c r="Z415" s="148" t="s">
        <v>76</v>
      </c>
      <c r="AA415" s="148" t="s">
        <v>76</v>
      </c>
      <c r="AB415" s="148"/>
      <c r="AC415" s="148"/>
      <c r="AD415" s="148" t="s">
        <v>76</v>
      </c>
      <c r="AE415" s="148"/>
      <c r="AF415" s="150"/>
      <c r="AG415" s="151"/>
      <c r="AH415" s="151"/>
      <c r="AI415" s="151"/>
      <c r="AJ415" s="151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</row>
    <row r="416" hidden="1" outlineLevel="1">
      <c r="A416" s="350" t="s">
        <v>150</v>
      </c>
      <c r="B416" s="203"/>
      <c r="C416" s="204"/>
      <c r="D416" s="204"/>
      <c r="E416" s="203"/>
      <c r="F416" s="203"/>
      <c r="G416" s="204"/>
      <c r="H416" s="204"/>
      <c r="I416" s="203"/>
      <c r="J416" s="203"/>
      <c r="K416" s="204"/>
      <c r="L416" s="204" t="s">
        <v>76</v>
      </c>
      <c r="M416" s="204" t="s">
        <v>76</v>
      </c>
      <c r="N416" s="285"/>
      <c r="O416" s="205"/>
      <c r="P416" s="204" t="s">
        <v>151</v>
      </c>
      <c r="Q416" s="351" t="s">
        <v>76</v>
      </c>
      <c r="R416" s="204"/>
      <c r="S416" s="204"/>
      <c r="T416" s="204" t="s">
        <v>76</v>
      </c>
      <c r="U416" s="204" t="s">
        <v>76</v>
      </c>
      <c r="V416" s="203"/>
      <c r="W416" s="204"/>
      <c r="X416" s="204" t="s">
        <v>76</v>
      </c>
      <c r="Y416" s="204" t="s">
        <v>76</v>
      </c>
      <c r="Z416" s="203"/>
      <c r="AA416" s="204"/>
      <c r="AB416" s="204" t="s">
        <v>76</v>
      </c>
      <c r="AC416" s="204" t="s">
        <v>76</v>
      </c>
      <c r="AD416" s="203"/>
      <c r="AE416" s="203"/>
      <c r="AF416" s="203"/>
      <c r="AG416" s="206"/>
      <c r="AH416" s="206"/>
      <c r="AI416" s="206"/>
      <c r="AJ416" s="206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</row>
    <row r="417" ht="39.0" hidden="1" customHeight="1" outlineLevel="1">
      <c r="A417" s="350" t="s">
        <v>152</v>
      </c>
      <c r="B417" s="225"/>
      <c r="C417" s="227" t="s">
        <v>153</v>
      </c>
      <c r="D417" s="225"/>
      <c r="E417" s="225"/>
      <c r="F417" s="227" t="s">
        <v>154</v>
      </c>
      <c r="G417" s="227"/>
      <c r="H417" s="227" t="s">
        <v>151</v>
      </c>
      <c r="I417" s="227" t="s">
        <v>151</v>
      </c>
      <c r="J417" s="225"/>
      <c r="K417" s="225"/>
      <c r="L417" s="225"/>
      <c r="M417" s="225"/>
      <c r="N417" s="301"/>
      <c r="O417" s="302"/>
      <c r="P417" s="227"/>
      <c r="Q417" s="303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  <c r="AB417" s="225"/>
      <c r="AC417" s="225"/>
      <c r="AD417" s="225"/>
      <c r="AE417" s="225"/>
      <c r="AF417" s="225"/>
      <c r="AG417" s="228"/>
      <c r="AH417" s="228"/>
      <c r="AI417" s="228"/>
      <c r="AJ417" s="228"/>
      <c r="AK417" s="352"/>
      <c r="AL417" s="352"/>
      <c r="AM417" s="352"/>
      <c r="AN417" s="352"/>
      <c r="AO417" s="352"/>
      <c r="AP417" s="352"/>
      <c r="AQ417" s="352"/>
      <c r="AR417" s="352"/>
      <c r="AS417" s="352"/>
      <c r="AT417" s="352"/>
      <c r="AU417" s="352"/>
      <c r="AV417" s="352"/>
      <c r="AW417" s="352"/>
      <c r="AX417" s="352"/>
      <c r="AY417" s="352"/>
      <c r="AZ417" s="352"/>
      <c r="BA417" s="352"/>
      <c r="BB417" s="352"/>
      <c r="BC417" s="352"/>
      <c r="BD417" s="352"/>
    </row>
    <row r="418" hidden="1" outlineLevel="1">
      <c r="A418" s="35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9"/>
      <c r="AH418" s="9"/>
      <c r="AI418" s="9"/>
      <c r="AJ418" s="277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</row>
    <row r="419" hidden="1" outlineLevel="1">
      <c r="A419" s="350" t="s">
        <v>155</v>
      </c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9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40"/>
      <c r="AG419" s="141"/>
      <c r="AH419" s="142"/>
      <c r="AI419" s="142"/>
      <c r="AJ419" s="277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</row>
    <row r="420" hidden="1" outlineLevel="1">
      <c r="A420" s="350" t="s">
        <v>67</v>
      </c>
      <c r="B420" s="159"/>
      <c r="C420" s="159"/>
      <c r="D420" s="159" t="s">
        <v>76</v>
      </c>
      <c r="E420" s="159" t="s">
        <v>76</v>
      </c>
      <c r="F420" s="159" t="s">
        <v>76</v>
      </c>
      <c r="G420" s="159" t="s">
        <v>76</v>
      </c>
      <c r="H420" s="159" t="s">
        <v>76</v>
      </c>
      <c r="I420" s="159"/>
      <c r="J420" s="159" t="s">
        <v>76</v>
      </c>
      <c r="K420" s="159" t="s">
        <v>76</v>
      </c>
      <c r="L420" s="159" t="s">
        <v>76</v>
      </c>
      <c r="M420" s="159" t="s">
        <v>76</v>
      </c>
      <c r="N420" s="159" t="s">
        <v>76</v>
      </c>
      <c r="O420" s="177"/>
      <c r="P420" s="159"/>
      <c r="Q420" s="159" t="s">
        <v>76</v>
      </c>
      <c r="R420" s="159" t="s">
        <v>76</v>
      </c>
      <c r="S420" s="159" t="s">
        <v>76</v>
      </c>
      <c r="T420" s="159" t="s">
        <v>76</v>
      </c>
      <c r="U420" s="159"/>
      <c r="V420" s="159"/>
      <c r="W420" s="159"/>
      <c r="X420" s="159" t="s">
        <v>76</v>
      </c>
      <c r="Y420" s="159" t="s">
        <v>76</v>
      </c>
      <c r="Z420" s="159" t="s">
        <v>76</v>
      </c>
      <c r="AA420" s="159" t="s">
        <v>76</v>
      </c>
      <c r="AB420" s="159"/>
      <c r="AC420" s="159"/>
      <c r="AD420" s="159" t="s">
        <v>76</v>
      </c>
      <c r="AE420" s="159"/>
      <c r="AF420" s="158"/>
      <c r="AG420" s="161"/>
      <c r="AH420" s="161"/>
      <c r="AI420" s="161"/>
      <c r="AJ420" s="161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</row>
    <row r="421" hidden="1" outlineLevel="1">
      <c r="A421" s="350" t="s">
        <v>117</v>
      </c>
      <c r="B421" s="241" t="s">
        <v>76</v>
      </c>
      <c r="C421" s="241" t="s">
        <v>76</v>
      </c>
      <c r="D421" s="241"/>
      <c r="E421" s="241"/>
      <c r="F421" s="241"/>
      <c r="G421" s="241"/>
      <c r="H421" s="179"/>
      <c r="I421" s="241" t="s">
        <v>76</v>
      </c>
      <c r="J421" s="241"/>
      <c r="K421" s="241"/>
      <c r="L421" s="179"/>
      <c r="M421" s="179"/>
      <c r="N421" s="241"/>
      <c r="O421" s="254" t="s">
        <v>76</v>
      </c>
      <c r="P421" s="241" t="s">
        <v>76</v>
      </c>
      <c r="Q421" s="179"/>
      <c r="R421" s="241"/>
      <c r="S421" s="241"/>
      <c r="T421" s="179"/>
      <c r="U421" s="241" t="s">
        <v>76</v>
      </c>
      <c r="V421" s="241" t="s">
        <v>76</v>
      </c>
      <c r="W421" s="241" t="s">
        <v>156</v>
      </c>
      <c r="X421" s="179"/>
      <c r="Y421" s="179"/>
      <c r="Z421" s="241"/>
      <c r="AA421" s="241"/>
      <c r="AB421" s="241" t="s">
        <v>76</v>
      </c>
      <c r="AC421" s="241" t="s">
        <v>76</v>
      </c>
      <c r="AD421" s="241"/>
      <c r="AE421" s="241"/>
      <c r="AF421" s="179"/>
      <c r="AG421" s="181"/>
      <c r="AH421" s="181"/>
      <c r="AI421" s="181"/>
      <c r="AJ421" s="181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</row>
    <row r="422" hidden="1" outlineLevel="1">
      <c r="A422" s="350" t="s">
        <v>152</v>
      </c>
      <c r="B422" s="227"/>
      <c r="C422" s="227"/>
      <c r="D422" s="227"/>
      <c r="E422" s="227"/>
      <c r="F422" s="225"/>
      <c r="G422" s="225"/>
      <c r="H422" s="227"/>
      <c r="I422" s="227"/>
      <c r="J422" s="225"/>
      <c r="K422" s="225"/>
      <c r="L422" s="227"/>
      <c r="M422" s="227"/>
      <c r="N422" s="225"/>
      <c r="O422" s="226"/>
      <c r="P422" s="227"/>
      <c r="Q422" s="227"/>
      <c r="R422" s="225"/>
      <c r="S422" s="225"/>
      <c r="T422" s="227"/>
      <c r="U422" s="227"/>
      <c r="V422" s="225"/>
      <c r="W422" s="225"/>
      <c r="X422" s="227"/>
      <c r="Y422" s="227"/>
      <c r="Z422" s="225"/>
      <c r="AA422" s="225"/>
      <c r="AB422" s="227"/>
      <c r="AC422" s="227"/>
      <c r="AD422" s="225"/>
      <c r="AE422" s="225"/>
      <c r="AF422" s="225"/>
      <c r="AG422" s="228"/>
      <c r="AH422" s="228"/>
      <c r="AI422" s="228"/>
      <c r="AJ422" s="228"/>
      <c r="AK422" s="352"/>
      <c r="AL422" s="352"/>
      <c r="AM422" s="352"/>
      <c r="AN422" s="352"/>
      <c r="AO422" s="352"/>
      <c r="AP422" s="352"/>
      <c r="AQ422" s="352"/>
      <c r="AR422" s="352"/>
      <c r="AS422" s="352"/>
      <c r="AT422" s="352"/>
      <c r="AU422" s="352"/>
      <c r="AV422" s="352"/>
      <c r="AW422" s="352"/>
      <c r="AX422" s="352"/>
      <c r="AY422" s="352"/>
      <c r="AZ422" s="352"/>
      <c r="BA422" s="352"/>
      <c r="BB422" s="352"/>
      <c r="BC422" s="352"/>
      <c r="BD422" s="352"/>
    </row>
    <row r="423" hidden="1" outlineLevel="1">
      <c r="A423" s="350" t="s">
        <v>157</v>
      </c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4" t="s">
        <v>158</v>
      </c>
      <c r="M423" s="353"/>
      <c r="N423" s="354" t="s">
        <v>159</v>
      </c>
      <c r="O423" s="355"/>
      <c r="P423" s="354" t="s">
        <v>160</v>
      </c>
      <c r="Q423" s="354" t="s">
        <v>161</v>
      </c>
      <c r="R423" s="354" t="s">
        <v>159</v>
      </c>
      <c r="S423" s="354"/>
      <c r="T423" s="354" t="s">
        <v>158</v>
      </c>
      <c r="U423" s="354"/>
      <c r="V423" s="354" t="s">
        <v>162</v>
      </c>
      <c r="W423" s="354" t="s">
        <v>163</v>
      </c>
      <c r="X423" s="354" t="s">
        <v>158</v>
      </c>
      <c r="Y423" s="354" t="s">
        <v>158</v>
      </c>
      <c r="Z423" s="354" t="s">
        <v>164</v>
      </c>
      <c r="AA423" s="354" t="s">
        <v>164</v>
      </c>
      <c r="AB423" s="354" t="s">
        <v>158</v>
      </c>
      <c r="AC423" s="354" t="s">
        <v>165</v>
      </c>
      <c r="AD423" s="354" t="s">
        <v>164</v>
      </c>
      <c r="AE423" s="353"/>
      <c r="AF423" s="353"/>
      <c r="AG423" s="356"/>
      <c r="AH423" s="356"/>
      <c r="AI423" s="356"/>
      <c r="AJ423" s="356"/>
      <c r="AK423" s="357"/>
      <c r="AL423" s="357"/>
      <c r="AM423" s="357"/>
      <c r="AN423" s="357"/>
      <c r="AO423" s="357"/>
      <c r="AP423" s="357"/>
      <c r="AQ423" s="357"/>
      <c r="AR423" s="357"/>
      <c r="AS423" s="357"/>
      <c r="AT423" s="357"/>
      <c r="AU423" s="357"/>
      <c r="AV423" s="357"/>
      <c r="AW423" s="357"/>
      <c r="AX423" s="357"/>
      <c r="AY423" s="357"/>
      <c r="AZ423" s="357"/>
      <c r="BA423" s="357"/>
      <c r="BB423" s="357"/>
      <c r="BC423" s="357"/>
      <c r="BD423" s="357"/>
    </row>
    <row r="424" hidden="1" outlineLevel="1">
      <c r="A424" s="350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9"/>
      <c r="P424" s="138"/>
      <c r="Q424" s="138"/>
      <c r="R424" s="138"/>
      <c r="S424" s="4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  <c r="AE424" s="138"/>
      <c r="AF424" s="140"/>
      <c r="AG424" s="141"/>
      <c r="AH424" s="142"/>
      <c r="AI424" s="142"/>
      <c r="AJ424" s="277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</row>
    <row r="425" hidden="1" outlineLevel="1">
      <c r="A425" s="350" t="s">
        <v>166</v>
      </c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9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40"/>
      <c r="AG425" s="141"/>
      <c r="AH425" s="142"/>
      <c r="AI425" s="142"/>
      <c r="AJ425" s="277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</row>
    <row r="426" hidden="1" outlineLevel="1">
      <c r="A426" s="350" t="s">
        <v>31</v>
      </c>
      <c r="B426" s="183" t="s">
        <v>76</v>
      </c>
      <c r="C426" s="183"/>
      <c r="D426" s="183" t="s">
        <v>76</v>
      </c>
      <c r="E426" s="183" t="s">
        <v>76</v>
      </c>
      <c r="F426" s="183" t="s">
        <v>76</v>
      </c>
      <c r="G426" s="183"/>
      <c r="H426" s="183" t="s">
        <v>76</v>
      </c>
      <c r="I426" s="183" t="s">
        <v>76</v>
      </c>
      <c r="J426" s="183" t="s">
        <v>76</v>
      </c>
      <c r="K426" s="183"/>
      <c r="L426" s="183" t="s">
        <v>76</v>
      </c>
      <c r="M426" s="183" t="s">
        <v>76</v>
      </c>
      <c r="N426" s="183" t="s">
        <v>76</v>
      </c>
      <c r="O426" s="184"/>
      <c r="P426" s="183" t="s">
        <v>76</v>
      </c>
      <c r="Q426" s="183" t="s">
        <v>76</v>
      </c>
      <c r="R426" s="183"/>
      <c r="S426" s="183"/>
      <c r="T426" s="183" t="s">
        <v>76</v>
      </c>
      <c r="U426" s="183" t="s">
        <v>76</v>
      </c>
      <c r="V426" s="183" t="s">
        <v>76</v>
      </c>
      <c r="W426" s="183"/>
      <c r="X426" s="183" t="s">
        <v>76</v>
      </c>
      <c r="Y426" s="183" t="s">
        <v>76</v>
      </c>
      <c r="Z426" s="183" t="s">
        <v>76</v>
      </c>
      <c r="AA426" s="183"/>
      <c r="AB426" s="183" t="s">
        <v>76</v>
      </c>
      <c r="AC426" s="183" t="s">
        <v>76</v>
      </c>
      <c r="AD426" s="183" t="s">
        <v>76</v>
      </c>
      <c r="AE426" s="183"/>
      <c r="AF426" s="185"/>
      <c r="AG426" s="186"/>
      <c r="AH426" s="186"/>
      <c r="AI426" s="186"/>
      <c r="AJ426" s="186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</row>
    <row r="427" hidden="1" outlineLevel="1">
      <c r="A427" s="350" t="s">
        <v>80</v>
      </c>
      <c r="B427" s="225"/>
      <c r="C427" s="227"/>
      <c r="D427" s="225"/>
      <c r="E427" s="225"/>
      <c r="F427" s="225"/>
      <c r="G427" s="227"/>
      <c r="H427" s="225"/>
      <c r="I427" s="225"/>
      <c r="J427" s="225"/>
      <c r="K427" s="227" t="s">
        <v>76</v>
      </c>
      <c r="L427" s="225"/>
      <c r="M427" s="225"/>
      <c r="N427" s="225"/>
      <c r="O427" s="302" t="s">
        <v>76</v>
      </c>
      <c r="P427" s="225"/>
      <c r="Q427" s="225"/>
      <c r="R427" s="227"/>
      <c r="S427" s="227" t="s">
        <v>76</v>
      </c>
      <c r="T427" s="227"/>
      <c r="U427" s="225"/>
      <c r="V427" s="227"/>
      <c r="W427" s="227" t="s">
        <v>76</v>
      </c>
      <c r="X427" s="225"/>
      <c r="Y427" s="225"/>
      <c r="Z427" s="227"/>
      <c r="AA427" s="227" t="s">
        <v>76</v>
      </c>
      <c r="AB427" s="225"/>
      <c r="AC427" s="225"/>
      <c r="AD427" s="227"/>
      <c r="AE427" s="225"/>
      <c r="AF427" s="225"/>
      <c r="AG427" s="228"/>
      <c r="AH427" s="228"/>
      <c r="AI427" s="228"/>
      <c r="AJ427" s="228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</row>
    <row r="428" hidden="1" outlineLevel="1">
      <c r="A428" s="350" t="s">
        <v>152</v>
      </c>
      <c r="B428" s="358"/>
      <c r="C428" s="359" t="s">
        <v>154</v>
      </c>
      <c r="D428" s="358"/>
      <c r="E428" s="358"/>
      <c r="F428" s="358"/>
      <c r="G428" s="359" t="s">
        <v>154</v>
      </c>
      <c r="H428" s="358"/>
      <c r="I428" s="358"/>
      <c r="J428" s="358"/>
      <c r="K428" s="358"/>
      <c r="L428" s="358"/>
      <c r="M428" s="358"/>
      <c r="N428" s="358"/>
      <c r="O428" s="360"/>
      <c r="P428" s="358"/>
      <c r="Q428" s="358"/>
      <c r="R428" s="359" t="s">
        <v>154</v>
      </c>
      <c r="S428" s="358"/>
      <c r="T428" s="358"/>
      <c r="U428" s="358"/>
      <c r="V428" s="358"/>
      <c r="W428" s="358"/>
      <c r="X428" s="358"/>
      <c r="Y428" s="358"/>
      <c r="Z428" s="358"/>
      <c r="AA428" s="358"/>
      <c r="AB428" s="358"/>
      <c r="AC428" s="358"/>
      <c r="AD428" s="358"/>
      <c r="AE428" s="358"/>
      <c r="AF428" s="358"/>
      <c r="AG428" s="361"/>
      <c r="AH428" s="361"/>
      <c r="AI428" s="361"/>
      <c r="AJ428" s="361"/>
      <c r="AK428" s="362"/>
      <c r="AL428" s="362"/>
      <c r="AM428" s="362"/>
      <c r="AN428" s="362"/>
      <c r="AO428" s="362"/>
      <c r="AP428" s="362"/>
      <c r="AQ428" s="362"/>
      <c r="AR428" s="362"/>
      <c r="AS428" s="362"/>
      <c r="AT428" s="362"/>
      <c r="AU428" s="362"/>
      <c r="AV428" s="362"/>
      <c r="AW428" s="362"/>
      <c r="AX428" s="362"/>
      <c r="AY428" s="362"/>
      <c r="AZ428" s="362"/>
      <c r="BA428" s="362"/>
      <c r="BB428" s="362"/>
      <c r="BC428" s="362"/>
      <c r="BD428" s="362"/>
    </row>
    <row r="429" hidden="1" outlineLevel="1">
      <c r="A429" s="350" t="s">
        <v>157</v>
      </c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3"/>
      <c r="N429" s="353"/>
      <c r="O429" s="363"/>
      <c r="P429" s="353"/>
      <c r="Q429" s="364" t="s">
        <v>167</v>
      </c>
      <c r="R429" s="353"/>
      <c r="S429" s="353"/>
      <c r="T429" s="353"/>
      <c r="U429" s="353"/>
      <c r="V429" s="353"/>
      <c r="W429" s="353"/>
      <c r="X429" s="353"/>
      <c r="Y429" s="353"/>
      <c r="Z429" s="353"/>
      <c r="AA429" s="353"/>
      <c r="AB429" s="353"/>
      <c r="AC429" s="353"/>
      <c r="AD429" s="353"/>
      <c r="AE429" s="353"/>
      <c r="AF429" s="353"/>
      <c r="AG429" s="353"/>
      <c r="AH429" s="353"/>
      <c r="AI429" s="353"/>
      <c r="AJ429" s="353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</row>
    <row r="430" hidden="1" outlineLevel="1">
      <c r="A430" s="350"/>
      <c r="B430" s="230"/>
      <c r="C430" s="230"/>
      <c r="D430" s="230"/>
      <c r="E430" s="230"/>
      <c r="F430" s="230"/>
      <c r="G430" s="230"/>
      <c r="H430" s="230"/>
      <c r="I430" s="230"/>
      <c r="J430" s="230"/>
      <c r="K430" s="230"/>
      <c r="L430" s="230"/>
      <c r="M430" s="230"/>
      <c r="N430" s="230"/>
      <c r="O430" s="231"/>
      <c r="P430" s="230"/>
      <c r="Q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2"/>
      <c r="AG430" s="233"/>
      <c r="AH430" s="234"/>
      <c r="AI430" s="234"/>
      <c r="AJ430" s="277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</row>
    <row r="431" hidden="1" outlineLevel="1">
      <c r="A431" s="350" t="s">
        <v>168</v>
      </c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9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40"/>
      <c r="AG431" s="141"/>
      <c r="AH431" s="142"/>
      <c r="AI431" s="142"/>
      <c r="AJ431" s="277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</row>
    <row r="432" hidden="1" outlineLevel="1">
      <c r="A432" s="350" t="s">
        <v>65</v>
      </c>
      <c r="B432" s="317" t="s">
        <v>76</v>
      </c>
      <c r="C432" s="317"/>
      <c r="D432" s="317"/>
      <c r="E432" s="317" t="s">
        <v>76</v>
      </c>
      <c r="F432" s="317" t="s">
        <v>76</v>
      </c>
      <c r="G432" s="317"/>
      <c r="H432" s="318"/>
      <c r="I432" s="317" t="s">
        <v>76</v>
      </c>
      <c r="J432" s="317" t="s">
        <v>76</v>
      </c>
      <c r="K432" s="317"/>
      <c r="L432" s="317"/>
      <c r="M432" s="317"/>
      <c r="N432" s="317"/>
      <c r="O432" s="319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  <c r="AF432" s="318"/>
      <c r="AG432" s="320"/>
      <c r="AH432" s="320"/>
      <c r="AI432" s="320"/>
      <c r="AJ432" s="32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</row>
    <row r="433" ht="49.5" hidden="1" customHeight="1" outlineLevel="1">
      <c r="A433" s="350" t="s">
        <v>139</v>
      </c>
      <c r="B433" s="365"/>
      <c r="C433" s="366" t="s">
        <v>76</v>
      </c>
      <c r="D433" s="366" t="s">
        <v>169</v>
      </c>
      <c r="E433" s="366"/>
      <c r="F433" s="365"/>
      <c r="G433" s="366" t="s">
        <v>170</v>
      </c>
      <c r="H433" s="366" t="s">
        <v>76</v>
      </c>
      <c r="I433" s="366"/>
      <c r="J433" s="365"/>
      <c r="K433" s="366" t="s">
        <v>76</v>
      </c>
      <c r="L433" s="366" t="s">
        <v>76</v>
      </c>
      <c r="M433" s="366" t="s">
        <v>171</v>
      </c>
      <c r="N433" s="366"/>
      <c r="O433" s="367" t="s">
        <v>76</v>
      </c>
      <c r="P433" s="366" t="s">
        <v>172</v>
      </c>
      <c r="Q433" s="366"/>
      <c r="R433" s="365"/>
      <c r="S433" s="366"/>
      <c r="T433" s="366" t="s">
        <v>173</v>
      </c>
      <c r="U433" s="366"/>
      <c r="V433" s="366"/>
      <c r="W433" s="366" t="s">
        <v>76</v>
      </c>
      <c r="X433" s="366" t="s">
        <v>76</v>
      </c>
      <c r="Y433" s="366"/>
      <c r="Z433" s="366"/>
      <c r="AA433" s="366" t="s">
        <v>76</v>
      </c>
      <c r="AB433" s="366"/>
      <c r="AC433" s="366"/>
      <c r="AD433" s="366"/>
      <c r="AE433" s="366"/>
      <c r="AF433" s="366"/>
      <c r="AG433" s="368"/>
      <c r="AH433" s="368"/>
      <c r="AI433" s="368"/>
      <c r="AJ433" s="368"/>
      <c r="AK433" s="119"/>
      <c r="AL433" s="119"/>
      <c r="AM433" s="119"/>
      <c r="AN433" s="119"/>
      <c r="AO433" s="119"/>
      <c r="AP433" s="119"/>
      <c r="AQ433" s="119"/>
      <c r="AR433" s="119"/>
      <c r="AS433" s="119"/>
      <c r="AT433" s="119"/>
      <c r="AU433" s="119"/>
      <c r="AV433" s="119"/>
      <c r="AW433" s="119"/>
      <c r="AX433" s="119"/>
      <c r="AY433" s="119"/>
      <c r="AZ433" s="119"/>
      <c r="BA433" s="119"/>
      <c r="BB433" s="119"/>
      <c r="BC433" s="119"/>
      <c r="BD433" s="119"/>
    </row>
    <row r="434" ht="49.5" hidden="1" customHeight="1" outlineLevel="1">
      <c r="A434" s="350" t="s">
        <v>174</v>
      </c>
      <c r="B434" s="369"/>
      <c r="C434" s="370"/>
      <c r="D434" s="370"/>
      <c r="E434" s="370"/>
      <c r="F434" s="369"/>
      <c r="G434" s="370"/>
      <c r="H434" s="370"/>
      <c r="I434" s="370"/>
      <c r="J434" s="369"/>
      <c r="K434" s="370"/>
      <c r="L434" s="370"/>
      <c r="M434" s="370"/>
      <c r="N434" s="370" t="s">
        <v>76</v>
      </c>
      <c r="O434" s="371"/>
      <c r="P434" s="370"/>
      <c r="Q434" s="370" t="s">
        <v>76</v>
      </c>
      <c r="R434" s="370" t="s">
        <v>76</v>
      </c>
      <c r="S434" s="370"/>
      <c r="T434" s="370"/>
      <c r="U434" s="370" t="s">
        <v>175</v>
      </c>
      <c r="V434" s="370" t="s">
        <v>76</v>
      </c>
      <c r="W434" s="370"/>
      <c r="X434" s="370"/>
      <c r="Y434" s="370" t="s">
        <v>76</v>
      </c>
      <c r="Z434" s="370" t="s">
        <v>76</v>
      </c>
      <c r="AA434" s="370"/>
      <c r="AB434" s="370"/>
      <c r="AC434" s="370" t="s">
        <v>76</v>
      </c>
      <c r="AD434" s="370" t="s">
        <v>76</v>
      </c>
      <c r="AE434" s="370"/>
      <c r="AF434" s="370"/>
      <c r="AG434" s="372"/>
      <c r="AH434" s="372"/>
      <c r="AI434" s="372"/>
      <c r="AJ434" s="372"/>
      <c r="AK434" s="373"/>
      <c r="AL434" s="373"/>
      <c r="AM434" s="373"/>
      <c r="AN434" s="373"/>
      <c r="AO434" s="373"/>
      <c r="AP434" s="373"/>
      <c r="AQ434" s="373"/>
      <c r="AR434" s="373"/>
      <c r="AS434" s="373"/>
      <c r="AT434" s="373"/>
      <c r="AU434" s="373"/>
      <c r="AV434" s="373"/>
      <c r="AW434" s="373"/>
      <c r="AX434" s="373"/>
      <c r="AY434" s="373"/>
      <c r="AZ434" s="373"/>
      <c r="BA434" s="373"/>
      <c r="BB434" s="373"/>
      <c r="BC434" s="373"/>
      <c r="BD434" s="373"/>
    </row>
    <row r="435" hidden="1" outlineLevel="1">
      <c r="A435" s="350" t="s">
        <v>152</v>
      </c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58"/>
      <c r="N435" s="358"/>
      <c r="O435" s="360"/>
      <c r="P435" s="358"/>
      <c r="Q435" s="358"/>
      <c r="R435" s="358"/>
      <c r="S435" s="359" t="s">
        <v>154</v>
      </c>
      <c r="T435" s="358"/>
      <c r="U435" s="358"/>
      <c r="V435" s="358"/>
      <c r="W435" s="358"/>
      <c r="X435" s="358"/>
      <c r="Y435" s="358"/>
      <c r="Z435" s="358"/>
      <c r="AA435" s="358"/>
      <c r="AB435" s="359" t="s">
        <v>176</v>
      </c>
      <c r="AC435" s="358"/>
      <c r="AD435" s="358"/>
      <c r="AE435" s="358"/>
      <c r="AF435" s="358"/>
      <c r="AG435" s="361"/>
      <c r="AH435" s="361"/>
      <c r="AI435" s="361"/>
      <c r="AJ435" s="361"/>
      <c r="AK435" s="362"/>
      <c r="AL435" s="362"/>
      <c r="AM435" s="362"/>
      <c r="AN435" s="362"/>
      <c r="AO435" s="362"/>
      <c r="AP435" s="362"/>
      <c r="AQ435" s="362"/>
      <c r="AR435" s="362"/>
      <c r="AS435" s="362"/>
      <c r="AT435" s="362"/>
      <c r="AU435" s="362"/>
      <c r="AV435" s="362"/>
      <c r="AW435" s="362"/>
      <c r="AX435" s="362"/>
      <c r="AY435" s="362"/>
      <c r="AZ435" s="362"/>
      <c r="BA435" s="362"/>
      <c r="BB435" s="362"/>
      <c r="BC435" s="362"/>
      <c r="BD435" s="362"/>
    </row>
    <row r="436" hidden="1" outlineLevel="1">
      <c r="A436" s="350"/>
      <c r="B436" s="312"/>
      <c r="C436" s="312"/>
      <c r="D436" s="312"/>
      <c r="E436" s="312"/>
      <c r="F436" s="312"/>
      <c r="G436" s="312"/>
      <c r="H436" s="312"/>
      <c r="I436" s="312"/>
      <c r="J436" s="312"/>
      <c r="K436" s="312"/>
      <c r="L436" s="312"/>
      <c r="M436" s="312"/>
      <c r="N436" s="312"/>
      <c r="O436" s="313"/>
      <c r="P436" s="312"/>
      <c r="Q436" s="312"/>
      <c r="R436" s="312"/>
      <c r="S436" s="312"/>
      <c r="T436" s="312"/>
      <c r="U436" s="312"/>
      <c r="V436" s="312"/>
      <c r="W436" s="312"/>
      <c r="X436" s="312"/>
      <c r="Y436" s="312"/>
      <c r="Z436" s="312"/>
      <c r="AA436" s="312"/>
      <c r="AB436" s="312"/>
      <c r="AC436" s="312"/>
      <c r="AD436" s="312"/>
      <c r="AE436" s="312"/>
      <c r="AF436" s="312"/>
      <c r="AG436" s="277"/>
      <c r="AH436" s="277"/>
      <c r="AI436" s="277"/>
      <c r="AJ436" s="277"/>
      <c r="AK436" s="314"/>
      <c r="AL436" s="314"/>
      <c r="AM436" s="314"/>
      <c r="AN436" s="314"/>
      <c r="AO436" s="314"/>
      <c r="AP436" s="314"/>
      <c r="AQ436" s="314"/>
      <c r="AR436" s="314"/>
      <c r="AS436" s="314"/>
      <c r="AT436" s="314"/>
      <c r="AU436" s="314"/>
      <c r="AV436" s="314"/>
      <c r="AW436" s="314"/>
      <c r="AX436" s="314"/>
      <c r="AY436" s="314"/>
      <c r="AZ436" s="314"/>
      <c r="BA436" s="314"/>
      <c r="BB436" s="314"/>
      <c r="BC436" s="314"/>
      <c r="BD436" s="314"/>
    </row>
    <row r="437" hidden="1" outlineLevel="1">
      <c r="A437" s="350" t="s">
        <v>177</v>
      </c>
      <c r="B437" s="138"/>
      <c r="C437" s="138"/>
      <c r="D437" s="138"/>
      <c r="E437" s="138"/>
      <c r="F437" s="138"/>
      <c r="G437" s="138"/>
      <c r="H437" s="138"/>
      <c r="I437" s="138"/>
      <c r="J437" s="138"/>
      <c r="K437" s="276"/>
      <c r="L437" s="276"/>
      <c r="M437" s="276"/>
      <c r="N437" s="138"/>
      <c r="O437" s="139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40"/>
      <c r="AG437" s="141"/>
      <c r="AH437" s="142"/>
      <c r="AI437" s="142"/>
      <c r="AJ437" s="277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</row>
    <row r="438" hidden="1" outlineLevel="1">
      <c r="A438" s="350" t="s">
        <v>65</v>
      </c>
      <c r="B438" s="178"/>
      <c r="C438" s="178"/>
      <c r="D438" s="168"/>
      <c r="E438" s="178"/>
      <c r="F438" s="178"/>
      <c r="G438" s="178"/>
      <c r="H438" s="168"/>
      <c r="I438" s="178"/>
      <c r="J438" s="374"/>
      <c r="K438" s="178"/>
      <c r="L438" s="168"/>
      <c r="M438" s="375" t="s">
        <v>76</v>
      </c>
      <c r="N438" s="375" t="s">
        <v>76</v>
      </c>
      <c r="O438" s="169"/>
      <c r="P438" s="178"/>
      <c r="Q438" s="178" t="s">
        <v>76</v>
      </c>
      <c r="R438" s="178" t="s">
        <v>76</v>
      </c>
      <c r="S438" s="168"/>
      <c r="T438" s="178"/>
      <c r="U438" s="178" t="s">
        <v>76</v>
      </c>
      <c r="V438" s="178" t="s">
        <v>76</v>
      </c>
      <c r="W438" s="168"/>
      <c r="X438" s="178"/>
      <c r="Y438" s="178"/>
      <c r="Z438" s="178"/>
      <c r="AA438" s="168"/>
      <c r="AB438" s="178"/>
      <c r="AC438" s="178"/>
      <c r="AD438" s="178"/>
      <c r="AE438" s="168"/>
      <c r="AF438" s="168"/>
      <c r="AG438" s="170"/>
      <c r="AH438" s="170"/>
      <c r="AI438" s="170"/>
      <c r="AJ438" s="170"/>
      <c r="AK438" s="376"/>
      <c r="AL438" s="376"/>
      <c r="AM438" s="376"/>
      <c r="AN438" s="376"/>
      <c r="AO438" s="376"/>
      <c r="AP438" s="376"/>
      <c r="AQ438" s="376"/>
      <c r="AR438" s="376"/>
      <c r="AS438" s="376"/>
      <c r="AT438" s="376"/>
      <c r="AU438" s="376"/>
      <c r="AV438" s="376"/>
      <c r="AW438" s="376"/>
      <c r="AX438" s="376"/>
      <c r="AY438" s="376"/>
      <c r="AZ438" s="376"/>
      <c r="BA438" s="376"/>
      <c r="BB438" s="376"/>
      <c r="BC438" s="376"/>
      <c r="BD438" s="376"/>
    </row>
    <row r="439" hidden="1" outlineLevel="1">
      <c r="A439" s="350" t="s">
        <v>146</v>
      </c>
      <c r="B439" s="346"/>
      <c r="C439" s="347" t="s">
        <v>76</v>
      </c>
      <c r="D439" s="347" t="s">
        <v>76</v>
      </c>
      <c r="E439" s="346"/>
      <c r="F439" s="346"/>
      <c r="G439" s="347" t="s">
        <v>76</v>
      </c>
      <c r="H439" s="347" t="s">
        <v>76</v>
      </c>
      <c r="I439" s="346"/>
      <c r="J439" s="347" t="s">
        <v>178</v>
      </c>
      <c r="K439" s="347" t="s">
        <v>76</v>
      </c>
      <c r="L439" s="347" t="s">
        <v>76</v>
      </c>
      <c r="M439" s="346"/>
      <c r="N439" s="347"/>
      <c r="O439" s="348" t="s">
        <v>76</v>
      </c>
      <c r="P439" s="347" t="s">
        <v>76</v>
      </c>
      <c r="Q439" s="346"/>
      <c r="R439" s="347"/>
      <c r="S439" s="347" t="s">
        <v>76</v>
      </c>
      <c r="T439" s="347" t="s">
        <v>76</v>
      </c>
      <c r="U439" s="346"/>
      <c r="V439" s="347"/>
      <c r="W439" s="347" t="s">
        <v>76</v>
      </c>
      <c r="X439" s="347" t="s">
        <v>76</v>
      </c>
      <c r="Y439" s="347" t="s">
        <v>179</v>
      </c>
      <c r="Z439" s="347"/>
      <c r="AA439" s="347" t="s">
        <v>76</v>
      </c>
      <c r="AB439" s="347" t="s">
        <v>76</v>
      </c>
      <c r="AC439" s="346"/>
      <c r="AD439" s="347"/>
      <c r="AE439" s="347"/>
      <c r="AF439" s="346"/>
      <c r="AG439" s="349"/>
      <c r="AH439" s="349"/>
      <c r="AI439" s="349"/>
      <c r="AJ439" s="349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</row>
    <row r="440" hidden="1" outlineLevel="1">
      <c r="A440" s="350" t="s">
        <v>180</v>
      </c>
      <c r="B440" s="377"/>
      <c r="C440" s="378"/>
      <c r="D440" s="378"/>
      <c r="E440" s="378" t="s">
        <v>76</v>
      </c>
      <c r="F440" s="378" t="s">
        <v>76</v>
      </c>
      <c r="G440" s="378"/>
      <c r="H440" s="378"/>
      <c r="I440" s="378" t="s">
        <v>76</v>
      </c>
      <c r="J440" s="377"/>
      <c r="K440" s="378"/>
      <c r="L440" s="378"/>
      <c r="M440" s="377"/>
      <c r="N440" s="378"/>
      <c r="O440" s="379"/>
      <c r="P440" s="378"/>
      <c r="Q440" s="377"/>
      <c r="R440" s="378"/>
      <c r="S440" s="378"/>
      <c r="T440" s="378"/>
      <c r="U440" s="377"/>
      <c r="V440" s="378"/>
      <c r="W440" s="378"/>
      <c r="X440" s="378"/>
      <c r="Y440" s="378"/>
      <c r="Z440" s="378"/>
      <c r="AA440" s="378"/>
      <c r="AB440" s="378"/>
      <c r="AC440" s="377"/>
      <c r="AD440" s="378"/>
      <c r="AE440" s="378"/>
      <c r="AF440" s="377"/>
      <c r="AG440" s="380"/>
      <c r="AH440" s="380"/>
      <c r="AI440" s="380"/>
      <c r="AJ440" s="380"/>
      <c r="AK440" s="381"/>
      <c r="AL440" s="381"/>
      <c r="AM440" s="381"/>
      <c r="AN440" s="381"/>
      <c r="AO440" s="381"/>
      <c r="AP440" s="381"/>
      <c r="AQ440" s="381"/>
      <c r="AR440" s="381"/>
      <c r="AS440" s="381"/>
      <c r="AT440" s="381"/>
      <c r="AU440" s="381"/>
      <c r="AV440" s="381"/>
      <c r="AW440" s="381"/>
      <c r="AX440" s="381"/>
      <c r="AY440" s="381"/>
      <c r="AZ440" s="381"/>
      <c r="BA440" s="381"/>
      <c r="BB440" s="381"/>
      <c r="BC440" s="381"/>
      <c r="BD440" s="381"/>
    </row>
    <row r="441" hidden="1" outlineLevel="1">
      <c r="A441" s="350" t="s">
        <v>152</v>
      </c>
      <c r="B441" s="359" t="s">
        <v>181</v>
      </c>
      <c r="C441" s="358"/>
      <c r="D441" s="358"/>
      <c r="E441" s="358"/>
      <c r="F441" s="358"/>
      <c r="G441" s="358"/>
      <c r="H441" s="358"/>
      <c r="I441" s="358"/>
      <c r="J441" s="359" t="s">
        <v>182</v>
      </c>
      <c r="K441" s="358"/>
      <c r="L441" s="358"/>
      <c r="M441" s="358"/>
      <c r="N441" s="358"/>
      <c r="O441" s="360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9" t="s">
        <v>163</v>
      </c>
      <c r="AA441" s="358"/>
      <c r="AB441" s="358"/>
      <c r="AC441" s="359" t="s">
        <v>183</v>
      </c>
      <c r="AD441" s="359" t="s">
        <v>48</v>
      </c>
      <c r="AE441" s="358"/>
      <c r="AF441" s="358"/>
      <c r="AG441" s="361"/>
      <c r="AH441" s="361"/>
      <c r="AI441" s="361"/>
      <c r="AJ441" s="361"/>
      <c r="AK441" s="362"/>
      <c r="AL441" s="362"/>
      <c r="AM441" s="362"/>
      <c r="AN441" s="362"/>
      <c r="AO441" s="362"/>
      <c r="AP441" s="362"/>
      <c r="AQ441" s="362"/>
      <c r="AR441" s="362"/>
      <c r="AS441" s="362"/>
      <c r="AT441" s="362"/>
      <c r="AU441" s="362"/>
      <c r="AV441" s="362"/>
      <c r="AW441" s="362"/>
      <c r="AX441" s="362"/>
      <c r="AY441" s="362"/>
      <c r="AZ441" s="362"/>
      <c r="BA441" s="362"/>
      <c r="BB441" s="362"/>
      <c r="BC441" s="362"/>
      <c r="BD441" s="362"/>
    </row>
    <row r="442" hidden="1" outlineLevel="1">
      <c r="A442" s="350"/>
      <c r="B442" s="312"/>
      <c r="C442" s="312"/>
      <c r="D442" s="312"/>
      <c r="E442" s="312"/>
      <c r="F442" s="312"/>
      <c r="G442" s="312"/>
      <c r="H442" s="312"/>
      <c r="I442" s="312"/>
      <c r="J442" s="382" t="s">
        <v>184</v>
      </c>
      <c r="K442" s="312"/>
      <c r="L442" s="312"/>
      <c r="M442" s="312"/>
      <c r="N442" s="312"/>
      <c r="O442" s="313"/>
      <c r="P442" s="312"/>
      <c r="Q442" s="312"/>
      <c r="R442" s="312"/>
      <c r="S442" s="312"/>
      <c r="T442" s="312"/>
      <c r="U442" s="312"/>
      <c r="V442" s="312"/>
      <c r="W442" s="312"/>
      <c r="X442" s="312"/>
      <c r="Y442" s="312"/>
      <c r="Z442" s="312"/>
      <c r="AA442" s="312"/>
      <c r="AB442" s="312"/>
      <c r="AC442" s="312"/>
      <c r="AD442" s="312"/>
      <c r="AE442" s="312"/>
      <c r="AF442" s="312"/>
      <c r="AG442" s="277"/>
      <c r="AH442" s="277"/>
      <c r="AI442" s="277"/>
      <c r="AJ442" s="277"/>
      <c r="AK442" s="314"/>
      <c r="AL442" s="314"/>
      <c r="AM442" s="314"/>
      <c r="AN442" s="314"/>
      <c r="AO442" s="314"/>
      <c r="AP442" s="314"/>
      <c r="AQ442" s="314"/>
      <c r="AR442" s="314"/>
      <c r="AS442" s="314"/>
      <c r="AT442" s="314"/>
      <c r="AU442" s="314"/>
      <c r="AV442" s="314"/>
      <c r="AW442" s="314"/>
      <c r="AX442" s="314"/>
      <c r="AY442" s="314"/>
      <c r="AZ442" s="314"/>
      <c r="BA442" s="314"/>
      <c r="BB442" s="314"/>
      <c r="BC442" s="314"/>
      <c r="BD442" s="314"/>
    </row>
    <row r="443" hidden="1" outlineLevel="1">
      <c r="A443" s="35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9"/>
      <c r="AH443" s="9"/>
      <c r="AI443" s="9"/>
      <c r="AJ443" s="9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</row>
    <row r="444" hidden="1" outlineLevel="1">
      <c r="A444" s="350" t="s">
        <v>185</v>
      </c>
      <c r="B444" s="383"/>
      <c r="C444" s="383"/>
      <c r="D444" s="383"/>
      <c r="E444" s="383"/>
      <c r="F444" s="383"/>
      <c r="G444" s="383"/>
      <c r="H444" s="383"/>
      <c r="I444" s="383"/>
      <c r="J444" s="383"/>
      <c r="K444" s="383"/>
      <c r="L444" s="383"/>
      <c r="M444" s="384"/>
      <c r="N444" s="384" t="s">
        <v>186</v>
      </c>
      <c r="O444" s="385"/>
      <c r="P444" s="384" t="s">
        <v>187</v>
      </c>
      <c r="Q444" s="383"/>
      <c r="R444" s="383"/>
      <c r="S444" s="384"/>
      <c r="T444" s="384" t="s">
        <v>188</v>
      </c>
      <c r="U444" s="383"/>
      <c r="V444" s="384" t="s">
        <v>188</v>
      </c>
      <c r="W444" s="384" t="s">
        <v>189</v>
      </c>
      <c r="X444" s="384" t="s">
        <v>190</v>
      </c>
      <c r="Y444" s="384" t="s">
        <v>186</v>
      </c>
      <c r="Z444" s="384"/>
      <c r="AA444" s="384"/>
      <c r="AB444" s="384" t="s">
        <v>191</v>
      </c>
      <c r="AC444" s="384" t="s">
        <v>48</v>
      </c>
      <c r="AD444" s="384" t="s">
        <v>48</v>
      </c>
      <c r="AE444" s="383"/>
      <c r="AF444" s="383"/>
      <c r="AG444" s="386"/>
      <c r="AH444" s="386"/>
      <c r="AI444" s="386"/>
      <c r="AJ444" s="386"/>
      <c r="AK444" s="119"/>
      <c r="AL444" s="119"/>
      <c r="AM444" s="119"/>
      <c r="AN444" s="119"/>
      <c r="AO444" s="119"/>
      <c r="AP444" s="119"/>
      <c r="AQ444" s="119"/>
      <c r="AR444" s="119"/>
      <c r="AS444" s="119"/>
      <c r="AT444" s="119"/>
      <c r="AU444" s="119"/>
      <c r="AV444" s="119"/>
      <c r="AW444" s="119"/>
      <c r="AX444" s="119"/>
      <c r="AY444" s="119"/>
      <c r="AZ444" s="119"/>
      <c r="BA444" s="119"/>
      <c r="BB444" s="119"/>
      <c r="BC444" s="119"/>
      <c r="BD444" s="119"/>
    </row>
    <row r="445" hidden="1" outlineLevel="1">
      <c r="A445" s="35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9"/>
      <c r="AH445" s="9"/>
      <c r="AI445" s="9"/>
      <c r="AJ445" s="9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</row>
    <row r="446" hidden="1" outlineLevel="1">
      <c r="A446" s="35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9"/>
      <c r="AH446" s="9"/>
      <c r="AI446" s="9"/>
      <c r="AJ446" s="9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</row>
    <row r="447" hidden="1" outlineLevel="1">
      <c r="A447" s="35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9"/>
      <c r="AH447" s="9"/>
      <c r="AI447" s="9"/>
      <c r="AJ447" s="9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</row>
    <row r="448" hidden="1" outlineLevel="1">
      <c r="A448" s="350" t="s">
        <v>192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9"/>
      <c r="AH448" s="9"/>
      <c r="AI448" s="9"/>
      <c r="AJ448" s="9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</row>
    <row r="449" hidden="1">
      <c r="A449" s="350"/>
      <c r="B449" s="261" t="s">
        <v>104</v>
      </c>
      <c r="C449" s="261" t="s">
        <v>105</v>
      </c>
      <c r="D449" s="261" t="s">
        <v>99</v>
      </c>
      <c r="E449" s="261" t="s">
        <v>100</v>
      </c>
      <c r="F449" s="261" t="s">
        <v>101</v>
      </c>
      <c r="G449" s="261" t="s">
        <v>102</v>
      </c>
      <c r="H449" s="262" t="s">
        <v>103</v>
      </c>
      <c r="I449" s="261" t="s">
        <v>104</v>
      </c>
      <c r="J449" s="261" t="s">
        <v>105</v>
      </c>
      <c r="K449" s="261" t="s">
        <v>99</v>
      </c>
      <c r="L449" s="261" t="s">
        <v>100</v>
      </c>
      <c r="M449" s="261" t="s">
        <v>101</v>
      </c>
      <c r="N449" s="261" t="s">
        <v>102</v>
      </c>
      <c r="O449" s="387" t="s">
        <v>103</v>
      </c>
      <c r="P449" s="261" t="s">
        <v>104</v>
      </c>
      <c r="Q449" s="261" t="s">
        <v>105</v>
      </c>
      <c r="R449" s="261" t="s">
        <v>99</v>
      </c>
      <c r="S449" s="261" t="s">
        <v>100</v>
      </c>
      <c r="T449" s="261" t="s">
        <v>101</v>
      </c>
      <c r="U449" s="261" t="s">
        <v>102</v>
      </c>
      <c r="V449" s="262" t="s">
        <v>103</v>
      </c>
      <c r="W449" s="261" t="s">
        <v>104</v>
      </c>
      <c r="X449" s="261" t="s">
        <v>105</v>
      </c>
      <c r="Y449" s="261" t="s">
        <v>99</v>
      </c>
      <c r="Z449" s="261" t="s">
        <v>100</v>
      </c>
      <c r="AA449" s="261" t="s">
        <v>101</v>
      </c>
      <c r="AB449" s="261" t="s">
        <v>102</v>
      </c>
      <c r="AC449" s="262" t="s">
        <v>103</v>
      </c>
      <c r="AD449" s="261" t="s">
        <v>104</v>
      </c>
      <c r="AE449" s="261" t="s">
        <v>105</v>
      </c>
      <c r="AF449" s="261"/>
      <c r="AG449" s="261"/>
      <c r="AH449" s="261"/>
      <c r="AI449" s="261"/>
      <c r="AJ449" s="266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</row>
    <row r="450" hidden="1">
      <c r="A450" s="350"/>
      <c r="B450" s="268">
        <v>2.0</v>
      </c>
      <c r="C450" s="268">
        <v>3.0</v>
      </c>
      <c r="D450" s="268">
        <v>4.0</v>
      </c>
      <c r="E450" s="268">
        <v>5.0</v>
      </c>
      <c r="F450" s="268">
        <v>6.0</v>
      </c>
      <c r="G450" s="268">
        <v>7.0</v>
      </c>
      <c r="H450" s="268">
        <v>8.0</v>
      </c>
      <c r="I450" s="268">
        <v>9.0</v>
      </c>
      <c r="J450" s="268">
        <v>10.0</v>
      </c>
      <c r="K450" s="268">
        <v>11.0</v>
      </c>
      <c r="L450" s="268">
        <v>12.0</v>
      </c>
      <c r="M450" s="268">
        <v>13.0</v>
      </c>
      <c r="N450" s="268">
        <v>14.0</v>
      </c>
      <c r="O450" s="269">
        <v>15.0</v>
      </c>
      <c r="P450" s="268">
        <v>16.0</v>
      </c>
      <c r="Q450" s="268">
        <v>17.0</v>
      </c>
      <c r="R450" s="268">
        <v>18.0</v>
      </c>
      <c r="S450" s="268">
        <v>19.0</v>
      </c>
      <c r="T450" s="268">
        <v>20.0</v>
      </c>
      <c r="U450" s="268">
        <v>21.0</v>
      </c>
      <c r="V450" s="268">
        <v>22.0</v>
      </c>
      <c r="W450" s="268">
        <v>23.0</v>
      </c>
      <c r="X450" s="268">
        <v>24.0</v>
      </c>
      <c r="Y450" s="268">
        <v>25.0</v>
      </c>
      <c r="Z450" s="268">
        <v>26.0</v>
      </c>
      <c r="AA450" s="268">
        <v>27.0</v>
      </c>
      <c r="AB450" s="268">
        <v>28.0</v>
      </c>
      <c r="AC450" s="268">
        <v>29.0</v>
      </c>
      <c r="AD450" s="268">
        <v>30.0</v>
      </c>
      <c r="AE450" s="268">
        <v>31.0</v>
      </c>
      <c r="AF450" s="268"/>
      <c r="AG450" s="271" t="s">
        <v>72</v>
      </c>
      <c r="AH450" s="272" t="s">
        <v>73</v>
      </c>
      <c r="AI450" s="272" t="s">
        <v>74</v>
      </c>
      <c r="AJ450" s="273" t="s">
        <v>75</v>
      </c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</row>
    <row r="451" hidden="1">
      <c r="A451" s="350" t="s">
        <v>193</v>
      </c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275"/>
      <c r="P451" s="276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40"/>
      <c r="AG451" s="141"/>
      <c r="AH451" s="142"/>
      <c r="AI451" s="142"/>
      <c r="AJ451" s="277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</row>
    <row r="452" hidden="1">
      <c r="A452" s="350" t="s">
        <v>34</v>
      </c>
      <c r="B452" s="148"/>
      <c r="C452" s="148"/>
      <c r="D452" s="148" t="s">
        <v>76</v>
      </c>
      <c r="E452" s="148" t="s">
        <v>76</v>
      </c>
      <c r="F452" s="148"/>
      <c r="G452" s="148"/>
      <c r="H452" s="148" t="s">
        <v>76</v>
      </c>
      <c r="I452" s="148" t="s">
        <v>194</v>
      </c>
      <c r="J452" s="148"/>
      <c r="K452" s="148"/>
      <c r="L452" s="148" t="s">
        <v>76</v>
      </c>
      <c r="M452" s="148" t="s">
        <v>76</v>
      </c>
      <c r="N452" s="279"/>
      <c r="O452" s="149"/>
      <c r="P452" s="148" t="s">
        <v>76</v>
      </c>
      <c r="Q452" s="280" t="s">
        <v>76</v>
      </c>
      <c r="R452" s="148" t="s">
        <v>107</v>
      </c>
      <c r="S452" s="148"/>
      <c r="T452" s="148"/>
      <c r="U452" s="148"/>
      <c r="V452" s="148" t="s">
        <v>76</v>
      </c>
      <c r="W452" s="148"/>
      <c r="X452" s="148" t="s">
        <v>76</v>
      </c>
      <c r="Y452" s="148" t="s">
        <v>76</v>
      </c>
      <c r="Z452" s="148" t="s">
        <v>107</v>
      </c>
      <c r="AA452" s="148"/>
      <c r="AB452" s="148" t="s">
        <v>76</v>
      </c>
      <c r="AC452" s="148" t="s">
        <v>76</v>
      </c>
      <c r="AD452" s="148" t="s">
        <v>107</v>
      </c>
      <c r="AE452" s="148" t="s">
        <v>76</v>
      </c>
      <c r="AF452" s="150"/>
      <c r="AG452" s="151"/>
      <c r="AH452" s="151"/>
      <c r="AI452" s="151"/>
      <c r="AJ452" s="151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</row>
    <row r="453" hidden="1">
      <c r="A453" s="350" t="s">
        <v>150</v>
      </c>
      <c r="B453" s="204" t="s">
        <v>76</v>
      </c>
      <c r="C453" s="204" t="s">
        <v>76</v>
      </c>
      <c r="D453" s="204"/>
      <c r="E453" s="203"/>
      <c r="F453" s="204" t="s">
        <v>76</v>
      </c>
      <c r="G453" s="204" t="s">
        <v>76</v>
      </c>
      <c r="H453" s="204"/>
      <c r="I453" s="203"/>
      <c r="J453" s="204" t="s">
        <v>76</v>
      </c>
      <c r="K453" s="204" t="s">
        <v>76</v>
      </c>
      <c r="L453" s="204"/>
      <c r="M453" s="204"/>
      <c r="N453" s="388"/>
      <c r="O453" s="389" t="s">
        <v>76</v>
      </c>
      <c r="P453" s="204"/>
      <c r="Q453" s="351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3"/>
      <c r="AG453" s="206"/>
      <c r="AH453" s="206"/>
      <c r="AI453" s="206"/>
      <c r="AJ453" s="206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</row>
    <row r="454" hidden="1">
      <c r="A454" s="350" t="s">
        <v>195</v>
      </c>
      <c r="B454" s="390"/>
      <c r="C454" s="391"/>
      <c r="D454" s="390"/>
      <c r="E454" s="390"/>
      <c r="F454" s="391"/>
      <c r="G454" s="391"/>
      <c r="H454" s="391"/>
      <c r="I454" s="391"/>
      <c r="J454" s="390"/>
      <c r="K454" s="390"/>
      <c r="L454" s="390"/>
      <c r="M454" s="390"/>
      <c r="N454" s="392"/>
      <c r="O454" s="393"/>
      <c r="P454" s="391"/>
      <c r="Q454" s="394"/>
      <c r="R454" s="390"/>
      <c r="S454" s="391" t="s">
        <v>76</v>
      </c>
      <c r="T454" s="390"/>
      <c r="U454" s="390"/>
      <c r="V454" s="390"/>
      <c r="W454" s="391" t="s">
        <v>76</v>
      </c>
      <c r="X454" s="390"/>
      <c r="Y454" s="390"/>
      <c r="Z454" s="390"/>
      <c r="AA454" s="391"/>
      <c r="AB454" s="390"/>
      <c r="AC454" s="390"/>
      <c r="AD454" s="390"/>
      <c r="AE454" s="390"/>
      <c r="AF454" s="390"/>
      <c r="AG454" s="395"/>
      <c r="AH454" s="395"/>
      <c r="AI454" s="395"/>
      <c r="AJ454" s="395"/>
      <c r="AK454" s="396"/>
      <c r="AL454" s="396"/>
      <c r="AM454" s="396"/>
      <c r="AN454" s="396"/>
      <c r="AO454" s="396"/>
      <c r="AP454" s="396"/>
      <c r="AQ454" s="396"/>
      <c r="AR454" s="396"/>
      <c r="AS454" s="396"/>
      <c r="AT454" s="396"/>
      <c r="AU454" s="396"/>
      <c r="AV454" s="396"/>
      <c r="AW454" s="396"/>
      <c r="AX454" s="396"/>
      <c r="AY454" s="396"/>
      <c r="AZ454" s="396"/>
      <c r="BA454" s="396"/>
      <c r="BB454" s="396"/>
      <c r="BC454" s="396"/>
      <c r="BD454" s="396"/>
    </row>
    <row r="455" ht="51.0" hidden="1" customHeight="1">
      <c r="A455" s="350" t="s">
        <v>152</v>
      </c>
      <c r="B455" s="397"/>
      <c r="C455" s="398"/>
      <c r="D455" s="397"/>
      <c r="E455" s="397"/>
      <c r="F455" s="398"/>
      <c r="G455" s="398"/>
      <c r="H455" s="398"/>
      <c r="I455" s="398" t="s">
        <v>196</v>
      </c>
      <c r="J455" s="397"/>
      <c r="K455" s="397"/>
      <c r="L455" s="397"/>
      <c r="M455" s="397"/>
      <c r="N455" s="399" t="s">
        <v>197</v>
      </c>
      <c r="O455" s="400"/>
      <c r="P455" s="398"/>
      <c r="Q455" s="401"/>
      <c r="R455" s="397"/>
      <c r="S455" s="397"/>
      <c r="T455" s="402" t="s">
        <v>151</v>
      </c>
      <c r="U455" s="398" t="s">
        <v>151</v>
      </c>
      <c r="V455" s="397"/>
      <c r="W455" s="397"/>
      <c r="X455" s="397"/>
      <c r="Y455" s="397"/>
      <c r="Z455" s="398" t="s">
        <v>198</v>
      </c>
      <c r="AA455" s="398" t="s">
        <v>151</v>
      </c>
      <c r="AB455" s="397"/>
      <c r="AC455" s="397"/>
      <c r="AD455" s="398" t="s">
        <v>199</v>
      </c>
      <c r="AE455" s="397"/>
      <c r="AF455" s="397"/>
      <c r="AG455" s="403"/>
      <c r="AH455" s="403"/>
      <c r="AI455" s="403"/>
      <c r="AJ455" s="403"/>
      <c r="AK455" s="119"/>
      <c r="AL455" s="119"/>
      <c r="AM455" s="119"/>
      <c r="AN455" s="119"/>
      <c r="AO455" s="119"/>
      <c r="AP455" s="119"/>
      <c r="AQ455" s="119"/>
      <c r="AR455" s="119"/>
      <c r="AS455" s="119"/>
      <c r="AT455" s="119"/>
      <c r="AU455" s="119"/>
      <c r="AV455" s="119"/>
      <c r="AW455" s="119"/>
      <c r="AX455" s="119"/>
      <c r="AY455" s="119"/>
      <c r="AZ455" s="119"/>
      <c r="BA455" s="119"/>
      <c r="BB455" s="119"/>
      <c r="BC455" s="119"/>
      <c r="BD455" s="119"/>
    </row>
    <row r="456" hidden="1">
      <c r="A456" s="35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54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9"/>
      <c r="AH456" s="9"/>
      <c r="AI456" s="9"/>
      <c r="AJ456" s="277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</row>
    <row r="457" hidden="1">
      <c r="A457" s="350" t="s">
        <v>200</v>
      </c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9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40"/>
      <c r="AG457" s="141"/>
      <c r="AH457" s="142"/>
      <c r="AI457" s="142"/>
      <c r="AJ457" s="277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</row>
    <row r="458" hidden="1">
      <c r="A458" s="350" t="s">
        <v>67</v>
      </c>
      <c r="B458" s="159"/>
      <c r="C458" s="159" t="s">
        <v>76</v>
      </c>
      <c r="D458" s="159" t="s">
        <v>76</v>
      </c>
      <c r="E458" s="159" t="s">
        <v>76</v>
      </c>
      <c r="F458" s="159"/>
      <c r="G458" s="159"/>
      <c r="H458" s="159" t="s">
        <v>76</v>
      </c>
      <c r="I458" s="159" t="s">
        <v>76</v>
      </c>
      <c r="J458" s="159" t="s">
        <v>76</v>
      </c>
      <c r="K458" s="159"/>
      <c r="L458" s="159"/>
      <c r="M458" s="159" t="s">
        <v>76</v>
      </c>
      <c r="N458" s="159" t="s">
        <v>76</v>
      </c>
      <c r="O458" s="177" t="s">
        <v>76</v>
      </c>
      <c r="P458" s="159"/>
      <c r="Q458" s="159"/>
      <c r="R458" s="159" t="s">
        <v>76</v>
      </c>
      <c r="S458" s="159" t="s">
        <v>76</v>
      </c>
      <c r="T458" s="159" t="s">
        <v>76</v>
      </c>
      <c r="U458" s="159"/>
      <c r="V458" s="159"/>
      <c r="W458" s="159" t="s">
        <v>76</v>
      </c>
      <c r="X458" s="159" t="s">
        <v>76</v>
      </c>
      <c r="Y458" s="159" t="s">
        <v>76</v>
      </c>
      <c r="Z458" s="159"/>
      <c r="AA458" s="159" t="s">
        <v>76</v>
      </c>
      <c r="AB458" s="159" t="s">
        <v>76</v>
      </c>
      <c r="AC458" s="159" t="s">
        <v>76</v>
      </c>
      <c r="AD458" s="159" t="s">
        <v>201</v>
      </c>
      <c r="AE458" s="159" t="s">
        <v>76</v>
      </c>
      <c r="AF458" s="158"/>
      <c r="AG458" s="161"/>
      <c r="AH458" s="161"/>
      <c r="AI458" s="161"/>
      <c r="AJ458" s="161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</row>
    <row r="459" hidden="1">
      <c r="A459" s="350" t="s">
        <v>117</v>
      </c>
      <c r="B459" s="241" t="s">
        <v>76</v>
      </c>
      <c r="C459" s="241"/>
      <c r="D459" s="241"/>
      <c r="E459" s="241"/>
      <c r="F459" s="241" t="s">
        <v>76</v>
      </c>
      <c r="G459" s="241" t="s">
        <v>202</v>
      </c>
      <c r="H459" s="179"/>
      <c r="I459" s="241"/>
      <c r="J459" s="241"/>
      <c r="K459" s="241" t="s">
        <v>76</v>
      </c>
      <c r="L459" s="241" t="s">
        <v>76</v>
      </c>
      <c r="M459" s="179"/>
      <c r="N459" s="241"/>
      <c r="O459" s="254"/>
      <c r="P459" s="241" t="s">
        <v>203</v>
      </c>
      <c r="Q459" s="241" t="s">
        <v>76</v>
      </c>
      <c r="R459" s="241"/>
      <c r="S459" s="241"/>
      <c r="T459" s="179"/>
      <c r="U459" s="241" t="s">
        <v>76</v>
      </c>
      <c r="V459" s="241" t="s">
        <v>76</v>
      </c>
      <c r="W459" s="241"/>
      <c r="X459" s="179"/>
      <c r="Y459" s="179"/>
      <c r="Z459" s="241" t="s">
        <v>201</v>
      </c>
      <c r="AA459" s="241"/>
      <c r="AB459" s="241"/>
      <c r="AC459" s="241"/>
      <c r="AD459" s="241"/>
      <c r="AE459" s="241"/>
      <c r="AF459" s="179"/>
      <c r="AG459" s="181"/>
      <c r="AH459" s="181"/>
      <c r="AI459" s="181"/>
      <c r="AJ459" s="181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</row>
    <row r="460" hidden="1">
      <c r="A460" s="350" t="s">
        <v>152</v>
      </c>
      <c r="B460" s="227"/>
      <c r="C460" s="227"/>
      <c r="D460" s="227"/>
      <c r="E460" s="227"/>
      <c r="F460" s="225"/>
      <c r="G460" s="404" t="s">
        <v>204</v>
      </c>
      <c r="H460" s="227"/>
      <c r="I460" s="227"/>
      <c r="J460" s="225"/>
      <c r="K460" s="225"/>
      <c r="L460" s="227"/>
      <c r="M460" s="227"/>
      <c r="N460" s="225"/>
      <c r="O460" s="226"/>
      <c r="P460" s="405" t="s">
        <v>205</v>
      </c>
      <c r="Q460" s="227"/>
      <c r="R460" s="225"/>
      <c r="S460" s="225"/>
      <c r="T460" s="227"/>
      <c r="U460" s="227"/>
      <c r="V460" s="225"/>
      <c r="W460" s="225"/>
      <c r="X460" s="227"/>
      <c r="Y460" s="227"/>
      <c r="Z460" s="225"/>
      <c r="AA460" s="225"/>
      <c r="AB460" s="227"/>
      <c r="AC460" s="227"/>
      <c r="AD460" s="225"/>
      <c r="AE460" s="225"/>
      <c r="AF460" s="225"/>
      <c r="AG460" s="228"/>
      <c r="AH460" s="228"/>
      <c r="AI460" s="228"/>
      <c r="AJ460" s="228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</row>
    <row r="461" hidden="1">
      <c r="A461" s="350" t="s">
        <v>157</v>
      </c>
      <c r="B461" s="406" t="s">
        <v>164</v>
      </c>
      <c r="C461" s="406" t="s">
        <v>206</v>
      </c>
      <c r="D461" s="406" t="s">
        <v>207</v>
      </c>
      <c r="E461" s="407"/>
      <c r="F461" s="406"/>
      <c r="G461" s="406" t="s">
        <v>206</v>
      </c>
      <c r="H461" s="406" t="s">
        <v>208</v>
      </c>
      <c r="I461" s="406" t="s">
        <v>209</v>
      </c>
      <c r="J461" s="406" t="s">
        <v>206</v>
      </c>
      <c r="K461" s="406" t="s">
        <v>210</v>
      </c>
      <c r="L461" s="406" t="s">
        <v>201</v>
      </c>
      <c r="M461" s="407"/>
      <c r="N461" s="406" t="s">
        <v>206</v>
      </c>
      <c r="O461" s="408" t="s">
        <v>206</v>
      </c>
      <c r="P461" s="406"/>
      <c r="Q461" s="407"/>
      <c r="R461" s="406" t="s">
        <v>206</v>
      </c>
      <c r="S461" s="406" t="s">
        <v>206</v>
      </c>
      <c r="T461" s="406" t="s">
        <v>211</v>
      </c>
      <c r="U461" s="407"/>
      <c r="V461" s="406"/>
      <c r="W461" s="406"/>
      <c r="X461" s="406"/>
      <c r="Y461" s="407"/>
      <c r="Z461" s="406" t="s">
        <v>206</v>
      </c>
      <c r="AA461" s="406" t="s">
        <v>206</v>
      </c>
      <c r="AB461" s="406"/>
      <c r="AC461" s="407"/>
      <c r="AD461" s="407"/>
      <c r="AE461" s="409"/>
      <c r="AF461" s="407"/>
      <c r="AG461" s="410"/>
      <c r="AH461" s="410"/>
      <c r="AI461" s="410"/>
      <c r="AJ461" s="410"/>
      <c r="AK461" s="411"/>
      <c r="AL461" s="411"/>
      <c r="AM461" s="411"/>
      <c r="AN461" s="411"/>
      <c r="AO461" s="411"/>
      <c r="AP461" s="411"/>
      <c r="AQ461" s="411"/>
      <c r="AR461" s="411"/>
      <c r="AS461" s="411"/>
      <c r="AT461" s="411"/>
      <c r="AU461" s="411"/>
      <c r="AV461" s="411"/>
      <c r="AW461" s="411"/>
      <c r="AX461" s="411"/>
      <c r="AY461" s="411"/>
      <c r="AZ461" s="411"/>
      <c r="BA461" s="411"/>
      <c r="BB461" s="411"/>
      <c r="BC461" s="411"/>
      <c r="BD461" s="411"/>
    </row>
    <row r="462" hidden="1">
      <c r="A462" s="350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9"/>
      <c r="P462" s="138"/>
      <c r="Q462" s="138"/>
      <c r="R462" s="138"/>
      <c r="S462" s="4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40"/>
      <c r="AG462" s="141"/>
      <c r="AH462" s="142"/>
      <c r="AI462" s="142"/>
      <c r="AJ462" s="277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</row>
    <row r="463" hidden="1">
      <c r="A463" s="350" t="s">
        <v>212</v>
      </c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9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40"/>
      <c r="AG463" s="141"/>
      <c r="AH463" s="142"/>
      <c r="AI463" s="142"/>
      <c r="AJ463" s="277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</row>
    <row r="464" hidden="1">
      <c r="A464" s="350" t="s">
        <v>31</v>
      </c>
      <c r="B464" s="183" t="s">
        <v>76</v>
      </c>
      <c r="C464" s="183" t="s">
        <v>76</v>
      </c>
      <c r="D464" s="183" t="s">
        <v>76</v>
      </c>
      <c r="E464" s="183"/>
      <c r="F464" s="183"/>
      <c r="G464" s="183" t="s">
        <v>76</v>
      </c>
      <c r="H464" s="183" t="s">
        <v>76</v>
      </c>
      <c r="I464" s="183"/>
      <c r="J464" s="183" t="s">
        <v>76</v>
      </c>
      <c r="K464" s="183" t="s">
        <v>213</v>
      </c>
      <c r="L464" s="183" t="s">
        <v>76</v>
      </c>
      <c r="M464" s="183"/>
      <c r="N464" s="183" t="s">
        <v>76</v>
      </c>
      <c r="O464" s="184" t="s">
        <v>76</v>
      </c>
      <c r="P464" s="183"/>
      <c r="Q464" s="183"/>
      <c r="R464" s="183"/>
      <c r="S464" s="183" t="s">
        <v>76</v>
      </c>
      <c r="T464" s="183"/>
      <c r="U464" s="183"/>
      <c r="V464" s="183"/>
      <c r="W464" s="183" t="s">
        <v>76</v>
      </c>
      <c r="X464" s="183" t="s">
        <v>76</v>
      </c>
      <c r="Y464" s="183"/>
      <c r="Z464" s="183"/>
      <c r="AA464" s="183" t="s">
        <v>76</v>
      </c>
      <c r="AB464" s="183" t="s">
        <v>76</v>
      </c>
      <c r="AC464" s="183"/>
      <c r="AD464" s="183"/>
      <c r="AE464" s="183" t="s">
        <v>76</v>
      </c>
      <c r="AF464" s="185"/>
      <c r="AG464" s="186"/>
      <c r="AH464" s="186"/>
      <c r="AI464" s="186"/>
      <c r="AJ464" s="186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</row>
    <row r="465" hidden="1">
      <c r="A465" s="350" t="s">
        <v>195</v>
      </c>
      <c r="B465" s="158"/>
      <c r="C465" s="159"/>
      <c r="D465" s="158"/>
      <c r="E465" s="158"/>
      <c r="F465" s="159"/>
      <c r="G465" s="159"/>
      <c r="H465" s="158"/>
      <c r="I465" s="158"/>
      <c r="J465" s="158"/>
      <c r="K465" s="158"/>
      <c r="L465" s="158"/>
      <c r="M465" s="158"/>
      <c r="N465" s="158"/>
      <c r="O465" s="160"/>
      <c r="P465" s="159" t="s">
        <v>76</v>
      </c>
      <c r="Q465" s="159" t="s">
        <v>76</v>
      </c>
      <c r="R465" s="159" t="s">
        <v>76</v>
      </c>
      <c r="S465" s="158"/>
      <c r="T465" s="159" t="s">
        <v>214</v>
      </c>
      <c r="U465" s="159" t="s">
        <v>215</v>
      </c>
      <c r="V465" s="159" t="s">
        <v>76</v>
      </c>
      <c r="W465" s="158"/>
      <c r="X465" s="158"/>
      <c r="Y465" s="159" t="s">
        <v>201</v>
      </c>
      <c r="Z465" s="159" t="s">
        <v>216</v>
      </c>
      <c r="AA465" s="158"/>
      <c r="AB465" s="158"/>
      <c r="AC465" s="159" t="s">
        <v>216</v>
      </c>
      <c r="AD465" s="159" t="s">
        <v>216</v>
      </c>
      <c r="AE465" s="158"/>
      <c r="AF465" s="158"/>
      <c r="AG465" s="161"/>
      <c r="AH465" s="161"/>
      <c r="AI465" s="161"/>
      <c r="AJ465" s="161"/>
      <c r="AK465" s="412"/>
      <c r="AL465" s="412"/>
      <c r="AM465" s="412"/>
      <c r="AN465" s="412"/>
      <c r="AO465" s="412"/>
      <c r="AP465" s="412"/>
      <c r="AQ465" s="412"/>
      <c r="AR465" s="412"/>
      <c r="AS465" s="412"/>
      <c r="AT465" s="412"/>
      <c r="AU465" s="412"/>
      <c r="AV465" s="412"/>
      <c r="AW465" s="412"/>
      <c r="AX465" s="412"/>
      <c r="AY465" s="412"/>
      <c r="AZ465" s="412"/>
      <c r="BA465" s="412"/>
      <c r="BB465" s="412"/>
      <c r="BC465" s="412"/>
      <c r="BD465" s="412"/>
    </row>
    <row r="466" hidden="1">
      <c r="A466" s="350" t="s">
        <v>80</v>
      </c>
      <c r="B466" s="225"/>
      <c r="C466" s="227"/>
      <c r="D466" s="225"/>
      <c r="E466" s="227" t="s">
        <v>76</v>
      </c>
      <c r="F466" s="225"/>
      <c r="G466" s="227"/>
      <c r="H466" s="225"/>
      <c r="I466" s="227" t="s">
        <v>76</v>
      </c>
      <c r="J466" s="225"/>
      <c r="K466" s="227" t="s">
        <v>217</v>
      </c>
      <c r="L466" s="227"/>
      <c r="M466" s="227" t="s">
        <v>76</v>
      </c>
      <c r="N466" s="225"/>
      <c r="O466" s="302"/>
      <c r="P466" s="225"/>
      <c r="Q466" s="227"/>
      <c r="R466" s="227"/>
      <c r="S466" s="227"/>
      <c r="T466" s="227"/>
      <c r="U466" s="225"/>
      <c r="V466" s="227"/>
      <c r="W466" s="225"/>
      <c r="X466" s="227"/>
      <c r="Y466" s="225"/>
      <c r="Z466" s="227"/>
      <c r="AA466" s="225"/>
      <c r="AB466" s="227"/>
      <c r="AC466" s="225"/>
      <c r="AD466" s="227"/>
      <c r="AE466" s="225"/>
      <c r="AF466" s="225"/>
      <c r="AG466" s="228"/>
      <c r="AH466" s="228"/>
      <c r="AI466" s="228"/>
      <c r="AJ466" s="228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</row>
    <row r="467" hidden="1">
      <c r="A467" s="350" t="s">
        <v>152</v>
      </c>
      <c r="B467" s="358"/>
      <c r="C467" s="359"/>
      <c r="D467" s="358"/>
      <c r="E467" s="358"/>
      <c r="F467" s="359" t="s">
        <v>48</v>
      </c>
      <c r="G467" s="359"/>
      <c r="H467" s="358"/>
      <c r="I467" s="358"/>
      <c r="J467" s="358"/>
      <c r="K467" s="358"/>
      <c r="L467" s="358"/>
      <c r="M467" s="358"/>
      <c r="N467" s="358"/>
      <c r="O467" s="360"/>
      <c r="P467" s="358"/>
      <c r="Q467" s="359"/>
      <c r="R467" s="358"/>
      <c r="S467" s="358"/>
      <c r="T467" s="358"/>
      <c r="U467" s="358"/>
      <c r="V467" s="358"/>
      <c r="W467" s="358"/>
      <c r="X467" s="358"/>
      <c r="Y467" s="358"/>
      <c r="Z467" s="358"/>
      <c r="AA467" s="358"/>
      <c r="AB467" s="358"/>
      <c r="AC467" s="358"/>
      <c r="AD467" s="358"/>
      <c r="AE467" s="358"/>
      <c r="AF467" s="358"/>
      <c r="AG467" s="361"/>
      <c r="AH467" s="361"/>
      <c r="AI467" s="361"/>
      <c r="AJ467" s="361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</row>
    <row r="468" hidden="1">
      <c r="A468" s="350" t="s">
        <v>157</v>
      </c>
      <c r="B468" s="413"/>
      <c r="C468" s="413"/>
      <c r="D468" s="413"/>
      <c r="E468" s="413"/>
      <c r="F468" s="413"/>
      <c r="G468" s="413"/>
      <c r="H468" s="413"/>
      <c r="I468" s="413"/>
      <c r="J468" s="413"/>
      <c r="K468" s="413"/>
      <c r="L468" s="413"/>
      <c r="M468" s="413"/>
      <c r="N468" s="413"/>
      <c r="O468" s="414"/>
      <c r="P468" s="413"/>
      <c r="Q468" s="413"/>
      <c r="R468" s="413"/>
      <c r="S468" s="413"/>
      <c r="T468" s="413"/>
      <c r="U468" s="413"/>
      <c r="V468" s="413" t="s">
        <v>206</v>
      </c>
      <c r="W468" s="413"/>
      <c r="X468" s="413"/>
      <c r="Y468" s="413" t="s">
        <v>162</v>
      </c>
      <c r="Z468" s="413"/>
      <c r="AA468" s="413"/>
      <c r="AB468" s="413"/>
      <c r="AC468" s="413"/>
      <c r="AD468" s="413"/>
      <c r="AE468" s="413"/>
      <c r="AF468" s="413"/>
      <c r="AG468" s="413"/>
      <c r="AH468" s="413"/>
      <c r="AI468" s="413"/>
      <c r="AJ468" s="413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</row>
    <row r="469" hidden="1">
      <c r="A469" s="350"/>
      <c r="B469" s="230"/>
      <c r="C469" s="230"/>
      <c r="D469" s="230"/>
      <c r="E469" s="230"/>
      <c r="F469" s="230"/>
      <c r="G469" s="230"/>
      <c r="H469" s="230"/>
      <c r="I469" s="230"/>
      <c r="J469" s="230"/>
      <c r="K469" s="230"/>
      <c r="L469" s="230"/>
      <c r="M469" s="230"/>
      <c r="N469" s="230"/>
      <c r="O469" s="231"/>
      <c r="P469" s="230"/>
      <c r="Q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2"/>
      <c r="AG469" s="233"/>
      <c r="AH469" s="234"/>
      <c r="AI469" s="234"/>
      <c r="AJ469" s="277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</row>
    <row r="470" hidden="1">
      <c r="A470" s="350" t="s">
        <v>218</v>
      </c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9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40"/>
      <c r="AG470" s="141"/>
      <c r="AH470" s="142"/>
      <c r="AI470" s="142"/>
      <c r="AJ470" s="277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</row>
    <row r="471" hidden="1">
      <c r="A471" s="350" t="s">
        <v>139</v>
      </c>
      <c r="B471" s="366" t="s">
        <v>179</v>
      </c>
      <c r="C471" s="366"/>
      <c r="D471" s="366"/>
      <c r="E471" s="366" t="s">
        <v>179</v>
      </c>
      <c r="F471" s="366" t="s">
        <v>179</v>
      </c>
      <c r="G471" s="366"/>
      <c r="H471" s="366"/>
      <c r="I471" s="366"/>
      <c r="J471" s="366" t="s">
        <v>219</v>
      </c>
      <c r="K471" s="366"/>
      <c r="L471" s="366"/>
      <c r="M471" s="366"/>
      <c r="N471" s="366"/>
      <c r="O471" s="367"/>
      <c r="P471" s="366"/>
      <c r="Q471" s="366"/>
      <c r="R471" s="365"/>
      <c r="S471" s="366"/>
      <c r="T471" s="366"/>
      <c r="U471" s="366"/>
      <c r="V471" s="366"/>
      <c r="W471" s="366"/>
      <c r="X471" s="366"/>
      <c r="Y471" s="366"/>
      <c r="Z471" s="366"/>
      <c r="AA471" s="366"/>
      <c r="AB471" s="366"/>
      <c r="AC471" s="366"/>
      <c r="AD471" s="366"/>
      <c r="AE471" s="366"/>
      <c r="AF471" s="366"/>
      <c r="AG471" s="368"/>
      <c r="AH471" s="368"/>
      <c r="AI471" s="368"/>
      <c r="AJ471" s="368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</row>
    <row r="472" hidden="1">
      <c r="A472" s="350" t="s">
        <v>174</v>
      </c>
      <c r="B472" s="415"/>
      <c r="C472" s="415" t="s">
        <v>130</v>
      </c>
      <c r="D472" s="415" t="s">
        <v>130</v>
      </c>
      <c r="E472" s="415"/>
      <c r="F472" s="415"/>
      <c r="G472" s="415"/>
      <c r="H472" s="415"/>
      <c r="I472" s="415"/>
      <c r="J472" s="415"/>
      <c r="K472" s="415" t="s">
        <v>130</v>
      </c>
      <c r="L472" s="415" t="s">
        <v>130</v>
      </c>
      <c r="M472" s="415"/>
      <c r="N472" s="415"/>
      <c r="O472" s="371" t="s">
        <v>130</v>
      </c>
      <c r="P472" s="416" t="s">
        <v>130</v>
      </c>
      <c r="Q472" s="370"/>
      <c r="R472" s="370"/>
      <c r="S472" s="370"/>
      <c r="T472" s="370"/>
      <c r="U472" s="370"/>
      <c r="V472" s="370"/>
      <c r="W472" s="370"/>
      <c r="X472" s="370"/>
      <c r="Y472" s="370"/>
      <c r="Z472" s="370"/>
      <c r="AA472" s="370"/>
      <c r="AB472" s="370"/>
      <c r="AC472" s="370"/>
      <c r="AD472" s="370"/>
      <c r="AE472" s="370"/>
      <c r="AF472" s="370"/>
      <c r="AG472" s="417"/>
      <c r="AH472" s="417"/>
      <c r="AI472" s="372"/>
      <c r="AJ472" s="372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</row>
    <row r="473" hidden="1">
      <c r="A473" s="350" t="s">
        <v>220</v>
      </c>
      <c r="B473" s="317"/>
      <c r="C473" s="317"/>
      <c r="D473" s="317"/>
      <c r="E473" s="317"/>
      <c r="F473" s="317"/>
      <c r="G473" s="418" t="s">
        <v>130</v>
      </c>
      <c r="H473" s="418" t="s">
        <v>130</v>
      </c>
      <c r="I473" s="418" t="s">
        <v>130</v>
      </c>
      <c r="J473" s="317"/>
      <c r="K473" s="317"/>
      <c r="L473" s="317"/>
      <c r="M473" s="317" t="s">
        <v>130</v>
      </c>
      <c r="N473" s="317" t="s">
        <v>130</v>
      </c>
      <c r="O473" s="319"/>
      <c r="P473" s="317"/>
      <c r="Q473" s="317" t="s">
        <v>130</v>
      </c>
      <c r="R473" s="317" t="s">
        <v>130</v>
      </c>
      <c r="S473" s="317"/>
      <c r="T473" s="317"/>
      <c r="U473" s="317" t="s">
        <v>130</v>
      </c>
      <c r="V473" s="317" t="s">
        <v>130</v>
      </c>
      <c r="W473" s="317" t="s">
        <v>179</v>
      </c>
      <c r="X473" s="317"/>
      <c r="Y473" s="317"/>
      <c r="Z473" s="317" t="s">
        <v>130</v>
      </c>
      <c r="AA473" s="419"/>
      <c r="AB473" s="317"/>
      <c r="AC473" s="317" t="s">
        <v>130</v>
      </c>
      <c r="AD473" s="317"/>
      <c r="AE473" s="317" t="s">
        <v>130</v>
      </c>
      <c r="AF473" s="318"/>
      <c r="AG473" s="320"/>
      <c r="AH473" s="320"/>
      <c r="AI473" s="320"/>
      <c r="AJ473" s="32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</row>
    <row r="474" hidden="1">
      <c r="A474" s="350" t="s">
        <v>221</v>
      </c>
      <c r="B474" s="420"/>
      <c r="C474" s="420"/>
      <c r="D474" s="420"/>
      <c r="E474" s="420"/>
      <c r="F474" s="420"/>
      <c r="G474" s="420"/>
      <c r="H474" s="420"/>
      <c r="I474" s="420"/>
      <c r="J474" s="420"/>
      <c r="K474" s="420"/>
      <c r="L474" s="420"/>
      <c r="M474" s="420"/>
      <c r="N474" s="420"/>
      <c r="O474" s="421"/>
      <c r="P474" s="420"/>
      <c r="Q474" s="420"/>
      <c r="R474" s="420"/>
      <c r="S474" s="422" t="s">
        <v>76</v>
      </c>
      <c r="T474" s="422" t="s">
        <v>76</v>
      </c>
      <c r="U474" s="420"/>
      <c r="V474" s="420"/>
      <c r="W474" s="422"/>
      <c r="X474" s="422" t="s">
        <v>195</v>
      </c>
      <c r="Y474" s="422" t="s">
        <v>195</v>
      </c>
      <c r="Z474" s="420"/>
      <c r="AA474" s="422" t="s">
        <v>222</v>
      </c>
      <c r="AB474" s="422" t="s">
        <v>195</v>
      </c>
      <c r="AC474" s="420"/>
      <c r="AD474" s="422"/>
      <c r="AE474" s="420"/>
      <c r="AF474" s="420"/>
      <c r="AG474" s="423"/>
      <c r="AH474" s="423"/>
      <c r="AI474" s="423"/>
      <c r="AJ474" s="423"/>
      <c r="AK474" s="119"/>
      <c r="AL474" s="119"/>
      <c r="AM474" s="119"/>
      <c r="AN474" s="119"/>
      <c r="AO474" s="119"/>
      <c r="AP474" s="119"/>
      <c r="AQ474" s="119"/>
      <c r="AR474" s="119"/>
      <c r="AS474" s="119"/>
      <c r="AT474" s="119"/>
      <c r="AU474" s="119"/>
      <c r="AV474" s="119"/>
      <c r="AW474" s="119"/>
      <c r="AX474" s="119"/>
      <c r="AY474" s="119"/>
      <c r="AZ474" s="119"/>
      <c r="BA474" s="119"/>
      <c r="BB474" s="119"/>
      <c r="BC474" s="119"/>
      <c r="BD474" s="119"/>
    </row>
    <row r="475" hidden="1">
      <c r="A475" s="350" t="s">
        <v>152</v>
      </c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58"/>
      <c r="N475" s="358"/>
      <c r="O475" s="360"/>
      <c r="P475" s="359" t="s">
        <v>223</v>
      </c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  <c r="AA475" s="358"/>
      <c r="AB475" s="358"/>
      <c r="AC475" s="358"/>
      <c r="AD475" s="359" t="s">
        <v>162</v>
      </c>
      <c r="AE475" s="358"/>
      <c r="AF475" s="358"/>
      <c r="AG475" s="361"/>
      <c r="AH475" s="361"/>
      <c r="AI475" s="361"/>
      <c r="AJ475" s="361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</row>
    <row r="476" hidden="1">
      <c r="A476" s="350"/>
      <c r="B476" s="312"/>
      <c r="C476" s="312"/>
      <c r="D476" s="312"/>
      <c r="E476" s="312"/>
      <c r="F476" s="312"/>
      <c r="G476" s="312"/>
      <c r="H476" s="312"/>
      <c r="I476" s="312"/>
      <c r="J476" s="312"/>
      <c r="K476" s="312"/>
      <c r="L476" s="312"/>
      <c r="M476" s="312"/>
      <c r="N476" s="312"/>
      <c r="O476" s="313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277"/>
      <c r="AH476" s="277"/>
      <c r="AI476" s="277"/>
      <c r="AJ476" s="277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</row>
    <row r="477" hidden="1">
      <c r="A477" s="350" t="s">
        <v>224</v>
      </c>
      <c r="B477" s="138"/>
      <c r="C477" s="138"/>
      <c r="D477" s="138"/>
      <c r="E477" s="138"/>
      <c r="F477" s="138"/>
      <c r="G477" s="138"/>
      <c r="H477" s="138"/>
      <c r="I477" s="138"/>
      <c r="J477" s="138"/>
      <c r="K477" s="276"/>
      <c r="L477" s="276"/>
      <c r="M477" s="276"/>
      <c r="N477" s="138"/>
      <c r="O477" s="139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40"/>
      <c r="AG477" s="141"/>
      <c r="AH477" s="142"/>
      <c r="AI477" s="142"/>
      <c r="AJ477" s="277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</row>
    <row r="478" hidden="1">
      <c r="A478" s="350" t="s">
        <v>65</v>
      </c>
      <c r="B478" s="178"/>
      <c r="C478" s="178"/>
      <c r="D478" s="178"/>
      <c r="E478" s="178" t="s">
        <v>130</v>
      </c>
      <c r="F478" s="178" t="s">
        <v>130</v>
      </c>
      <c r="G478" s="178"/>
      <c r="H478" s="178"/>
      <c r="I478" s="178" t="s">
        <v>130</v>
      </c>
      <c r="J478" s="374" t="s">
        <v>130</v>
      </c>
      <c r="K478" s="178"/>
      <c r="L478" s="178"/>
      <c r="M478" s="375"/>
      <c r="N478" s="375"/>
      <c r="O478" s="424"/>
      <c r="P478" s="178"/>
      <c r="Q478" s="178" t="s">
        <v>130</v>
      </c>
      <c r="R478" s="178" t="s">
        <v>130</v>
      </c>
      <c r="S478" s="178"/>
      <c r="T478" s="178"/>
      <c r="U478" s="178" t="s">
        <v>130</v>
      </c>
      <c r="V478" s="178" t="s">
        <v>130</v>
      </c>
      <c r="W478" s="178"/>
      <c r="X478" s="178"/>
      <c r="Y478" s="178" t="s">
        <v>130</v>
      </c>
      <c r="Z478" s="178" t="s">
        <v>225</v>
      </c>
      <c r="AA478" s="178"/>
      <c r="AB478" s="178"/>
      <c r="AC478" s="178" t="s">
        <v>130</v>
      </c>
      <c r="AD478" s="178" t="s">
        <v>130</v>
      </c>
      <c r="AE478" s="178"/>
      <c r="AF478" s="168"/>
      <c r="AG478" s="170"/>
      <c r="AH478" s="170"/>
      <c r="AI478" s="170"/>
      <c r="AJ478" s="17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</row>
    <row r="479" hidden="1">
      <c r="A479" s="350" t="s">
        <v>146</v>
      </c>
      <c r="B479" s="347" t="s">
        <v>76</v>
      </c>
      <c r="C479" s="347"/>
      <c r="D479" s="347"/>
      <c r="E479" s="347"/>
      <c r="F479" s="347"/>
      <c r="G479" s="347" t="s">
        <v>130</v>
      </c>
      <c r="H479" s="347" t="s">
        <v>130</v>
      </c>
      <c r="I479" s="347"/>
      <c r="J479" s="347"/>
      <c r="K479" s="347" t="s">
        <v>130</v>
      </c>
      <c r="L479" s="347" t="s">
        <v>130</v>
      </c>
      <c r="M479" s="347"/>
      <c r="N479" s="347"/>
      <c r="O479" s="348" t="s">
        <v>130</v>
      </c>
      <c r="P479" s="347" t="s">
        <v>130</v>
      </c>
      <c r="Q479" s="347"/>
      <c r="R479" s="347"/>
      <c r="S479" s="347"/>
      <c r="T479" s="347"/>
      <c r="U479" s="347"/>
      <c r="V479" s="347"/>
      <c r="W479" s="347" t="s">
        <v>130</v>
      </c>
      <c r="X479" s="347" t="s">
        <v>130</v>
      </c>
      <c r="Y479" s="347"/>
      <c r="Z479" s="347" t="s">
        <v>226</v>
      </c>
      <c r="AA479" s="347" t="s">
        <v>130</v>
      </c>
      <c r="AB479" s="347" t="s">
        <v>130</v>
      </c>
      <c r="AC479" s="347"/>
      <c r="AD479" s="347"/>
      <c r="AE479" s="347" t="s">
        <v>130</v>
      </c>
      <c r="AF479" s="346"/>
      <c r="AG479" s="349"/>
      <c r="AH479" s="349"/>
      <c r="AI479" s="349"/>
      <c r="AJ479" s="349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</row>
    <row r="480" hidden="1">
      <c r="A480" s="350"/>
      <c r="B480" s="377"/>
      <c r="C480" s="378"/>
      <c r="D480" s="378"/>
      <c r="E480" s="378"/>
      <c r="F480" s="378"/>
      <c r="G480" s="378"/>
      <c r="H480" s="378"/>
      <c r="I480" s="378"/>
      <c r="J480" s="377"/>
      <c r="K480" s="378"/>
      <c r="L480" s="378"/>
      <c r="M480" s="377"/>
      <c r="N480" s="378"/>
      <c r="O480" s="379"/>
      <c r="P480" s="378"/>
      <c r="Q480" s="377"/>
      <c r="R480" s="378"/>
      <c r="S480" s="378"/>
      <c r="T480" s="378"/>
      <c r="U480" s="377"/>
      <c r="V480" s="378"/>
      <c r="W480" s="378"/>
      <c r="X480" s="378"/>
      <c r="Y480" s="378"/>
      <c r="Z480" s="378"/>
      <c r="AA480" s="378"/>
      <c r="AB480" s="378"/>
      <c r="AC480" s="377"/>
      <c r="AD480" s="378"/>
      <c r="AE480" s="378"/>
      <c r="AF480" s="377"/>
      <c r="AG480" s="380"/>
      <c r="AH480" s="380"/>
      <c r="AI480" s="380"/>
      <c r="AJ480" s="38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</row>
    <row r="481" hidden="1">
      <c r="A481" s="350" t="s">
        <v>152</v>
      </c>
      <c r="B481" s="359"/>
      <c r="C481" s="425" t="s">
        <v>191</v>
      </c>
      <c r="D481" s="425" t="s">
        <v>191</v>
      </c>
      <c r="E481" s="358"/>
      <c r="F481" s="358"/>
      <c r="G481" s="358"/>
      <c r="H481" s="358"/>
      <c r="I481" s="358"/>
      <c r="J481" s="359"/>
      <c r="K481" s="358"/>
      <c r="L481" s="358"/>
      <c r="M481" s="359" t="s">
        <v>195</v>
      </c>
      <c r="N481" s="359" t="s">
        <v>188</v>
      </c>
      <c r="O481" s="360"/>
      <c r="P481" s="358"/>
      <c r="Q481" s="358"/>
      <c r="R481" s="358"/>
      <c r="S481" s="426" t="s">
        <v>188</v>
      </c>
      <c r="T481" s="359" t="s">
        <v>227</v>
      </c>
      <c r="U481" s="358"/>
      <c r="V481" s="358"/>
      <c r="W481" s="358"/>
      <c r="X481" s="358"/>
      <c r="Y481" s="358"/>
      <c r="Z481" s="358"/>
      <c r="AA481" s="358"/>
      <c r="AB481" s="358"/>
      <c r="AC481" s="358"/>
      <c r="AD481" s="358"/>
      <c r="AE481" s="358"/>
      <c r="AF481" s="358"/>
      <c r="AG481" s="361"/>
      <c r="AH481" s="361"/>
      <c r="AI481" s="361"/>
      <c r="AJ481" s="361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</row>
    <row r="482" hidden="1">
      <c r="A482" s="350"/>
      <c r="B482" s="312"/>
      <c r="C482" s="312"/>
      <c r="D482" s="312"/>
      <c r="E482" s="312"/>
      <c r="F482" s="312"/>
      <c r="G482" s="312"/>
      <c r="H482" s="312"/>
      <c r="I482" s="312"/>
      <c r="J482" s="382"/>
      <c r="K482" s="312"/>
      <c r="L482" s="312"/>
      <c r="M482" s="312"/>
      <c r="N482" s="312"/>
      <c r="O482" s="313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277"/>
      <c r="AH482" s="277"/>
      <c r="AI482" s="277"/>
      <c r="AJ482" s="277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</row>
    <row r="483" hidden="1">
      <c r="A483" s="35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9"/>
      <c r="AH483" s="9"/>
      <c r="AI483" s="9"/>
      <c r="AJ483" s="9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</row>
    <row r="484" hidden="1">
      <c r="A484" s="350" t="s">
        <v>185</v>
      </c>
      <c r="B484" s="383"/>
      <c r="C484" s="384"/>
      <c r="D484" s="384"/>
      <c r="E484" s="384"/>
      <c r="F484" s="384" t="s">
        <v>48</v>
      </c>
      <c r="G484" s="384"/>
      <c r="H484" s="384"/>
      <c r="I484" s="384" t="s">
        <v>186</v>
      </c>
      <c r="J484" s="384"/>
      <c r="K484" s="384" t="s">
        <v>188</v>
      </c>
      <c r="L484" s="383"/>
      <c r="M484" s="384"/>
      <c r="N484" s="384"/>
      <c r="O484" s="385"/>
      <c r="P484" s="384"/>
      <c r="Q484" s="383"/>
      <c r="R484" s="384" t="s">
        <v>188</v>
      </c>
      <c r="S484" s="384" t="s">
        <v>188</v>
      </c>
      <c r="T484" s="384"/>
      <c r="U484" s="384"/>
      <c r="V484" s="384" t="s">
        <v>228</v>
      </c>
      <c r="W484" s="384"/>
      <c r="X484" s="384"/>
      <c r="Y484" s="384" t="s">
        <v>188</v>
      </c>
      <c r="Z484" s="383"/>
      <c r="AA484" s="384"/>
      <c r="AB484" s="384"/>
      <c r="AC484" s="384"/>
      <c r="AD484" s="384" t="s">
        <v>188</v>
      </c>
      <c r="AE484" s="384" t="s">
        <v>188</v>
      </c>
      <c r="AF484" s="383"/>
      <c r="AG484" s="386"/>
      <c r="AH484" s="386"/>
      <c r="AI484" s="386"/>
      <c r="AJ484" s="386"/>
      <c r="AK484" s="119"/>
      <c r="AL484" s="119"/>
      <c r="AM484" s="119"/>
      <c r="AN484" s="119"/>
      <c r="AO484" s="119"/>
      <c r="AP484" s="119"/>
      <c r="AQ484" s="119"/>
      <c r="AR484" s="119"/>
      <c r="AS484" s="119"/>
      <c r="AT484" s="119"/>
      <c r="AU484" s="119"/>
      <c r="AV484" s="119"/>
      <c r="AW484" s="119"/>
      <c r="AX484" s="119"/>
      <c r="AY484" s="119"/>
      <c r="AZ484" s="119"/>
      <c r="BA484" s="119"/>
      <c r="BB484" s="119"/>
      <c r="BC484" s="119"/>
      <c r="BD484" s="119"/>
    </row>
    <row r="485" hidden="1">
      <c r="A485" s="35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427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427"/>
      <c r="AG485" s="9"/>
      <c r="AH485" s="277"/>
      <c r="AI485" s="428"/>
      <c r="AJ485" s="428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</row>
    <row r="486" hidden="1">
      <c r="A486" s="35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427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427"/>
      <c r="AG486" s="9"/>
      <c r="AH486" s="277"/>
      <c r="AI486" s="277"/>
      <c r="AJ486" s="277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</row>
    <row r="487" hidden="1">
      <c r="A487" s="35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427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427"/>
      <c r="AG487" s="9"/>
      <c r="AH487" s="9"/>
      <c r="AI487" s="9"/>
      <c r="AJ487" s="9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</row>
    <row r="488">
      <c r="A488" s="350" t="s">
        <v>229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9"/>
      <c r="AH488" s="9"/>
      <c r="AI488" s="9"/>
      <c r="AJ488" s="9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</row>
    <row r="489" hidden="1">
      <c r="A489" s="74"/>
      <c r="B489" s="261" t="s">
        <v>100</v>
      </c>
      <c r="C489" s="261" t="s">
        <v>101</v>
      </c>
      <c r="D489" s="261" t="s">
        <v>102</v>
      </c>
      <c r="E489" s="262" t="s">
        <v>103</v>
      </c>
      <c r="F489" s="261" t="s">
        <v>104</v>
      </c>
      <c r="G489" s="261" t="s">
        <v>105</v>
      </c>
      <c r="H489" s="261" t="s">
        <v>99</v>
      </c>
      <c r="I489" s="261" t="s">
        <v>100</v>
      </c>
      <c r="J489" s="261" t="s">
        <v>101</v>
      </c>
      <c r="K489" s="261" t="s">
        <v>102</v>
      </c>
      <c r="L489" s="262" t="s">
        <v>103</v>
      </c>
      <c r="M489" s="261" t="s">
        <v>104</v>
      </c>
      <c r="N489" s="261" t="s">
        <v>105</v>
      </c>
      <c r="O489" s="263" t="s">
        <v>99</v>
      </c>
      <c r="P489" s="261" t="s">
        <v>100</v>
      </c>
      <c r="Q489" s="261" t="s">
        <v>101</v>
      </c>
      <c r="R489" s="261" t="s">
        <v>102</v>
      </c>
      <c r="S489" s="262" t="s">
        <v>103</v>
      </c>
      <c r="T489" s="261" t="s">
        <v>104</v>
      </c>
      <c r="U489" s="261" t="s">
        <v>105</v>
      </c>
      <c r="V489" s="261" t="s">
        <v>99</v>
      </c>
      <c r="W489" s="261" t="s">
        <v>100</v>
      </c>
      <c r="X489" s="261" t="s">
        <v>101</v>
      </c>
      <c r="Y489" s="261" t="s">
        <v>102</v>
      </c>
      <c r="Z489" s="262" t="s">
        <v>103</v>
      </c>
      <c r="AA489" s="261" t="s">
        <v>104</v>
      </c>
      <c r="AB489" s="261" t="s">
        <v>105</v>
      </c>
      <c r="AC489" s="261" t="s">
        <v>99</v>
      </c>
      <c r="AD489" s="261" t="s">
        <v>100</v>
      </c>
      <c r="AE489" s="261" t="s">
        <v>101</v>
      </c>
      <c r="AF489" s="261"/>
      <c r="AG489" s="261"/>
      <c r="AH489" s="261"/>
      <c r="AI489" s="261"/>
      <c r="AJ489" s="266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</row>
    <row r="490" hidden="1">
      <c r="A490" s="267"/>
      <c r="B490" s="268">
        <v>2.0</v>
      </c>
      <c r="C490" s="268">
        <v>3.0</v>
      </c>
      <c r="D490" s="268">
        <v>4.0</v>
      </c>
      <c r="E490" s="268">
        <v>5.0</v>
      </c>
      <c r="F490" s="268">
        <v>6.0</v>
      </c>
      <c r="G490" s="268">
        <v>7.0</v>
      </c>
      <c r="H490" s="268">
        <v>8.0</v>
      </c>
      <c r="I490" s="268">
        <v>9.0</v>
      </c>
      <c r="J490" s="268">
        <v>10.0</v>
      </c>
      <c r="K490" s="268">
        <v>11.0</v>
      </c>
      <c r="L490" s="268">
        <v>12.0</v>
      </c>
      <c r="M490" s="268">
        <v>13.0</v>
      </c>
      <c r="N490" s="268">
        <v>14.0</v>
      </c>
      <c r="O490" s="269">
        <v>15.0</v>
      </c>
      <c r="P490" s="268">
        <v>16.0</v>
      </c>
      <c r="Q490" s="268">
        <v>17.0</v>
      </c>
      <c r="R490" s="268">
        <v>18.0</v>
      </c>
      <c r="S490" s="268">
        <v>19.0</v>
      </c>
      <c r="T490" s="268">
        <v>20.0</v>
      </c>
      <c r="U490" s="268">
        <v>21.0</v>
      </c>
      <c r="V490" s="268">
        <v>22.0</v>
      </c>
      <c r="W490" s="268">
        <v>23.0</v>
      </c>
      <c r="X490" s="268">
        <v>24.0</v>
      </c>
      <c r="Y490" s="268">
        <v>25.0</v>
      </c>
      <c r="Z490" s="268">
        <v>26.0</v>
      </c>
      <c r="AA490" s="268">
        <v>27.0</v>
      </c>
      <c r="AB490" s="268">
        <v>28.0</v>
      </c>
      <c r="AC490" s="268">
        <v>29.0</v>
      </c>
      <c r="AD490" s="268">
        <v>30.0</v>
      </c>
      <c r="AE490" s="268">
        <v>31.0</v>
      </c>
      <c r="AF490" s="268"/>
      <c r="AG490" s="271" t="s">
        <v>72</v>
      </c>
      <c r="AH490" s="272" t="s">
        <v>73</v>
      </c>
      <c r="AI490" s="272" t="s">
        <v>74</v>
      </c>
      <c r="AJ490" s="273" t="s">
        <v>75</v>
      </c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</row>
    <row r="491" hidden="1">
      <c r="A491" s="274" t="s">
        <v>230</v>
      </c>
      <c r="B491" s="429" t="s">
        <v>231</v>
      </c>
      <c r="C491" s="429" t="s">
        <v>232</v>
      </c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275"/>
      <c r="P491" s="276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40"/>
      <c r="AG491" s="141"/>
      <c r="AH491" s="142"/>
      <c r="AI491" s="142"/>
      <c r="AJ491" s="277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</row>
    <row r="492" hidden="1">
      <c r="A492" s="430" t="s">
        <v>34</v>
      </c>
      <c r="B492" s="431" t="s">
        <v>76</v>
      </c>
      <c r="C492" s="431"/>
      <c r="D492" s="431"/>
      <c r="E492" s="431" t="s">
        <v>76</v>
      </c>
      <c r="F492" s="431"/>
      <c r="G492" s="431"/>
      <c r="H492" s="431"/>
      <c r="I492" s="431" t="s">
        <v>76</v>
      </c>
      <c r="J492" s="431" t="s">
        <v>76</v>
      </c>
      <c r="K492" s="431"/>
      <c r="L492" s="431"/>
      <c r="M492" s="431" t="s">
        <v>76</v>
      </c>
      <c r="N492" s="432" t="s">
        <v>76</v>
      </c>
      <c r="O492" s="433"/>
      <c r="P492" s="431"/>
      <c r="Q492" s="434" t="s">
        <v>76</v>
      </c>
      <c r="R492" s="431"/>
      <c r="S492" s="431" t="s">
        <v>233</v>
      </c>
      <c r="T492" s="431"/>
      <c r="U492" s="431" t="s">
        <v>76</v>
      </c>
      <c r="V492" s="431" t="s">
        <v>76</v>
      </c>
      <c r="W492" s="431"/>
      <c r="X492" s="431"/>
      <c r="Y492" s="431"/>
      <c r="Z492" s="431" t="s">
        <v>76</v>
      </c>
      <c r="AA492" s="431"/>
      <c r="AB492" s="431"/>
      <c r="AC492" s="431" t="s">
        <v>76</v>
      </c>
      <c r="AD492" s="431" t="s">
        <v>234</v>
      </c>
      <c r="AE492" s="431"/>
      <c r="AF492" s="435"/>
      <c r="AG492" s="436"/>
      <c r="AH492" s="436"/>
      <c r="AI492" s="436"/>
      <c r="AJ492" s="436"/>
      <c r="AK492" s="119"/>
      <c r="AL492" s="119"/>
      <c r="AM492" s="119"/>
      <c r="AN492" s="119"/>
      <c r="AO492" s="119"/>
      <c r="AP492" s="119"/>
      <c r="AQ492" s="119"/>
      <c r="AR492" s="119"/>
      <c r="AS492" s="119"/>
      <c r="AT492" s="119"/>
      <c r="AU492" s="119"/>
      <c r="AV492" s="119"/>
      <c r="AW492" s="119"/>
      <c r="AX492" s="119"/>
      <c r="AY492" s="119"/>
      <c r="AZ492" s="119"/>
      <c r="BA492" s="119"/>
      <c r="BB492" s="119"/>
      <c r="BC492" s="119"/>
      <c r="BD492" s="119"/>
    </row>
    <row r="493" ht="40.5" hidden="1" customHeight="1">
      <c r="A493" s="437" t="s">
        <v>235</v>
      </c>
      <c r="B493" s="210"/>
      <c r="C493" s="212"/>
      <c r="D493" s="212"/>
      <c r="E493" s="210"/>
      <c r="F493" s="212"/>
      <c r="G493" s="212"/>
      <c r="H493" s="212"/>
      <c r="I493" s="212"/>
      <c r="J493" s="210"/>
      <c r="K493" s="212"/>
      <c r="L493" s="212"/>
      <c r="M493" s="210"/>
      <c r="N493" s="438"/>
      <c r="O493" s="212"/>
      <c r="P493" s="212"/>
      <c r="Q493" s="439"/>
      <c r="R493" s="212"/>
      <c r="S493" s="212"/>
      <c r="T493" s="212"/>
      <c r="U493" s="210"/>
      <c r="V493" s="210"/>
      <c r="W493" s="212" t="s">
        <v>76</v>
      </c>
      <c r="X493" s="212" t="s">
        <v>76</v>
      </c>
      <c r="Y493" s="212"/>
      <c r="Z493" s="210"/>
      <c r="AA493" s="212" t="s">
        <v>76</v>
      </c>
      <c r="AB493" s="212" t="s">
        <v>76</v>
      </c>
      <c r="AC493" s="210"/>
      <c r="AD493" s="212" t="s">
        <v>236</v>
      </c>
      <c r="AE493" s="212" t="s">
        <v>76</v>
      </c>
      <c r="AF493" s="210"/>
      <c r="AG493" s="210"/>
      <c r="AH493" s="210"/>
      <c r="AI493" s="210"/>
      <c r="AJ493" s="210"/>
      <c r="AK493" s="440"/>
      <c r="AL493" s="440"/>
      <c r="AM493" s="440"/>
      <c r="AN493" s="440"/>
      <c r="AO493" s="440"/>
      <c r="AP493" s="440"/>
      <c r="AQ493" s="440"/>
      <c r="AR493" s="440"/>
      <c r="AS493" s="440"/>
      <c r="AT493" s="440"/>
      <c r="AU493" s="440"/>
      <c r="AV493" s="440"/>
      <c r="AW493" s="440"/>
      <c r="AX493" s="440"/>
      <c r="AY493" s="440"/>
      <c r="AZ493" s="440"/>
      <c r="BA493" s="440"/>
      <c r="BB493" s="440"/>
      <c r="BC493" s="440"/>
      <c r="BD493" s="440"/>
    </row>
    <row r="494" ht="65.25" hidden="1" customHeight="1">
      <c r="A494" s="441" t="s">
        <v>152</v>
      </c>
      <c r="B494" s="397"/>
      <c r="C494" s="398" t="s">
        <v>162</v>
      </c>
      <c r="D494" s="398" t="s">
        <v>162</v>
      </c>
      <c r="E494" s="397"/>
      <c r="F494" s="398" t="s">
        <v>151</v>
      </c>
      <c r="G494" s="398" t="s">
        <v>153</v>
      </c>
      <c r="H494" s="398" t="s">
        <v>153</v>
      </c>
      <c r="I494" s="398"/>
      <c r="J494" s="397"/>
      <c r="K494" s="398" t="s">
        <v>237</v>
      </c>
      <c r="L494" s="398" t="s">
        <v>216</v>
      </c>
      <c r="M494" s="397"/>
      <c r="N494" s="442"/>
      <c r="O494" s="398" t="s">
        <v>216</v>
      </c>
      <c r="P494" s="398" t="s">
        <v>216</v>
      </c>
      <c r="Q494" s="401"/>
      <c r="R494" s="398" t="s">
        <v>151</v>
      </c>
      <c r="S494" s="443" t="s">
        <v>199</v>
      </c>
      <c r="T494" s="398" t="s">
        <v>216</v>
      </c>
      <c r="U494" s="397"/>
      <c r="V494" s="397"/>
      <c r="W494" s="397"/>
      <c r="X494" s="398"/>
      <c r="Y494" s="398" t="s">
        <v>151</v>
      </c>
      <c r="Z494" s="397"/>
      <c r="AA494" s="397"/>
      <c r="AB494" s="398"/>
      <c r="AC494" s="397"/>
      <c r="AD494" s="397"/>
      <c r="AE494" s="397"/>
      <c r="AF494" s="397"/>
      <c r="AG494" s="397"/>
      <c r="AH494" s="397"/>
      <c r="AI494" s="397"/>
      <c r="AJ494" s="397"/>
      <c r="AK494" s="119"/>
      <c r="AL494" s="119"/>
      <c r="AM494" s="119"/>
      <c r="AN494" s="119"/>
      <c r="AO494" s="119"/>
      <c r="AP494" s="119"/>
      <c r="AQ494" s="119"/>
      <c r="AR494" s="119"/>
      <c r="AS494" s="119"/>
      <c r="AT494" s="119"/>
      <c r="AU494" s="119"/>
      <c r="AV494" s="119"/>
      <c r="AW494" s="119"/>
      <c r="AX494" s="119"/>
      <c r="AY494" s="119"/>
      <c r="AZ494" s="119"/>
      <c r="BA494" s="119"/>
      <c r="BB494" s="119"/>
      <c r="BC494" s="119"/>
      <c r="BD494" s="119"/>
    </row>
    <row r="495" hidden="1">
      <c r="A495" s="274" t="s">
        <v>238</v>
      </c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9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40"/>
      <c r="AG495" s="141"/>
      <c r="AH495" s="142"/>
      <c r="AI495" s="142"/>
      <c r="AJ495" s="277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</row>
    <row r="496" hidden="1">
      <c r="A496" s="304" t="s">
        <v>67</v>
      </c>
      <c r="B496" s="159" t="s">
        <v>76</v>
      </c>
      <c r="C496" s="159" t="s">
        <v>76</v>
      </c>
      <c r="D496" s="159"/>
      <c r="E496" s="159"/>
      <c r="F496" s="159" t="s">
        <v>76</v>
      </c>
      <c r="G496" s="159"/>
      <c r="H496" s="159" t="s">
        <v>76</v>
      </c>
      <c r="I496" s="159"/>
      <c r="J496" s="159"/>
      <c r="K496" s="159" t="s">
        <v>76</v>
      </c>
      <c r="L496" s="159" t="s">
        <v>76</v>
      </c>
      <c r="M496" s="159" t="s">
        <v>76</v>
      </c>
      <c r="N496" s="159"/>
      <c r="O496" s="177"/>
      <c r="P496" s="159"/>
      <c r="Q496" s="159" t="s">
        <v>76</v>
      </c>
      <c r="R496" s="159" t="s">
        <v>76</v>
      </c>
      <c r="S496" s="159" t="s">
        <v>76</v>
      </c>
      <c r="T496" s="159"/>
      <c r="U496" s="159"/>
      <c r="V496" s="159" t="s">
        <v>76</v>
      </c>
      <c r="W496" s="159" t="s">
        <v>76</v>
      </c>
      <c r="X496" s="159" t="s">
        <v>76</v>
      </c>
      <c r="Y496" s="159"/>
      <c r="Z496" s="159" t="s">
        <v>76</v>
      </c>
      <c r="AA496" s="159" t="s">
        <v>76</v>
      </c>
      <c r="AB496" s="159" t="s">
        <v>216</v>
      </c>
      <c r="AC496" s="159" t="s">
        <v>216</v>
      </c>
      <c r="AD496" s="159"/>
      <c r="AE496" s="159" t="s">
        <v>76</v>
      </c>
      <c r="AF496" s="158"/>
      <c r="AG496" s="161"/>
      <c r="AH496" s="161"/>
      <c r="AI496" s="161"/>
      <c r="AJ496" s="161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</row>
    <row r="497" hidden="1">
      <c r="A497" s="305" t="s">
        <v>117</v>
      </c>
      <c r="B497" s="241"/>
      <c r="C497" s="241"/>
      <c r="D497" s="241" t="s">
        <v>76</v>
      </c>
      <c r="E497" s="241" t="s">
        <v>76</v>
      </c>
      <c r="F497" s="241"/>
      <c r="G497" s="241"/>
      <c r="H497" s="241"/>
      <c r="I497" s="241" t="s">
        <v>76</v>
      </c>
      <c r="J497" s="241" t="s">
        <v>76</v>
      </c>
      <c r="K497" s="241"/>
      <c r="L497" s="179"/>
      <c r="M497" s="179"/>
      <c r="N497" s="241" t="s">
        <v>76</v>
      </c>
      <c r="O497" s="254" t="s">
        <v>76</v>
      </c>
      <c r="P497" s="241" t="s">
        <v>76</v>
      </c>
      <c r="Q497" s="179"/>
      <c r="R497" s="241"/>
      <c r="S497" s="241"/>
      <c r="T497" s="241" t="s">
        <v>76</v>
      </c>
      <c r="U497" s="241" t="s">
        <v>76</v>
      </c>
      <c r="V497" s="241"/>
      <c r="W497" s="241"/>
      <c r="X497" s="179"/>
      <c r="Y497" s="241" t="s">
        <v>76</v>
      </c>
      <c r="Z497" s="241"/>
      <c r="AA497" s="241"/>
      <c r="AB497" s="241"/>
      <c r="AC497" s="241"/>
      <c r="AD497" s="241" t="s">
        <v>76</v>
      </c>
      <c r="AE497" s="241"/>
      <c r="AF497" s="179"/>
      <c r="AG497" s="181"/>
      <c r="AH497" s="181"/>
      <c r="AI497" s="181"/>
      <c r="AJ497" s="181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</row>
    <row r="498" hidden="1">
      <c r="A498" s="444" t="s">
        <v>152</v>
      </c>
      <c r="B498" s="227"/>
      <c r="C498" s="227"/>
      <c r="D498" s="227"/>
      <c r="E498" s="227"/>
      <c r="F498" s="225"/>
      <c r="G498" s="405" t="s">
        <v>162</v>
      </c>
      <c r="H498" s="227"/>
      <c r="I498" s="227"/>
      <c r="J498" s="225"/>
      <c r="K498" s="225"/>
      <c r="L498" s="227"/>
      <c r="M498" s="227"/>
      <c r="N498" s="225"/>
      <c r="O498" s="226"/>
      <c r="P498" s="227"/>
      <c r="Q498" s="227"/>
      <c r="R498" s="225"/>
      <c r="S498" s="225"/>
      <c r="T498" s="227"/>
      <c r="U498" s="227"/>
      <c r="V498" s="225"/>
      <c r="W498" s="225"/>
      <c r="X498" s="227"/>
      <c r="Y498" s="227"/>
      <c r="Z498" s="225"/>
      <c r="AA498" s="225"/>
      <c r="AB498" s="225"/>
      <c r="AC498" s="225"/>
      <c r="AD498" s="225"/>
      <c r="AE498" s="225"/>
      <c r="AF498" s="225"/>
      <c r="AG498" s="228"/>
      <c r="AH498" s="228"/>
      <c r="AI498" s="228"/>
      <c r="AJ498" s="228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</row>
    <row r="499" hidden="1">
      <c r="A499" s="445"/>
      <c r="B499" s="407"/>
      <c r="C499" s="407"/>
      <c r="D499" s="407"/>
      <c r="E499" s="407"/>
      <c r="F499" s="407"/>
      <c r="G499" s="407"/>
      <c r="H499" s="407"/>
      <c r="I499" s="407"/>
      <c r="J499" s="407"/>
      <c r="K499" s="407"/>
      <c r="L499" s="407"/>
      <c r="M499" s="407"/>
      <c r="N499" s="407"/>
      <c r="O499" s="446"/>
      <c r="P499" s="407"/>
      <c r="Q499" s="407"/>
      <c r="R499" s="407"/>
      <c r="S499" s="447"/>
      <c r="T499" s="407"/>
      <c r="U499" s="407"/>
      <c r="V499" s="407"/>
      <c r="W499" s="407"/>
      <c r="X499" s="407"/>
      <c r="Y499" s="407"/>
      <c r="Z499" s="407"/>
      <c r="AA499" s="407"/>
      <c r="AB499" s="407"/>
      <c r="AC499" s="407"/>
      <c r="AD499" s="407"/>
      <c r="AE499" s="407"/>
      <c r="AF499" s="407"/>
      <c r="AG499" s="410"/>
      <c r="AH499" s="410"/>
      <c r="AI499" s="410"/>
      <c r="AJ499" s="4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</row>
    <row r="500" hidden="1">
      <c r="A500" s="30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9"/>
      <c r="P500" s="138"/>
      <c r="Q500" s="138"/>
      <c r="R500" s="138"/>
      <c r="S500" s="4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40"/>
      <c r="AG500" s="141"/>
      <c r="AH500" s="142"/>
      <c r="AI500" s="142"/>
      <c r="AJ500" s="277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</row>
    <row r="501" hidden="1">
      <c r="A501" s="274" t="s">
        <v>239</v>
      </c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9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40"/>
      <c r="AG501" s="141"/>
      <c r="AH501" s="142"/>
      <c r="AI501" s="142"/>
      <c r="AJ501" s="277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</row>
    <row r="502" hidden="1">
      <c r="A502" s="309" t="s">
        <v>31</v>
      </c>
      <c r="B502" s="183" t="s">
        <v>76</v>
      </c>
      <c r="C502" s="183"/>
      <c r="D502" s="183"/>
      <c r="E502" s="183" t="s">
        <v>76</v>
      </c>
      <c r="F502" s="183" t="s">
        <v>76</v>
      </c>
      <c r="G502" s="183"/>
      <c r="H502" s="183"/>
      <c r="I502" s="183" t="s">
        <v>76</v>
      </c>
      <c r="J502" s="183"/>
      <c r="K502" s="183"/>
      <c r="L502" s="183"/>
      <c r="M502" s="183" t="s">
        <v>76</v>
      </c>
      <c r="N502" s="183" t="s">
        <v>76</v>
      </c>
      <c r="O502" s="184"/>
      <c r="P502" s="183"/>
      <c r="Q502" s="183" t="s">
        <v>76</v>
      </c>
      <c r="R502" s="183" t="s">
        <v>76</v>
      </c>
      <c r="S502" s="183"/>
      <c r="T502" s="183"/>
      <c r="U502" s="183" t="s">
        <v>76</v>
      </c>
      <c r="V502" s="183" t="s">
        <v>76</v>
      </c>
      <c r="W502" s="183"/>
      <c r="X502" s="183"/>
      <c r="Y502" s="183" t="s">
        <v>76</v>
      </c>
      <c r="Z502" s="183" t="s">
        <v>76</v>
      </c>
      <c r="AA502" s="183"/>
      <c r="AB502" s="183"/>
      <c r="AC502" s="183" t="s">
        <v>76</v>
      </c>
      <c r="AD502" s="183" t="s">
        <v>76</v>
      </c>
      <c r="AE502" s="183"/>
      <c r="AF502" s="185"/>
      <c r="AG502" s="186"/>
      <c r="AH502" s="186"/>
      <c r="AI502" s="186"/>
      <c r="AJ502" s="186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</row>
    <row r="503" hidden="1">
      <c r="A503" s="307" t="s">
        <v>240</v>
      </c>
      <c r="B503" s="227"/>
      <c r="C503" s="227" t="s">
        <v>76</v>
      </c>
      <c r="D503" s="227" t="s">
        <v>76</v>
      </c>
      <c r="E503" s="225"/>
      <c r="F503" s="225"/>
      <c r="G503" s="227" t="s">
        <v>76</v>
      </c>
      <c r="H503" s="227" t="s">
        <v>76</v>
      </c>
      <c r="I503" s="225"/>
      <c r="J503" s="225"/>
      <c r="K503" s="227" t="s">
        <v>76</v>
      </c>
      <c r="L503" s="227" t="s">
        <v>76</v>
      </c>
      <c r="M503" s="225"/>
      <c r="N503" s="225"/>
      <c r="O503" s="302" t="s">
        <v>76</v>
      </c>
      <c r="P503" s="227" t="s">
        <v>206</v>
      </c>
      <c r="Q503" s="225"/>
      <c r="R503" s="227"/>
      <c r="S503" s="227" t="s">
        <v>76</v>
      </c>
      <c r="T503" s="227" t="s">
        <v>76</v>
      </c>
      <c r="U503" s="225"/>
      <c r="V503" s="227"/>
      <c r="W503" s="227" t="s">
        <v>76</v>
      </c>
      <c r="X503" s="227" t="s">
        <v>76</v>
      </c>
      <c r="Y503" s="227"/>
      <c r="Z503" s="227"/>
      <c r="AA503" s="227" t="s">
        <v>76</v>
      </c>
      <c r="AB503" s="227" t="s">
        <v>76</v>
      </c>
      <c r="AC503" s="227"/>
      <c r="AD503" s="227"/>
      <c r="AE503" s="227" t="s">
        <v>76</v>
      </c>
      <c r="AF503" s="225"/>
      <c r="AG503" s="228"/>
      <c r="AH503" s="228"/>
      <c r="AI503" s="228"/>
      <c r="AJ503" s="228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</row>
    <row r="504" hidden="1">
      <c r="A504" s="448" t="s">
        <v>152</v>
      </c>
      <c r="B504" s="358"/>
      <c r="C504" s="359"/>
      <c r="D504" s="358"/>
      <c r="E504" s="358"/>
      <c r="F504" s="358"/>
      <c r="G504" s="359"/>
      <c r="H504" s="358"/>
      <c r="I504" s="358"/>
      <c r="J504" s="359" t="s">
        <v>241</v>
      </c>
      <c r="K504" s="358"/>
      <c r="L504" s="358"/>
      <c r="M504" s="358"/>
      <c r="N504" s="358"/>
      <c r="O504" s="360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  <c r="AA504" s="358"/>
      <c r="AB504" s="358"/>
      <c r="AC504" s="358"/>
      <c r="AD504" s="358"/>
      <c r="AE504" s="358"/>
      <c r="AF504" s="358"/>
      <c r="AG504" s="361"/>
      <c r="AH504" s="361"/>
      <c r="AI504" s="361"/>
      <c r="AJ504" s="361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</row>
    <row r="505" hidden="1">
      <c r="A505" s="445"/>
      <c r="B505" s="413"/>
      <c r="C505" s="413"/>
      <c r="D505" s="413"/>
      <c r="E505" s="413"/>
      <c r="F505" s="413"/>
      <c r="G505" s="413"/>
      <c r="H505" s="413"/>
      <c r="I505" s="413"/>
      <c r="J505" s="413"/>
      <c r="K505" s="413"/>
      <c r="L505" s="413"/>
      <c r="M505" s="413"/>
      <c r="N505" s="413"/>
      <c r="O505" s="414"/>
      <c r="P505" s="413"/>
      <c r="Q505" s="413"/>
      <c r="R505" s="413"/>
      <c r="S505" s="413"/>
      <c r="T505" s="413"/>
      <c r="U505" s="413"/>
      <c r="V505" s="413"/>
      <c r="W505" s="413"/>
      <c r="X505" s="413"/>
      <c r="Y505" s="413"/>
      <c r="Z505" s="413"/>
      <c r="AA505" s="413"/>
      <c r="AB505" s="413"/>
      <c r="AC505" s="413"/>
      <c r="AD505" s="413"/>
      <c r="AE505" s="413"/>
      <c r="AF505" s="413"/>
      <c r="AG505" s="413"/>
      <c r="AH505" s="413"/>
      <c r="AI505" s="413"/>
      <c r="AJ505" s="413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</row>
    <row r="506" hidden="1">
      <c r="A506" s="315"/>
      <c r="B506" s="230"/>
      <c r="C506" s="230"/>
      <c r="D506" s="230"/>
      <c r="E506" s="230"/>
      <c r="F506" s="230"/>
      <c r="G506" s="230"/>
      <c r="H506" s="230"/>
      <c r="I506" s="230"/>
      <c r="J506" s="230"/>
      <c r="K506" s="230"/>
      <c r="L506" s="230"/>
      <c r="M506" s="230"/>
      <c r="N506" s="230"/>
      <c r="O506" s="231"/>
      <c r="P506" s="230"/>
      <c r="Q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2"/>
      <c r="AG506" s="233"/>
      <c r="AH506" s="234"/>
      <c r="AI506" s="234"/>
      <c r="AJ506" s="277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</row>
    <row r="507" hidden="1">
      <c r="A507" s="274" t="s">
        <v>242</v>
      </c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449"/>
      <c r="O507" s="139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40"/>
      <c r="AG507" s="141"/>
      <c r="AH507" s="142"/>
      <c r="AI507" s="142"/>
      <c r="AJ507" s="277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</row>
    <row r="508" hidden="1">
      <c r="A508" s="450" t="s">
        <v>220</v>
      </c>
      <c r="B508" s="451"/>
      <c r="C508" s="451" t="s">
        <v>130</v>
      </c>
      <c r="D508" s="451"/>
      <c r="E508" s="451"/>
      <c r="F508" s="451"/>
      <c r="G508" s="451" t="s">
        <v>130</v>
      </c>
      <c r="H508" s="451"/>
      <c r="I508" s="451"/>
      <c r="J508" s="451" t="s">
        <v>130</v>
      </c>
      <c r="K508" s="451"/>
      <c r="L508" s="451" t="s">
        <v>130</v>
      </c>
      <c r="M508" s="451"/>
      <c r="N508" s="451"/>
      <c r="O508" s="452"/>
      <c r="P508" s="451" t="s">
        <v>130</v>
      </c>
      <c r="Q508" s="451" t="s">
        <v>130</v>
      </c>
      <c r="R508" s="453"/>
      <c r="S508" s="451"/>
      <c r="T508" s="451" t="s">
        <v>130</v>
      </c>
      <c r="U508" s="451" t="s">
        <v>130</v>
      </c>
      <c r="V508" s="451"/>
      <c r="W508" s="451"/>
      <c r="X508" s="451" t="s">
        <v>130</v>
      </c>
      <c r="Y508" s="451" t="s">
        <v>130</v>
      </c>
      <c r="Z508" s="451"/>
      <c r="AA508" s="451"/>
      <c r="AB508" s="451" t="s">
        <v>130</v>
      </c>
      <c r="AC508" s="451" t="s">
        <v>130</v>
      </c>
      <c r="AD508" s="451"/>
      <c r="AE508" s="451"/>
      <c r="AF508" s="451"/>
      <c r="AG508" s="454"/>
      <c r="AH508" s="454"/>
      <c r="AI508" s="454"/>
      <c r="AJ508" s="454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</row>
    <row r="509" hidden="1">
      <c r="A509" s="455" t="s">
        <v>195</v>
      </c>
      <c r="B509" s="370"/>
      <c r="C509" s="370"/>
      <c r="D509" s="370" t="s">
        <v>130</v>
      </c>
      <c r="E509" s="370" t="s">
        <v>243</v>
      </c>
      <c r="F509" s="370"/>
      <c r="G509" s="370"/>
      <c r="H509" s="370" t="s">
        <v>130</v>
      </c>
      <c r="I509" s="370" t="s">
        <v>130</v>
      </c>
      <c r="J509" s="370"/>
      <c r="K509" s="370"/>
      <c r="L509" s="370"/>
      <c r="M509" s="370" t="s">
        <v>130</v>
      </c>
      <c r="N509" s="370" t="s">
        <v>130</v>
      </c>
      <c r="O509" s="371" t="s">
        <v>130</v>
      </c>
      <c r="P509" s="370"/>
      <c r="Q509" s="370"/>
      <c r="R509" s="370" t="s">
        <v>130</v>
      </c>
      <c r="S509" s="370" t="s">
        <v>130</v>
      </c>
      <c r="T509" s="370"/>
      <c r="U509" s="370"/>
      <c r="V509" s="370" t="s">
        <v>130</v>
      </c>
      <c r="W509" s="370" t="s">
        <v>130</v>
      </c>
      <c r="X509" s="370"/>
      <c r="Y509" s="370"/>
      <c r="Z509" s="370" t="s">
        <v>130</v>
      </c>
      <c r="AA509" s="370" t="s">
        <v>130</v>
      </c>
      <c r="AB509" s="370"/>
      <c r="AC509" s="370"/>
      <c r="AD509" s="370" t="s">
        <v>216</v>
      </c>
      <c r="AE509" s="370" t="s">
        <v>130</v>
      </c>
      <c r="AF509" s="370"/>
      <c r="AG509" s="372"/>
      <c r="AH509" s="372"/>
      <c r="AI509" s="372"/>
      <c r="AJ509" s="372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</row>
    <row r="510" hidden="1">
      <c r="A510" s="316"/>
      <c r="B510" s="317" t="s">
        <v>237</v>
      </c>
      <c r="C510" s="317"/>
      <c r="D510" s="317"/>
      <c r="E510" s="317" t="s">
        <v>244</v>
      </c>
      <c r="F510" s="317" t="s">
        <v>237</v>
      </c>
      <c r="G510" s="317"/>
      <c r="H510" s="318"/>
      <c r="I510" s="317"/>
      <c r="J510" s="317"/>
      <c r="K510" s="317" t="s">
        <v>162</v>
      </c>
      <c r="L510" s="317"/>
      <c r="M510" s="317"/>
      <c r="N510" s="317"/>
      <c r="O510" s="319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  <c r="AF510" s="318"/>
      <c r="AG510" s="320"/>
      <c r="AH510" s="320"/>
      <c r="AI510" s="320"/>
      <c r="AJ510" s="32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</row>
    <row r="511" hidden="1">
      <c r="A511" s="448" t="s">
        <v>152</v>
      </c>
      <c r="B511" s="358"/>
      <c r="C511" s="358"/>
      <c r="D511" s="358"/>
      <c r="E511" s="358"/>
      <c r="F511" s="359"/>
      <c r="G511" s="358"/>
      <c r="H511" s="358"/>
      <c r="I511" s="358"/>
      <c r="J511" s="358"/>
      <c r="K511" s="358"/>
      <c r="L511" s="358"/>
      <c r="M511" s="358"/>
      <c r="N511" s="358"/>
      <c r="O511" s="360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  <c r="AA511" s="358"/>
      <c r="AB511" s="358"/>
      <c r="AC511" s="358"/>
      <c r="AD511" s="358"/>
      <c r="AE511" s="359"/>
      <c r="AF511" s="358"/>
      <c r="AG511" s="361"/>
      <c r="AH511" s="361"/>
      <c r="AI511" s="361"/>
      <c r="AJ511" s="361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</row>
    <row r="512" hidden="1">
      <c r="A512" s="274"/>
      <c r="B512" s="312"/>
      <c r="C512" s="312"/>
      <c r="D512" s="312"/>
      <c r="E512" s="312"/>
      <c r="F512" s="312"/>
      <c r="G512" s="312"/>
      <c r="H512" s="312"/>
      <c r="I512" s="312"/>
      <c r="J512" s="312"/>
      <c r="K512" s="312"/>
      <c r="L512" s="312"/>
      <c r="M512" s="312"/>
      <c r="N512" s="312"/>
      <c r="O512" s="313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277"/>
      <c r="AH512" s="277"/>
      <c r="AI512" s="277"/>
      <c r="AJ512" s="277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</row>
    <row r="513" hidden="1">
      <c r="A513" s="274" t="s">
        <v>245</v>
      </c>
      <c r="B513" s="138"/>
      <c r="C513" s="138"/>
      <c r="D513" s="138"/>
      <c r="E513" s="138"/>
      <c r="F513" s="138"/>
      <c r="G513" s="138"/>
      <c r="H513" s="138"/>
      <c r="I513" s="138"/>
      <c r="J513" s="138"/>
      <c r="K513" s="276"/>
      <c r="L513" s="276"/>
      <c r="M513" s="276"/>
      <c r="N513" s="138"/>
      <c r="O513" s="139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40"/>
      <c r="AG513" s="141"/>
      <c r="AH513" s="142"/>
      <c r="AI513" s="142"/>
      <c r="AJ513" s="277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</row>
    <row r="514" hidden="1">
      <c r="A514" s="456" t="s">
        <v>65</v>
      </c>
      <c r="B514" s="178"/>
      <c r="C514" s="178"/>
      <c r="D514" s="178"/>
      <c r="E514" s="178"/>
      <c r="F514" s="178" t="s">
        <v>76</v>
      </c>
      <c r="G514" s="178" t="s">
        <v>76</v>
      </c>
      <c r="H514" s="168"/>
      <c r="I514" s="178"/>
      <c r="J514" s="374" t="s">
        <v>76</v>
      </c>
      <c r="K514" s="343" t="s">
        <v>246</v>
      </c>
      <c r="L514" s="168"/>
      <c r="M514" s="375"/>
      <c r="N514" s="375"/>
      <c r="O514" s="424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68"/>
      <c r="AG514" s="170"/>
      <c r="AH514" s="170"/>
      <c r="AI514" s="170"/>
      <c r="AJ514" s="17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</row>
    <row r="515" hidden="1">
      <c r="A515" s="345" t="s">
        <v>146</v>
      </c>
      <c r="B515" s="347"/>
      <c r="C515" s="347"/>
      <c r="D515" s="347" t="s">
        <v>76</v>
      </c>
      <c r="E515" s="347" t="s">
        <v>76</v>
      </c>
      <c r="F515" s="346"/>
      <c r="G515" s="347"/>
      <c r="H515" s="347"/>
      <c r="I515" s="347"/>
      <c r="J515" s="347"/>
      <c r="K515" s="347"/>
      <c r="L515" s="347" t="s">
        <v>76</v>
      </c>
      <c r="M515" s="347" t="s">
        <v>76</v>
      </c>
      <c r="N515" s="347"/>
      <c r="O515" s="348" t="s">
        <v>76</v>
      </c>
      <c r="P515" s="347" t="s">
        <v>76</v>
      </c>
      <c r="Q515" s="347" t="s">
        <v>247</v>
      </c>
      <c r="R515" s="347"/>
      <c r="S515" s="347" t="s">
        <v>76</v>
      </c>
      <c r="T515" s="347" t="s">
        <v>76</v>
      </c>
      <c r="U515" s="347"/>
      <c r="V515" s="347"/>
      <c r="W515" s="347" t="s">
        <v>76</v>
      </c>
      <c r="X515" s="347" t="s">
        <v>76</v>
      </c>
      <c r="Y515" s="347"/>
      <c r="Z515" s="347"/>
      <c r="AA515" s="347" t="s">
        <v>76</v>
      </c>
      <c r="AB515" s="347" t="s">
        <v>76</v>
      </c>
      <c r="AC515" s="347"/>
      <c r="AD515" s="347"/>
      <c r="AE515" s="347" t="s">
        <v>76</v>
      </c>
      <c r="AF515" s="346"/>
      <c r="AG515" s="349"/>
      <c r="AH515" s="349"/>
      <c r="AI515" s="349"/>
      <c r="AJ515" s="349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</row>
    <row r="516" hidden="1">
      <c r="A516" s="457" t="s">
        <v>248</v>
      </c>
      <c r="B516" s="377"/>
      <c r="C516" s="378"/>
      <c r="D516" s="378"/>
      <c r="E516" s="378"/>
      <c r="F516" s="378"/>
      <c r="G516" s="378"/>
      <c r="H516" s="378"/>
      <c r="I516" s="378"/>
      <c r="J516" s="377"/>
      <c r="K516" s="378"/>
      <c r="L516" s="378"/>
      <c r="M516" s="377"/>
      <c r="N516" s="378"/>
      <c r="O516" s="379"/>
      <c r="P516" s="378"/>
      <c r="Q516" s="378" t="s">
        <v>130</v>
      </c>
      <c r="R516" s="378" t="s">
        <v>130</v>
      </c>
      <c r="S516" s="378"/>
      <c r="T516" s="378"/>
      <c r="U516" s="378" t="s">
        <v>130</v>
      </c>
      <c r="V516" s="378" t="s">
        <v>130</v>
      </c>
      <c r="W516" s="378"/>
      <c r="X516" s="378"/>
      <c r="Y516" s="378" t="s">
        <v>130</v>
      </c>
      <c r="Z516" s="378" t="s">
        <v>249</v>
      </c>
      <c r="AA516" s="378"/>
      <c r="AB516" s="378"/>
      <c r="AC516" s="378" t="s">
        <v>130</v>
      </c>
      <c r="AD516" s="378" t="s">
        <v>130</v>
      </c>
      <c r="AE516" s="378"/>
      <c r="AF516" s="377"/>
      <c r="AG516" s="380"/>
      <c r="AH516" s="380"/>
      <c r="AI516" s="380"/>
      <c r="AJ516" s="38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</row>
    <row r="517" hidden="1">
      <c r="A517" s="448" t="s">
        <v>152</v>
      </c>
      <c r="B517" s="359" t="s">
        <v>201</v>
      </c>
      <c r="C517" s="359" t="s">
        <v>237</v>
      </c>
      <c r="D517" s="358"/>
      <c r="E517" s="358"/>
      <c r="F517" s="358"/>
      <c r="G517" s="358"/>
      <c r="H517" s="359" t="s">
        <v>216</v>
      </c>
      <c r="I517" s="359" t="s">
        <v>216</v>
      </c>
      <c r="J517" s="359"/>
      <c r="K517" s="358"/>
      <c r="L517" s="358"/>
      <c r="M517" s="358"/>
      <c r="N517" s="359" t="s">
        <v>216</v>
      </c>
      <c r="O517" s="360"/>
      <c r="P517" s="358"/>
      <c r="Q517" s="359"/>
      <c r="R517" s="359"/>
      <c r="S517" s="358"/>
      <c r="T517" s="358"/>
      <c r="U517" s="358"/>
      <c r="V517" s="359"/>
      <c r="W517" s="358"/>
      <c r="X517" s="358"/>
      <c r="Y517" s="358"/>
      <c r="Z517" s="359"/>
      <c r="AA517" s="358"/>
      <c r="AB517" s="358"/>
      <c r="AC517" s="358"/>
      <c r="AD517" s="359"/>
      <c r="AE517" s="358"/>
      <c r="AF517" s="358"/>
      <c r="AG517" s="361"/>
      <c r="AH517" s="361"/>
      <c r="AI517" s="361"/>
      <c r="AJ517" s="361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</row>
    <row r="518" hidden="1">
      <c r="A518" s="267"/>
      <c r="B518" s="312"/>
      <c r="C518" s="312"/>
      <c r="D518" s="312"/>
      <c r="E518" s="312"/>
      <c r="F518" s="312"/>
      <c r="G518" s="312"/>
      <c r="H518" s="312"/>
      <c r="I518" s="312"/>
      <c r="J518" s="382"/>
      <c r="K518" s="312"/>
      <c r="L518" s="312"/>
      <c r="M518" s="312"/>
      <c r="N518" s="312"/>
      <c r="O518" s="313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277"/>
      <c r="AH518" s="277"/>
      <c r="AI518" s="277"/>
      <c r="AJ518" s="277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</row>
    <row r="519" hidden="1">
      <c r="A519" s="6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9"/>
      <c r="AH519" s="9"/>
      <c r="AI519" s="9"/>
      <c r="AJ519" s="9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</row>
    <row r="520" hidden="1">
      <c r="A520" s="458" t="s">
        <v>185</v>
      </c>
      <c r="B520" s="459"/>
      <c r="C520" s="460"/>
      <c r="D520" s="459" t="s">
        <v>237</v>
      </c>
      <c r="E520" s="459" t="s">
        <v>237</v>
      </c>
      <c r="F520" s="459"/>
      <c r="G520" s="460"/>
      <c r="H520" s="460"/>
      <c r="I520" s="460"/>
      <c r="J520" s="460"/>
      <c r="K520" s="459" t="s">
        <v>162</v>
      </c>
      <c r="L520" s="460"/>
      <c r="M520" s="460"/>
      <c r="N520" s="459"/>
      <c r="O520" s="461"/>
      <c r="P520" s="459"/>
      <c r="Q520" s="459"/>
      <c r="R520" s="460"/>
      <c r="S520" s="459"/>
      <c r="T520" s="459"/>
      <c r="U520" s="460"/>
      <c r="V520" s="459"/>
      <c r="W520" s="460"/>
      <c r="X520" s="460"/>
      <c r="Y520" s="459" t="s">
        <v>216</v>
      </c>
      <c r="Z520" s="459" t="s">
        <v>237</v>
      </c>
      <c r="AA520" s="459" t="s">
        <v>237</v>
      </c>
      <c r="AB520" s="459" t="s">
        <v>216</v>
      </c>
      <c r="AC520" s="459" t="s">
        <v>237</v>
      </c>
      <c r="AD520" s="459"/>
      <c r="AE520" s="460"/>
      <c r="AF520" s="460"/>
      <c r="AG520" s="460"/>
      <c r="AH520" s="460"/>
      <c r="AI520" s="460"/>
      <c r="AJ520" s="46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</row>
    <row r="521" ht="81.0" hidden="1" customHeight="1">
      <c r="A521" s="60"/>
      <c r="B521" s="2"/>
      <c r="C521" s="2"/>
      <c r="D521" s="2"/>
      <c r="E521" s="2"/>
      <c r="F521" s="2"/>
      <c r="G521" s="2"/>
      <c r="H521" s="2"/>
      <c r="I521" s="2"/>
      <c r="J521" s="2"/>
      <c r="K521" s="54"/>
      <c r="L521" s="462"/>
      <c r="M521" s="2"/>
      <c r="N521" s="2"/>
      <c r="O521" s="3"/>
      <c r="P521" s="427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427"/>
      <c r="AG521" s="9"/>
      <c r="AH521" s="9"/>
      <c r="AI521" s="9"/>
      <c r="AJ521" s="9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</row>
    <row r="522" hidden="1">
      <c r="A522" s="6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427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427"/>
      <c r="AG522" s="9"/>
      <c r="AH522" s="9"/>
      <c r="AI522" s="9"/>
      <c r="AJ522" s="9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</row>
    <row r="523" hidden="1">
      <c r="A523" s="6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427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427"/>
      <c r="AG523" s="9"/>
      <c r="AH523" s="9"/>
      <c r="AI523" s="9"/>
      <c r="AJ523" s="9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</row>
    <row r="524">
      <c r="A524" s="350" t="s">
        <v>250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9"/>
      <c r="AH524" s="9"/>
      <c r="AI524" s="9"/>
      <c r="AJ524" s="9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</row>
    <row r="525" hidden="1">
      <c r="A525" s="74"/>
      <c r="B525" s="261" t="s">
        <v>102</v>
      </c>
      <c r="C525" s="262" t="s">
        <v>103</v>
      </c>
      <c r="D525" s="261" t="s">
        <v>104</v>
      </c>
      <c r="E525" s="261" t="s">
        <v>105</v>
      </c>
      <c r="F525" s="261" t="s">
        <v>99</v>
      </c>
      <c r="G525" s="261" t="s">
        <v>100</v>
      </c>
      <c r="H525" s="261" t="s">
        <v>101</v>
      </c>
      <c r="I525" s="261" t="s">
        <v>102</v>
      </c>
      <c r="J525" s="262" t="s">
        <v>103</v>
      </c>
      <c r="K525" s="261" t="s">
        <v>104</v>
      </c>
      <c r="L525" s="261" t="s">
        <v>105</v>
      </c>
      <c r="M525" s="263" t="s">
        <v>99</v>
      </c>
      <c r="N525" s="261" t="s">
        <v>100</v>
      </c>
      <c r="O525" s="261" t="s">
        <v>101</v>
      </c>
      <c r="P525" s="261" t="s">
        <v>102</v>
      </c>
      <c r="Q525" s="262" t="s">
        <v>103</v>
      </c>
      <c r="R525" s="261" t="s">
        <v>104</v>
      </c>
      <c r="S525" s="261" t="s">
        <v>105</v>
      </c>
      <c r="T525" s="261" t="s">
        <v>99</v>
      </c>
      <c r="U525" s="261" t="s">
        <v>100</v>
      </c>
      <c r="V525" s="261" t="s">
        <v>101</v>
      </c>
      <c r="W525" s="261" t="s">
        <v>102</v>
      </c>
      <c r="X525" s="262" t="s">
        <v>103</v>
      </c>
      <c r="Y525" s="261" t="s">
        <v>104</v>
      </c>
      <c r="Z525" s="261" t="s">
        <v>105</v>
      </c>
      <c r="AA525" s="261" t="s">
        <v>99</v>
      </c>
      <c r="AB525" s="261" t="s">
        <v>100</v>
      </c>
      <c r="AC525" s="261" t="s">
        <v>101</v>
      </c>
      <c r="AD525" s="261"/>
      <c r="AE525" s="261"/>
      <c r="AF525" s="261"/>
      <c r="AG525" s="261"/>
      <c r="AH525" s="266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idden="1">
      <c r="A526" s="267"/>
      <c r="B526" s="268">
        <v>1.0</v>
      </c>
      <c r="C526" s="268">
        <v>2.0</v>
      </c>
      <c r="D526" s="268">
        <v>3.0</v>
      </c>
      <c r="E526" s="268">
        <v>4.0</v>
      </c>
      <c r="F526" s="268">
        <v>5.0</v>
      </c>
      <c r="G526" s="268">
        <v>6.0</v>
      </c>
      <c r="H526" s="268">
        <v>7.0</v>
      </c>
      <c r="I526" s="268">
        <v>8.0</v>
      </c>
      <c r="J526" s="268">
        <v>9.0</v>
      </c>
      <c r="K526" s="268">
        <v>10.0</v>
      </c>
      <c r="L526" s="268">
        <v>11.0</v>
      </c>
      <c r="M526" s="268">
        <v>12.0</v>
      </c>
      <c r="N526" s="268">
        <v>13.0</v>
      </c>
      <c r="O526" s="268">
        <v>14.0</v>
      </c>
      <c r="P526" s="268">
        <v>15.0</v>
      </c>
      <c r="Q526" s="268">
        <v>16.0</v>
      </c>
      <c r="R526" s="268">
        <v>17.0</v>
      </c>
      <c r="S526" s="268">
        <v>18.0</v>
      </c>
      <c r="T526" s="268">
        <v>19.0</v>
      </c>
      <c r="U526" s="268">
        <v>20.0</v>
      </c>
      <c r="V526" s="268">
        <v>21.0</v>
      </c>
      <c r="W526" s="268">
        <v>22.0</v>
      </c>
      <c r="X526" s="268">
        <v>23.0</v>
      </c>
      <c r="Y526" s="268">
        <v>24.0</v>
      </c>
      <c r="Z526" s="268">
        <v>25.0</v>
      </c>
      <c r="AA526" s="268">
        <v>26.0</v>
      </c>
      <c r="AB526" s="268">
        <v>27.0</v>
      </c>
      <c r="AC526" s="268">
        <v>28.0</v>
      </c>
      <c r="AD526" s="268"/>
      <c r="AE526" s="268"/>
      <c r="AF526" s="268"/>
      <c r="AG526" s="271" t="s">
        <v>72</v>
      </c>
      <c r="AH526" s="272" t="s">
        <v>73</v>
      </c>
      <c r="AI526" s="272" t="s">
        <v>74</v>
      </c>
      <c r="AJ526" s="273" t="s">
        <v>75</v>
      </c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</row>
    <row r="527" hidden="1">
      <c r="A527" s="274" t="s">
        <v>251</v>
      </c>
      <c r="B527" s="429"/>
      <c r="C527" s="429"/>
      <c r="D527" s="463" t="s">
        <v>252</v>
      </c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275"/>
      <c r="P527" s="276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40"/>
      <c r="AG527" s="141"/>
      <c r="AH527" s="142"/>
      <c r="AI527" s="142"/>
      <c r="AJ527" s="277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</row>
    <row r="528" hidden="1">
      <c r="A528" s="278" t="s">
        <v>34</v>
      </c>
      <c r="B528" s="148"/>
      <c r="C528" s="148" t="s">
        <v>76</v>
      </c>
      <c r="D528" s="148" t="s">
        <v>76</v>
      </c>
      <c r="E528" s="148"/>
      <c r="F528" s="148"/>
      <c r="G528" s="148"/>
      <c r="H528" s="148"/>
      <c r="I528" s="148"/>
      <c r="J528" s="148"/>
      <c r="K528" s="148"/>
      <c r="L528" s="148"/>
      <c r="M528" s="148"/>
      <c r="N528" s="279"/>
      <c r="O528" s="149"/>
      <c r="P528" s="148"/>
      <c r="Q528" s="280"/>
      <c r="R528" s="148"/>
      <c r="S528" s="148" t="s">
        <v>76</v>
      </c>
      <c r="T528" s="148" t="s">
        <v>76</v>
      </c>
      <c r="U528" s="148"/>
      <c r="V528" s="148"/>
      <c r="W528" s="148" t="s">
        <v>76</v>
      </c>
      <c r="X528" s="148" t="s">
        <v>76</v>
      </c>
      <c r="Y528" s="148"/>
      <c r="Z528" s="148"/>
      <c r="AA528" s="148" t="s">
        <v>76</v>
      </c>
      <c r="AB528" s="148" t="s">
        <v>76</v>
      </c>
      <c r="AC528" s="148"/>
      <c r="AD528" s="148"/>
      <c r="AE528" s="148"/>
      <c r="AF528" s="150"/>
      <c r="AG528" s="151"/>
      <c r="AH528" s="151"/>
      <c r="AI528" s="151"/>
      <c r="AJ528" s="151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</row>
    <row r="529" hidden="1">
      <c r="A529" s="437" t="s">
        <v>235</v>
      </c>
      <c r="B529" s="212" t="s">
        <v>76</v>
      </c>
      <c r="C529" s="212"/>
      <c r="D529" s="212"/>
      <c r="E529" s="212" t="s">
        <v>76</v>
      </c>
      <c r="F529" s="212" t="s">
        <v>76</v>
      </c>
      <c r="G529" s="212" t="s">
        <v>216</v>
      </c>
      <c r="H529" s="212"/>
      <c r="I529" s="212"/>
      <c r="J529" s="212" t="s">
        <v>76</v>
      </c>
      <c r="K529" s="212"/>
      <c r="L529" s="212" t="s">
        <v>76</v>
      </c>
      <c r="M529" s="212" t="s">
        <v>76</v>
      </c>
      <c r="N529" s="464" t="s">
        <v>76</v>
      </c>
      <c r="O529" s="212"/>
      <c r="P529" s="212"/>
      <c r="Q529" s="465" t="s">
        <v>76</v>
      </c>
      <c r="R529" s="212" t="s">
        <v>76</v>
      </c>
      <c r="S529" s="212"/>
      <c r="T529" s="212"/>
      <c r="U529" s="212" t="s">
        <v>76</v>
      </c>
      <c r="V529" s="212"/>
      <c r="W529" s="212"/>
      <c r="X529" s="212"/>
      <c r="Y529" s="212" t="s">
        <v>76</v>
      </c>
      <c r="Z529" s="212" t="s">
        <v>76</v>
      </c>
      <c r="AA529" s="212"/>
      <c r="AB529" s="212"/>
      <c r="AC529" s="212" t="s">
        <v>253</v>
      </c>
      <c r="AD529" s="210"/>
      <c r="AE529" s="212"/>
      <c r="AF529" s="212"/>
      <c r="AG529" s="212"/>
      <c r="AH529" s="212"/>
      <c r="AI529" s="466"/>
      <c r="AJ529" s="215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</row>
    <row r="530" ht="66.75" hidden="1" customHeight="1">
      <c r="A530" s="441" t="s">
        <v>152</v>
      </c>
      <c r="B530" s="397"/>
      <c r="C530" s="398"/>
      <c r="D530" s="398" t="s">
        <v>254</v>
      </c>
      <c r="E530" s="397"/>
      <c r="F530" s="398"/>
      <c r="G530" s="398"/>
      <c r="H530" s="398" t="s">
        <v>201</v>
      </c>
      <c r="I530" s="398" t="s">
        <v>191</v>
      </c>
      <c r="J530" s="397"/>
      <c r="K530" s="398" t="s">
        <v>216</v>
      </c>
      <c r="L530" s="398"/>
      <c r="M530" s="397"/>
      <c r="N530" s="442"/>
      <c r="O530" s="398" t="s">
        <v>151</v>
      </c>
      <c r="P530" s="398" t="s">
        <v>151</v>
      </c>
      <c r="Q530" s="401"/>
      <c r="R530" s="398"/>
      <c r="S530" s="398"/>
      <c r="T530" s="398"/>
      <c r="U530" s="397"/>
      <c r="V530" s="398" t="s">
        <v>151</v>
      </c>
      <c r="W530" s="397"/>
      <c r="X530" s="398"/>
      <c r="Y530" s="398"/>
      <c r="Z530" s="397"/>
      <c r="AA530" s="397"/>
      <c r="AB530" s="398"/>
      <c r="AC530" s="397"/>
      <c r="AD530" s="398"/>
      <c r="AE530" s="397"/>
      <c r="AF530" s="397"/>
      <c r="AG530" s="397"/>
      <c r="AH530" s="397"/>
      <c r="AI530" s="397"/>
      <c r="AJ530" s="397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</row>
    <row r="531" hidden="1">
      <c r="A531" s="274" t="s">
        <v>255</v>
      </c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9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40"/>
      <c r="AG531" s="141"/>
      <c r="AH531" s="142"/>
      <c r="AI531" s="142"/>
      <c r="AJ531" s="277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</row>
    <row r="532" hidden="1">
      <c r="A532" s="304" t="s">
        <v>67</v>
      </c>
      <c r="B532" s="159" t="s">
        <v>76</v>
      </c>
      <c r="C532" s="159" t="s">
        <v>76</v>
      </c>
      <c r="D532" s="159" t="s">
        <v>76</v>
      </c>
      <c r="E532" s="159" t="s">
        <v>76</v>
      </c>
      <c r="F532" s="159"/>
      <c r="G532" s="159"/>
      <c r="H532" s="159" t="s">
        <v>76</v>
      </c>
      <c r="I532" s="159" t="s">
        <v>76</v>
      </c>
      <c r="J532" s="159" t="s">
        <v>76</v>
      </c>
      <c r="K532" s="159"/>
      <c r="L532" s="159" t="s">
        <v>76</v>
      </c>
      <c r="M532" s="159" t="s">
        <v>76</v>
      </c>
      <c r="N532" s="159" t="s">
        <v>76</v>
      </c>
      <c r="O532" s="159" t="s">
        <v>76</v>
      </c>
      <c r="P532" s="159"/>
      <c r="Q532" s="159" t="s">
        <v>76</v>
      </c>
      <c r="R532" s="159" t="s">
        <v>76</v>
      </c>
      <c r="S532" s="159"/>
      <c r="T532" s="159" t="s">
        <v>76</v>
      </c>
      <c r="U532" s="159" t="s">
        <v>76</v>
      </c>
      <c r="V532" s="159" t="s">
        <v>76</v>
      </c>
      <c r="W532" s="159"/>
      <c r="X532" s="159"/>
      <c r="Y532" s="159" t="s">
        <v>76</v>
      </c>
      <c r="Z532" s="159" t="s">
        <v>76</v>
      </c>
      <c r="AA532" s="159" t="s">
        <v>76</v>
      </c>
      <c r="AB532" s="159"/>
      <c r="AC532" s="159"/>
      <c r="AD532" s="159"/>
      <c r="AE532" s="159"/>
      <c r="AF532" s="158"/>
      <c r="AG532" s="161"/>
      <c r="AH532" s="161"/>
      <c r="AI532" s="161"/>
      <c r="AJ532" s="161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</row>
    <row r="533" hidden="1">
      <c r="A533" s="305" t="s">
        <v>117</v>
      </c>
      <c r="B533" s="241"/>
      <c r="C533" s="241"/>
      <c r="D533" s="241"/>
      <c r="E533" s="241"/>
      <c r="F533" s="241" t="s">
        <v>76</v>
      </c>
      <c r="G533" s="241" t="s">
        <v>76</v>
      </c>
      <c r="H533" s="241"/>
      <c r="I533" s="241"/>
      <c r="J533" s="241"/>
      <c r="K533" s="241" t="s">
        <v>76</v>
      </c>
      <c r="L533" s="179"/>
      <c r="M533" s="179"/>
      <c r="N533" s="241"/>
      <c r="O533" s="254"/>
      <c r="P533" s="241" t="s">
        <v>76</v>
      </c>
      <c r="Q533" s="179"/>
      <c r="R533" s="241"/>
      <c r="S533" s="241" t="s">
        <v>76</v>
      </c>
      <c r="T533" s="241"/>
      <c r="U533" s="241"/>
      <c r="V533" s="241"/>
      <c r="W533" s="241" t="s">
        <v>76</v>
      </c>
      <c r="X533" s="241" t="s">
        <v>201</v>
      </c>
      <c r="Y533" s="241"/>
      <c r="Z533" s="241"/>
      <c r="AA533" s="241"/>
      <c r="AB533" s="241" t="s">
        <v>76</v>
      </c>
      <c r="AC533" s="241" t="s">
        <v>201</v>
      </c>
      <c r="AD533" s="241"/>
      <c r="AE533" s="241"/>
      <c r="AF533" s="179"/>
      <c r="AG533" s="181"/>
      <c r="AH533" s="181"/>
      <c r="AI533" s="181"/>
      <c r="AJ533" s="181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</row>
    <row r="534" hidden="1">
      <c r="A534" s="444" t="s">
        <v>152</v>
      </c>
      <c r="B534" s="227"/>
      <c r="C534" s="227"/>
      <c r="D534" s="227"/>
      <c r="E534" s="227"/>
      <c r="F534" s="225"/>
      <c r="G534" s="405"/>
      <c r="H534" s="227"/>
      <c r="I534" s="227"/>
      <c r="J534" s="225"/>
      <c r="K534" s="225"/>
      <c r="L534" s="227"/>
      <c r="M534" s="227"/>
      <c r="N534" s="225"/>
      <c r="O534" s="226"/>
      <c r="P534" s="227"/>
      <c r="Q534" s="227"/>
      <c r="R534" s="225"/>
      <c r="S534" s="225"/>
      <c r="T534" s="227"/>
      <c r="U534" s="227"/>
      <c r="V534" s="225"/>
      <c r="W534" s="225"/>
      <c r="X534" s="227"/>
      <c r="Y534" s="227"/>
      <c r="Z534" s="225"/>
      <c r="AA534" s="225"/>
      <c r="AB534" s="227"/>
      <c r="AC534" s="227"/>
      <c r="AD534" s="225"/>
      <c r="AE534" s="225"/>
      <c r="AF534" s="225"/>
      <c r="AG534" s="228"/>
      <c r="AH534" s="228"/>
      <c r="AI534" s="228"/>
      <c r="AJ534" s="228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</row>
    <row r="535" hidden="1">
      <c r="A535" s="30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9"/>
      <c r="P535" s="138"/>
      <c r="Q535" s="138"/>
      <c r="R535" s="138"/>
      <c r="S535" s="4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40"/>
      <c r="AG535" s="141"/>
      <c r="AH535" s="142"/>
      <c r="AI535" s="142"/>
      <c r="AJ535" s="277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</row>
    <row r="536" hidden="1">
      <c r="A536" s="274" t="s">
        <v>256</v>
      </c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9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40"/>
      <c r="AG536" s="141"/>
      <c r="AH536" s="142"/>
      <c r="AI536" s="142"/>
      <c r="AJ536" s="277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</row>
    <row r="537" hidden="1">
      <c r="A537" s="309" t="s">
        <v>31</v>
      </c>
      <c r="B537" s="183"/>
      <c r="C537" s="183" t="s">
        <v>76</v>
      </c>
      <c r="D537" s="183" t="s">
        <v>76</v>
      </c>
      <c r="E537" s="183"/>
      <c r="F537" s="183"/>
      <c r="G537" s="183" t="s">
        <v>76</v>
      </c>
      <c r="H537" s="183" t="s">
        <v>76</v>
      </c>
      <c r="I537" s="183"/>
      <c r="J537" s="183"/>
      <c r="K537" s="183" t="s">
        <v>76</v>
      </c>
      <c r="L537" s="183" t="s">
        <v>76</v>
      </c>
      <c r="M537" s="183"/>
      <c r="N537" s="183"/>
      <c r="O537" s="184" t="s">
        <v>76</v>
      </c>
      <c r="P537" s="183" t="s">
        <v>76</v>
      </c>
      <c r="Q537" s="183"/>
      <c r="R537" s="183"/>
      <c r="S537" s="183" t="s">
        <v>76</v>
      </c>
      <c r="T537" s="183" t="s">
        <v>76</v>
      </c>
      <c r="U537" s="183"/>
      <c r="V537" s="183"/>
      <c r="W537" s="183" t="s">
        <v>76</v>
      </c>
      <c r="X537" s="183" t="s">
        <v>76</v>
      </c>
      <c r="Y537" s="183"/>
      <c r="Z537" s="183"/>
      <c r="AA537" s="183" t="s">
        <v>76</v>
      </c>
      <c r="AB537" s="183" t="s">
        <v>76</v>
      </c>
      <c r="AC537" s="183"/>
      <c r="AD537" s="183"/>
      <c r="AE537" s="183"/>
      <c r="AF537" s="185"/>
      <c r="AG537" s="186"/>
      <c r="AH537" s="186"/>
      <c r="AI537" s="186"/>
      <c r="AJ537" s="186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</row>
    <row r="538" hidden="1">
      <c r="A538" s="307" t="s">
        <v>240</v>
      </c>
      <c r="B538" s="227" t="s">
        <v>76</v>
      </c>
      <c r="C538" s="227"/>
      <c r="D538" s="227"/>
      <c r="E538" s="227" t="s">
        <v>216</v>
      </c>
      <c r="F538" s="227" t="s">
        <v>76</v>
      </c>
      <c r="G538" s="227"/>
      <c r="H538" s="227"/>
      <c r="I538" s="227" t="s">
        <v>76</v>
      </c>
      <c r="J538" s="227" t="s">
        <v>216</v>
      </c>
      <c r="K538" s="227"/>
      <c r="L538" s="227"/>
      <c r="M538" s="227" t="s">
        <v>76</v>
      </c>
      <c r="N538" s="227" t="s">
        <v>216</v>
      </c>
      <c r="O538" s="302"/>
      <c r="P538" s="227"/>
      <c r="Q538" s="227" t="s">
        <v>216</v>
      </c>
      <c r="R538" s="227" t="s">
        <v>216</v>
      </c>
      <c r="S538" s="227"/>
      <c r="T538" s="227"/>
      <c r="U538" s="227" t="s">
        <v>76</v>
      </c>
      <c r="V538" s="227" t="s">
        <v>76</v>
      </c>
      <c r="W538" s="227"/>
      <c r="X538" s="227"/>
      <c r="Y538" s="227" t="s">
        <v>216</v>
      </c>
      <c r="Z538" s="227" t="s">
        <v>76</v>
      </c>
      <c r="AA538" s="227"/>
      <c r="AB538" s="227"/>
      <c r="AC538" s="227" t="s">
        <v>216</v>
      </c>
      <c r="AD538" s="227"/>
      <c r="AE538" s="227"/>
      <c r="AF538" s="225"/>
      <c r="AG538" s="228"/>
      <c r="AH538" s="228"/>
      <c r="AI538" s="228"/>
      <c r="AJ538" s="228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</row>
    <row r="539" hidden="1">
      <c r="A539" s="448" t="s">
        <v>152</v>
      </c>
      <c r="B539" s="358"/>
      <c r="C539" s="359"/>
      <c r="D539" s="358"/>
      <c r="E539" s="359"/>
      <c r="F539" s="358"/>
      <c r="G539" s="359"/>
      <c r="H539" s="358"/>
      <c r="I539" s="358"/>
      <c r="J539" s="359"/>
      <c r="K539" s="358"/>
      <c r="L539" s="358"/>
      <c r="M539" s="358"/>
      <c r="N539" s="358"/>
      <c r="O539" s="360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  <c r="AA539" s="358"/>
      <c r="AB539" s="358"/>
      <c r="AC539" s="358"/>
      <c r="AD539" s="358"/>
      <c r="AE539" s="358"/>
      <c r="AF539" s="358"/>
      <c r="AG539" s="361"/>
      <c r="AH539" s="361"/>
      <c r="AI539" s="361"/>
      <c r="AJ539" s="361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</row>
    <row r="540" hidden="1">
      <c r="A540" s="315"/>
      <c r="B540" s="230"/>
      <c r="C540" s="230"/>
      <c r="D540" s="230"/>
      <c r="E540" s="230"/>
      <c r="F540" s="230"/>
      <c r="G540" s="230"/>
      <c r="H540" s="230"/>
      <c r="I540" s="230"/>
      <c r="J540" s="230"/>
      <c r="K540" s="230"/>
      <c r="L540" s="230"/>
      <c r="M540" s="230"/>
      <c r="N540" s="230"/>
      <c r="O540" s="231"/>
      <c r="P540" s="230"/>
      <c r="Q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2"/>
      <c r="AG540" s="233"/>
      <c r="AH540" s="234"/>
      <c r="AI540" s="234"/>
      <c r="AJ540" s="277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</row>
    <row r="541" hidden="1">
      <c r="A541" s="274" t="s">
        <v>257</v>
      </c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449"/>
      <c r="O541" s="139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  <c r="AE541" s="138"/>
      <c r="AF541" s="140"/>
      <c r="AG541" s="141"/>
      <c r="AH541" s="142"/>
      <c r="AI541" s="142"/>
      <c r="AJ541" s="277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</row>
    <row r="542" hidden="1">
      <c r="A542" s="450" t="s">
        <v>220</v>
      </c>
      <c r="B542" s="467" t="s">
        <v>258</v>
      </c>
      <c r="C542" s="467" t="s">
        <v>130</v>
      </c>
      <c r="D542" s="467" t="s">
        <v>130</v>
      </c>
      <c r="E542" s="451"/>
      <c r="F542" s="451"/>
      <c r="G542" s="451"/>
      <c r="H542" s="451"/>
      <c r="I542" s="451"/>
      <c r="J542" s="451"/>
      <c r="K542" s="451"/>
      <c r="L542" s="451"/>
      <c r="M542" s="451"/>
      <c r="N542" s="451"/>
      <c r="O542" s="452"/>
      <c r="P542" s="451"/>
      <c r="Q542" s="451"/>
      <c r="R542" s="453"/>
      <c r="S542" s="451"/>
      <c r="T542" s="451"/>
      <c r="U542" s="451"/>
      <c r="V542" s="451"/>
      <c r="W542" s="451"/>
      <c r="X542" s="451"/>
      <c r="Y542" s="451"/>
      <c r="Z542" s="451"/>
      <c r="AA542" s="451"/>
      <c r="AB542" s="451"/>
      <c r="AC542" s="451"/>
      <c r="AD542" s="451"/>
      <c r="AE542" s="451"/>
      <c r="AF542" s="451"/>
      <c r="AG542" s="454"/>
      <c r="AH542" s="454"/>
      <c r="AI542" s="454"/>
      <c r="AJ542" s="454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</row>
    <row r="543" hidden="1">
      <c r="A543" s="455" t="s">
        <v>259</v>
      </c>
      <c r="B543" s="415" t="s">
        <v>260</v>
      </c>
      <c r="C543" s="415"/>
      <c r="D543" s="415"/>
      <c r="E543" s="370"/>
      <c r="F543" s="370"/>
      <c r="G543" s="370"/>
      <c r="H543" s="370"/>
      <c r="I543" s="370"/>
      <c r="J543" s="370"/>
      <c r="K543" s="370"/>
      <c r="L543" s="370"/>
      <c r="M543" s="370"/>
      <c r="N543" s="370"/>
      <c r="O543" s="371"/>
      <c r="P543" s="370"/>
      <c r="Q543" s="370"/>
      <c r="R543" s="370"/>
      <c r="S543" s="370"/>
      <c r="T543" s="370"/>
      <c r="U543" s="370"/>
      <c r="V543" s="370"/>
      <c r="W543" s="370"/>
      <c r="X543" s="370"/>
      <c r="Y543" s="370"/>
      <c r="Z543" s="370"/>
      <c r="AA543" s="370"/>
      <c r="AB543" s="370"/>
      <c r="AC543" s="370"/>
      <c r="AD543" s="370"/>
      <c r="AE543" s="370"/>
      <c r="AF543" s="370"/>
      <c r="AG543" s="372"/>
      <c r="AH543" s="372"/>
      <c r="AI543" s="372"/>
      <c r="AJ543" s="372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</row>
    <row r="544" hidden="1">
      <c r="A544" s="448" t="s">
        <v>152</v>
      </c>
      <c r="B544" s="358"/>
      <c r="C544" s="358"/>
      <c r="D544" s="358"/>
      <c r="E544" s="358"/>
      <c r="F544" s="359"/>
      <c r="G544" s="358"/>
      <c r="H544" s="358"/>
      <c r="I544" s="358"/>
      <c r="J544" s="358"/>
      <c r="K544" s="358"/>
      <c r="L544" s="358"/>
      <c r="M544" s="358"/>
      <c r="N544" s="358"/>
      <c r="O544" s="360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  <c r="AA544" s="358"/>
      <c r="AB544" s="358"/>
      <c r="AC544" s="358"/>
      <c r="AD544" s="358"/>
      <c r="AE544" s="359"/>
      <c r="AF544" s="358"/>
      <c r="AG544" s="361"/>
      <c r="AH544" s="361"/>
      <c r="AI544" s="361"/>
      <c r="AJ544" s="361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</row>
    <row r="545" hidden="1">
      <c r="A545" s="274"/>
      <c r="B545" s="312"/>
      <c r="C545" s="312"/>
      <c r="D545" s="312"/>
      <c r="E545" s="312"/>
      <c r="F545" s="312"/>
      <c r="G545" s="312"/>
      <c r="H545" s="312"/>
      <c r="I545" s="312"/>
      <c r="J545" s="312"/>
      <c r="K545" s="312"/>
      <c r="L545" s="312"/>
      <c r="M545" s="312"/>
      <c r="N545" s="312"/>
      <c r="O545" s="313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277"/>
      <c r="AH545" s="277"/>
      <c r="AI545" s="277"/>
      <c r="AJ545" s="277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</row>
    <row r="546" hidden="1">
      <c r="A546" s="274" t="s">
        <v>261</v>
      </c>
      <c r="B546" s="138"/>
      <c r="C546" s="138"/>
      <c r="D546" s="138"/>
      <c r="E546" s="138"/>
      <c r="F546" s="138"/>
      <c r="G546" s="138"/>
      <c r="H546" s="138"/>
      <c r="I546" s="138"/>
      <c r="J546" s="138"/>
      <c r="K546" s="276"/>
      <c r="L546" s="276"/>
      <c r="M546" s="276"/>
      <c r="N546" s="138"/>
      <c r="O546" s="139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40"/>
      <c r="AG546" s="141"/>
      <c r="AH546" s="142"/>
      <c r="AI546" s="142"/>
      <c r="AJ546" s="277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</row>
    <row r="547" hidden="1">
      <c r="A547" s="345" t="s">
        <v>146</v>
      </c>
      <c r="B547" s="347"/>
      <c r="C547" s="347"/>
      <c r="D547" s="347" t="s">
        <v>76</v>
      </c>
      <c r="E547" s="347" t="s">
        <v>76</v>
      </c>
      <c r="F547" s="347"/>
      <c r="G547" s="347"/>
      <c r="H547" s="347"/>
      <c r="I547" s="347"/>
      <c r="J547" s="347" t="s">
        <v>76</v>
      </c>
      <c r="K547" s="347" t="s">
        <v>76</v>
      </c>
      <c r="L547" s="347"/>
      <c r="M547" s="347"/>
      <c r="N547" s="347" t="s">
        <v>76</v>
      </c>
      <c r="O547" s="348" t="s">
        <v>76</v>
      </c>
      <c r="P547" s="347"/>
      <c r="Q547" s="347"/>
      <c r="R547" s="347" t="s">
        <v>76</v>
      </c>
      <c r="S547" s="347" t="s">
        <v>76</v>
      </c>
      <c r="T547" s="347"/>
      <c r="U547" s="347"/>
      <c r="V547" s="347" t="s">
        <v>76</v>
      </c>
      <c r="W547" s="347" t="s">
        <v>76</v>
      </c>
      <c r="X547" s="347"/>
      <c r="Y547" s="347"/>
      <c r="Z547" s="347" t="s">
        <v>76</v>
      </c>
      <c r="AA547" s="347" t="s">
        <v>76</v>
      </c>
      <c r="AB547" s="347"/>
      <c r="AC547" s="347"/>
      <c r="AD547" s="347"/>
      <c r="AE547" s="347"/>
      <c r="AF547" s="346"/>
      <c r="AG547" s="349"/>
      <c r="AH547" s="349"/>
      <c r="AI547" s="349"/>
      <c r="AJ547" s="349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</row>
    <row r="548" hidden="1">
      <c r="A548" s="457" t="s">
        <v>248</v>
      </c>
      <c r="B548" s="378" t="s">
        <v>76</v>
      </c>
      <c r="C548" s="378" t="s">
        <v>76</v>
      </c>
      <c r="D548" s="378"/>
      <c r="E548" s="378"/>
      <c r="F548" s="378"/>
      <c r="G548" s="378" t="s">
        <v>76</v>
      </c>
      <c r="H548" s="378" t="s">
        <v>76</v>
      </c>
      <c r="I548" s="378" t="s">
        <v>262</v>
      </c>
      <c r="J548" s="377"/>
      <c r="K548" s="378"/>
      <c r="L548" s="378" t="s">
        <v>76</v>
      </c>
      <c r="M548" s="378" t="s">
        <v>76</v>
      </c>
      <c r="N548" s="378"/>
      <c r="O548" s="379"/>
      <c r="P548" s="378"/>
      <c r="Q548" s="378" t="s">
        <v>76</v>
      </c>
      <c r="R548" s="378"/>
      <c r="S548" s="378"/>
      <c r="T548" s="378"/>
      <c r="U548" s="378"/>
      <c r="V548" s="378"/>
      <c r="W548" s="378"/>
      <c r="X548" s="378"/>
      <c r="Y548" s="378"/>
      <c r="Z548" s="378"/>
      <c r="AA548" s="378"/>
      <c r="AB548" s="378"/>
      <c r="AC548" s="378"/>
      <c r="AD548" s="378"/>
      <c r="AE548" s="378"/>
      <c r="AF548" s="377"/>
      <c r="AG548" s="380"/>
      <c r="AH548" s="380"/>
      <c r="AI548" s="380"/>
      <c r="AJ548" s="38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</row>
    <row r="549" hidden="1">
      <c r="A549" s="468" t="s">
        <v>220</v>
      </c>
      <c r="B549" s="312"/>
      <c r="C549" s="312"/>
      <c r="D549" s="312"/>
      <c r="E549" s="312"/>
      <c r="F549" s="312"/>
      <c r="G549" s="312"/>
      <c r="H549" s="312"/>
      <c r="I549" s="312"/>
      <c r="J549" s="382"/>
      <c r="K549" s="312"/>
      <c r="L549" s="312"/>
      <c r="M549" s="312"/>
      <c r="N549" s="312"/>
      <c r="O549" s="313"/>
      <c r="P549" s="312"/>
      <c r="Q549" s="312"/>
      <c r="R549" s="312"/>
      <c r="S549" s="312"/>
      <c r="T549" s="469" t="s">
        <v>76</v>
      </c>
      <c r="U549" s="469" t="s">
        <v>76</v>
      </c>
      <c r="V549" s="312"/>
      <c r="W549" s="312"/>
      <c r="X549" s="469" t="s">
        <v>76</v>
      </c>
      <c r="Y549" s="469" t="s">
        <v>76</v>
      </c>
      <c r="Z549" s="312"/>
      <c r="AA549" s="312"/>
      <c r="AB549" s="469" t="s">
        <v>76</v>
      </c>
      <c r="AC549" s="469" t="s">
        <v>76</v>
      </c>
      <c r="AD549" s="312"/>
      <c r="AE549" s="312"/>
      <c r="AF549" s="312"/>
      <c r="AG549" s="277"/>
      <c r="AH549" s="277"/>
      <c r="AI549" s="277"/>
      <c r="AJ549" s="277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</row>
    <row r="550" hidden="1">
      <c r="A550" s="448" t="s">
        <v>152</v>
      </c>
      <c r="B550" s="359"/>
      <c r="C550" s="359"/>
      <c r="D550" s="358"/>
      <c r="E550" s="358"/>
      <c r="F550" s="359" t="s">
        <v>216</v>
      </c>
      <c r="G550" s="358"/>
      <c r="H550" s="359"/>
      <c r="I550" s="359" t="s">
        <v>263</v>
      </c>
      <c r="J550" s="359"/>
      <c r="K550" s="358"/>
      <c r="L550" s="358"/>
      <c r="M550" s="358"/>
      <c r="N550" s="359"/>
      <c r="O550" s="360"/>
      <c r="P550" s="359" t="s">
        <v>162</v>
      </c>
      <c r="Q550" s="359"/>
      <c r="R550" s="359"/>
      <c r="S550" s="358"/>
      <c r="T550" s="358"/>
      <c r="U550" s="358"/>
      <c r="V550" s="359"/>
      <c r="W550" s="358"/>
      <c r="X550" s="358"/>
      <c r="Y550" s="358"/>
      <c r="Z550" s="359"/>
      <c r="AA550" s="358"/>
      <c r="AB550" s="358"/>
      <c r="AC550" s="358"/>
      <c r="AD550" s="359"/>
      <c r="AE550" s="358"/>
      <c r="AF550" s="358"/>
      <c r="AG550" s="361"/>
      <c r="AH550" s="361"/>
      <c r="AI550" s="361"/>
      <c r="AJ550" s="361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</row>
    <row r="551" hidden="1">
      <c r="A551" s="6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9"/>
      <c r="AH551" s="9"/>
      <c r="AI551" s="9"/>
      <c r="AJ551" s="9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</row>
    <row r="552" hidden="1">
      <c r="A552" s="458" t="s">
        <v>185</v>
      </c>
      <c r="B552" s="459"/>
      <c r="C552" s="460"/>
      <c r="D552" s="459"/>
      <c r="E552" s="459"/>
      <c r="F552" s="459" t="s">
        <v>216</v>
      </c>
      <c r="G552" s="460"/>
      <c r="H552" s="460"/>
      <c r="I552" s="459" t="s">
        <v>216</v>
      </c>
      <c r="J552" s="460"/>
      <c r="K552" s="459"/>
      <c r="L552" s="460"/>
      <c r="M552" s="460"/>
      <c r="N552" s="459"/>
      <c r="O552" s="461"/>
      <c r="P552" s="459"/>
      <c r="Q552" s="459" t="s">
        <v>237</v>
      </c>
      <c r="R552" s="459" t="s">
        <v>237</v>
      </c>
      <c r="S552" s="459" t="s">
        <v>237</v>
      </c>
      <c r="T552" s="459" t="s">
        <v>264</v>
      </c>
      <c r="U552" s="459" t="s">
        <v>264</v>
      </c>
      <c r="V552" s="459"/>
      <c r="W552" s="460"/>
      <c r="X552" s="459" t="s">
        <v>264</v>
      </c>
      <c r="Y552" s="459" t="s">
        <v>264</v>
      </c>
      <c r="Z552" s="459" t="s">
        <v>264</v>
      </c>
      <c r="AA552" s="459" t="s">
        <v>264</v>
      </c>
      <c r="AB552" s="459" t="s">
        <v>264</v>
      </c>
      <c r="AC552" s="459"/>
      <c r="AD552" s="459"/>
      <c r="AE552" s="460"/>
      <c r="AF552" s="460"/>
      <c r="AG552" s="470"/>
      <c r="AH552" s="470"/>
      <c r="AI552" s="470"/>
      <c r="AJ552" s="47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</row>
    <row r="553" hidden="1">
      <c r="A553" s="6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427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427"/>
      <c r="AG553" s="9"/>
      <c r="AH553" s="277"/>
      <c r="AI553" s="277"/>
      <c r="AJ553" s="277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</row>
    <row r="554" hidden="1">
      <c r="A554" s="6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427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427"/>
      <c r="AG554" s="9"/>
      <c r="AH554" s="277"/>
      <c r="AI554" s="277"/>
      <c r="AJ554" s="277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</row>
    <row r="555" hidden="1">
      <c r="A555" s="6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427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427"/>
      <c r="AG555" s="9"/>
      <c r="AH555" s="471"/>
      <c r="AI555" s="471"/>
      <c r="AJ555" s="471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</row>
    <row r="556">
      <c r="A556" s="350" t="s">
        <v>265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472"/>
      <c r="AH556" s="472"/>
      <c r="AI556" s="472"/>
      <c r="AJ556" s="472"/>
      <c r="AK556" s="473"/>
      <c r="AL556" s="473"/>
      <c r="AM556" s="473"/>
      <c r="AN556" s="473"/>
      <c r="AO556" s="473"/>
      <c r="AP556" s="473"/>
      <c r="AQ556" s="473"/>
      <c r="AR556" s="473"/>
      <c r="AS556" s="473"/>
      <c r="AT556" s="473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</row>
    <row r="557">
      <c r="A557" s="474"/>
      <c r="B557" s="261" t="s">
        <v>102</v>
      </c>
      <c r="C557" s="262" t="s">
        <v>103</v>
      </c>
      <c r="D557" s="261" t="s">
        <v>104</v>
      </c>
      <c r="E557" s="261" t="s">
        <v>105</v>
      </c>
      <c r="F557" s="261" t="s">
        <v>99</v>
      </c>
      <c r="G557" s="261" t="s">
        <v>100</v>
      </c>
      <c r="H557" s="261" t="s">
        <v>101</v>
      </c>
      <c r="I557" s="261" t="s">
        <v>102</v>
      </c>
      <c r="J557" s="262" t="s">
        <v>103</v>
      </c>
      <c r="K557" s="261" t="s">
        <v>104</v>
      </c>
      <c r="L557" s="261" t="s">
        <v>105</v>
      </c>
      <c r="M557" s="263" t="s">
        <v>99</v>
      </c>
      <c r="N557" s="261" t="s">
        <v>100</v>
      </c>
      <c r="O557" s="261" t="s">
        <v>101</v>
      </c>
      <c r="P557" s="261" t="s">
        <v>102</v>
      </c>
      <c r="Q557" s="262" t="s">
        <v>103</v>
      </c>
      <c r="R557" s="261" t="s">
        <v>104</v>
      </c>
      <c r="S557" s="261" t="s">
        <v>105</v>
      </c>
      <c r="T557" s="261" t="s">
        <v>99</v>
      </c>
      <c r="U557" s="261" t="s">
        <v>100</v>
      </c>
      <c r="V557" s="261" t="s">
        <v>101</v>
      </c>
      <c r="W557" s="261" t="s">
        <v>102</v>
      </c>
      <c r="X557" s="262" t="s">
        <v>103</v>
      </c>
      <c r="Y557" s="261" t="s">
        <v>104</v>
      </c>
      <c r="Z557" s="261" t="s">
        <v>105</v>
      </c>
      <c r="AA557" s="261" t="s">
        <v>99</v>
      </c>
      <c r="AB557" s="261" t="s">
        <v>100</v>
      </c>
      <c r="AC557" s="261" t="s">
        <v>101</v>
      </c>
      <c r="AD557" s="475" t="s">
        <v>102</v>
      </c>
      <c r="AE557" s="476" t="s">
        <v>103</v>
      </c>
      <c r="AF557" s="477" t="s">
        <v>104</v>
      </c>
      <c r="AG557" s="472"/>
      <c r="AH557" s="472"/>
      <c r="AI557" s="472"/>
      <c r="AJ557" s="472"/>
      <c r="AK557" s="473"/>
      <c r="AL557" s="473"/>
      <c r="AM557" s="473"/>
      <c r="AN557" s="473"/>
      <c r="AO557" s="473"/>
      <c r="AP557" s="473"/>
      <c r="AQ557" s="473"/>
      <c r="AR557" s="473"/>
      <c r="AS557" s="473"/>
      <c r="AT557" s="473"/>
      <c r="AU557" s="478"/>
      <c r="AV557" s="314"/>
      <c r="AW557" s="314"/>
      <c r="AX557" s="314"/>
      <c r="AY557" s="314"/>
      <c r="AZ557" s="314"/>
      <c r="BA557" s="314"/>
      <c r="BB557" s="314"/>
      <c r="BC557" s="314"/>
      <c r="BD557" s="314"/>
    </row>
    <row r="558">
      <c r="A558" s="479"/>
      <c r="B558" s="480">
        <v>1.0</v>
      </c>
      <c r="C558" s="480">
        <v>2.0</v>
      </c>
      <c r="D558" s="480">
        <v>3.0</v>
      </c>
      <c r="E558" s="480">
        <v>4.0</v>
      </c>
      <c r="F558" s="480">
        <v>5.0</v>
      </c>
      <c r="G558" s="480">
        <v>6.0</v>
      </c>
      <c r="H558" s="480">
        <v>7.0</v>
      </c>
      <c r="I558" s="480">
        <v>8.0</v>
      </c>
      <c r="J558" s="480">
        <v>9.0</v>
      </c>
      <c r="K558" s="480">
        <v>10.0</v>
      </c>
      <c r="L558" s="480">
        <v>11.0</v>
      </c>
      <c r="M558" s="480">
        <v>12.0</v>
      </c>
      <c r="N558" s="480">
        <v>13.0</v>
      </c>
      <c r="O558" s="480">
        <v>14.0</v>
      </c>
      <c r="P558" s="480">
        <v>15.0</v>
      </c>
      <c r="Q558" s="480">
        <v>16.0</v>
      </c>
      <c r="R558" s="480">
        <v>17.0</v>
      </c>
      <c r="S558" s="480">
        <v>18.0</v>
      </c>
      <c r="T558" s="480">
        <v>19.0</v>
      </c>
      <c r="U558" s="480">
        <v>20.0</v>
      </c>
      <c r="V558" s="480">
        <v>21.0</v>
      </c>
      <c r="W558" s="480">
        <v>22.0</v>
      </c>
      <c r="X558" s="480">
        <v>23.0</v>
      </c>
      <c r="Y558" s="480">
        <v>24.0</v>
      </c>
      <c r="Z558" s="480">
        <v>25.0</v>
      </c>
      <c r="AA558" s="480">
        <v>26.0</v>
      </c>
      <c r="AB558" s="480">
        <v>27.0</v>
      </c>
      <c r="AC558" s="480">
        <v>28.0</v>
      </c>
      <c r="AD558" s="480">
        <v>29.0</v>
      </c>
      <c r="AE558" s="480">
        <v>30.0</v>
      </c>
      <c r="AF558" s="481">
        <v>31.0</v>
      </c>
      <c r="AG558" s="472"/>
      <c r="AH558" s="472"/>
      <c r="AI558" s="472"/>
      <c r="AJ558" s="472"/>
      <c r="AK558" s="473"/>
      <c r="AL558" s="473"/>
      <c r="AM558" s="473"/>
      <c r="AN558" s="473"/>
      <c r="AO558" s="473"/>
      <c r="AP558" s="473"/>
      <c r="AQ558" s="473"/>
      <c r="AR558" s="473"/>
      <c r="AS558" s="473"/>
      <c r="AT558" s="473"/>
      <c r="AU558" s="482"/>
      <c r="AV558" s="483"/>
      <c r="AW558" s="483"/>
      <c r="AX558" s="483"/>
      <c r="AY558" s="483"/>
      <c r="AZ558" s="483"/>
      <c r="BA558" s="483"/>
      <c r="BB558" s="483"/>
      <c r="BC558" s="483"/>
      <c r="BD558" s="483"/>
    </row>
    <row r="559">
      <c r="A559" s="274" t="s">
        <v>266</v>
      </c>
      <c r="B559" s="429"/>
      <c r="C559" s="429"/>
      <c r="D559" s="463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275"/>
      <c r="P559" s="276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  <c r="AE559" s="138"/>
      <c r="AF559" s="138"/>
      <c r="AG559" s="472"/>
      <c r="AH559" s="472"/>
      <c r="AI559" s="472"/>
      <c r="AJ559" s="472"/>
      <c r="AK559" s="473"/>
      <c r="AL559" s="473"/>
      <c r="AM559" s="473"/>
      <c r="AN559" s="473"/>
      <c r="AO559" s="473"/>
      <c r="AP559" s="473"/>
      <c r="AQ559" s="473"/>
      <c r="AR559" s="473"/>
      <c r="AS559" s="473"/>
      <c r="AT559" s="473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</row>
    <row r="560">
      <c r="A560" s="278" t="s">
        <v>34</v>
      </c>
      <c r="B560" s="148"/>
      <c r="C560" s="148" t="s">
        <v>76</v>
      </c>
      <c r="D560" s="148" t="s">
        <v>76</v>
      </c>
      <c r="E560" s="148"/>
      <c r="F560" s="148"/>
      <c r="G560" s="148" t="s">
        <v>267</v>
      </c>
      <c r="H560" s="148"/>
      <c r="I560" s="148"/>
      <c r="J560" s="148"/>
      <c r="K560" s="148" t="s">
        <v>76</v>
      </c>
      <c r="L560" s="148" t="s">
        <v>76</v>
      </c>
      <c r="M560" s="148"/>
      <c r="N560" s="279"/>
      <c r="O560" s="149" t="s">
        <v>76</v>
      </c>
      <c r="P560" s="148"/>
      <c r="Q560" s="280"/>
      <c r="R560" s="148"/>
      <c r="S560" s="148" t="s">
        <v>76</v>
      </c>
      <c r="T560" s="148" t="s">
        <v>76</v>
      </c>
      <c r="U560" s="148"/>
      <c r="V560" s="148"/>
      <c r="W560" s="148"/>
      <c r="X560" s="148" t="s">
        <v>76</v>
      </c>
      <c r="Y560" s="148"/>
      <c r="Z560" s="148"/>
      <c r="AA560" s="148" t="s">
        <v>76</v>
      </c>
      <c r="AB560" s="148" t="s">
        <v>76</v>
      </c>
      <c r="AC560" s="148"/>
      <c r="AD560" s="148"/>
      <c r="AE560" s="148" t="s">
        <v>76</v>
      </c>
      <c r="AF560" s="279" t="s">
        <v>76</v>
      </c>
      <c r="AG560" s="472"/>
      <c r="AH560" s="472"/>
      <c r="AI560" s="472"/>
      <c r="AJ560" s="472"/>
      <c r="AK560" s="473"/>
      <c r="AL560" s="473"/>
      <c r="AM560" s="473"/>
      <c r="AN560" s="473"/>
      <c r="AO560" s="473"/>
      <c r="AP560" s="473"/>
      <c r="AQ560" s="473"/>
      <c r="AR560" s="473"/>
      <c r="AS560" s="473"/>
      <c r="AT560" s="473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</row>
    <row r="561" ht="33.0" customHeight="1">
      <c r="A561" s="437" t="s">
        <v>268</v>
      </c>
      <c r="B561" s="212"/>
      <c r="C561" s="212"/>
      <c r="D561" s="212"/>
      <c r="E561" s="212" t="s">
        <v>76</v>
      </c>
      <c r="F561" s="212" t="s">
        <v>76</v>
      </c>
      <c r="G561" s="484">
        <v>46365.0</v>
      </c>
      <c r="H561" s="212" t="s">
        <v>107</v>
      </c>
      <c r="I561" s="212" t="s">
        <v>76</v>
      </c>
      <c r="J561" s="212" t="s">
        <v>76</v>
      </c>
      <c r="K561" s="212"/>
      <c r="L561" s="212"/>
      <c r="M561" s="212" t="s">
        <v>76</v>
      </c>
      <c r="N561" s="464" t="s">
        <v>76</v>
      </c>
      <c r="O561" s="212"/>
      <c r="P561" s="212"/>
      <c r="Q561" s="465" t="s">
        <v>76</v>
      </c>
      <c r="R561" s="212" t="s">
        <v>76</v>
      </c>
      <c r="S561" s="212"/>
      <c r="T561" s="212"/>
      <c r="U561" s="212" t="s">
        <v>179</v>
      </c>
      <c r="V561" s="212"/>
      <c r="W561" s="212" t="s">
        <v>107</v>
      </c>
      <c r="X561" s="212"/>
      <c r="Y561" s="212" t="s">
        <v>76</v>
      </c>
      <c r="Z561" s="212" t="s">
        <v>76</v>
      </c>
      <c r="AA561" s="212"/>
      <c r="AB561" s="212"/>
      <c r="AC561" s="212" t="s">
        <v>76</v>
      </c>
      <c r="AD561" s="212" t="s">
        <v>151</v>
      </c>
      <c r="AE561" s="212"/>
      <c r="AF561" s="464"/>
      <c r="AG561" s="472"/>
      <c r="AH561" s="472"/>
      <c r="AI561" s="472"/>
      <c r="AJ561" s="472"/>
      <c r="AK561" s="473"/>
      <c r="AL561" s="473"/>
      <c r="AM561" s="473"/>
      <c r="AN561" s="473"/>
      <c r="AO561" s="473"/>
      <c r="AP561" s="473"/>
      <c r="AQ561" s="473"/>
      <c r="AR561" s="473"/>
      <c r="AS561" s="473"/>
      <c r="AT561" s="473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</row>
    <row r="562">
      <c r="A562" s="441" t="s">
        <v>152</v>
      </c>
      <c r="B562" s="398" t="s">
        <v>151</v>
      </c>
      <c r="C562" s="398"/>
      <c r="D562" s="398"/>
      <c r="E562" s="397"/>
      <c r="F562" s="398"/>
      <c r="G562" s="398"/>
      <c r="H562" s="398"/>
      <c r="I562" s="398"/>
      <c r="J562" s="398"/>
      <c r="K562" s="398"/>
      <c r="L562" s="398"/>
      <c r="M562" s="398"/>
      <c r="N562" s="485"/>
      <c r="O562" s="398"/>
      <c r="P562" s="398" t="s">
        <v>151</v>
      </c>
      <c r="Q562" s="401"/>
      <c r="R562" s="398"/>
      <c r="S562" s="398"/>
      <c r="T562" s="398"/>
      <c r="U562" s="397"/>
      <c r="V562" s="398" t="s">
        <v>151</v>
      </c>
      <c r="W562" s="398" t="s">
        <v>216</v>
      </c>
      <c r="X562" s="398"/>
      <c r="Y562" s="398"/>
      <c r="Z562" s="397"/>
      <c r="AA562" s="397"/>
      <c r="AB562" s="398"/>
      <c r="AC562" s="397"/>
      <c r="AD562" s="397"/>
      <c r="AE562" s="397"/>
      <c r="AF562" s="442"/>
      <c r="AG562" s="472"/>
      <c r="AH562" s="472"/>
      <c r="AI562" s="472"/>
      <c r="AJ562" s="472"/>
      <c r="AK562" s="473"/>
      <c r="AL562" s="473"/>
      <c r="AM562" s="473"/>
      <c r="AN562" s="473"/>
      <c r="AO562" s="473"/>
      <c r="AP562" s="473"/>
      <c r="AQ562" s="473"/>
      <c r="AR562" s="473"/>
      <c r="AS562" s="473"/>
      <c r="AT562" s="473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</row>
    <row r="563">
      <c r="A563" s="274" t="s">
        <v>269</v>
      </c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9"/>
      <c r="P563" s="138"/>
      <c r="Q563" s="138"/>
      <c r="R563" s="138"/>
      <c r="S563" s="138"/>
      <c r="T563" s="138"/>
      <c r="U563" s="138"/>
      <c r="V563" s="463"/>
      <c r="W563" s="138"/>
      <c r="X563" s="138"/>
      <c r="Y563" s="138"/>
      <c r="Z563" s="138"/>
      <c r="AA563" s="138"/>
      <c r="AB563" s="138"/>
      <c r="AC563" s="138"/>
      <c r="AD563" s="138"/>
      <c r="AE563" s="138"/>
      <c r="AF563" s="138"/>
      <c r="AG563" s="472"/>
      <c r="AH563" s="472"/>
      <c r="AI563" s="472"/>
      <c r="AJ563" s="472"/>
      <c r="AK563" s="473"/>
      <c r="AL563" s="473"/>
      <c r="AM563" s="473"/>
      <c r="AN563" s="473"/>
      <c r="AO563" s="473"/>
      <c r="AP563" s="473"/>
      <c r="AQ563" s="473"/>
      <c r="AR563" s="473"/>
      <c r="AS563" s="473"/>
      <c r="AT563" s="473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</row>
    <row r="564">
      <c r="A564" s="304" t="s">
        <v>67</v>
      </c>
      <c r="B564" s="159" t="s">
        <v>76</v>
      </c>
      <c r="C564" s="159"/>
      <c r="D564" s="159" t="s">
        <v>76</v>
      </c>
      <c r="E564" s="159" t="s">
        <v>76</v>
      </c>
      <c r="F564" s="159" t="s">
        <v>76</v>
      </c>
      <c r="G564" s="159"/>
      <c r="H564" s="159" t="s">
        <v>76</v>
      </c>
      <c r="I564" s="159" t="s">
        <v>76</v>
      </c>
      <c r="J564" s="159" t="s">
        <v>201</v>
      </c>
      <c r="K564" s="159" t="s">
        <v>76</v>
      </c>
      <c r="L564" s="159" t="s">
        <v>76</v>
      </c>
      <c r="M564" s="159"/>
      <c r="N564" s="159"/>
      <c r="O564" s="159" t="s">
        <v>76</v>
      </c>
      <c r="P564" s="159" t="s">
        <v>76</v>
      </c>
      <c r="Q564" s="159"/>
      <c r="R564" s="159"/>
      <c r="S564" s="159"/>
      <c r="T564" s="159" t="s">
        <v>76</v>
      </c>
      <c r="U564" s="159" t="s">
        <v>76</v>
      </c>
      <c r="V564" s="159"/>
      <c r="W564" s="159" t="s">
        <v>76</v>
      </c>
      <c r="X564" s="159" t="s">
        <v>76</v>
      </c>
      <c r="Y564" s="159"/>
      <c r="Z564" s="159"/>
      <c r="AA564" s="159" t="s">
        <v>76</v>
      </c>
      <c r="AB564" s="159" t="s">
        <v>270</v>
      </c>
      <c r="AC564" s="159"/>
      <c r="AD564" s="159"/>
      <c r="AE564" s="159" t="s">
        <v>76</v>
      </c>
      <c r="AF564" s="333" t="s">
        <v>76</v>
      </c>
      <c r="AG564" s="472"/>
      <c r="AH564" s="472"/>
      <c r="AI564" s="472"/>
      <c r="AJ564" s="472"/>
      <c r="AK564" s="473"/>
      <c r="AL564" s="473"/>
      <c r="AM564" s="473"/>
      <c r="AN564" s="473"/>
      <c r="AO564" s="473"/>
      <c r="AP564" s="473"/>
      <c r="AQ564" s="473"/>
      <c r="AR564" s="473"/>
      <c r="AS564" s="473"/>
      <c r="AT564" s="473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</row>
    <row r="565">
      <c r="A565" s="305" t="s">
        <v>117</v>
      </c>
      <c r="B565" s="241"/>
      <c r="C565" s="241" t="s">
        <v>76</v>
      </c>
      <c r="D565" s="241"/>
      <c r="E565" s="241"/>
      <c r="F565" s="241"/>
      <c r="G565" s="241" t="s">
        <v>76</v>
      </c>
      <c r="H565" s="241"/>
      <c r="I565" s="241"/>
      <c r="J565" s="241"/>
      <c r="K565" s="241"/>
      <c r="L565" s="179"/>
      <c r="M565" s="241" t="s">
        <v>76</v>
      </c>
      <c r="N565" s="241" t="s">
        <v>77</v>
      </c>
      <c r="O565" s="254"/>
      <c r="P565" s="241"/>
      <c r="Q565" s="241" t="s">
        <v>76</v>
      </c>
      <c r="R565" s="241" t="s">
        <v>76</v>
      </c>
      <c r="S565" s="241" t="s">
        <v>76</v>
      </c>
      <c r="T565" s="241"/>
      <c r="U565" s="241"/>
      <c r="V565" s="241" t="s">
        <v>271</v>
      </c>
      <c r="W565" s="241"/>
      <c r="X565" s="241"/>
      <c r="Y565" s="241" t="s">
        <v>76</v>
      </c>
      <c r="Z565" s="241" t="s">
        <v>76</v>
      </c>
      <c r="AA565" s="241"/>
      <c r="AB565" s="241"/>
      <c r="AC565" s="241" t="s">
        <v>272</v>
      </c>
      <c r="AD565" s="241" t="s">
        <v>76</v>
      </c>
      <c r="AE565" s="241"/>
      <c r="AF565" s="486"/>
      <c r="AG565" s="472"/>
      <c r="AH565" s="472"/>
      <c r="AI565" s="472"/>
      <c r="AJ565" s="472"/>
      <c r="AK565" s="473"/>
      <c r="AL565" s="473"/>
      <c r="AM565" s="473"/>
      <c r="AN565" s="473"/>
      <c r="AO565" s="473"/>
      <c r="AP565" s="473"/>
      <c r="AQ565" s="473"/>
      <c r="AR565" s="473"/>
      <c r="AS565" s="473"/>
      <c r="AT565" s="473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</row>
    <row r="566">
      <c r="A566" s="444" t="s">
        <v>152</v>
      </c>
      <c r="B566" s="227"/>
      <c r="C566" s="227"/>
      <c r="D566" s="227"/>
      <c r="E566" s="227"/>
      <c r="F566" s="225"/>
      <c r="G566" s="405"/>
      <c r="H566" s="227"/>
      <c r="I566" s="227"/>
      <c r="J566" s="225"/>
      <c r="K566" s="225"/>
      <c r="L566" s="227"/>
      <c r="M566" s="227"/>
      <c r="N566" s="225"/>
      <c r="O566" s="226"/>
      <c r="P566" s="227"/>
      <c r="Q566" s="227"/>
      <c r="R566" s="225"/>
      <c r="S566" s="225"/>
      <c r="T566" s="227"/>
      <c r="U566" s="227"/>
      <c r="V566" s="225"/>
      <c r="W566" s="225"/>
      <c r="X566" s="227"/>
      <c r="Y566" s="227"/>
      <c r="Z566" s="225"/>
      <c r="AA566" s="225"/>
      <c r="AB566" s="227"/>
      <c r="AC566" s="227"/>
      <c r="AD566" s="225"/>
      <c r="AE566" s="225"/>
      <c r="AF566" s="301"/>
      <c r="AG566" s="472"/>
      <c r="AH566" s="472"/>
      <c r="AI566" s="472"/>
      <c r="AJ566" s="472"/>
      <c r="AK566" s="473"/>
      <c r="AL566" s="473"/>
      <c r="AM566" s="473"/>
      <c r="AN566" s="473"/>
      <c r="AO566" s="473"/>
      <c r="AP566" s="473"/>
      <c r="AQ566" s="473"/>
      <c r="AR566" s="473"/>
      <c r="AS566" s="473"/>
      <c r="AT566" s="473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</row>
    <row r="567">
      <c r="A567" s="30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9"/>
      <c r="P567" s="138"/>
      <c r="Q567" s="138"/>
      <c r="R567" s="138"/>
      <c r="S567" s="4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  <c r="AE567" s="138"/>
      <c r="AF567" s="138"/>
      <c r="AG567" s="472"/>
      <c r="AH567" s="472"/>
      <c r="AI567" s="472"/>
      <c r="AJ567" s="472"/>
      <c r="AK567" s="473"/>
      <c r="AL567" s="473"/>
      <c r="AM567" s="473"/>
      <c r="AN567" s="473"/>
      <c r="AO567" s="473"/>
      <c r="AP567" s="473"/>
      <c r="AQ567" s="473"/>
      <c r="AR567" s="473"/>
      <c r="AS567" s="473"/>
      <c r="AT567" s="473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</row>
    <row r="568">
      <c r="A568" s="274" t="s">
        <v>273</v>
      </c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9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472"/>
      <c r="AH568" s="472"/>
      <c r="AI568" s="472"/>
      <c r="AJ568" s="472"/>
      <c r="AK568" s="473"/>
      <c r="AL568" s="473"/>
      <c r="AM568" s="473"/>
      <c r="AN568" s="473"/>
      <c r="AO568" s="473"/>
      <c r="AP568" s="473"/>
      <c r="AQ568" s="473"/>
      <c r="AR568" s="473"/>
      <c r="AS568" s="473"/>
      <c r="AT568" s="473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</row>
    <row r="569">
      <c r="A569" s="309" t="s">
        <v>31</v>
      </c>
      <c r="B569" s="183"/>
      <c r="C569" s="183" t="s">
        <v>76</v>
      </c>
      <c r="D569" s="183" t="s">
        <v>76</v>
      </c>
      <c r="E569" s="183"/>
      <c r="F569" s="183"/>
      <c r="G569" s="183" t="s">
        <v>76</v>
      </c>
      <c r="H569" s="183" t="s">
        <v>76</v>
      </c>
      <c r="I569" s="183"/>
      <c r="J569" s="183"/>
      <c r="K569" s="183" t="s">
        <v>76</v>
      </c>
      <c r="L569" s="183" t="s">
        <v>76</v>
      </c>
      <c r="M569" s="183"/>
      <c r="N569" s="183"/>
      <c r="O569" s="184" t="s">
        <v>76</v>
      </c>
      <c r="P569" s="183" t="s">
        <v>76</v>
      </c>
      <c r="Q569" s="183"/>
      <c r="R569" s="183"/>
      <c r="S569" s="183" t="s">
        <v>76</v>
      </c>
      <c r="T569" s="183" t="s">
        <v>76</v>
      </c>
      <c r="U569" s="183"/>
      <c r="V569" s="183"/>
      <c r="W569" s="183" t="s">
        <v>76</v>
      </c>
      <c r="X569" s="183" t="s">
        <v>76</v>
      </c>
      <c r="Y569" s="183"/>
      <c r="Z569" s="183"/>
      <c r="AA569" s="183" t="s">
        <v>76</v>
      </c>
      <c r="AB569" s="183" t="s">
        <v>107</v>
      </c>
      <c r="AC569" s="183"/>
      <c r="AD569" s="183"/>
      <c r="AE569" s="183" t="s">
        <v>274</v>
      </c>
      <c r="AF569" s="487" t="s">
        <v>275</v>
      </c>
      <c r="AG569" s="472"/>
      <c r="AH569" s="472"/>
      <c r="AI569" s="472"/>
      <c r="AJ569" s="472"/>
      <c r="AK569" s="473"/>
      <c r="AL569" s="473"/>
      <c r="AM569" s="473"/>
      <c r="AN569" s="473"/>
      <c r="AO569" s="473"/>
      <c r="AP569" s="473"/>
      <c r="AQ569" s="473"/>
      <c r="AR569" s="473"/>
      <c r="AS569" s="473"/>
      <c r="AT569" s="473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</row>
    <row r="570">
      <c r="A570" s="307" t="s">
        <v>240</v>
      </c>
      <c r="B570" s="227" t="s">
        <v>216</v>
      </c>
      <c r="C570" s="227"/>
      <c r="D570" s="227"/>
      <c r="E570" s="227" t="s">
        <v>76</v>
      </c>
      <c r="F570" s="227" t="s">
        <v>76</v>
      </c>
      <c r="G570" s="227"/>
      <c r="H570" s="227"/>
      <c r="I570" s="227" t="s">
        <v>76</v>
      </c>
      <c r="J570" s="227" t="s">
        <v>162</v>
      </c>
      <c r="K570" s="227"/>
      <c r="L570" s="227"/>
      <c r="M570" s="227" t="s">
        <v>76</v>
      </c>
      <c r="N570" s="227" t="s">
        <v>179</v>
      </c>
      <c r="O570" s="302"/>
      <c r="P570" s="227"/>
      <c r="Q570" s="227" t="s">
        <v>76</v>
      </c>
      <c r="R570" s="227" t="s">
        <v>76</v>
      </c>
      <c r="S570" s="227"/>
      <c r="T570" s="227"/>
      <c r="U570" s="227"/>
      <c r="V570" s="227"/>
      <c r="W570" s="227"/>
      <c r="X570" s="227"/>
      <c r="Y570" s="227"/>
      <c r="Z570" s="227" t="s">
        <v>76</v>
      </c>
      <c r="AA570" s="227"/>
      <c r="AB570" s="227"/>
      <c r="AC570" s="227" t="s">
        <v>76</v>
      </c>
      <c r="AD570" s="227"/>
      <c r="AE570" s="227"/>
      <c r="AF570" s="301"/>
      <c r="AG570" s="472"/>
      <c r="AH570" s="472"/>
      <c r="AI570" s="472"/>
      <c r="AJ570" s="472"/>
      <c r="AK570" s="473"/>
      <c r="AL570" s="473"/>
      <c r="AM570" s="473"/>
      <c r="AN570" s="473"/>
      <c r="AO570" s="473"/>
      <c r="AP570" s="473"/>
      <c r="AQ570" s="473"/>
      <c r="AR570" s="473"/>
      <c r="AS570" s="473"/>
      <c r="AT570" s="473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</row>
    <row r="571">
      <c r="A571" s="448" t="s">
        <v>152</v>
      </c>
      <c r="B571" s="358"/>
      <c r="C571" s="359"/>
      <c r="D571" s="358"/>
      <c r="E571" s="359"/>
      <c r="F571" s="358"/>
      <c r="G571" s="359"/>
      <c r="H571" s="358"/>
      <c r="I571" s="358"/>
      <c r="J571" s="359"/>
      <c r="K571" s="358"/>
      <c r="L571" s="358"/>
      <c r="M571" s="358"/>
      <c r="N571" s="358"/>
      <c r="O571" s="360"/>
      <c r="P571" s="358"/>
      <c r="Q571" s="358"/>
      <c r="R571" s="358"/>
      <c r="S571" s="358"/>
      <c r="T571" s="358"/>
      <c r="U571" s="359" t="s">
        <v>276</v>
      </c>
      <c r="V571" s="359" t="s">
        <v>216</v>
      </c>
      <c r="W571" s="358"/>
      <c r="X571" s="358"/>
      <c r="Y571" s="359" t="s">
        <v>276</v>
      </c>
      <c r="Z571" s="358"/>
      <c r="AA571" s="358"/>
      <c r="AB571" s="359" t="s">
        <v>216</v>
      </c>
      <c r="AC571" s="358"/>
      <c r="AD571" s="359" t="s">
        <v>162</v>
      </c>
      <c r="AE571" s="359" t="s">
        <v>277</v>
      </c>
      <c r="AF571" s="488" t="s">
        <v>278</v>
      </c>
      <c r="AG571" s="472"/>
      <c r="AH571" s="472"/>
      <c r="AI571" s="472"/>
      <c r="AJ571" s="472"/>
      <c r="AK571" s="473"/>
      <c r="AL571" s="473"/>
      <c r="AM571" s="473"/>
      <c r="AN571" s="473"/>
      <c r="AO571" s="473"/>
      <c r="AP571" s="473"/>
      <c r="AQ571" s="473"/>
      <c r="AR571" s="473"/>
      <c r="AS571" s="473"/>
      <c r="AT571" s="473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</row>
    <row r="572">
      <c r="A572" s="315"/>
      <c r="B572" s="230"/>
      <c r="C572" s="230"/>
      <c r="D572" s="230"/>
      <c r="E572" s="230"/>
      <c r="F572" s="230"/>
      <c r="G572" s="230"/>
      <c r="H572" s="230"/>
      <c r="I572" s="230"/>
      <c r="J572" s="230"/>
      <c r="K572" s="230"/>
      <c r="L572" s="230"/>
      <c r="M572" s="230"/>
      <c r="N572" s="230"/>
      <c r="O572" s="231"/>
      <c r="P572" s="230"/>
      <c r="Q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472"/>
      <c r="AH572" s="472"/>
      <c r="AI572" s="472"/>
      <c r="AJ572" s="472"/>
      <c r="AK572" s="473"/>
      <c r="AL572" s="473"/>
      <c r="AM572" s="473"/>
      <c r="AN572" s="473"/>
      <c r="AO572" s="473"/>
      <c r="AP572" s="473"/>
      <c r="AQ572" s="473"/>
      <c r="AR572" s="473"/>
      <c r="AS572" s="473"/>
      <c r="AT572" s="473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</row>
    <row r="573">
      <c r="A573" s="274" t="s">
        <v>279</v>
      </c>
      <c r="B573" s="138"/>
      <c r="C573" s="138"/>
      <c r="D573" s="138"/>
      <c r="E573" s="138"/>
      <c r="F573" s="138"/>
      <c r="G573" s="138"/>
      <c r="H573" s="138"/>
      <c r="I573" s="138"/>
      <c r="J573" s="138"/>
      <c r="K573" s="276"/>
      <c r="L573" s="276"/>
      <c r="M573" s="276"/>
      <c r="N573" s="138"/>
      <c r="O573" s="139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  <c r="AE573" s="138"/>
      <c r="AF573" s="138"/>
      <c r="AG573" s="472"/>
      <c r="AH573" s="472"/>
      <c r="AI573" s="472"/>
      <c r="AJ573" s="472"/>
      <c r="AK573" s="473"/>
      <c r="AL573" s="473"/>
      <c r="AM573" s="473"/>
      <c r="AN573" s="473"/>
      <c r="AO573" s="473"/>
      <c r="AP573" s="473"/>
      <c r="AQ573" s="473"/>
      <c r="AR573" s="473"/>
      <c r="AS573" s="473"/>
      <c r="AT573" s="473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</row>
    <row r="574">
      <c r="A574" s="345" t="s">
        <v>146</v>
      </c>
      <c r="B574" s="347" t="s">
        <v>76</v>
      </c>
      <c r="C574" s="347" t="s">
        <v>76</v>
      </c>
      <c r="D574" s="347"/>
      <c r="E574" s="347"/>
      <c r="F574" s="347" t="s">
        <v>76</v>
      </c>
      <c r="G574" s="347" t="s">
        <v>76</v>
      </c>
      <c r="H574" s="347"/>
      <c r="I574" s="347"/>
      <c r="J574" s="347" t="s">
        <v>76</v>
      </c>
      <c r="K574" s="347" t="s">
        <v>76</v>
      </c>
      <c r="L574" s="347"/>
      <c r="M574" s="347"/>
      <c r="N574" s="347" t="s">
        <v>280</v>
      </c>
      <c r="O574" s="348"/>
      <c r="P574" s="347"/>
      <c r="Q574" s="347"/>
      <c r="R574" s="347" t="s">
        <v>76</v>
      </c>
      <c r="S574" s="347" t="s">
        <v>76</v>
      </c>
      <c r="T574" s="347"/>
      <c r="U574" s="347"/>
      <c r="V574" s="347" t="s">
        <v>76</v>
      </c>
      <c r="W574" s="347" t="s">
        <v>76</v>
      </c>
      <c r="X574" s="347"/>
      <c r="Y574" s="347"/>
      <c r="Z574" s="347" t="s">
        <v>76</v>
      </c>
      <c r="AA574" s="347" t="s">
        <v>76</v>
      </c>
      <c r="AB574" s="347"/>
      <c r="AC574" s="347"/>
      <c r="AD574" s="347" t="s">
        <v>76</v>
      </c>
      <c r="AE574" s="347" t="s">
        <v>76</v>
      </c>
      <c r="AF574" s="489"/>
      <c r="AG574" s="472"/>
      <c r="AH574" s="472"/>
      <c r="AI574" s="472"/>
      <c r="AJ574" s="472"/>
      <c r="AK574" s="473"/>
      <c r="AL574" s="473"/>
      <c r="AM574" s="473"/>
      <c r="AN574" s="473"/>
      <c r="AO574" s="473"/>
      <c r="AP574" s="473"/>
      <c r="AQ574" s="473"/>
      <c r="AR574" s="473"/>
      <c r="AS574" s="473"/>
      <c r="AT574" s="473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</row>
    <row r="575">
      <c r="A575" s="490" t="s">
        <v>220</v>
      </c>
      <c r="B575" s="158"/>
      <c r="C575" s="158"/>
      <c r="D575" s="159" t="s">
        <v>76</v>
      </c>
      <c r="E575" s="159" t="s">
        <v>76</v>
      </c>
      <c r="F575" s="158"/>
      <c r="G575" s="158"/>
      <c r="H575" s="159"/>
      <c r="I575" s="159" t="s">
        <v>76</v>
      </c>
      <c r="J575" s="491"/>
      <c r="K575" s="158"/>
      <c r="L575" s="159" t="s">
        <v>76</v>
      </c>
      <c r="M575" s="159" t="s">
        <v>76</v>
      </c>
      <c r="N575" s="159" t="s">
        <v>281</v>
      </c>
      <c r="O575" s="160"/>
      <c r="P575" s="159" t="s">
        <v>162</v>
      </c>
      <c r="Q575" s="159" t="s">
        <v>76</v>
      </c>
      <c r="R575" s="158"/>
      <c r="S575" s="158"/>
      <c r="T575" s="159" t="s">
        <v>76</v>
      </c>
      <c r="U575" s="159" t="s">
        <v>76</v>
      </c>
      <c r="V575" s="158"/>
      <c r="W575" s="158"/>
      <c r="X575" s="159" t="s">
        <v>76</v>
      </c>
      <c r="Y575" s="159" t="s">
        <v>76</v>
      </c>
      <c r="Z575" s="158"/>
      <c r="AA575" s="158"/>
      <c r="AB575" s="159" t="s">
        <v>76</v>
      </c>
      <c r="AC575" s="159" t="s">
        <v>76</v>
      </c>
      <c r="AD575" s="158"/>
      <c r="AE575" s="158"/>
      <c r="AF575" s="333" t="s">
        <v>76</v>
      </c>
      <c r="AG575" s="472"/>
      <c r="AH575" s="472"/>
      <c r="AI575" s="472"/>
      <c r="AJ575" s="472"/>
      <c r="AK575" s="473"/>
      <c r="AL575" s="473"/>
      <c r="AM575" s="473"/>
      <c r="AN575" s="473"/>
      <c r="AO575" s="473"/>
      <c r="AP575" s="473"/>
      <c r="AQ575" s="473"/>
      <c r="AR575" s="473"/>
      <c r="AS575" s="473"/>
      <c r="AT575" s="473"/>
      <c r="AU575" s="412"/>
      <c r="AV575" s="412"/>
      <c r="AW575" s="412"/>
      <c r="AX575" s="412"/>
      <c r="AY575" s="412"/>
      <c r="AZ575" s="412"/>
      <c r="BA575" s="412"/>
      <c r="BB575" s="412"/>
      <c r="BC575" s="412"/>
      <c r="BD575" s="412"/>
    </row>
    <row r="576">
      <c r="A576" s="448" t="s">
        <v>152</v>
      </c>
      <c r="B576" s="359"/>
      <c r="C576" s="359"/>
      <c r="D576" s="358"/>
      <c r="E576" s="358"/>
      <c r="F576" s="359"/>
      <c r="G576" s="358"/>
      <c r="H576" s="359" t="s">
        <v>162</v>
      </c>
      <c r="I576" s="359"/>
      <c r="J576" s="359"/>
      <c r="K576" s="358"/>
      <c r="L576" s="358"/>
      <c r="M576" s="358"/>
      <c r="N576" s="359"/>
      <c r="O576" s="492" t="s">
        <v>162</v>
      </c>
      <c r="P576" s="359"/>
      <c r="Q576" s="359"/>
      <c r="R576" s="359"/>
      <c r="S576" s="358"/>
      <c r="T576" s="358"/>
      <c r="U576" s="358"/>
      <c r="V576" s="359"/>
      <c r="W576" s="358"/>
      <c r="X576" s="358"/>
      <c r="Y576" s="358"/>
      <c r="Z576" s="359"/>
      <c r="AA576" s="358"/>
      <c r="AB576" s="358"/>
      <c r="AC576" s="358"/>
      <c r="AD576" s="359"/>
      <c r="AE576" s="358"/>
      <c r="AF576" s="493"/>
      <c r="AG576" s="472"/>
      <c r="AH576" s="472"/>
      <c r="AI576" s="472"/>
      <c r="AJ576" s="472"/>
      <c r="AK576" s="473"/>
      <c r="AL576" s="473"/>
      <c r="AM576" s="473"/>
      <c r="AN576" s="473"/>
      <c r="AO576" s="473"/>
      <c r="AP576" s="473"/>
      <c r="AQ576" s="473"/>
      <c r="AR576" s="473"/>
      <c r="AS576" s="473"/>
      <c r="AT576" s="473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</row>
    <row r="577">
      <c r="A577" s="6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472"/>
      <c r="AH577" s="472"/>
      <c r="AI577" s="472"/>
      <c r="AJ577" s="472"/>
      <c r="AK577" s="473"/>
      <c r="AL577" s="473"/>
      <c r="AM577" s="473"/>
      <c r="AN577" s="473"/>
      <c r="AO577" s="473"/>
      <c r="AP577" s="473"/>
      <c r="AQ577" s="473"/>
      <c r="AR577" s="473"/>
      <c r="AS577" s="473"/>
      <c r="AT577" s="473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</row>
    <row r="578">
      <c r="A578" s="458" t="s">
        <v>185</v>
      </c>
      <c r="B578" s="459"/>
      <c r="C578" s="460"/>
      <c r="D578" s="459" t="s">
        <v>276</v>
      </c>
      <c r="E578" s="459"/>
      <c r="F578" s="459"/>
      <c r="G578" s="460"/>
      <c r="H578" s="459" t="s">
        <v>216</v>
      </c>
      <c r="I578" s="459" t="s">
        <v>276</v>
      </c>
      <c r="J578" s="460"/>
      <c r="K578" s="459" t="s">
        <v>216</v>
      </c>
      <c r="L578" s="459" t="s">
        <v>276</v>
      </c>
      <c r="M578" s="460"/>
      <c r="N578" s="459"/>
      <c r="O578" s="461" t="s">
        <v>162</v>
      </c>
      <c r="P578" s="459" t="s">
        <v>162</v>
      </c>
      <c r="Q578" s="459" t="s">
        <v>276</v>
      </c>
      <c r="R578" s="459"/>
      <c r="S578" s="459"/>
      <c r="T578" s="459"/>
      <c r="U578" s="459" t="s">
        <v>276</v>
      </c>
      <c r="V578" s="459"/>
      <c r="W578" s="459" t="s">
        <v>162</v>
      </c>
      <c r="X578" s="459"/>
      <c r="Y578" s="459" t="s">
        <v>276</v>
      </c>
      <c r="Z578" s="459"/>
      <c r="AA578" s="459" t="s">
        <v>216</v>
      </c>
      <c r="AB578" s="459" t="s">
        <v>216</v>
      </c>
      <c r="AC578" s="459"/>
      <c r="AD578" s="459"/>
      <c r="AE578" s="459" t="s">
        <v>216</v>
      </c>
      <c r="AF578" s="494"/>
      <c r="AG578" s="472"/>
      <c r="AH578" s="472"/>
      <c r="AI578" s="472"/>
      <c r="AJ578" s="472"/>
      <c r="AK578" s="473"/>
      <c r="AL578" s="473"/>
      <c r="AM578" s="473"/>
      <c r="AN578" s="473"/>
      <c r="AO578" s="473"/>
      <c r="AP578" s="473"/>
      <c r="AQ578" s="473"/>
      <c r="AR578" s="473"/>
      <c r="AS578" s="473"/>
      <c r="AT578" s="473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</row>
    <row r="579">
      <c r="A579" s="6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427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427"/>
      <c r="AG579" s="472"/>
      <c r="AH579" s="472"/>
      <c r="AI579" s="472"/>
      <c r="AJ579" s="472"/>
      <c r="AK579" s="473"/>
      <c r="AL579" s="473"/>
      <c r="AM579" s="473"/>
      <c r="AN579" s="473"/>
      <c r="AO579" s="473"/>
      <c r="AP579" s="473"/>
      <c r="AQ579" s="473"/>
      <c r="AR579" s="473"/>
      <c r="AS579" s="473"/>
      <c r="AT579" s="473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</row>
    <row r="580">
      <c r="A580" s="6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427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427"/>
      <c r="AG580" s="472"/>
      <c r="AH580" s="472"/>
      <c r="AI580" s="472"/>
      <c r="AJ580" s="472"/>
      <c r="AK580" s="473"/>
      <c r="AL580" s="473"/>
      <c r="AM580" s="473"/>
      <c r="AN580" s="473"/>
      <c r="AO580" s="473"/>
      <c r="AP580" s="473"/>
      <c r="AQ580" s="473"/>
      <c r="AR580" s="473"/>
      <c r="AS580" s="473"/>
      <c r="AT580" s="473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</row>
    <row r="581">
      <c r="A581" s="495" t="s">
        <v>282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472"/>
      <c r="AH581" s="472"/>
      <c r="AI581" s="472"/>
      <c r="AJ581" s="472"/>
      <c r="AK581" s="473"/>
      <c r="AL581" s="473"/>
      <c r="AM581" s="473"/>
      <c r="AN581" s="473"/>
      <c r="AO581" s="473"/>
      <c r="AP581" s="473"/>
      <c r="AQ581" s="473"/>
      <c r="AR581" s="473"/>
      <c r="AS581" s="473"/>
      <c r="AT581" s="473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</row>
    <row r="582">
      <c r="A582" s="474"/>
      <c r="B582" s="261" t="s">
        <v>105</v>
      </c>
      <c r="C582" s="261" t="s">
        <v>99</v>
      </c>
      <c r="D582" s="261" t="s">
        <v>100</v>
      </c>
      <c r="E582" s="261" t="s">
        <v>101</v>
      </c>
      <c r="F582" s="261" t="s">
        <v>102</v>
      </c>
      <c r="G582" s="262" t="s">
        <v>103</v>
      </c>
      <c r="H582" s="261" t="s">
        <v>104</v>
      </c>
      <c r="I582" s="261" t="s">
        <v>105</v>
      </c>
      <c r="J582" s="263" t="s">
        <v>99</v>
      </c>
      <c r="K582" s="261" t="s">
        <v>100</v>
      </c>
      <c r="L582" s="261" t="s">
        <v>101</v>
      </c>
      <c r="M582" s="261" t="s">
        <v>102</v>
      </c>
      <c r="N582" s="262" t="s">
        <v>103</v>
      </c>
      <c r="O582" s="261" t="s">
        <v>104</v>
      </c>
      <c r="P582" s="261" t="s">
        <v>105</v>
      </c>
      <c r="Q582" s="261" t="s">
        <v>99</v>
      </c>
      <c r="R582" s="261" t="s">
        <v>100</v>
      </c>
      <c r="S582" s="261" t="s">
        <v>101</v>
      </c>
      <c r="T582" s="261" t="s">
        <v>102</v>
      </c>
      <c r="U582" s="262" t="s">
        <v>103</v>
      </c>
      <c r="V582" s="261" t="s">
        <v>104</v>
      </c>
      <c r="W582" s="261" t="s">
        <v>105</v>
      </c>
      <c r="X582" s="261" t="s">
        <v>99</v>
      </c>
      <c r="Y582" s="261" t="s">
        <v>100</v>
      </c>
      <c r="Z582" s="261" t="s">
        <v>101</v>
      </c>
      <c r="AA582" s="475" t="s">
        <v>102</v>
      </c>
      <c r="AB582" s="476" t="s">
        <v>103</v>
      </c>
      <c r="AC582" s="477" t="s">
        <v>104</v>
      </c>
      <c r="AD582" s="261" t="s">
        <v>105</v>
      </c>
      <c r="AE582" s="261" t="s">
        <v>99</v>
      </c>
      <c r="AF582" s="261"/>
      <c r="AG582" s="472"/>
      <c r="AH582" s="472"/>
      <c r="AI582" s="472"/>
      <c r="AJ582" s="472"/>
      <c r="AK582" s="473"/>
      <c r="AL582" s="473"/>
      <c r="AM582" s="473"/>
      <c r="AN582" s="473"/>
      <c r="AO582" s="473"/>
      <c r="AP582" s="473"/>
      <c r="AQ582" s="473"/>
      <c r="AR582" s="473"/>
      <c r="AS582" s="473"/>
      <c r="AT582" s="473"/>
      <c r="AU582" s="478"/>
      <c r="AV582" s="314"/>
      <c r="AW582" s="314"/>
      <c r="AX582" s="314"/>
      <c r="AY582" s="314"/>
      <c r="AZ582" s="314"/>
      <c r="BA582" s="314"/>
      <c r="BB582" s="314"/>
      <c r="BC582" s="314"/>
      <c r="BD582" s="314"/>
    </row>
    <row r="583">
      <c r="A583" s="479"/>
      <c r="B583" s="480">
        <v>1.0</v>
      </c>
      <c r="C583" s="480">
        <v>2.0</v>
      </c>
      <c r="D583" s="480">
        <v>3.0</v>
      </c>
      <c r="E583" s="480">
        <v>4.0</v>
      </c>
      <c r="F583" s="480">
        <v>5.0</v>
      </c>
      <c r="G583" s="480">
        <v>6.0</v>
      </c>
      <c r="H583" s="480">
        <v>7.0</v>
      </c>
      <c r="I583" s="480">
        <v>8.0</v>
      </c>
      <c r="J583" s="480">
        <v>9.0</v>
      </c>
      <c r="K583" s="480">
        <v>10.0</v>
      </c>
      <c r="L583" s="480">
        <v>11.0</v>
      </c>
      <c r="M583" s="480">
        <v>12.0</v>
      </c>
      <c r="N583" s="480">
        <v>13.0</v>
      </c>
      <c r="O583" s="480">
        <v>14.0</v>
      </c>
      <c r="P583" s="480">
        <v>15.0</v>
      </c>
      <c r="Q583" s="480">
        <v>16.0</v>
      </c>
      <c r="R583" s="480">
        <v>17.0</v>
      </c>
      <c r="S583" s="480">
        <v>18.0</v>
      </c>
      <c r="T583" s="480">
        <v>19.0</v>
      </c>
      <c r="U583" s="480">
        <v>20.0</v>
      </c>
      <c r="V583" s="480">
        <v>21.0</v>
      </c>
      <c r="W583" s="480">
        <v>22.0</v>
      </c>
      <c r="X583" s="480">
        <v>23.0</v>
      </c>
      <c r="Y583" s="480">
        <v>24.0</v>
      </c>
      <c r="Z583" s="480">
        <v>25.0</v>
      </c>
      <c r="AA583" s="480">
        <v>26.0</v>
      </c>
      <c r="AB583" s="480">
        <v>27.0</v>
      </c>
      <c r="AC583" s="480">
        <v>28.0</v>
      </c>
      <c r="AD583" s="480">
        <v>29.0</v>
      </c>
      <c r="AE583" s="480">
        <v>30.0</v>
      </c>
      <c r="AF583" s="481"/>
      <c r="AG583" s="472"/>
      <c r="AH583" s="472"/>
      <c r="AI583" s="472"/>
      <c r="AJ583" s="472"/>
      <c r="AK583" s="473"/>
      <c r="AL583" s="473"/>
      <c r="AM583" s="473"/>
      <c r="AN583" s="473"/>
      <c r="AO583" s="473"/>
      <c r="AP583" s="473"/>
      <c r="AQ583" s="473"/>
      <c r="AR583" s="473"/>
      <c r="AS583" s="473"/>
      <c r="AT583" s="473"/>
      <c r="AU583" s="482"/>
      <c r="AV583" s="483"/>
      <c r="AW583" s="483"/>
      <c r="AX583" s="483"/>
      <c r="AY583" s="483"/>
      <c r="AZ583" s="483"/>
      <c r="BA583" s="483"/>
      <c r="BB583" s="483"/>
      <c r="BC583" s="483"/>
      <c r="BD583" s="483"/>
    </row>
    <row r="584">
      <c r="A584" s="274" t="s">
        <v>283</v>
      </c>
      <c r="B584" s="429"/>
      <c r="C584" s="429"/>
      <c r="D584" s="463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275"/>
      <c r="P584" s="276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  <c r="AE584" s="138"/>
      <c r="AF584" s="138"/>
      <c r="AG584" s="472"/>
      <c r="AH584" s="472"/>
      <c r="AI584" s="472"/>
      <c r="AJ584" s="472"/>
      <c r="AK584" s="473"/>
      <c r="AL584" s="473"/>
      <c r="AM584" s="473"/>
      <c r="AN584" s="473"/>
      <c r="AO584" s="473"/>
      <c r="AP584" s="473"/>
      <c r="AQ584" s="473"/>
      <c r="AR584" s="473"/>
      <c r="AS584" s="473"/>
      <c r="AT584" s="473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</row>
    <row r="585">
      <c r="A585" s="278" t="s">
        <v>34</v>
      </c>
      <c r="B585" s="148"/>
      <c r="C585" s="148"/>
      <c r="D585" s="148" t="s">
        <v>76</v>
      </c>
      <c r="E585" s="148" t="s">
        <v>76</v>
      </c>
      <c r="F585" s="148"/>
      <c r="G585" s="148"/>
      <c r="H585" s="148" t="s">
        <v>76</v>
      </c>
      <c r="I585" s="148" t="s">
        <v>76</v>
      </c>
      <c r="J585" s="148"/>
      <c r="K585" s="148"/>
      <c r="L585" s="148" t="s">
        <v>76</v>
      </c>
      <c r="M585" s="148" t="s">
        <v>76</v>
      </c>
      <c r="N585" s="279"/>
      <c r="O585" s="149"/>
      <c r="P585" s="148" t="s">
        <v>76</v>
      </c>
      <c r="Q585" s="280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  <c r="AD585" s="148"/>
      <c r="AE585" s="148"/>
      <c r="AF585" s="496"/>
      <c r="AG585" s="472"/>
      <c r="AH585" s="472"/>
      <c r="AI585" s="472"/>
      <c r="AJ585" s="472"/>
      <c r="AK585" s="473"/>
      <c r="AL585" s="473"/>
      <c r="AM585" s="473"/>
      <c r="AN585" s="473"/>
      <c r="AO585" s="473"/>
      <c r="AP585" s="473"/>
      <c r="AQ585" s="473"/>
      <c r="AR585" s="473"/>
      <c r="AS585" s="473"/>
      <c r="AT585" s="473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</row>
    <row r="586" ht="33.0" customHeight="1">
      <c r="A586" s="437" t="s">
        <v>268</v>
      </c>
      <c r="B586" s="212" t="s">
        <v>76</v>
      </c>
      <c r="C586" s="212" t="s">
        <v>76</v>
      </c>
      <c r="D586" s="212"/>
      <c r="E586" s="212"/>
      <c r="F586" s="212" t="s">
        <v>76</v>
      </c>
      <c r="G586" s="212" t="s">
        <v>76</v>
      </c>
      <c r="H586" s="212"/>
      <c r="I586" s="212"/>
      <c r="J586" s="212" t="s">
        <v>76</v>
      </c>
      <c r="K586" s="212" t="s">
        <v>76</v>
      </c>
      <c r="L586" s="212"/>
      <c r="M586" s="212"/>
      <c r="N586" s="464" t="s">
        <v>76</v>
      </c>
      <c r="O586" s="212" t="s">
        <v>76</v>
      </c>
      <c r="P586" s="212"/>
      <c r="Q586" s="465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464"/>
      <c r="AG586" s="472"/>
      <c r="AH586" s="472"/>
      <c r="AI586" s="472"/>
      <c r="AJ586" s="472"/>
      <c r="AK586" s="473"/>
      <c r="AL586" s="473"/>
      <c r="AM586" s="473"/>
      <c r="AN586" s="473"/>
      <c r="AO586" s="473"/>
      <c r="AP586" s="473"/>
      <c r="AQ586" s="473"/>
      <c r="AR586" s="473"/>
      <c r="AS586" s="473"/>
      <c r="AT586" s="473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</row>
    <row r="587">
      <c r="A587" s="441" t="s">
        <v>152</v>
      </c>
      <c r="B587" s="398"/>
      <c r="C587" s="398"/>
      <c r="D587" s="398"/>
      <c r="E587" s="397"/>
      <c r="F587" s="398"/>
      <c r="G587" s="398"/>
      <c r="H587" s="398"/>
      <c r="I587" s="398"/>
      <c r="J587" s="398"/>
      <c r="K587" s="398"/>
      <c r="L587" s="398"/>
      <c r="M587" s="398"/>
      <c r="N587" s="485"/>
      <c r="O587" s="398"/>
      <c r="P587" s="398"/>
      <c r="Q587" s="401"/>
      <c r="R587" s="398"/>
      <c r="S587" s="398"/>
      <c r="T587" s="398"/>
      <c r="U587" s="397"/>
      <c r="V587" s="398"/>
      <c r="W587" s="398"/>
      <c r="X587" s="398"/>
      <c r="Y587" s="398"/>
      <c r="Z587" s="397"/>
      <c r="AA587" s="397"/>
      <c r="AB587" s="398"/>
      <c r="AC587" s="397"/>
      <c r="AD587" s="397"/>
      <c r="AE587" s="397"/>
      <c r="AF587" s="442"/>
      <c r="AG587" s="472"/>
      <c r="AH587" s="472"/>
      <c r="AI587" s="472"/>
      <c r="AJ587" s="472"/>
      <c r="AK587" s="473"/>
      <c r="AL587" s="473"/>
      <c r="AM587" s="473"/>
      <c r="AN587" s="473"/>
      <c r="AO587" s="473"/>
      <c r="AP587" s="473"/>
      <c r="AQ587" s="473"/>
      <c r="AR587" s="473"/>
      <c r="AS587" s="473"/>
      <c r="AT587" s="473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</row>
    <row r="588">
      <c r="A588" s="274" t="s">
        <v>284</v>
      </c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9"/>
      <c r="P588" s="138"/>
      <c r="Q588" s="138"/>
      <c r="R588" s="138"/>
      <c r="S588" s="138"/>
      <c r="T588" s="138"/>
      <c r="U588" s="138"/>
      <c r="V588" s="463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472"/>
      <c r="AH588" s="472"/>
      <c r="AI588" s="472"/>
      <c r="AJ588" s="472"/>
      <c r="AK588" s="473"/>
      <c r="AL588" s="473"/>
      <c r="AM588" s="473"/>
      <c r="AN588" s="473"/>
      <c r="AO588" s="473"/>
      <c r="AP588" s="473"/>
      <c r="AQ588" s="473"/>
      <c r="AR588" s="473"/>
      <c r="AS588" s="473"/>
      <c r="AT588" s="473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</row>
    <row r="589">
      <c r="A589" s="304" t="s">
        <v>67</v>
      </c>
      <c r="B589" s="159" t="s">
        <v>76</v>
      </c>
      <c r="C589" s="159"/>
      <c r="D589" s="159" t="s">
        <v>76</v>
      </c>
      <c r="E589" s="159" t="s">
        <v>76</v>
      </c>
      <c r="F589" s="159" t="s">
        <v>76</v>
      </c>
      <c r="G589" s="159"/>
      <c r="H589" s="159"/>
      <c r="I589" s="159" t="s">
        <v>76</v>
      </c>
      <c r="J589" s="159" t="s">
        <v>76</v>
      </c>
      <c r="K589" s="159"/>
      <c r="L589" s="159"/>
      <c r="M589" s="159" t="s">
        <v>201</v>
      </c>
      <c r="N589" s="159" t="s">
        <v>76</v>
      </c>
      <c r="O589" s="159" t="s">
        <v>76</v>
      </c>
      <c r="P589" s="159"/>
      <c r="Q589" s="159"/>
      <c r="R589" s="159" t="s">
        <v>76</v>
      </c>
      <c r="S589" s="159" t="s">
        <v>76</v>
      </c>
      <c r="T589" s="159" t="s">
        <v>76</v>
      </c>
      <c r="U589" s="159" t="s">
        <v>76</v>
      </c>
      <c r="V589" s="159" t="s">
        <v>76</v>
      </c>
      <c r="W589" s="159"/>
      <c r="X589" s="159"/>
      <c r="Y589" s="159" t="s">
        <v>76</v>
      </c>
      <c r="Z589" s="159" t="s">
        <v>76</v>
      </c>
      <c r="AA589" s="159" t="s">
        <v>76</v>
      </c>
      <c r="AB589" s="159"/>
      <c r="AC589" s="159" t="s">
        <v>76</v>
      </c>
      <c r="AD589" s="159"/>
      <c r="AE589" s="159" t="s">
        <v>76</v>
      </c>
      <c r="AF589" s="333"/>
      <c r="AG589" s="472"/>
      <c r="AH589" s="472"/>
      <c r="AI589" s="472"/>
      <c r="AJ589" s="472"/>
      <c r="AK589" s="473"/>
      <c r="AL589" s="473"/>
      <c r="AM589" s="473"/>
      <c r="AN589" s="473"/>
      <c r="AO589" s="473"/>
      <c r="AP589" s="473"/>
      <c r="AQ589" s="473"/>
      <c r="AR589" s="473"/>
      <c r="AS589" s="473"/>
      <c r="AT589" s="473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</row>
    <row r="590">
      <c r="A590" s="305" t="s">
        <v>117</v>
      </c>
      <c r="B590" s="241"/>
      <c r="C590" s="241" t="s">
        <v>76</v>
      </c>
      <c r="D590" s="241"/>
      <c r="E590" s="241"/>
      <c r="F590" s="241"/>
      <c r="G590" s="241" t="s">
        <v>76</v>
      </c>
      <c r="H590" s="241" t="s">
        <v>76</v>
      </c>
      <c r="I590" s="241"/>
      <c r="J590" s="241"/>
      <c r="K590" s="241" t="s">
        <v>76</v>
      </c>
      <c r="L590" s="241" t="s">
        <v>76</v>
      </c>
      <c r="M590" s="241"/>
      <c r="N590" s="241"/>
      <c r="O590" s="254"/>
      <c r="P590" s="241" t="s">
        <v>76</v>
      </c>
      <c r="Q590" s="241" t="s">
        <v>76</v>
      </c>
      <c r="R590" s="241"/>
      <c r="S590" s="241"/>
      <c r="T590" s="241"/>
      <c r="U590" s="241"/>
      <c r="V590" s="241"/>
      <c r="W590" s="241" t="s">
        <v>76</v>
      </c>
      <c r="X590" s="241" t="s">
        <v>76</v>
      </c>
      <c r="Y590" s="241"/>
      <c r="Z590" s="241"/>
      <c r="AA590" s="241"/>
      <c r="AB590" s="241" t="s">
        <v>76</v>
      </c>
      <c r="AC590" s="241"/>
      <c r="AD590" s="241" t="s">
        <v>76</v>
      </c>
      <c r="AE590" s="241"/>
      <c r="AF590" s="486"/>
      <c r="AG590" s="472"/>
      <c r="AH590" s="472"/>
      <c r="AI590" s="472"/>
      <c r="AJ590" s="472"/>
      <c r="AK590" s="473"/>
      <c r="AL590" s="473"/>
      <c r="AM590" s="473"/>
      <c r="AN590" s="473"/>
      <c r="AO590" s="473"/>
      <c r="AP590" s="473"/>
      <c r="AQ590" s="473"/>
      <c r="AR590" s="473"/>
      <c r="AS590" s="473"/>
      <c r="AT590" s="473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</row>
    <row r="591">
      <c r="A591" s="444" t="s">
        <v>152</v>
      </c>
      <c r="B591" s="227"/>
      <c r="C591" s="227"/>
      <c r="D591" s="227"/>
      <c r="E591" s="227"/>
      <c r="F591" s="225"/>
      <c r="G591" s="405"/>
      <c r="H591" s="227"/>
      <c r="I591" s="227"/>
      <c r="J591" s="225"/>
      <c r="K591" s="225"/>
      <c r="L591" s="227"/>
      <c r="M591" s="227"/>
      <c r="N591" s="225"/>
      <c r="O591" s="226"/>
      <c r="P591" s="227"/>
      <c r="Q591" s="227"/>
      <c r="R591" s="225"/>
      <c r="S591" s="225"/>
      <c r="T591" s="227"/>
      <c r="U591" s="227"/>
      <c r="V591" s="225"/>
      <c r="W591" s="225"/>
      <c r="X591" s="227"/>
      <c r="Y591" s="227"/>
      <c r="Z591" s="225"/>
      <c r="AA591" s="225"/>
      <c r="AB591" s="227"/>
      <c r="AC591" s="227"/>
      <c r="AD591" s="225"/>
      <c r="AE591" s="225"/>
      <c r="AF591" s="301"/>
      <c r="AG591" s="472"/>
      <c r="AH591" s="472"/>
      <c r="AI591" s="472"/>
      <c r="AJ591" s="472"/>
      <c r="AK591" s="473"/>
      <c r="AL591" s="473"/>
      <c r="AM591" s="473"/>
      <c r="AN591" s="473"/>
      <c r="AO591" s="473"/>
      <c r="AP591" s="473"/>
      <c r="AQ591" s="473"/>
      <c r="AR591" s="473"/>
      <c r="AS591" s="473"/>
      <c r="AT591" s="473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</row>
    <row r="592">
      <c r="A592" s="30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9"/>
      <c r="P592" s="138"/>
      <c r="Q592" s="138"/>
      <c r="R592" s="138"/>
      <c r="S592" s="4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472"/>
      <c r="AH592" s="472"/>
      <c r="AI592" s="472"/>
      <c r="AJ592" s="472"/>
      <c r="AK592" s="473"/>
      <c r="AL592" s="473"/>
      <c r="AM592" s="473"/>
      <c r="AN592" s="473"/>
      <c r="AO592" s="473"/>
      <c r="AP592" s="473"/>
      <c r="AQ592" s="473"/>
      <c r="AR592" s="473"/>
      <c r="AS592" s="473"/>
      <c r="AT592" s="473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</row>
    <row r="593">
      <c r="A593" s="274" t="s">
        <v>285</v>
      </c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9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  <c r="AE593" s="138"/>
      <c r="AF593" s="138"/>
      <c r="AG593" s="472"/>
      <c r="AH593" s="472"/>
      <c r="AI593" s="472"/>
      <c r="AJ593" s="472"/>
      <c r="AK593" s="473"/>
      <c r="AL593" s="473"/>
      <c r="AM593" s="473"/>
      <c r="AN593" s="473"/>
      <c r="AO593" s="473"/>
      <c r="AP593" s="473"/>
      <c r="AQ593" s="473"/>
      <c r="AR593" s="473"/>
      <c r="AS593" s="473"/>
      <c r="AT593" s="473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</row>
    <row r="594">
      <c r="A594" s="309" t="s">
        <v>31</v>
      </c>
      <c r="B594" s="183"/>
      <c r="C594" s="183"/>
      <c r="D594" s="183" t="s">
        <v>76</v>
      </c>
      <c r="E594" s="183"/>
      <c r="F594" s="183"/>
      <c r="G594" s="183"/>
      <c r="H594" s="183" t="s">
        <v>76</v>
      </c>
      <c r="I594" s="183" t="s">
        <v>179</v>
      </c>
      <c r="J594" s="183"/>
      <c r="K594" s="183" t="s">
        <v>76</v>
      </c>
      <c r="L594" s="183" t="s">
        <v>76</v>
      </c>
      <c r="M594" s="183" t="s">
        <v>179</v>
      </c>
      <c r="N594" s="183"/>
      <c r="O594" s="184"/>
      <c r="P594" s="183" t="s">
        <v>76</v>
      </c>
      <c r="Q594" s="183" t="s">
        <v>179</v>
      </c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/>
      <c r="AF594" s="487"/>
      <c r="AG594" s="472"/>
      <c r="AH594" s="472"/>
      <c r="AI594" s="472"/>
      <c r="AJ594" s="472"/>
      <c r="AK594" s="473"/>
      <c r="AL594" s="473"/>
      <c r="AM594" s="473"/>
      <c r="AN594" s="473"/>
      <c r="AO594" s="473"/>
      <c r="AP594" s="473"/>
      <c r="AQ594" s="473"/>
      <c r="AR594" s="473"/>
      <c r="AS594" s="473"/>
      <c r="AT594" s="473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</row>
    <row r="595">
      <c r="A595" s="307" t="s">
        <v>240</v>
      </c>
      <c r="B595" s="227" t="s">
        <v>286</v>
      </c>
      <c r="C595" s="227" t="s">
        <v>286</v>
      </c>
      <c r="D595" s="227"/>
      <c r="E595" s="227" t="s">
        <v>286</v>
      </c>
      <c r="F595" s="227" t="s">
        <v>286</v>
      </c>
      <c r="G595" s="227" t="s">
        <v>286</v>
      </c>
      <c r="H595" s="227"/>
      <c r="I595" s="227"/>
      <c r="J595" s="227" t="s">
        <v>286</v>
      </c>
      <c r="K595" s="227"/>
      <c r="L595" s="227"/>
      <c r="M595" s="227"/>
      <c r="N595" s="227" t="s">
        <v>286</v>
      </c>
      <c r="O595" s="302" t="s">
        <v>286</v>
      </c>
      <c r="P595" s="227"/>
      <c r="Q595" s="227"/>
      <c r="R595" s="227" t="s">
        <v>76</v>
      </c>
      <c r="S595" s="227" t="s">
        <v>76</v>
      </c>
      <c r="T595" s="227"/>
      <c r="U595" s="227"/>
      <c r="V595" s="227" t="s">
        <v>76</v>
      </c>
      <c r="W595" s="227" t="s">
        <v>76</v>
      </c>
      <c r="X595" s="227"/>
      <c r="Y595" s="227"/>
      <c r="Z595" s="227"/>
      <c r="AA595" s="227"/>
      <c r="AB595" s="227"/>
      <c r="AC595" s="227"/>
      <c r="AD595" s="227"/>
      <c r="AE595" s="227"/>
      <c r="AF595" s="301"/>
      <c r="AG595" s="472"/>
      <c r="AH595" s="472"/>
      <c r="AI595" s="472"/>
      <c r="AJ595" s="472"/>
      <c r="AK595" s="473"/>
      <c r="AL595" s="473"/>
      <c r="AM595" s="473"/>
      <c r="AN595" s="473"/>
      <c r="AO595" s="473"/>
      <c r="AP595" s="473"/>
      <c r="AQ595" s="473"/>
      <c r="AR595" s="473"/>
      <c r="AS595" s="473"/>
      <c r="AT595" s="473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</row>
    <row r="596">
      <c r="A596" s="448" t="s">
        <v>152</v>
      </c>
      <c r="B596" s="358"/>
      <c r="C596" s="359"/>
      <c r="D596" s="358"/>
      <c r="E596" s="359"/>
      <c r="F596" s="358"/>
      <c r="G596" s="359"/>
      <c r="H596" s="358"/>
      <c r="I596" s="358"/>
      <c r="J596" s="359"/>
      <c r="K596" s="358"/>
      <c r="L596" s="358"/>
      <c r="M596" s="358"/>
      <c r="N596" s="358"/>
      <c r="O596" s="360"/>
      <c r="P596" s="358"/>
      <c r="Q596" s="358"/>
      <c r="R596" s="358"/>
      <c r="S596" s="358"/>
      <c r="T596" s="358"/>
      <c r="U596" s="359"/>
      <c r="V596" s="359"/>
      <c r="W596" s="358"/>
      <c r="X596" s="358"/>
      <c r="Y596" s="359"/>
      <c r="Z596" s="358"/>
      <c r="AA596" s="358"/>
      <c r="AB596" s="358"/>
      <c r="AC596" s="358"/>
      <c r="AD596" s="358"/>
      <c r="AE596" s="359"/>
      <c r="AF596" s="488"/>
      <c r="AG596" s="472"/>
      <c r="AH596" s="472"/>
      <c r="AI596" s="472"/>
      <c r="AJ596" s="472"/>
      <c r="AK596" s="473"/>
      <c r="AL596" s="473"/>
      <c r="AM596" s="473"/>
      <c r="AN596" s="473"/>
      <c r="AO596" s="473"/>
      <c r="AP596" s="473"/>
      <c r="AQ596" s="473"/>
      <c r="AR596" s="473"/>
      <c r="AS596" s="473"/>
      <c r="AT596" s="473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</row>
    <row r="597">
      <c r="A597" s="315"/>
      <c r="B597" s="230"/>
      <c r="C597" s="230"/>
      <c r="D597" s="230"/>
      <c r="E597" s="230"/>
      <c r="F597" s="230"/>
      <c r="G597" s="230"/>
      <c r="H597" s="230"/>
      <c r="I597" s="230"/>
      <c r="J597" s="230"/>
      <c r="K597" s="230"/>
      <c r="L597" s="230"/>
      <c r="M597" s="230"/>
      <c r="N597" s="230"/>
      <c r="O597" s="231"/>
      <c r="P597" s="230"/>
      <c r="Q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472"/>
      <c r="AH597" s="472"/>
      <c r="AI597" s="472"/>
      <c r="AJ597" s="472"/>
      <c r="AK597" s="473"/>
      <c r="AL597" s="473"/>
      <c r="AM597" s="473"/>
      <c r="AN597" s="473"/>
      <c r="AO597" s="473"/>
      <c r="AP597" s="473"/>
      <c r="AQ597" s="473"/>
      <c r="AR597" s="473"/>
      <c r="AS597" s="473"/>
      <c r="AT597" s="473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</row>
    <row r="598">
      <c r="A598" s="274" t="s">
        <v>287</v>
      </c>
      <c r="B598" s="138"/>
      <c r="C598" s="138"/>
      <c r="D598" s="138"/>
      <c r="E598" s="138"/>
      <c r="F598" s="138"/>
      <c r="G598" s="138"/>
      <c r="H598" s="138"/>
      <c r="I598" s="138"/>
      <c r="J598" s="138"/>
      <c r="K598" s="276"/>
      <c r="L598" s="276"/>
      <c r="M598" s="276"/>
      <c r="N598" s="138"/>
      <c r="O598" s="139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472"/>
      <c r="AH598" s="472"/>
      <c r="AI598" s="472"/>
      <c r="AJ598" s="472"/>
      <c r="AK598" s="473"/>
      <c r="AL598" s="473"/>
      <c r="AM598" s="473"/>
      <c r="AN598" s="473"/>
      <c r="AO598" s="473"/>
      <c r="AP598" s="473"/>
      <c r="AQ598" s="473"/>
      <c r="AR598" s="473"/>
      <c r="AS598" s="473"/>
      <c r="AT598" s="473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</row>
    <row r="599">
      <c r="A599" s="345" t="s">
        <v>146</v>
      </c>
      <c r="B599" s="347"/>
      <c r="C599" s="347" t="s">
        <v>130</v>
      </c>
      <c r="D599" s="347" t="s">
        <v>130</v>
      </c>
      <c r="E599" s="347"/>
      <c r="F599" s="347"/>
      <c r="G599" s="347" t="s">
        <v>130</v>
      </c>
      <c r="H599" s="347" t="s">
        <v>130</v>
      </c>
      <c r="I599" s="347"/>
      <c r="J599" s="347"/>
      <c r="K599" s="347" t="s">
        <v>130</v>
      </c>
      <c r="L599" s="347" t="s">
        <v>130</v>
      </c>
      <c r="M599" s="347"/>
      <c r="N599" s="347"/>
      <c r="O599" s="348" t="s">
        <v>130</v>
      </c>
      <c r="P599" s="347" t="s">
        <v>130</v>
      </c>
      <c r="Q599" s="347"/>
      <c r="R599" s="347"/>
      <c r="S599" s="347" t="s">
        <v>130</v>
      </c>
      <c r="T599" s="347" t="s">
        <v>130</v>
      </c>
      <c r="U599" s="347"/>
      <c r="V599" s="347"/>
      <c r="W599" s="347" t="s">
        <v>130</v>
      </c>
      <c r="X599" s="347" t="s">
        <v>130</v>
      </c>
      <c r="Y599" s="347"/>
      <c r="Z599" s="347"/>
      <c r="AA599" s="347" t="s">
        <v>130</v>
      </c>
      <c r="AB599" s="347" t="s">
        <v>130</v>
      </c>
      <c r="AC599" s="347"/>
      <c r="AD599" s="347"/>
      <c r="AE599" s="347" t="s">
        <v>130</v>
      </c>
      <c r="AF599" s="489"/>
      <c r="AG599" s="472"/>
      <c r="AH599" s="472"/>
      <c r="AI599" s="472"/>
      <c r="AJ599" s="472"/>
      <c r="AK599" s="473"/>
      <c r="AL599" s="473"/>
      <c r="AM599" s="473"/>
      <c r="AN599" s="473"/>
      <c r="AO599" s="473"/>
      <c r="AP599" s="473"/>
      <c r="AQ599" s="473"/>
      <c r="AR599" s="473"/>
      <c r="AS599" s="473"/>
      <c r="AT599" s="473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</row>
    <row r="600">
      <c r="A600" s="490" t="s">
        <v>220</v>
      </c>
      <c r="B600" s="159" t="s">
        <v>130</v>
      </c>
      <c r="C600" s="158"/>
      <c r="D600" s="159"/>
      <c r="E600" s="159" t="s">
        <v>130</v>
      </c>
      <c r="F600" s="159" t="s">
        <v>130</v>
      </c>
      <c r="G600" s="158"/>
      <c r="H600" s="159"/>
      <c r="I600" s="159" t="s">
        <v>130</v>
      </c>
      <c r="J600" s="491" t="s">
        <v>130</v>
      </c>
      <c r="K600" s="158"/>
      <c r="L600" s="159"/>
      <c r="M600" s="159" t="s">
        <v>130</v>
      </c>
      <c r="N600" s="159" t="s">
        <v>130</v>
      </c>
      <c r="O600" s="160"/>
      <c r="P600" s="159"/>
      <c r="Q600" s="159" t="s">
        <v>130</v>
      </c>
      <c r="R600" s="159" t="s">
        <v>130</v>
      </c>
      <c r="S600" s="158"/>
      <c r="T600" s="159"/>
      <c r="U600" s="159" t="s">
        <v>130</v>
      </c>
      <c r="V600" s="159" t="s">
        <v>130</v>
      </c>
      <c r="W600" s="158"/>
      <c r="X600" s="159"/>
      <c r="Y600" s="159" t="s">
        <v>130</v>
      </c>
      <c r="Z600" s="159" t="s">
        <v>130</v>
      </c>
      <c r="AA600" s="158"/>
      <c r="AB600" s="159"/>
      <c r="AC600" s="159" t="s">
        <v>130</v>
      </c>
      <c r="AD600" s="159" t="s">
        <v>130</v>
      </c>
      <c r="AE600" s="158"/>
      <c r="AF600" s="333"/>
      <c r="AG600" s="472"/>
      <c r="AH600" s="472"/>
      <c r="AI600" s="472"/>
      <c r="AJ600" s="472"/>
      <c r="AK600" s="473"/>
      <c r="AL600" s="473"/>
      <c r="AM600" s="473"/>
      <c r="AN600" s="473"/>
      <c r="AO600" s="473"/>
      <c r="AP600" s="473"/>
      <c r="AQ600" s="473"/>
      <c r="AR600" s="473"/>
      <c r="AS600" s="473"/>
      <c r="AT600" s="473"/>
      <c r="AU600" s="412"/>
      <c r="AV600" s="412"/>
      <c r="AW600" s="412"/>
      <c r="AX600" s="412"/>
      <c r="AY600" s="412"/>
      <c r="AZ600" s="412"/>
      <c r="BA600" s="412"/>
      <c r="BB600" s="412"/>
      <c r="BC600" s="412"/>
      <c r="BD600" s="412"/>
    </row>
    <row r="601">
      <c r="A601" s="448" t="s">
        <v>152</v>
      </c>
      <c r="B601" s="359"/>
      <c r="C601" s="359"/>
      <c r="D601" s="358"/>
      <c r="E601" s="358"/>
      <c r="F601" s="359"/>
      <c r="G601" s="358"/>
      <c r="H601" s="359"/>
      <c r="I601" s="359"/>
      <c r="J601" s="359"/>
      <c r="K601" s="358"/>
      <c r="L601" s="358"/>
      <c r="M601" s="358"/>
      <c r="N601" s="359"/>
      <c r="O601" s="492"/>
      <c r="P601" s="359"/>
      <c r="Q601" s="359"/>
      <c r="R601" s="359"/>
      <c r="S601" s="358"/>
      <c r="T601" s="358"/>
      <c r="U601" s="358"/>
      <c r="V601" s="359"/>
      <c r="W601" s="358"/>
      <c r="X601" s="358"/>
      <c r="Y601" s="358"/>
      <c r="Z601" s="359"/>
      <c r="AA601" s="358"/>
      <c r="AB601" s="358"/>
      <c r="AC601" s="358"/>
      <c r="AD601" s="359"/>
      <c r="AE601" s="358"/>
      <c r="AF601" s="493"/>
      <c r="AG601" s="472"/>
      <c r="AH601" s="472"/>
      <c r="AI601" s="472"/>
      <c r="AJ601" s="472"/>
      <c r="AK601" s="473"/>
      <c r="AL601" s="473"/>
      <c r="AM601" s="473"/>
      <c r="AN601" s="473"/>
      <c r="AO601" s="473"/>
      <c r="AP601" s="473"/>
      <c r="AQ601" s="473"/>
      <c r="AR601" s="473"/>
      <c r="AS601" s="473"/>
      <c r="AT601" s="473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</row>
    <row r="602">
      <c r="A602" s="6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472"/>
      <c r="AH602" s="472"/>
      <c r="AI602" s="472"/>
      <c r="AJ602" s="472"/>
      <c r="AK602" s="473"/>
      <c r="AL602" s="473"/>
      <c r="AM602" s="473"/>
      <c r="AN602" s="473"/>
      <c r="AO602" s="473"/>
      <c r="AP602" s="473"/>
      <c r="AQ602" s="473"/>
      <c r="AR602" s="473"/>
      <c r="AS602" s="473"/>
      <c r="AT602" s="473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</row>
    <row r="603">
      <c r="A603" s="458" t="s">
        <v>185</v>
      </c>
      <c r="B603" s="459"/>
      <c r="C603" s="459" t="s">
        <v>201</v>
      </c>
      <c r="D603" s="459"/>
      <c r="E603" s="459"/>
      <c r="F603" s="459" t="s">
        <v>201</v>
      </c>
      <c r="G603" s="460"/>
      <c r="H603" s="459"/>
      <c r="I603" s="459"/>
      <c r="J603" s="459"/>
      <c r="K603" s="459"/>
      <c r="L603" s="459"/>
      <c r="M603" s="460"/>
      <c r="N603" s="459"/>
      <c r="O603" s="461" t="s">
        <v>201</v>
      </c>
      <c r="P603" s="459"/>
      <c r="Q603" s="459"/>
      <c r="R603" s="459"/>
      <c r="S603" s="459"/>
      <c r="T603" s="459"/>
      <c r="U603" s="459"/>
      <c r="V603" s="459"/>
      <c r="W603" s="459"/>
      <c r="X603" s="459"/>
      <c r="Y603" s="459"/>
      <c r="Z603" s="459"/>
      <c r="AA603" s="459"/>
      <c r="AB603" s="459"/>
      <c r="AC603" s="459"/>
      <c r="AD603" s="459"/>
      <c r="AE603" s="459"/>
      <c r="AF603" s="494"/>
      <c r="AG603" s="472"/>
      <c r="AH603" s="472"/>
      <c r="AI603" s="472"/>
      <c r="AJ603" s="472"/>
      <c r="AK603" s="473"/>
      <c r="AL603" s="473"/>
      <c r="AM603" s="473"/>
      <c r="AN603" s="473"/>
      <c r="AO603" s="473"/>
      <c r="AP603" s="473"/>
      <c r="AQ603" s="473"/>
      <c r="AR603" s="473"/>
      <c r="AS603" s="473"/>
      <c r="AT603" s="473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</row>
    <row r="604">
      <c r="A604" s="6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427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427"/>
      <c r="AG604" s="472"/>
      <c r="AH604" s="472"/>
      <c r="AI604" s="472"/>
      <c r="AJ604" s="472"/>
      <c r="AK604" s="473"/>
      <c r="AL604" s="473"/>
      <c r="AM604" s="473"/>
      <c r="AN604" s="473"/>
      <c r="AO604" s="473"/>
      <c r="AP604" s="473"/>
      <c r="AQ604" s="473"/>
      <c r="AR604" s="473"/>
      <c r="AS604" s="473"/>
      <c r="AT604" s="473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</row>
    <row r="605">
      <c r="A605" s="6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427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427"/>
      <c r="AG605" s="472"/>
      <c r="AH605" s="472"/>
      <c r="AI605" s="472"/>
      <c r="AJ605" s="472"/>
      <c r="AK605" s="473"/>
      <c r="AL605" s="473"/>
      <c r="AM605" s="473"/>
      <c r="AN605" s="473"/>
      <c r="AO605" s="473"/>
      <c r="AP605" s="473"/>
      <c r="AQ605" s="473"/>
      <c r="AR605" s="473"/>
      <c r="AS605" s="473"/>
      <c r="AT605" s="473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</row>
    <row r="606">
      <c r="A606" s="6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427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427"/>
      <c r="AG606" s="472"/>
      <c r="AH606" s="472"/>
      <c r="AI606" s="472"/>
      <c r="AJ606" s="472"/>
      <c r="AK606" s="473"/>
      <c r="AL606" s="473"/>
      <c r="AM606" s="473"/>
      <c r="AN606" s="473"/>
      <c r="AO606" s="473"/>
      <c r="AP606" s="473"/>
      <c r="AQ606" s="473"/>
      <c r="AR606" s="473"/>
      <c r="AS606" s="473"/>
      <c r="AT606" s="473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</row>
    <row r="607">
      <c r="A607" s="6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427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427"/>
      <c r="AG607" s="472"/>
      <c r="AH607" s="472"/>
      <c r="AI607" s="472"/>
      <c r="AJ607" s="472"/>
      <c r="AK607" s="473"/>
      <c r="AL607" s="473"/>
      <c r="AM607" s="473"/>
      <c r="AN607" s="473"/>
      <c r="AO607" s="473"/>
      <c r="AP607" s="473"/>
      <c r="AQ607" s="473"/>
      <c r="AR607" s="473"/>
      <c r="AS607" s="473"/>
      <c r="AT607" s="473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</row>
    <row r="608">
      <c r="A608" s="6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427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427"/>
      <c r="AG608" s="472"/>
      <c r="AH608" s="472"/>
      <c r="AI608" s="472"/>
      <c r="AJ608" s="472"/>
      <c r="AK608" s="473"/>
      <c r="AL608" s="473"/>
      <c r="AM608" s="473"/>
      <c r="AN608" s="473"/>
      <c r="AO608" s="473"/>
      <c r="AP608" s="473"/>
      <c r="AQ608" s="473"/>
      <c r="AR608" s="473"/>
      <c r="AS608" s="473"/>
      <c r="AT608" s="473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</row>
    <row r="609">
      <c r="A609" s="6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427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427"/>
      <c r="AG609" s="472"/>
      <c r="AH609" s="472"/>
      <c r="AI609" s="472"/>
      <c r="AJ609" s="472"/>
      <c r="AK609" s="473"/>
      <c r="AL609" s="473"/>
      <c r="AM609" s="473"/>
      <c r="AN609" s="473"/>
      <c r="AO609" s="473"/>
      <c r="AP609" s="473"/>
      <c r="AQ609" s="473"/>
      <c r="AR609" s="473"/>
      <c r="AS609" s="473"/>
      <c r="AT609" s="473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</row>
    <row r="610">
      <c r="A610" s="6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427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427"/>
      <c r="AG610" s="472"/>
      <c r="AH610" s="472"/>
      <c r="AI610" s="472"/>
      <c r="AJ610" s="472"/>
      <c r="AK610" s="473"/>
      <c r="AL610" s="473"/>
      <c r="AM610" s="473"/>
      <c r="AN610" s="473"/>
      <c r="AO610" s="473"/>
      <c r="AP610" s="473"/>
      <c r="AQ610" s="473"/>
      <c r="AR610" s="473"/>
      <c r="AS610" s="473"/>
      <c r="AT610" s="473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</row>
    <row r="611">
      <c r="A611" s="6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427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427"/>
      <c r="AG611" s="472"/>
      <c r="AH611" s="472"/>
      <c r="AI611" s="472"/>
      <c r="AJ611" s="472"/>
      <c r="AK611" s="473"/>
      <c r="AL611" s="473"/>
      <c r="AM611" s="473"/>
      <c r="AN611" s="473"/>
      <c r="AO611" s="473"/>
      <c r="AP611" s="473"/>
      <c r="AQ611" s="473"/>
      <c r="AR611" s="473"/>
      <c r="AS611" s="473"/>
      <c r="AT611" s="473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</row>
    <row r="612">
      <c r="A612" s="6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427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427"/>
      <c r="AG612" s="472"/>
      <c r="AH612" s="472"/>
      <c r="AI612" s="472"/>
      <c r="AJ612" s="472"/>
      <c r="AK612" s="473"/>
      <c r="AL612" s="473"/>
      <c r="AM612" s="473"/>
      <c r="AN612" s="473"/>
      <c r="AO612" s="473"/>
      <c r="AP612" s="473"/>
      <c r="AQ612" s="473"/>
      <c r="AR612" s="473"/>
      <c r="AS612" s="473"/>
      <c r="AT612" s="473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</row>
    <row r="613">
      <c r="A613" s="6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427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427"/>
      <c r="AG613" s="472"/>
      <c r="AH613" s="472"/>
      <c r="AI613" s="472"/>
      <c r="AJ613" s="472"/>
      <c r="AK613" s="473"/>
      <c r="AL613" s="473"/>
      <c r="AM613" s="473"/>
      <c r="AN613" s="473"/>
      <c r="AO613" s="473"/>
      <c r="AP613" s="473"/>
      <c r="AQ613" s="473"/>
      <c r="AR613" s="473"/>
      <c r="AS613" s="473"/>
      <c r="AT613" s="473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</row>
    <row r="614">
      <c r="A614" s="6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427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427"/>
      <c r="AG614" s="472"/>
      <c r="AH614" s="472"/>
      <c r="AI614" s="472"/>
      <c r="AJ614" s="472"/>
      <c r="AK614" s="473"/>
      <c r="AL614" s="473"/>
      <c r="AM614" s="473"/>
      <c r="AN614" s="473"/>
      <c r="AO614" s="473"/>
      <c r="AP614" s="473"/>
      <c r="AQ614" s="473"/>
      <c r="AR614" s="473"/>
      <c r="AS614" s="473"/>
      <c r="AT614" s="473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</row>
    <row r="615">
      <c r="A615" s="6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427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427"/>
      <c r="AG615" s="472"/>
      <c r="AH615" s="472"/>
      <c r="AI615" s="472"/>
      <c r="AJ615" s="472"/>
      <c r="AK615" s="473"/>
      <c r="AL615" s="473"/>
      <c r="AM615" s="473"/>
      <c r="AN615" s="473"/>
      <c r="AO615" s="473"/>
      <c r="AP615" s="473"/>
      <c r="AQ615" s="473"/>
      <c r="AR615" s="473"/>
      <c r="AS615" s="473"/>
      <c r="AT615" s="473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</row>
    <row r="616">
      <c r="A616" s="6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427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427"/>
      <c r="AG616" s="472"/>
      <c r="AH616" s="472"/>
      <c r="AI616" s="472"/>
      <c r="AJ616" s="472"/>
      <c r="AK616" s="473"/>
      <c r="AL616" s="473"/>
      <c r="AM616" s="473"/>
      <c r="AN616" s="473"/>
      <c r="AO616" s="473"/>
      <c r="AP616" s="473"/>
      <c r="AQ616" s="473"/>
      <c r="AR616" s="473"/>
      <c r="AS616" s="473"/>
      <c r="AT616" s="473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</row>
    <row r="617">
      <c r="A617" s="6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427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427"/>
      <c r="AG617" s="472"/>
      <c r="AH617" s="472"/>
      <c r="AI617" s="472"/>
      <c r="AJ617" s="472"/>
      <c r="AK617" s="473"/>
      <c r="AL617" s="473"/>
      <c r="AM617" s="473"/>
      <c r="AN617" s="473"/>
      <c r="AO617" s="473"/>
      <c r="AP617" s="473"/>
      <c r="AQ617" s="473"/>
      <c r="AR617" s="473"/>
      <c r="AS617" s="473"/>
      <c r="AT617" s="473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</row>
    <row r="618">
      <c r="A618" s="6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427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427"/>
      <c r="AG618" s="472"/>
      <c r="AH618" s="472"/>
      <c r="AI618" s="472"/>
      <c r="AJ618" s="472"/>
      <c r="AK618" s="473"/>
      <c r="AL618" s="473"/>
      <c r="AM618" s="473"/>
      <c r="AN618" s="473"/>
      <c r="AO618" s="473"/>
      <c r="AP618" s="473"/>
      <c r="AQ618" s="473"/>
      <c r="AR618" s="473"/>
      <c r="AS618" s="473"/>
      <c r="AT618" s="473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</row>
    <row r="619">
      <c r="A619" s="6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427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427"/>
      <c r="AG619" s="472"/>
      <c r="AH619" s="472"/>
      <c r="AI619" s="472"/>
      <c r="AJ619" s="472"/>
      <c r="AK619" s="473"/>
      <c r="AL619" s="473"/>
      <c r="AM619" s="473"/>
      <c r="AN619" s="473"/>
      <c r="AO619" s="473"/>
      <c r="AP619" s="473"/>
      <c r="AQ619" s="473"/>
      <c r="AR619" s="473"/>
      <c r="AS619" s="473"/>
      <c r="AT619" s="473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</row>
    <row r="620">
      <c r="A620" s="6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427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427"/>
      <c r="AG620" s="472"/>
      <c r="AH620" s="472"/>
      <c r="AI620" s="472"/>
      <c r="AJ620" s="472"/>
      <c r="AK620" s="473"/>
      <c r="AL620" s="473"/>
      <c r="AM620" s="473"/>
      <c r="AN620" s="473"/>
      <c r="AO620" s="473"/>
      <c r="AP620" s="473"/>
      <c r="AQ620" s="473"/>
      <c r="AR620" s="473"/>
      <c r="AS620" s="473"/>
      <c r="AT620" s="473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</row>
    <row r="621">
      <c r="A621" s="6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427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427"/>
      <c r="AG621" s="472"/>
      <c r="AH621" s="472"/>
      <c r="AI621" s="472"/>
      <c r="AJ621" s="472"/>
      <c r="AK621" s="473"/>
      <c r="AL621" s="473"/>
      <c r="AM621" s="473"/>
      <c r="AN621" s="473"/>
      <c r="AO621" s="473"/>
      <c r="AP621" s="473"/>
      <c r="AQ621" s="473"/>
      <c r="AR621" s="473"/>
      <c r="AS621" s="473"/>
      <c r="AT621" s="473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</row>
    <row r="622">
      <c r="A622" s="6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427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427"/>
      <c r="AG622" s="472"/>
      <c r="AH622" s="472"/>
      <c r="AI622" s="472"/>
      <c r="AJ622" s="472"/>
      <c r="AK622" s="473"/>
      <c r="AL622" s="473"/>
      <c r="AM622" s="473"/>
      <c r="AN622" s="473"/>
      <c r="AO622" s="473"/>
      <c r="AP622" s="473"/>
      <c r="AQ622" s="473"/>
      <c r="AR622" s="473"/>
      <c r="AS622" s="473"/>
      <c r="AT622" s="473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</row>
    <row r="623">
      <c r="A623" s="6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427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427"/>
      <c r="AG623" s="472"/>
      <c r="AH623" s="472"/>
      <c r="AI623" s="472"/>
      <c r="AJ623" s="472"/>
      <c r="AK623" s="473"/>
      <c r="AL623" s="473"/>
      <c r="AM623" s="473"/>
      <c r="AN623" s="473"/>
      <c r="AO623" s="473"/>
      <c r="AP623" s="473"/>
      <c r="AQ623" s="473"/>
      <c r="AR623" s="473"/>
      <c r="AS623" s="473"/>
      <c r="AT623" s="473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</row>
    <row r="624">
      <c r="A624" s="6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427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427"/>
      <c r="AG624" s="472"/>
      <c r="AH624" s="472"/>
      <c r="AI624" s="472"/>
      <c r="AJ624" s="472"/>
      <c r="AK624" s="473"/>
      <c r="AL624" s="473"/>
      <c r="AM624" s="473"/>
      <c r="AN624" s="473"/>
      <c r="AO624" s="473"/>
      <c r="AP624" s="473"/>
      <c r="AQ624" s="473"/>
      <c r="AR624" s="473"/>
      <c r="AS624" s="473"/>
      <c r="AT624" s="473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</row>
    <row r="625">
      <c r="A625" s="6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427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427"/>
      <c r="AG625" s="472"/>
      <c r="AH625" s="472"/>
      <c r="AI625" s="472"/>
      <c r="AJ625" s="472"/>
      <c r="AK625" s="473"/>
      <c r="AL625" s="473"/>
      <c r="AM625" s="473"/>
      <c r="AN625" s="473"/>
      <c r="AO625" s="473"/>
      <c r="AP625" s="473"/>
      <c r="AQ625" s="473"/>
      <c r="AR625" s="473"/>
      <c r="AS625" s="473"/>
      <c r="AT625" s="473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</row>
    <row r="626">
      <c r="A626" s="6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427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427"/>
      <c r="AG626" s="472"/>
      <c r="AH626" s="472"/>
      <c r="AI626" s="472"/>
      <c r="AJ626" s="472"/>
      <c r="AK626" s="473"/>
      <c r="AL626" s="473"/>
      <c r="AM626" s="473"/>
      <c r="AN626" s="473"/>
      <c r="AO626" s="473"/>
      <c r="AP626" s="473"/>
      <c r="AQ626" s="473"/>
      <c r="AR626" s="473"/>
      <c r="AS626" s="473"/>
      <c r="AT626" s="473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</row>
    <row r="627">
      <c r="A627" s="6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427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427"/>
      <c r="AG627" s="472"/>
      <c r="AH627" s="472"/>
      <c r="AI627" s="472"/>
      <c r="AJ627" s="472"/>
      <c r="AK627" s="473"/>
      <c r="AL627" s="473"/>
      <c r="AM627" s="473"/>
      <c r="AN627" s="473"/>
      <c r="AO627" s="473"/>
      <c r="AP627" s="473"/>
      <c r="AQ627" s="473"/>
      <c r="AR627" s="473"/>
      <c r="AS627" s="473"/>
      <c r="AT627" s="473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</row>
    <row r="628">
      <c r="A628" s="6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427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427"/>
      <c r="AG628" s="472"/>
      <c r="AH628" s="472"/>
      <c r="AI628" s="472"/>
      <c r="AJ628" s="472"/>
      <c r="AK628" s="473"/>
      <c r="AL628" s="473"/>
      <c r="AM628" s="473"/>
      <c r="AN628" s="473"/>
      <c r="AO628" s="473"/>
      <c r="AP628" s="473"/>
      <c r="AQ628" s="473"/>
      <c r="AR628" s="473"/>
      <c r="AS628" s="473"/>
      <c r="AT628" s="473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</row>
    <row r="629">
      <c r="A629" s="6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427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427"/>
      <c r="AG629" s="472"/>
      <c r="AH629" s="472"/>
      <c r="AI629" s="472"/>
      <c r="AJ629" s="472"/>
      <c r="AK629" s="473"/>
      <c r="AL629" s="473"/>
      <c r="AM629" s="473"/>
      <c r="AN629" s="473"/>
      <c r="AO629" s="473"/>
      <c r="AP629" s="473"/>
      <c r="AQ629" s="473"/>
      <c r="AR629" s="473"/>
      <c r="AS629" s="473"/>
      <c r="AT629" s="473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</row>
    <row r="630">
      <c r="A630" s="6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427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427"/>
      <c r="AG630" s="472"/>
      <c r="AH630" s="472"/>
      <c r="AI630" s="472"/>
      <c r="AJ630" s="472"/>
      <c r="AK630" s="473"/>
      <c r="AL630" s="473"/>
      <c r="AM630" s="473"/>
      <c r="AN630" s="473"/>
      <c r="AO630" s="473"/>
      <c r="AP630" s="473"/>
      <c r="AQ630" s="473"/>
      <c r="AR630" s="473"/>
      <c r="AS630" s="473"/>
      <c r="AT630" s="473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</row>
    <row r="631">
      <c r="A631" s="6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427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427"/>
      <c r="AG631" s="472"/>
      <c r="AH631" s="472"/>
      <c r="AI631" s="472"/>
      <c r="AJ631" s="472"/>
      <c r="AK631" s="473"/>
      <c r="AL631" s="473"/>
      <c r="AM631" s="473"/>
      <c r="AN631" s="473"/>
      <c r="AO631" s="473"/>
      <c r="AP631" s="473"/>
      <c r="AQ631" s="473"/>
      <c r="AR631" s="473"/>
      <c r="AS631" s="473"/>
      <c r="AT631" s="473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</row>
    <row r="632">
      <c r="A632" s="6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427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427"/>
      <c r="AG632" s="472"/>
      <c r="AH632" s="472"/>
      <c r="AI632" s="472"/>
      <c r="AJ632" s="472"/>
      <c r="AK632" s="473"/>
      <c r="AL632" s="473"/>
      <c r="AM632" s="473"/>
      <c r="AN632" s="473"/>
      <c r="AO632" s="473"/>
      <c r="AP632" s="473"/>
      <c r="AQ632" s="473"/>
      <c r="AR632" s="473"/>
      <c r="AS632" s="473"/>
      <c r="AT632" s="473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</row>
    <row r="633">
      <c r="A633" s="6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427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427"/>
      <c r="AG633" s="472"/>
      <c r="AH633" s="472"/>
      <c r="AI633" s="472"/>
      <c r="AJ633" s="472"/>
      <c r="AK633" s="473"/>
      <c r="AL633" s="473"/>
      <c r="AM633" s="473"/>
      <c r="AN633" s="473"/>
      <c r="AO633" s="473"/>
      <c r="AP633" s="473"/>
      <c r="AQ633" s="473"/>
      <c r="AR633" s="473"/>
      <c r="AS633" s="473"/>
      <c r="AT633" s="473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</row>
    <row r="634">
      <c r="A634" s="6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427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427"/>
      <c r="AG634" s="472"/>
      <c r="AH634" s="472"/>
      <c r="AI634" s="472"/>
      <c r="AJ634" s="472"/>
      <c r="AK634" s="473"/>
      <c r="AL634" s="473"/>
      <c r="AM634" s="473"/>
      <c r="AN634" s="473"/>
      <c r="AO634" s="473"/>
      <c r="AP634" s="473"/>
      <c r="AQ634" s="473"/>
      <c r="AR634" s="473"/>
      <c r="AS634" s="473"/>
      <c r="AT634" s="473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</row>
    <row r="635">
      <c r="A635" s="6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427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427"/>
      <c r="AG635" s="472"/>
      <c r="AH635" s="472"/>
      <c r="AI635" s="472"/>
      <c r="AJ635" s="472"/>
      <c r="AK635" s="473"/>
      <c r="AL635" s="473"/>
      <c r="AM635" s="473"/>
      <c r="AN635" s="473"/>
      <c r="AO635" s="473"/>
      <c r="AP635" s="473"/>
      <c r="AQ635" s="473"/>
      <c r="AR635" s="473"/>
      <c r="AS635" s="473"/>
      <c r="AT635" s="473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</row>
    <row r="636">
      <c r="A636" s="6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427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427"/>
      <c r="AG636" s="472"/>
      <c r="AH636" s="472"/>
      <c r="AI636" s="472"/>
      <c r="AJ636" s="472"/>
      <c r="AK636" s="473"/>
      <c r="AL636" s="473"/>
      <c r="AM636" s="473"/>
      <c r="AN636" s="473"/>
      <c r="AO636" s="473"/>
      <c r="AP636" s="473"/>
      <c r="AQ636" s="473"/>
      <c r="AR636" s="473"/>
      <c r="AS636" s="473"/>
      <c r="AT636" s="473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</row>
    <row r="637">
      <c r="A637" s="6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427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427"/>
      <c r="AG637" s="472"/>
      <c r="AH637" s="472"/>
      <c r="AI637" s="472"/>
      <c r="AJ637" s="472"/>
      <c r="AK637" s="473"/>
      <c r="AL637" s="473"/>
      <c r="AM637" s="473"/>
      <c r="AN637" s="473"/>
      <c r="AO637" s="473"/>
      <c r="AP637" s="473"/>
      <c r="AQ637" s="473"/>
      <c r="AR637" s="473"/>
      <c r="AS637" s="473"/>
      <c r="AT637" s="473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</row>
    <row r="638">
      <c r="A638" s="6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427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427"/>
      <c r="AG638" s="472"/>
      <c r="AH638" s="472"/>
      <c r="AI638" s="472"/>
      <c r="AJ638" s="472"/>
      <c r="AK638" s="473"/>
      <c r="AL638" s="473"/>
      <c r="AM638" s="473"/>
      <c r="AN638" s="473"/>
      <c r="AO638" s="473"/>
      <c r="AP638" s="473"/>
      <c r="AQ638" s="473"/>
      <c r="AR638" s="473"/>
      <c r="AS638" s="473"/>
      <c r="AT638" s="473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</row>
    <row r="639">
      <c r="A639" s="6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427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427"/>
      <c r="AG639" s="472"/>
      <c r="AH639" s="472"/>
      <c r="AI639" s="472"/>
      <c r="AJ639" s="472"/>
      <c r="AK639" s="473"/>
      <c r="AL639" s="473"/>
      <c r="AM639" s="473"/>
      <c r="AN639" s="473"/>
      <c r="AO639" s="473"/>
      <c r="AP639" s="473"/>
      <c r="AQ639" s="473"/>
      <c r="AR639" s="473"/>
      <c r="AS639" s="473"/>
      <c r="AT639" s="473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</row>
    <row r="640">
      <c r="A640" s="6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427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427"/>
      <c r="AG640" s="472"/>
      <c r="AH640" s="472"/>
      <c r="AI640" s="472"/>
      <c r="AJ640" s="472"/>
      <c r="AK640" s="473"/>
      <c r="AL640" s="473"/>
      <c r="AM640" s="473"/>
      <c r="AN640" s="473"/>
      <c r="AO640" s="473"/>
      <c r="AP640" s="473"/>
      <c r="AQ640" s="473"/>
      <c r="AR640" s="473"/>
      <c r="AS640" s="473"/>
      <c r="AT640" s="473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</row>
    <row r="641">
      <c r="A641" s="6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427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427"/>
      <c r="AG641" s="472"/>
      <c r="AH641" s="472"/>
      <c r="AI641" s="472"/>
      <c r="AJ641" s="472"/>
      <c r="AK641" s="473"/>
      <c r="AL641" s="473"/>
      <c r="AM641" s="473"/>
      <c r="AN641" s="473"/>
      <c r="AO641" s="473"/>
      <c r="AP641" s="473"/>
      <c r="AQ641" s="473"/>
      <c r="AR641" s="473"/>
      <c r="AS641" s="473"/>
      <c r="AT641" s="473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</row>
    <row r="642">
      <c r="A642" s="6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427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427"/>
      <c r="AG642" s="472"/>
      <c r="AH642" s="472"/>
      <c r="AI642" s="472"/>
      <c r="AJ642" s="472"/>
      <c r="AK642" s="473"/>
      <c r="AL642" s="473"/>
      <c r="AM642" s="473"/>
      <c r="AN642" s="473"/>
      <c r="AO642" s="473"/>
      <c r="AP642" s="473"/>
      <c r="AQ642" s="473"/>
      <c r="AR642" s="473"/>
      <c r="AS642" s="473"/>
      <c r="AT642" s="473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</row>
    <row r="643">
      <c r="A643" s="6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427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427"/>
      <c r="AG643" s="472"/>
      <c r="AH643" s="472"/>
      <c r="AI643" s="472"/>
      <c r="AJ643" s="472"/>
      <c r="AK643" s="473"/>
      <c r="AL643" s="473"/>
      <c r="AM643" s="473"/>
      <c r="AN643" s="473"/>
      <c r="AO643" s="473"/>
      <c r="AP643" s="473"/>
      <c r="AQ643" s="473"/>
      <c r="AR643" s="473"/>
      <c r="AS643" s="473"/>
      <c r="AT643" s="473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</row>
    <row r="644">
      <c r="A644" s="6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427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427"/>
      <c r="AG644" s="472"/>
      <c r="AH644" s="472"/>
      <c r="AI644" s="472"/>
      <c r="AJ644" s="472"/>
      <c r="AK644" s="473"/>
      <c r="AL644" s="473"/>
      <c r="AM644" s="473"/>
      <c r="AN644" s="473"/>
      <c r="AO644" s="473"/>
      <c r="AP644" s="473"/>
      <c r="AQ644" s="473"/>
      <c r="AR644" s="473"/>
      <c r="AS644" s="473"/>
      <c r="AT644" s="473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</row>
    <row r="645">
      <c r="A645" s="6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427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427"/>
      <c r="AG645" s="472"/>
      <c r="AH645" s="472"/>
      <c r="AI645" s="472"/>
      <c r="AJ645" s="472"/>
      <c r="AK645" s="473"/>
      <c r="AL645" s="473"/>
      <c r="AM645" s="473"/>
      <c r="AN645" s="473"/>
      <c r="AO645" s="473"/>
      <c r="AP645" s="473"/>
      <c r="AQ645" s="473"/>
      <c r="AR645" s="473"/>
      <c r="AS645" s="473"/>
      <c r="AT645" s="473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</row>
    <row r="646">
      <c r="A646" s="6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427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427"/>
      <c r="AG646" s="472"/>
      <c r="AH646" s="472"/>
      <c r="AI646" s="472"/>
      <c r="AJ646" s="472"/>
      <c r="AK646" s="473"/>
      <c r="AL646" s="473"/>
      <c r="AM646" s="473"/>
      <c r="AN646" s="473"/>
      <c r="AO646" s="473"/>
      <c r="AP646" s="473"/>
      <c r="AQ646" s="473"/>
      <c r="AR646" s="473"/>
      <c r="AS646" s="473"/>
      <c r="AT646" s="473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</row>
    <row r="647">
      <c r="A647" s="6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427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427"/>
      <c r="AG647" s="472"/>
      <c r="AH647" s="472"/>
      <c r="AI647" s="472"/>
      <c r="AJ647" s="472"/>
      <c r="AK647" s="473"/>
      <c r="AL647" s="473"/>
      <c r="AM647" s="473"/>
      <c r="AN647" s="473"/>
      <c r="AO647" s="473"/>
      <c r="AP647" s="473"/>
      <c r="AQ647" s="473"/>
      <c r="AR647" s="473"/>
      <c r="AS647" s="473"/>
      <c r="AT647" s="473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</row>
    <row r="648">
      <c r="A648" s="6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427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427"/>
      <c r="AG648" s="472"/>
      <c r="AH648" s="472"/>
      <c r="AI648" s="472"/>
      <c r="AJ648" s="472"/>
      <c r="AK648" s="473"/>
      <c r="AL648" s="473"/>
      <c r="AM648" s="473"/>
      <c r="AN648" s="473"/>
      <c r="AO648" s="473"/>
      <c r="AP648" s="473"/>
      <c r="AQ648" s="473"/>
      <c r="AR648" s="473"/>
      <c r="AS648" s="473"/>
      <c r="AT648" s="473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</row>
    <row r="649">
      <c r="A649" s="6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427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427"/>
      <c r="AG649" s="472"/>
      <c r="AH649" s="472"/>
      <c r="AI649" s="472"/>
      <c r="AJ649" s="472"/>
      <c r="AK649" s="473"/>
      <c r="AL649" s="473"/>
      <c r="AM649" s="473"/>
      <c r="AN649" s="473"/>
      <c r="AO649" s="473"/>
      <c r="AP649" s="473"/>
      <c r="AQ649" s="473"/>
      <c r="AR649" s="473"/>
      <c r="AS649" s="473"/>
      <c r="AT649" s="473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</row>
    <row r="650">
      <c r="A650" s="6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427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427"/>
      <c r="AG650" s="472"/>
      <c r="AH650" s="472"/>
      <c r="AI650" s="472"/>
      <c r="AJ650" s="472"/>
      <c r="AK650" s="473"/>
      <c r="AL650" s="473"/>
      <c r="AM650" s="473"/>
      <c r="AN650" s="473"/>
      <c r="AO650" s="473"/>
      <c r="AP650" s="473"/>
      <c r="AQ650" s="473"/>
      <c r="AR650" s="473"/>
      <c r="AS650" s="473"/>
      <c r="AT650" s="473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</row>
    <row r="651">
      <c r="A651" s="6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427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427"/>
      <c r="AG651" s="472"/>
      <c r="AH651" s="472"/>
      <c r="AI651" s="472"/>
      <c r="AJ651" s="472"/>
      <c r="AK651" s="473"/>
      <c r="AL651" s="473"/>
      <c r="AM651" s="473"/>
      <c r="AN651" s="473"/>
      <c r="AO651" s="473"/>
      <c r="AP651" s="473"/>
      <c r="AQ651" s="473"/>
      <c r="AR651" s="473"/>
      <c r="AS651" s="473"/>
      <c r="AT651" s="473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</row>
    <row r="652">
      <c r="A652" s="6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427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427"/>
      <c r="AG652" s="472"/>
      <c r="AH652" s="472"/>
      <c r="AI652" s="472"/>
      <c r="AJ652" s="472"/>
      <c r="AK652" s="473"/>
      <c r="AL652" s="473"/>
      <c r="AM652" s="473"/>
      <c r="AN652" s="473"/>
      <c r="AO652" s="473"/>
      <c r="AP652" s="473"/>
      <c r="AQ652" s="473"/>
      <c r="AR652" s="473"/>
      <c r="AS652" s="473"/>
      <c r="AT652" s="473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</row>
    <row r="653">
      <c r="A653" s="6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427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427"/>
      <c r="AG653" s="472"/>
      <c r="AH653" s="472"/>
      <c r="AI653" s="472"/>
      <c r="AJ653" s="472"/>
      <c r="AK653" s="473"/>
      <c r="AL653" s="473"/>
      <c r="AM653" s="473"/>
      <c r="AN653" s="473"/>
      <c r="AO653" s="473"/>
      <c r="AP653" s="473"/>
      <c r="AQ653" s="473"/>
      <c r="AR653" s="473"/>
      <c r="AS653" s="473"/>
      <c r="AT653" s="473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</row>
    <row r="654">
      <c r="A654" s="6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427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427"/>
      <c r="AG654" s="472"/>
      <c r="AH654" s="472"/>
      <c r="AI654" s="472"/>
      <c r="AJ654" s="472"/>
      <c r="AK654" s="473"/>
      <c r="AL654" s="473"/>
      <c r="AM654" s="473"/>
      <c r="AN654" s="473"/>
      <c r="AO654" s="473"/>
      <c r="AP654" s="473"/>
      <c r="AQ654" s="473"/>
      <c r="AR654" s="473"/>
      <c r="AS654" s="473"/>
      <c r="AT654" s="473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</row>
    <row r="655">
      <c r="A655" s="6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427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427"/>
      <c r="AG655" s="472"/>
      <c r="AH655" s="472"/>
      <c r="AI655" s="472"/>
      <c r="AJ655" s="472"/>
      <c r="AK655" s="473"/>
      <c r="AL655" s="473"/>
      <c r="AM655" s="473"/>
      <c r="AN655" s="473"/>
      <c r="AO655" s="473"/>
      <c r="AP655" s="473"/>
      <c r="AQ655" s="473"/>
      <c r="AR655" s="473"/>
      <c r="AS655" s="473"/>
      <c r="AT655" s="473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</row>
    <row r="656">
      <c r="A656" s="6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427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427"/>
      <c r="AG656" s="472"/>
      <c r="AH656" s="472"/>
      <c r="AI656" s="472"/>
      <c r="AJ656" s="472"/>
      <c r="AK656" s="473"/>
      <c r="AL656" s="473"/>
      <c r="AM656" s="473"/>
      <c r="AN656" s="473"/>
      <c r="AO656" s="473"/>
      <c r="AP656" s="473"/>
      <c r="AQ656" s="473"/>
      <c r="AR656" s="473"/>
      <c r="AS656" s="473"/>
      <c r="AT656" s="473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</row>
    <row r="657">
      <c r="A657" s="6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427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427"/>
      <c r="AG657" s="472"/>
      <c r="AH657" s="472"/>
      <c r="AI657" s="472"/>
      <c r="AJ657" s="472"/>
      <c r="AK657" s="473"/>
      <c r="AL657" s="473"/>
      <c r="AM657" s="473"/>
      <c r="AN657" s="473"/>
      <c r="AO657" s="473"/>
      <c r="AP657" s="473"/>
      <c r="AQ657" s="473"/>
      <c r="AR657" s="473"/>
      <c r="AS657" s="473"/>
      <c r="AT657" s="473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</row>
    <row r="658">
      <c r="A658" s="6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427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427"/>
      <c r="AG658" s="472"/>
      <c r="AH658" s="472"/>
      <c r="AI658" s="472"/>
      <c r="AJ658" s="472"/>
      <c r="AK658" s="473"/>
      <c r="AL658" s="473"/>
      <c r="AM658" s="473"/>
      <c r="AN658" s="473"/>
      <c r="AO658" s="473"/>
      <c r="AP658" s="473"/>
      <c r="AQ658" s="473"/>
      <c r="AR658" s="473"/>
      <c r="AS658" s="473"/>
      <c r="AT658" s="473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</row>
    <row r="659">
      <c r="A659" s="6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427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427"/>
      <c r="AG659" s="472"/>
      <c r="AH659" s="472"/>
      <c r="AI659" s="472"/>
      <c r="AJ659" s="472"/>
      <c r="AK659" s="473"/>
      <c r="AL659" s="473"/>
      <c r="AM659" s="473"/>
      <c r="AN659" s="473"/>
      <c r="AO659" s="473"/>
      <c r="AP659" s="473"/>
      <c r="AQ659" s="473"/>
      <c r="AR659" s="473"/>
      <c r="AS659" s="473"/>
      <c r="AT659" s="473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</row>
    <row r="660">
      <c r="A660" s="6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427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427"/>
      <c r="AG660" s="472"/>
      <c r="AH660" s="472"/>
      <c r="AI660" s="472"/>
      <c r="AJ660" s="472"/>
      <c r="AK660" s="473"/>
      <c r="AL660" s="473"/>
      <c r="AM660" s="473"/>
      <c r="AN660" s="473"/>
      <c r="AO660" s="473"/>
      <c r="AP660" s="473"/>
      <c r="AQ660" s="473"/>
      <c r="AR660" s="473"/>
      <c r="AS660" s="473"/>
      <c r="AT660" s="473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</row>
    <row r="661">
      <c r="A661" s="6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427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427"/>
      <c r="AG661" s="472"/>
      <c r="AH661" s="472"/>
      <c r="AI661" s="472"/>
      <c r="AJ661" s="472"/>
      <c r="AK661" s="473"/>
      <c r="AL661" s="473"/>
      <c r="AM661" s="473"/>
      <c r="AN661" s="473"/>
      <c r="AO661" s="473"/>
      <c r="AP661" s="473"/>
      <c r="AQ661" s="473"/>
      <c r="AR661" s="473"/>
      <c r="AS661" s="473"/>
      <c r="AT661" s="473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</row>
    <row r="662">
      <c r="A662" s="6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427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427"/>
      <c r="AG662" s="472"/>
      <c r="AH662" s="472"/>
      <c r="AI662" s="472"/>
      <c r="AJ662" s="472"/>
      <c r="AK662" s="473"/>
      <c r="AL662" s="473"/>
      <c r="AM662" s="473"/>
      <c r="AN662" s="473"/>
      <c r="AO662" s="473"/>
      <c r="AP662" s="473"/>
      <c r="AQ662" s="473"/>
      <c r="AR662" s="473"/>
      <c r="AS662" s="473"/>
      <c r="AT662" s="473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</row>
    <row r="663">
      <c r="A663" s="6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427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427"/>
      <c r="AG663" s="472"/>
      <c r="AH663" s="472"/>
      <c r="AI663" s="472"/>
      <c r="AJ663" s="472"/>
      <c r="AK663" s="473"/>
      <c r="AL663" s="473"/>
      <c r="AM663" s="473"/>
      <c r="AN663" s="473"/>
      <c r="AO663" s="473"/>
      <c r="AP663" s="473"/>
      <c r="AQ663" s="473"/>
      <c r="AR663" s="473"/>
      <c r="AS663" s="473"/>
      <c r="AT663" s="473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</row>
    <row r="664">
      <c r="A664" s="6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427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427"/>
      <c r="AG664" s="472"/>
      <c r="AH664" s="472"/>
      <c r="AI664" s="472"/>
      <c r="AJ664" s="472"/>
      <c r="AK664" s="473"/>
      <c r="AL664" s="473"/>
      <c r="AM664" s="473"/>
      <c r="AN664" s="473"/>
      <c r="AO664" s="473"/>
      <c r="AP664" s="473"/>
      <c r="AQ664" s="473"/>
      <c r="AR664" s="473"/>
      <c r="AS664" s="473"/>
      <c r="AT664" s="473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</row>
    <row r="665">
      <c r="A665" s="6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427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427"/>
      <c r="AG665" s="472"/>
      <c r="AH665" s="472"/>
      <c r="AI665" s="472"/>
      <c r="AJ665" s="472"/>
      <c r="AK665" s="473"/>
      <c r="AL665" s="473"/>
      <c r="AM665" s="473"/>
      <c r="AN665" s="473"/>
      <c r="AO665" s="473"/>
      <c r="AP665" s="473"/>
      <c r="AQ665" s="473"/>
      <c r="AR665" s="473"/>
      <c r="AS665" s="473"/>
      <c r="AT665" s="473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</row>
    <row r="666">
      <c r="A666" s="6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427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427"/>
      <c r="AG666" s="472"/>
      <c r="AH666" s="472"/>
      <c r="AI666" s="472"/>
      <c r="AJ666" s="472"/>
      <c r="AK666" s="473"/>
      <c r="AL666" s="473"/>
      <c r="AM666" s="473"/>
      <c r="AN666" s="473"/>
      <c r="AO666" s="473"/>
      <c r="AP666" s="473"/>
      <c r="AQ666" s="473"/>
      <c r="AR666" s="473"/>
      <c r="AS666" s="473"/>
      <c r="AT666" s="473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</row>
    <row r="667">
      <c r="A667" s="6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427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427"/>
      <c r="AG667" s="472"/>
      <c r="AH667" s="472"/>
      <c r="AI667" s="472"/>
      <c r="AJ667" s="472"/>
      <c r="AK667" s="473"/>
      <c r="AL667" s="473"/>
      <c r="AM667" s="473"/>
      <c r="AN667" s="473"/>
      <c r="AO667" s="473"/>
      <c r="AP667" s="473"/>
      <c r="AQ667" s="473"/>
      <c r="AR667" s="473"/>
      <c r="AS667" s="473"/>
      <c r="AT667" s="473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</row>
    <row r="668">
      <c r="A668" s="6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427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427"/>
      <c r="AG668" s="472"/>
      <c r="AH668" s="472"/>
      <c r="AI668" s="472"/>
      <c r="AJ668" s="472"/>
      <c r="AK668" s="473"/>
      <c r="AL668" s="473"/>
      <c r="AM668" s="473"/>
      <c r="AN668" s="473"/>
      <c r="AO668" s="473"/>
      <c r="AP668" s="473"/>
      <c r="AQ668" s="473"/>
      <c r="AR668" s="473"/>
      <c r="AS668" s="473"/>
      <c r="AT668" s="473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</row>
    <row r="669">
      <c r="A669" s="6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427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427"/>
      <c r="AG669" s="472"/>
      <c r="AH669" s="472"/>
      <c r="AI669" s="472"/>
      <c r="AJ669" s="472"/>
      <c r="AK669" s="473"/>
      <c r="AL669" s="473"/>
      <c r="AM669" s="473"/>
      <c r="AN669" s="473"/>
      <c r="AO669" s="473"/>
      <c r="AP669" s="473"/>
      <c r="AQ669" s="473"/>
      <c r="AR669" s="473"/>
      <c r="AS669" s="473"/>
      <c r="AT669" s="473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</row>
    <row r="670">
      <c r="A670" s="6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427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427"/>
      <c r="AG670" s="472"/>
      <c r="AH670" s="472"/>
      <c r="AI670" s="472"/>
      <c r="AJ670" s="472"/>
      <c r="AK670" s="473"/>
      <c r="AL670" s="473"/>
      <c r="AM670" s="473"/>
      <c r="AN670" s="473"/>
      <c r="AO670" s="473"/>
      <c r="AP670" s="473"/>
      <c r="AQ670" s="473"/>
      <c r="AR670" s="473"/>
      <c r="AS670" s="473"/>
      <c r="AT670" s="473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</row>
    <row r="671">
      <c r="A671" s="6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427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427"/>
      <c r="AG671" s="472"/>
      <c r="AH671" s="472"/>
      <c r="AI671" s="472"/>
      <c r="AJ671" s="472"/>
      <c r="AK671" s="473"/>
      <c r="AL671" s="473"/>
      <c r="AM671" s="473"/>
      <c r="AN671" s="473"/>
      <c r="AO671" s="473"/>
      <c r="AP671" s="473"/>
      <c r="AQ671" s="473"/>
      <c r="AR671" s="473"/>
      <c r="AS671" s="473"/>
      <c r="AT671" s="473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</row>
    <row r="672">
      <c r="A672" s="6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427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427"/>
      <c r="AG672" s="472"/>
      <c r="AH672" s="472"/>
      <c r="AI672" s="472"/>
      <c r="AJ672" s="472"/>
      <c r="AK672" s="473"/>
      <c r="AL672" s="473"/>
      <c r="AM672" s="473"/>
      <c r="AN672" s="473"/>
      <c r="AO672" s="473"/>
      <c r="AP672" s="473"/>
      <c r="AQ672" s="473"/>
      <c r="AR672" s="473"/>
      <c r="AS672" s="473"/>
      <c r="AT672" s="473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</row>
    <row r="673">
      <c r="A673" s="6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427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427"/>
      <c r="AG673" s="472"/>
      <c r="AH673" s="472"/>
      <c r="AI673" s="472"/>
      <c r="AJ673" s="472"/>
      <c r="AK673" s="473"/>
      <c r="AL673" s="473"/>
      <c r="AM673" s="473"/>
      <c r="AN673" s="473"/>
      <c r="AO673" s="473"/>
      <c r="AP673" s="473"/>
      <c r="AQ673" s="473"/>
      <c r="AR673" s="473"/>
      <c r="AS673" s="473"/>
      <c r="AT673" s="473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</row>
    <row r="674">
      <c r="A674" s="6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427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427"/>
      <c r="AG674" s="472"/>
      <c r="AH674" s="472"/>
      <c r="AI674" s="472"/>
      <c r="AJ674" s="472"/>
      <c r="AK674" s="473"/>
      <c r="AL674" s="473"/>
      <c r="AM674" s="473"/>
      <c r="AN674" s="473"/>
      <c r="AO674" s="473"/>
      <c r="AP674" s="473"/>
      <c r="AQ674" s="473"/>
      <c r="AR674" s="473"/>
      <c r="AS674" s="473"/>
      <c r="AT674" s="473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</row>
    <row r="675">
      <c r="A675" s="6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427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427"/>
      <c r="AG675" s="472"/>
      <c r="AH675" s="472"/>
      <c r="AI675" s="472"/>
      <c r="AJ675" s="472"/>
      <c r="AK675" s="473"/>
      <c r="AL675" s="473"/>
      <c r="AM675" s="473"/>
      <c r="AN675" s="473"/>
      <c r="AO675" s="473"/>
      <c r="AP675" s="473"/>
      <c r="AQ675" s="473"/>
      <c r="AR675" s="473"/>
      <c r="AS675" s="473"/>
      <c r="AT675" s="473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</row>
    <row r="676">
      <c r="A676" s="6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427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427"/>
      <c r="AG676" s="472"/>
      <c r="AH676" s="472"/>
      <c r="AI676" s="472"/>
      <c r="AJ676" s="472"/>
      <c r="AK676" s="473"/>
      <c r="AL676" s="473"/>
      <c r="AM676" s="473"/>
      <c r="AN676" s="473"/>
      <c r="AO676" s="473"/>
      <c r="AP676" s="473"/>
      <c r="AQ676" s="473"/>
      <c r="AR676" s="473"/>
      <c r="AS676" s="473"/>
      <c r="AT676" s="473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</row>
    <row r="677">
      <c r="A677" s="6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427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427"/>
      <c r="AG677" s="472"/>
      <c r="AH677" s="472"/>
      <c r="AI677" s="472"/>
      <c r="AJ677" s="472"/>
      <c r="AK677" s="473"/>
      <c r="AL677" s="473"/>
      <c r="AM677" s="473"/>
      <c r="AN677" s="473"/>
      <c r="AO677" s="473"/>
      <c r="AP677" s="473"/>
      <c r="AQ677" s="473"/>
      <c r="AR677" s="473"/>
      <c r="AS677" s="473"/>
      <c r="AT677" s="473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</row>
    <row r="678">
      <c r="A678" s="6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427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427"/>
      <c r="AG678" s="472"/>
      <c r="AH678" s="472"/>
      <c r="AI678" s="472"/>
      <c r="AJ678" s="472"/>
      <c r="AK678" s="473"/>
      <c r="AL678" s="473"/>
      <c r="AM678" s="473"/>
      <c r="AN678" s="473"/>
      <c r="AO678" s="473"/>
      <c r="AP678" s="473"/>
      <c r="AQ678" s="473"/>
      <c r="AR678" s="473"/>
      <c r="AS678" s="473"/>
      <c r="AT678" s="473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</row>
    <row r="679">
      <c r="A679" s="6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427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427"/>
      <c r="AG679" s="472"/>
      <c r="AH679" s="472"/>
      <c r="AI679" s="472"/>
      <c r="AJ679" s="472"/>
      <c r="AK679" s="473"/>
      <c r="AL679" s="473"/>
      <c r="AM679" s="473"/>
      <c r="AN679" s="473"/>
      <c r="AO679" s="473"/>
      <c r="AP679" s="473"/>
      <c r="AQ679" s="473"/>
      <c r="AR679" s="473"/>
      <c r="AS679" s="473"/>
      <c r="AT679" s="473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</row>
    <row r="680">
      <c r="A680" s="6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427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427"/>
      <c r="AG680" s="472"/>
      <c r="AH680" s="472"/>
      <c r="AI680" s="472"/>
      <c r="AJ680" s="472"/>
      <c r="AK680" s="473"/>
      <c r="AL680" s="473"/>
      <c r="AM680" s="473"/>
      <c r="AN680" s="473"/>
      <c r="AO680" s="473"/>
      <c r="AP680" s="473"/>
      <c r="AQ680" s="473"/>
      <c r="AR680" s="473"/>
      <c r="AS680" s="473"/>
      <c r="AT680" s="473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</row>
    <row r="681">
      <c r="A681" s="6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427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427"/>
      <c r="AG681" s="472"/>
      <c r="AH681" s="472"/>
      <c r="AI681" s="472"/>
      <c r="AJ681" s="472"/>
      <c r="AK681" s="473"/>
      <c r="AL681" s="473"/>
      <c r="AM681" s="473"/>
      <c r="AN681" s="473"/>
      <c r="AO681" s="473"/>
      <c r="AP681" s="473"/>
      <c r="AQ681" s="473"/>
      <c r="AR681" s="473"/>
      <c r="AS681" s="473"/>
      <c r="AT681" s="473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</row>
    <row r="682">
      <c r="A682" s="6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427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427"/>
      <c r="AG682" s="472"/>
      <c r="AH682" s="472"/>
      <c r="AI682" s="472"/>
      <c r="AJ682" s="472"/>
      <c r="AK682" s="473"/>
      <c r="AL682" s="473"/>
      <c r="AM682" s="473"/>
      <c r="AN682" s="473"/>
      <c r="AO682" s="473"/>
      <c r="AP682" s="473"/>
      <c r="AQ682" s="473"/>
      <c r="AR682" s="473"/>
      <c r="AS682" s="473"/>
      <c r="AT682" s="473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</row>
    <row r="683">
      <c r="A683" s="6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427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427"/>
      <c r="AG683" s="472"/>
      <c r="AH683" s="472"/>
      <c r="AI683" s="472"/>
      <c r="AJ683" s="472"/>
      <c r="AK683" s="473"/>
      <c r="AL683" s="473"/>
      <c r="AM683" s="473"/>
      <c r="AN683" s="473"/>
      <c r="AO683" s="473"/>
      <c r="AP683" s="473"/>
      <c r="AQ683" s="473"/>
      <c r="AR683" s="473"/>
      <c r="AS683" s="473"/>
      <c r="AT683" s="473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</row>
    <row r="684">
      <c r="A684" s="6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427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427"/>
      <c r="AG684" s="472"/>
      <c r="AH684" s="472"/>
      <c r="AI684" s="472"/>
      <c r="AJ684" s="472"/>
      <c r="AK684" s="473"/>
      <c r="AL684" s="473"/>
      <c r="AM684" s="473"/>
      <c r="AN684" s="473"/>
      <c r="AO684" s="473"/>
      <c r="AP684" s="473"/>
      <c r="AQ684" s="473"/>
      <c r="AR684" s="473"/>
      <c r="AS684" s="473"/>
      <c r="AT684" s="473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</row>
    <row r="685">
      <c r="A685" s="6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427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427"/>
      <c r="AG685" s="472"/>
      <c r="AH685" s="472"/>
      <c r="AI685" s="472"/>
      <c r="AJ685" s="472"/>
      <c r="AK685" s="473"/>
      <c r="AL685" s="473"/>
      <c r="AM685" s="473"/>
      <c r="AN685" s="473"/>
      <c r="AO685" s="473"/>
      <c r="AP685" s="473"/>
      <c r="AQ685" s="473"/>
      <c r="AR685" s="473"/>
      <c r="AS685" s="473"/>
      <c r="AT685" s="473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</row>
    <row r="686">
      <c r="A686" s="6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427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427"/>
      <c r="AG686" s="472"/>
      <c r="AH686" s="472"/>
      <c r="AI686" s="472"/>
      <c r="AJ686" s="472"/>
      <c r="AK686" s="473"/>
      <c r="AL686" s="473"/>
      <c r="AM686" s="473"/>
      <c r="AN686" s="473"/>
      <c r="AO686" s="473"/>
      <c r="AP686" s="473"/>
      <c r="AQ686" s="473"/>
      <c r="AR686" s="473"/>
      <c r="AS686" s="473"/>
      <c r="AT686" s="473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</row>
    <row r="687">
      <c r="A687" s="6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427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427"/>
      <c r="AG687" s="472"/>
      <c r="AH687" s="472"/>
      <c r="AI687" s="472"/>
      <c r="AJ687" s="472"/>
      <c r="AK687" s="473"/>
      <c r="AL687" s="473"/>
      <c r="AM687" s="473"/>
      <c r="AN687" s="473"/>
      <c r="AO687" s="473"/>
      <c r="AP687" s="473"/>
      <c r="AQ687" s="473"/>
      <c r="AR687" s="473"/>
      <c r="AS687" s="473"/>
      <c r="AT687" s="473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</row>
    <row r="688">
      <c r="A688" s="6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427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427"/>
      <c r="AG688" s="472"/>
      <c r="AH688" s="472"/>
      <c r="AI688" s="472"/>
      <c r="AJ688" s="472"/>
      <c r="AK688" s="473"/>
      <c r="AL688" s="473"/>
      <c r="AM688" s="473"/>
      <c r="AN688" s="473"/>
      <c r="AO688" s="473"/>
      <c r="AP688" s="473"/>
      <c r="AQ688" s="473"/>
      <c r="AR688" s="473"/>
      <c r="AS688" s="473"/>
      <c r="AT688" s="473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</row>
    <row r="689">
      <c r="A689" s="6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427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427"/>
      <c r="AG689" s="472"/>
      <c r="AH689" s="472"/>
      <c r="AI689" s="472"/>
      <c r="AJ689" s="472"/>
      <c r="AK689" s="473"/>
      <c r="AL689" s="473"/>
      <c r="AM689" s="473"/>
      <c r="AN689" s="473"/>
      <c r="AO689" s="473"/>
      <c r="AP689" s="473"/>
      <c r="AQ689" s="473"/>
      <c r="AR689" s="473"/>
      <c r="AS689" s="473"/>
      <c r="AT689" s="473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</row>
    <row r="690">
      <c r="A690" s="6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427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427"/>
      <c r="AG690" s="472"/>
      <c r="AH690" s="472"/>
      <c r="AI690" s="472"/>
      <c r="AJ690" s="472"/>
      <c r="AK690" s="473"/>
      <c r="AL690" s="473"/>
      <c r="AM690" s="473"/>
      <c r="AN690" s="473"/>
      <c r="AO690" s="473"/>
      <c r="AP690" s="473"/>
      <c r="AQ690" s="473"/>
      <c r="AR690" s="473"/>
      <c r="AS690" s="473"/>
      <c r="AT690" s="473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</row>
    <row r="691">
      <c r="A691" s="6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427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427"/>
      <c r="AG691" s="472"/>
      <c r="AH691" s="472"/>
      <c r="AI691" s="472"/>
      <c r="AJ691" s="472"/>
      <c r="AK691" s="473"/>
      <c r="AL691" s="473"/>
      <c r="AM691" s="473"/>
      <c r="AN691" s="473"/>
      <c r="AO691" s="473"/>
      <c r="AP691" s="473"/>
      <c r="AQ691" s="473"/>
      <c r="AR691" s="473"/>
      <c r="AS691" s="473"/>
      <c r="AT691" s="473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</row>
    <row r="692">
      <c r="A692" s="6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427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427"/>
      <c r="AG692" s="472"/>
      <c r="AH692" s="472"/>
      <c r="AI692" s="472"/>
      <c r="AJ692" s="472"/>
      <c r="AK692" s="473"/>
      <c r="AL692" s="473"/>
      <c r="AM692" s="473"/>
      <c r="AN692" s="473"/>
      <c r="AO692" s="473"/>
      <c r="AP692" s="473"/>
      <c r="AQ692" s="473"/>
      <c r="AR692" s="473"/>
      <c r="AS692" s="473"/>
      <c r="AT692" s="473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</row>
    <row r="693">
      <c r="A693" s="6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427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427"/>
      <c r="AG693" s="472"/>
      <c r="AH693" s="472"/>
      <c r="AI693" s="472"/>
      <c r="AJ693" s="472"/>
      <c r="AK693" s="473"/>
      <c r="AL693" s="473"/>
      <c r="AM693" s="473"/>
      <c r="AN693" s="473"/>
      <c r="AO693" s="473"/>
      <c r="AP693" s="473"/>
      <c r="AQ693" s="473"/>
      <c r="AR693" s="473"/>
      <c r="AS693" s="473"/>
      <c r="AT693" s="473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</row>
    <row r="694">
      <c r="A694" s="6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427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427"/>
      <c r="AG694" s="472"/>
      <c r="AH694" s="472"/>
      <c r="AI694" s="472"/>
      <c r="AJ694" s="472"/>
      <c r="AK694" s="473"/>
      <c r="AL694" s="473"/>
      <c r="AM694" s="473"/>
      <c r="AN694" s="473"/>
      <c r="AO694" s="473"/>
      <c r="AP694" s="473"/>
      <c r="AQ694" s="473"/>
      <c r="AR694" s="473"/>
      <c r="AS694" s="473"/>
      <c r="AT694" s="473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</row>
    <row r="695">
      <c r="A695" s="6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427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427"/>
      <c r="AG695" s="472"/>
      <c r="AH695" s="472"/>
      <c r="AI695" s="472"/>
      <c r="AJ695" s="472"/>
      <c r="AK695" s="473"/>
      <c r="AL695" s="473"/>
      <c r="AM695" s="473"/>
      <c r="AN695" s="473"/>
      <c r="AO695" s="473"/>
      <c r="AP695" s="473"/>
      <c r="AQ695" s="473"/>
      <c r="AR695" s="473"/>
      <c r="AS695" s="473"/>
      <c r="AT695" s="473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</row>
    <row r="696">
      <c r="A696" s="6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427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427"/>
      <c r="AG696" s="472"/>
      <c r="AH696" s="472"/>
      <c r="AI696" s="472"/>
      <c r="AJ696" s="472"/>
      <c r="AK696" s="473"/>
      <c r="AL696" s="473"/>
      <c r="AM696" s="473"/>
      <c r="AN696" s="473"/>
      <c r="AO696" s="473"/>
      <c r="AP696" s="473"/>
      <c r="AQ696" s="473"/>
      <c r="AR696" s="473"/>
      <c r="AS696" s="473"/>
      <c r="AT696" s="473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</row>
    <row r="697">
      <c r="A697" s="6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427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427"/>
      <c r="AG697" s="472"/>
      <c r="AH697" s="472"/>
      <c r="AI697" s="472"/>
      <c r="AJ697" s="472"/>
      <c r="AK697" s="473"/>
      <c r="AL697" s="473"/>
      <c r="AM697" s="473"/>
      <c r="AN697" s="473"/>
      <c r="AO697" s="473"/>
      <c r="AP697" s="473"/>
      <c r="AQ697" s="473"/>
      <c r="AR697" s="473"/>
      <c r="AS697" s="473"/>
      <c r="AT697" s="473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</row>
    <row r="698">
      <c r="A698" s="6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427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427"/>
      <c r="AG698" s="472"/>
      <c r="AH698" s="472"/>
      <c r="AI698" s="472"/>
      <c r="AJ698" s="472"/>
      <c r="AK698" s="473"/>
      <c r="AL698" s="473"/>
      <c r="AM698" s="473"/>
      <c r="AN698" s="473"/>
      <c r="AO698" s="473"/>
      <c r="AP698" s="473"/>
      <c r="AQ698" s="473"/>
      <c r="AR698" s="473"/>
      <c r="AS698" s="473"/>
      <c r="AT698" s="473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</row>
    <row r="699">
      <c r="A699" s="6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427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427"/>
      <c r="AG699" s="472"/>
      <c r="AH699" s="472"/>
      <c r="AI699" s="472"/>
      <c r="AJ699" s="472"/>
      <c r="AK699" s="473"/>
      <c r="AL699" s="473"/>
      <c r="AM699" s="473"/>
      <c r="AN699" s="473"/>
      <c r="AO699" s="473"/>
      <c r="AP699" s="473"/>
      <c r="AQ699" s="473"/>
      <c r="AR699" s="473"/>
      <c r="AS699" s="473"/>
      <c r="AT699" s="473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</row>
    <row r="700">
      <c r="A700" s="6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427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427"/>
      <c r="AG700" s="472"/>
      <c r="AH700" s="472"/>
      <c r="AI700" s="472"/>
      <c r="AJ700" s="472"/>
      <c r="AK700" s="473"/>
      <c r="AL700" s="473"/>
      <c r="AM700" s="473"/>
      <c r="AN700" s="473"/>
      <c r="AO700" s="473"/>
      <c r="AP700" s="473"/>
      <c r="AQ700" s="473"/>
      <c r="AR700" s="473"/>
      <c r="AS700" s="473"/>
      <c r="AT700" s="473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</row>
    <row r="701">
      <c r="A701" s="6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427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427"/>
      <c r="AG701" s="472"/>
      <c r="AH701" s="472"/>
      <c r="AI701" s="472"/>
      <c r="AJ701" s="472"/>
      <c r="AK701" s="473"/>
      <c r="AL701" s="473"/>
      <c r="AM701" s="473"/>
      <c r="AN701" s="473"/>
      <c r="AO701" s="473"/>
      <c r="AP701" s="473"/>
      <c r="AQ701" s="473"/>
      <c r="AR701" s="473"/>
      <c r="AS701" s="473"/>
      <c r="AT701" s="473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</row>
    <row r="702">
      <c r="A702" s="6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427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427"/>
      <c r="AG702" s="472"/>
      <c r="AH702" s="472"/>
      <c r="AI702" s="472"/>
      <c r="AJ702" s="472"/>
      <c r="AK702" s="473"/>
      <c r="AL702" s="473"/>
      <c r="AM702" s="473"/>
      <c r="AN702" s="473"/>
      <c r="AO702" s="473"/>
      <c r="AP702" s="473"/>
      <c r="AQ702" s="473"/>
      <c r="AR702" s="473"/>
      <c r="AS702" s="473"/>
      <c r="AT702" s="473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</row>
    <row r="703">
      <c r="A703" s="6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427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427"/>
      <c r="AG703" s="472"/>
      <c r="AH703" s="472"/>
      <c r="AI703" s="472"/>
      <c r="AJ703" s="472"/>
      <c r="AK703" s="473"/>
      <c r="AL703" s="473"/>
      <c r="AM703" s="473"/>
      <c r="AN703" s="473"/>
      <c r="AO703" s="473"/>
      <c r="AP703" s="473"/>
      <c r="AQ703" s="473"/>
      <c r="AR703" s="473"/>
      <c r="AS703" s="473"/>
      <c r="AT703" s="473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</row>
    <row r="704">
      <c r="A704" s="6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427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427"/>
      <c r="AG704" s="472"/>
      <c r="AH704" s="472"/>
      <c r="AI704" s="472"/>
      <c r="AJ704" s="472"/>
      <c r="AK704" s="473"/>
      <c r="AL704" s="473"/>
      <c r="AM704" s="473"/>
      <c r="AN704" s="473"/>
      <c r="AO704" s="473"/>
      <c r="AP704" s="473"/>
      <c r="AQ704" s="473"/>
      <c r="AR704" s="473"/>
      <c r="AS704" s="473"/>
      <c r="AT704" s="473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</row>
    <row r="705">
      <c r="A705" s="6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427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427"/>
      <c r="AG705" s="472"/>
      <c r="AH705" s="472"/>
      <c r="AI705" s="472"/>
      <c r="AJ705" s="472"/>
      <c r="AK705" s="473"/>
      <c r="AL705" s="473"/>
      <c r="AM705" s="473"/>
      <c r="AN705" s="473"/>
      <c r="AO705" s="473"/>
      <c r="AP705" s="473"/>
      <c r="AQ705" s="473"/>
      <c r="AR705" s="473"/>
      <c r="AS705" s="473"/>
      <c r="AT705" s="473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</row>
    <row r="706">
      <c r="A706" s="6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427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427"/>
      <c r="AG706" s="472"/>
      <c r="AH706" s="472"/>
      <c r="AI706" s="472"/>
      <c r="AJ706" s="472"/>
      <c r="AK706" s="473"/>
      <c r="AL706" s="473"/>
      <c r="AM706" s="473"/>
      <c r="AN706" s="473"/>
      <c r="AO706" s="473"/>
      <c r="AP706" s="473"/>
      <c r="AQ706" s="473"/>
      <c r="AR706" s="473"/>
      <c r="AS706" s="473"/>
      <c r="AT706" s="473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</row>
    <row r="707">
      <c r="A707" s="6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427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427"/>
      <c r="AG707" s="472"/>
      <c r="AH707" s="472"/>
      <c r="AI707" s="472"/>
      <c r="AJ707" s="472"/>
      <c r="AK707" s="473"/>
      <c r="AL707" s="473"/>
      <c r="AM707" s="473"/>
      <c r="AN707" s="473"/>
      <c r="AO707" s="473"/>
      <c r="AP707" s="473"/>
      <c r="AQ707" s="473"/>
      <c r="AR707" s="473"/>
      <c r="AS707" s="473"/>
      <c r="AT707" s="473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</row>
    <row r="708">
      <c r="A708" s="6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427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427"/>
      <c r="AG708" s="472"/>
      <c r="AH708" s="472"/>
      <c r="AI708" s="472"/>
      <c r="AJ708" s="472"/>
      <c r="AK708" s="473"/>
      <c r="AL708" s="473"/>
      <c r="AM708" s="473"/>
      <c r="AN708" s="473"/>
      <c r="AO708" s="473"/>
      <c r="AP708" s="473"/>
      <c r="AQ708" s="473"/>
      <c r="AR708" s="473"/>
      <c r="AS708" s="473"/>
      <c r="AT708" s="473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</row>
    <row r="709">
      <c r="A709" s="6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427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427"/>
      <c r="AG709" s="472"/>
      <c r="AH709" s="472"/>
      <c r="AI709" s="472"/>
      <c r="AJ709" s="472"/>
      <c r="AK709" s="473"/>
      <c r="AL709" s="473"/>
      <c r="AM709" s="473"/>
      <c r="AN709" s="473"/>
      <c r="AO709" s="473"/>
      <c r="AP709" s="473"/>
      <c r="AQ709" s="473"/>
      <c r="AR709" s="473"/>
      <c r="AS709" s="473"/>
      <c r="AT709" s="473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</row>
    <row r="710">
      <c r="A710" s="6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427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427"/>
      <c r="AG710" s="472"/>
      <c r="AH710" s="472"/>
      <c r="AI710" s="472"/>
      <c r="AJ710" s="472"/>
      <c r="AK710" s="473"/>
      <c r="AL710" s="473"/>
      <c r="AM710" s="473"/>
      <c r="AN710" s="473"/>
      <c r="AO710" s="473"/>
      <c r="AP710" s="473"/>
      <c r="AQ710" s="473"/>
      <c r="AR710" s="473"/>
      <c r="AS710" s="473"/>
      <c r="AT710" s="473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</row>
    <row r="711">
      <c r="A711" s="6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427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427"/>
      <c r="AG711" s="472"/>
      <c r="AH711" s="472"/>
      <c r="AI711" s="472"/>
      <c r="AJ711" s="472"/>
      <c r="AK711" s="473"/>
      <c r="AL711" s="473"/>
      <c r="AM711" s="473"/>
      <c r="AN711" s="473"/>
      <c r="AO711" s="473"/>
      <c r="AP711" s="473"/>
      <c r="AQ711" s="473"/>
      <c r="AR711" s="473"/>
      <c r="AS711" s="473"/>
      <c r="AT711" s="473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</row>
    <row r="712">
      <c r="A712" s="6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427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427"/>
      <c r="AG712" s="472"/>
      <c r="AH712" s="472"/>
      <c r="AI712" s="472"/>
      <c r="AJ712" s="472"/>
      <c r="AK712" s="473"/>
      <c r="AL712" s="473"/>
      <c r="AM712" s="473"/>
      <c r="AN712" s="473"/>
      <c r="AO712" s="473"/>
      <c r="AP712" s="473"/>
      <c r="AQ712" s="473"/>
      <c r="AR712" s="473"/>
      <c r="AS712" s="473"/>
      <c r="AT712" s="473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</row>
    <row r="713">
      <c r="A713" s="6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427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427"/>
      <c r="AG713" s="472"/>
      <c r="AH713" s="472"/>
      <c r="AI713" s="472"/>
      <c r="AJ713" s="472"/>
      <c r="AK713" s="473"/>
      <c r="AL713" s="473"/>
      <c r="AM713" s="473"/>
      <c r="AN713" s="473"/>
      <c r="AO713" s="473"/>
      <c r="AP713" s="473"/>
      <c r="AQ713" s="473"/>
      <c r="AR713" s="473"/>
      <c r="AS713" s="473"/>
      <c r="AT713" s="473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</row>
    <row r="714">
      <c r="A714" s="6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427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427"/>
      <c r="AG714" s="472"/>
      <c r="AH714" s="472"/>
      <c r="AI714" s="472"/>
      <c r="AJ714" s="472"/>
      <c r="AK714" s="473"/>
      <c r="AL714" s="473"/>
      <c r="AM714" s="473"/>
      <c r="AN714" s="473"/>
      <c r="AO714" s="473"/>
      <c r="AP714" s="473"/>
      <c r="AQ714" s="473"/>
      <c r="AR714" s="473"/>
      <c r="AS714" s="473"/>
      <c r="AT714" s="473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</row>
    <row r="715">
      <c r="A715" s="6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427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427"/>
      <c r="AG715" s="472"/>
      <c r="AH715" s="472"/>
      <c r="AI715" s="472"/>
      <c r="AJ715" s="472"/>
      <c r="AK715" s="473"/>
      <c r="AL715" s="473"/>
      <c r="AM715" s="473"/>
      <c r="AN715" s="473"/>
      <c r="AO715" s="473"/>
      <c r="AP715" s="473"/>
      <c r="AQ715" s="473"/>
      <c r="AR715" s="473"/>
      <c r="AS715" s="473"/>
      <c r="AT715" s="473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</row>
    <row r="716">
      <c r="A716" s="6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427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427"/>
      <c r="AG716" s="472"/>
      <c r="AH716" s="472"/>
      <c r="AI716" s="472"/>
      <c r="AJ716" s="472"/>
      <c r="AK716" s="473"/>
      <c r="AL716" s="473"/>
      <c r="AM716" s="473"/>
      <c r="AN716" s="473"/>
      <c r="AO716" s="473"/>
      <c r="AP716" s="473"/>
      <c r="AQ716" s="473"/>
      <c r="AR716" s="473"/>
      <c r="AS716" s="473"/>
      <c r="AT716" s="473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</row>
    <row r="717">
      <c r="A717" s="6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427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427"/>
      <c r="AG717" s="472"/>
      <c r="AH717" s="472"/>
      <c r="AI717" s="472"/>
      <c r="AJ717" s="472"/>
      <c r="AK717" s="473"/>
      <c r="AL717" s="473"/>
      <c r="AM717" s="473"/>
      <c r="AN717" s="473"/>
      <c r="AO717" s="473"/>
      <c r="AP717" s="473"/>
      <c r="AQ717" s="473"/>
      <c r="AR717" s="473"/>
      <c r="AS717" s="473"/>
      <c r="AT717" s="473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</row>
    <row r="718">
      <c r="A718" s="6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427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427"/>
      <c r="AG718" s="472"/>
      <c r="AH718" s="472"/>
      <c r="AI718" s="472"/>
      <c r="AJ718" s="472"/>
      <c r="AK718" s="473"/>
      <c r="AL718" s="473"/>
      <c r="AM718" s="473"/>
      <c r="AN718" s="473"/>
      <c r="AO718" s="473"/>
      <c r="AP718" s="473"/>
      <c r="AQ718" s="473"/>
      <c r="AR718" s="473"/>
      <c r="AS718" s="473"/>
      <c r="AT718" s="473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</row>
    <row r="719">
      <c r="A719" s="6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427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427"/>
      <c r="AG719" s="472"/>
      <c r="AH719" s="472"/>
      <c r="AI719" s="472"/>
      <c r="AJ719" s="472"/>
      <c r="AK719" s="473"/>
      <c r="AL719" s="473"/>
      <c r="AM719" s="473"/>
      <c r="AN719" s="473"/>
      <c r="AO719" s="473"/>
      <c r="AP719" s="473"/>
      <c r="AQ719" s="473"/>
      <c r="AR719" s="473"/>
      <c r="AS719" s="473"/>
      <c r="AT719" s="473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</row>
    <row r="720">
      <c r="A720" s="6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427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427"/>
      <c r="AG720" s="472"/>
      <c r="AH720" s="472"/>
      <c r="AI720" s="472"/>
      <c r="AJ720" s="472"/>
      <c r="AK720" s="473"/>
      <c r="AL720" s="473"/>
      <c r="AM720" s="473"/>
      <c r="AN720" s="473"/>
      <c r="AO720" s="473"/>
      <c r="AP720" s="473"/>
      <c r="AQ720" s="473"/>
      <c r="AR720" s="473"/>
      <c r="AS720" s="473"/>
      <c r="AT720" s="473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</row>
    <row r="721">
      <c r="A721" s="6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427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427"/>
      <c r="AG721" s="472"/>
      <c r="AH721" s="472"/>
      <c r="AI721" s="472"/>
      <c r="AJ721" s="472"/>
      <c r="AK721" s="473"/>
      <c r="AL721" s="473"/>
      <c r="AM721" s="473"/>
      <c r="AN721" s="473"/>
      <c r="AO721" s="473"/>
      <c r="AP721" s="473"/>
      <c r="AQ721" s="473"/>
      <c r="AR721" s="473"/>
      <c r="AS721" s="473"/>
      <c r="AT721" s="473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</row>
    <row r="722">
      <c r="A722" s="6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427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427"/>
      <c r="AG722" s="472"/>
      <c r="AH722" s="472"/>
      <c r="AI722" s="472"/>
      <c r="AJ722" s="472"/>
      <c r="AK722" s="473"/>
      <c r="AL722" s="473"/>
      <c r="AM722" s="473"/>
      <c r="AN722" s="473"/>
      <c r="AO722" s="473"/>
      <c r="AP722" s="473"/>
      <c r="AQ722" s="473"/>
      <c r="AR722" s="473"/>
      <c r="AS722" s="473"/>
      <c r="AT722" s="473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</row>
    <row r="723">
      <c r="A723" s="6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427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427"/>
      <c r="AG723" s="472"/>
      <c r="AH723" s="472"/>
      <c r="AI723" s="472"/>
      <c r="AJ723" s="472"/>
      <c r="AK723" s="473"/>
      <c r="AL723" s="473"/>
      <c r="AM723" s="473"/>
      <c r="AN723" s="473"/>
      <c r="AO723" s="473"/>
      <c r="AP723" s="473"/>
      <c r="AQ723" s="473"/>
      <c r="AR723" s="473"/>
      <c r="AS723" s="473"/>
      <c r="AT723" s="473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</row>
    <row r="724">
      <c r="A724" s="6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427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427"/>
      <c r="AG724" s="472"/>
      <c r="AH724" s="472"/>
      <c r="AI724" s="472"/>
      <c r="AJ724" s="472"/>
      <c r="AK724" s="473"/>
      <c r="AL724" s="473"/>
      <c r="AM724" s="473"/>
      <c r="AN724" s="473"/>
      <c r="AO724" s="473"/>
      <c r="AP724" s="473"/>
      <c r="AQ724" s="473"/>
      <c r="AR724" s="473"/>
      <c r="AS724" s="473"/>
      <c r="AT724" s="473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</row>
    <row r="725">
      <c r="A725" s="6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427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427"/>
      <c r="AG725" s="472"/>
      <c r="AH725" s="472"/>
      <c r="AI725" s="472"/>
      <c r="AJ725" s="472"/>
      <c r="AK725" s="473"/>
      <c r="AL725" s="473"/>
      <c r="AM725" s="473"/>
      <c r="AN725" s="473"/>
      <c r="AO725" s="473"/>
      <c r="AP725" s="473"/>
      <c r="AQ725" s="473"/>
      <c r="AR725" s="473"/>
      <c r="AS725" s="473"/>
      <c r="AT725" s="473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</row>
    <row r="726">
      <c r="A726" s="6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427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427"/>
      <c r="AG726" s="472"/>
      <c r="AH726" s="472"/>
      <c r="AI726" s="472"/>
      <c r="AJ726" s="472"/>
      <c r="AK726" s="473"/>
      <c r="AL726" s="473"/>
      <c r="AM726" s="473"/>
      <c r="AN726" s="473"/>
      <c r="AO726" s="473"/>
      <c r="AP726" s="473"/>
      <c r="AQ726" s="473"/>
      <c r="AR726" s="473"/>
      <c r="AS726" s="473"/>
      <c r="AT726" s="473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</row>
    <row r="727">
      <c r="A727" s="6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427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427"/>
      <c r="AG727" s="497"/>
      <c r="AH727" s="497"/>
      <c r="AI727" s="472"/>
      <c r="AJ727" s="472"/>
      <c r="AK727" s="473"/>
      <c r="AL727" s="473"/>
      <c r="AM727" s="473"/>
      <c r="AN727" s="473"/>
      <c r="AO727" s="473"/>
      <c r="AP727" s="473"/>
      <c r="AQ727" s="473"/>
      <c r="AR727" s="473"/>
      <c r="AS727" s="473"/>
      <c r="AT727" s="473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</row>
  </sheetData>
  <mergeCells count="7">
    <mergeCell ref="AH2:AJ2"/>
    <mergeCell ref="B5:AJ5"/>
    <mergeCell ref="B12:AJ12"/>
    <mergeCell ref="B29:AJ29"/>
    <mergeCell ref="B56:AJ56"/>
    <mergeCell ref="B65:AJ65"/>
    <mergeCell ref="B115:AE115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13"/>
    <col customWidth="1" hidden="1" min="2" max="69" width="6.38"/>
    <col customWidth="1" hidden="1" min="70" max="70" width="8.38"/>
    <col customWidth="1" hidden="1" min="71" max="91" width="6.38"/>
    <col customWidth="1" min="92" max="92" width="8.25"/>
    <col customWidth="1" min="93" max="93" width="8.13"/>
    <col customWidth="1" min="94" max="96" width="6.0"/>
    <col customWidth="1" min="97" max="97" width="8.13"/>
    <col customWidth="1" min="98" max="98" width="6.0"/>
    <col customWidth="1" min="99" max="99" width="6.88"/>
    <col customWidth="1" min="100" max="103" width="6.0"/>
    <col customWidth="1" min="104" max="104" width="6.75"/>
    <col customWidth="1" min="105" max="105" width="6.0"/>
    <col customWidth="1" min="106" max="107" width="6.75"/>
    <col customWidth="1" min="108" max="109" width="6.0"/>
    <col customWidth="1" min="110" max="110" width="8.13"/>
    <col customWidth="1" min="111" max="111" width="6.0"/>
    <col customWidth="1" min="112" max="112" width="5.75"/>
    <col customWidth="1" min="113" max="113" width="7.38"/>
    <col customWidth="1" min="114" max="114" width="6.0"/>
    <col customWidth="1" min="115" max="115" width="5.88"/>
    <col customWidth="1" min="116" max="122" width="6.0"/>
    <col customWidth="1" min="123" max="123" width="12.13"/>
    <col customWidth="1" min="124" max="124" width="8.38"/>
    <col customWidth="1" min="125" max="125" width="7.63"/>
    <col customWidth="1" min="126" max="126" width="3.13"/>
    <col customWidth="1" min="127" max="127" width="8.38"/>
    <col customWidth="1" min="128" max="128" width="6.75"/>
    <col customWidth="1" min="129" max="129" width="8.63"/>
    <col customWidth="1" min="130" max="147" width="6.0"/>
  </cols>
  <sheetData>
    <row r="1" hidden="1">
      <c r="A1" s="49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  <c r="DE1" s="118"/>
      <c r="DF1" s="118"/>
      <c r="DG1" s="118"/>
      <c r="DH1" s="118"/>
      <c r="DI1" s="118"/>
      <c r="DJ1" s="118"/>
      <c r="DK1" s="118"/>
      <c r="DL1" s="118"/>
      <c r="DM1" s="118"/>
      <c r="DN1" s="118"/>
      <c r="DO1" s="118"/>
      <c r="DP1" s="118"/>
      <c r="DQ1" s="118"/>
      <c r="DR1" s="118"/>
      <c r="DS1" s="118"/>
      <c r="DT1" s="118"/>
      <c r="DU1" s="118"/>
      <c r="DV1" s="118"/>
      <c r="DW1" s="118"/>
      <c r="DX1" s="499"/>
      <c r="DY1" s="118"/>
      <c r="DZ1" s="118"/>
      <c r="EA1" s="118"/>
      <c r="EB1" s="118"/>
      <c r="EC1" s="118"/>
      <c r="ED1" s="118"/>
      <c r="EE1" s="118"/>
      <c r="EF1" s="118"/>
      <c r="EG1" s="118"/>
      <c r="EH1" s="118"/>
      <c r="EI1" s="118"/>
      <c r="EJ1" s="118"/>
      <c r="EK1" s="118"/>
      <c r="EL1" s="118"/>
      <c r="EM1" s="118"/>
      <c r="EN1" s="118"/>
      <c r="EO1" s="118"/>
      <c r="EP1" s="118"/>
      <c r="EQ1" s="118"/>
    </row>
    <row r="2" hidden="1">
      <c r="A2" s="500" t="s">
        <v>2</v>
      </c>
      <c r="B2" s="118"/>
      <c r="C2" s="118"/>
      <c r="D2" s="118"/>
      <c r="E2" s="118"/>
      <c r="F2" s="118"/>
      <c r="G2" s="118"/>
      <c r="H2" s="501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499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</row>
    <row r="3" hidden="1">
      <c r="A3" s="502" t="s">
        <v>288</v>
      </c>
      <c r="B3" s="503">
        <v>45597.0</v>
      </c>
      <c r="C3" s="503">
        <v>45598.0</v>
      </c>
      <c r="D3" s="503">
        <v>45599.0</v>
      </c>
      <c r="E3" s="503">
        <v>45600.0</v>
      </c>
      <c r="F3" s="503">
        <v>45601.0</v>
      </c>
      <c r="G3" s="503">
        <v>45602.0</v>
      </c>
      <c r="H3" s="503">
        <v>45603.0</v>
      </c>
      <c r="I3" s="503">
        <v>45604.0</v>
      </c>
      <c r="J3" s="503">
        <v>45605.0</v>
      </c>
      <c r="K3" s="503">
        <v>45606.0</v>
      </c>
      <c r="L3" s="503">
        <v>45607.0</v>
      </c>
      <c r="M3" s="503">
        <v>45608.0</v>
      </c>
      <c r="N3" s="503">
        <v>45609.0</v>
      </c>
      <c r="O3" s="503">
        <v>45610.0</v>
      </c>
      <c r="P3" s="503">
        <v>45611.0</v>
      </c>
      <c r="Q3" s="503">
        <v>45612.0</v>
      </c>
      <c r="R3" s="503">
        <v>45613.0</v>
      </c>
      <c r="S3" s="503">
        <v>45614.0</v>
      </c>
      <c r="T3" s="503">
        <v>45615.0</v>
      </c>
      <c r="U3" s="503">
        <v>45616.0</v>
      </c>
      <c r="V3" s="503">
        <v>45617.0</v>
      </c>
      <c r="W3" s="503">
        <v>45618.0</v>
      </c>
      <c r="X3" s="503">
        <v>45619.0</v>
      </c>
      <c r="Y3" s="503">
        <v>45620.0</v>
      </c>
      <c r="Z3" s="503">
        <v>45621.0</v>
      </c>
      <c r="AA3" s="503">
        <v>45622.0</v>
      </c>
      <c r="AB3" s="503">
        <v>45623.0</v>
      </c>
      <c r="AC3" s="503">
        <v>45624.0</v>
      </c>
      <c r="AD3" s="503">
        <v>45625.0</v>
      </c>
      <c r="AE3" s="503">
        <v>45626.0</v>
      </c>
      <c r="AF3" s="503">
        <v>45627.0</v>
      </c>
      <c r="AG3" s="503">
        <v>45628.0</v>
      </c>
      <c r="AH3" s="503">
        <v>45629.0</v>
      </c>
      <c r="AI3" s="503">
        <v>45630.0</v>
      </c>
      <c r="AJ3" s="503">
        <v>45631.0</v>
      </c>
      <c r="AK3" s="503">
        <v>45632.0</v>
      </c>
      <c r="AL3" s="503">
        <v>45633.0</v>
      </c>
      <c r="AM3" s="503">
        <v>45634.0</v>
      </c>
      <c r="AN3" s="503">
        <v>45635.0</v>
      </c>
      <c r="AO3" s="503">
        <v>45636.0</v>
      </c>
      <c r="AP3" s="503">
        <v>45637.0</v>
      </c>
      <c r="AQ3" s="503">
        <v>45638.0</v>
      </c>
      <c r="AR3" s="503">
        <v>45639.0</v>
      </c>
      <c r="AS3" s="503">
        <v>45640.0</v>
      </c>
      <c r="AT3" s="504">
        <v>45641.0</v>
      </c>
      <c r="AU3" s="503">
        <v>45642.0</v>
      </c>
      <c r="AV3" s="503">
        <v>45643.0</v>
      </c>
      <c r="AW3" s="503">
        <v>45644.0</v>
      </c>
      <c r="AX3" s="503">
        <v>45645.0</v>
      </c>
      <c r="AY3" s="503">
        <v>45646.0</v>
      </c>
      <c r="AZ3" s="503">
        <v>45647.0</v>
      </c>
      <c r="BA3" s="503">
        <v>45648.0</v>
      </c>
      <c r="BB3" s="503">
        <v>45649.0</v>
      </c>
      <c r="BC3" s="503">
        <v>45650.0</v>
      </c>
      <c r="BD3" s="503">
        <v>45651.0</v>
      </c>
      <c r="BE3" s="505">
        <v>45652.0</v>
      </c>
      <c r="BF3" s="506">
        <v>45653.0</v>
      </c>
      <c r="BG3" s="507">
        <v>45654.0</v>
      </c>
      <c r="BH3" s="507">
        <v>45655.0</v>
      </c>
      <c r="BI3" s="507">
        <v>45656.0</v>
      </c>
      <c r="BJ3" s="507">
        <v>45657.0</v>
      </c>
      <c r="BK3" s="508">
        <v>45659.0</v>
      </c>
      <c r="BL3" s="503">
        <v>45660.0</v>
      </c>
      <c r="BM3" s="503">
        <v>45661.0</v>
      </c>
      <c r="BN3" s="503">
        <v>45662.0</v>
      </c>
      <c r="BO3" s="503">
        <v>45663.0</v>
      </c>
      <c r="BP3" s="503">
        <v>45664.0</v>
      </c>
      <c r="BQ3" s="503">
        <v>45665.0</v>
      </c>
      <c r="BR3" s="503">
        <v>45666.0</v>
      </c>
      <c r="BS3" s="503">
        <v>45667.0</v>
      </c>
      <c r="BT3" s="503">
        <v>45668.0</v>
      </c>
      <c r="BU3" s="503">
        <v>45669.0</v>
      </c>
      <c r="BV3" s="503">
        <v>45670.0</v>
      </c>
      <c r="BW3" s="503">
        <v>45671.0</v>
      </c>
      <c r="BX3" s="503">
        <v>45672.0</v>
      </c>
      <c r="BY3" s="503">
        <v>45673.0</v>
      </c>
      <c r="BZ3" s="503">
        <v>45674.0</v>
      </c>
      <c r="CA3" s="503">
        <v>45675.0</v>
      </c>
      <c r="CB3" s="503">
        <v>45676.0</v>
      </c>
      <c r="CC3" s="503">
        <v>45677.0</v>
      </c>
      <c r="CD3" s="503">
        <v>45678.0</v>
      </c>
      <c r="CE3" s="503">
        <v>45679.0</v>
      </c>
      <c r="CF3" s="503">
        <v>45680.0</v>
      </c>
      <c r="CG3" s="503">
        <v>45681.0</v>
      </c>
      <c r="CH3" s="503">
        <v>45682.0</v>
      </c>
      <c r="CI3" s="503">
        <v>45683.0</v>
      </c>
      <c r="CJ3" s="503">
        <v>45684.0</v>
      </c>
      <c r="CK3" s="503">
        <v>45685.0</v>
      </c>
      <c r="CL3" s="503">
        <v>45686.0</v>
      </c>
      <c r="CM3" s="503"/>
      <c r="CN3" s="503">
        <v>45687.0</v>
      </c>
      <c r="CO3" s="503">
        <v>45688.0</v>
      </c>
      <c r="CP3" s="509"/>
      <c r="CQ3" s="509"/>
      <c r="CR3" s="509"/>
      <c r="CS3" s="509"/>
      <c r="CT3" s="509"/>
      <c r="CU3" s="509"/>
      <c r="CV3" s="509"/>
      <c r="CW3" s="509"/>
      <c r="CX3" s="509"/>
      <c r="CY3" s="509"/>
      <c r="CZ3" s="509"/>
      <c r="DA3" s="509"/>
      <c r="DB3" s="509"/>
      <c r="DC3" s="509"/>
      <c r="DD3" s="509"/>
      <c r="DE3" s="509"/>
      <c r="DF3" s="509"/>
      <c r="DG3" s="509"/>
      <c r="DH3" s="509"/>
      <c r="DI3" s="509"/>
      <c r="DJ3" s="509"/>
      <c r="DK3" s="509"/>
      <c r="DL3" s="509"/>
      <c r="DM3" s="509"/>
      <c r="DN3" s="509"/>
      <c r="DO3" s="509"/>
      <c r="DP3" s="509"/>
      <c r="DQ3" s="509"/>
      <c r="DR3" s="509"/>
      <c r="DS3" s="509"/>
      <c r="DT3" s="509"/>
      <c r="DU3" s="509"/>
      <c r="DV3" s="509"/>
      <c r="DW3" s="509"/>
      <c r="DX3" s="510"/>
      <c r="DY3" s="509"/>
      <c r="DZ3" s="509"/>
      <c r="EA3" s="509"/>
      <c r="EB3" s="509"/>
      <c r="EC3" s="509"/>
      <c r="ED3" s="509"/>
      <c r="EE3" s="509"/>
      <c r="EF3" s="509"/>
      <c r="EG3" s="509"/>
      <c r="EH3" s="509"/>
      <c r="EI3" s="509"/>
      <c r="EJ3" s="509"/>
      <c r="EK3" s="509"/>
      <c r="EL3" s="509"/>
      <c r="EM3" s="509"/>
      <c r="EN3" s="509"/>
      <c r="EO3" s="509"/>
      <c r="EP3" s="509"/>
      <c r="EQ3" s="509"/>
    </row>
    <row r="4" hidden="1">
      <c r="A4" s="502" t="s">
        <v>289</v>
      </c>
      <c r="B4" s="511"/>
      <c r="C4" s="511">
        <v>180.0</v>
      </c>
      <c r="D4" s="511">
        <v>106.0</v>
      </c>
      <c r="E4" s="512">
        <v>123.0</v>
      </c>
      <c r="F4" s="512">
        <v>175.0</v>
      </c>
      <c r="G4" s="512">
        <v>107.0</v>
      </c>
      <c r="H4" s="512">
        <v>152.0</v>
      </c>
      <c r="I4" s="512">
        <v>133.0</v>
      </c>
      <c r="J4" s="512">
        <v>134.0</v>
      </c>
      <c r="K4" s="512">
        <v>117.0</v>
      </c>
      <c r="L4" s="512">
        <v>113.0</v>
      </c>
      <c r="M4" s="512">
        <v>121.0</v>
      </c>
      <c r="N4" s="512">
        <v>160.0</v>
      </c>
      <c r="O4" s="512">
        <v>127.0</v>
      </c>
      <c r="P4" s="512">
        <v>164.0</v>
      </c>
      <c r="Q4" s="512">
        <v>0.0</v>
      </c>
      <c r="R4" s="513">
        <v>129.0</v>
      </c>
      <c r="S4" s="513">
        <v>141.0</v>
      </c>
      <c r="T4" s="513">
        <v>138.0</v>
      </c>
      <c r="U4" s="513">
        <v>114.0</v>
      </c>
      <c r="V4" s="513">
        <v>153.0</v>
      </c>
      <c r="W4" s="513">
        <v>175.0</v>
      </c>
      <c r="X4" s="513">
        <v>329.0</v>
      </c>
      <c r="Y4" s="513">
        <v>116.0</v>
      </c>
      <c r="Z4" s="512">
        <v>136.0</v>
      </c>
      <c r="AA4" s="512">
        <v>183.0</v>
      </c>
      <c r="AB4" s="512">
        <v>148.0</v>
      </c>
      <c r="AC4" s="512">
        <v>166.0</v>
      </c>
      <c r="AD4" s="512">
        <v>178.0</v>
      </c>
      <c r="AE4" s="512">
        <v>161.0</v>
      </c>
      <c r="AF4" s="512">
        <v>133.0</v>
      </c>
      <c r="AG4" s="512">
        <v>157.0</v>
      </c>
      <c r="AH4" s="512">
        <v>185.0</v>
      </c>
      <c r="AI4" s="512">
        <v>161.0</v>
      </c>
      <c r="AJ4" s="512">
        <v>153.0</v>
      </c>
      <c r="AK4" s="512">
        <v>188.0</v>
      </c>
      <c r="AL4" s="512">
        <v>176.0</v>
      </c>
      <c r="AM4" s="512">
        <v>156.0</v>
      </c>
      <c r="AN4" s="512">
        <v>238.0</v>
      </c>
      <c r="AO4" s="512">
        <v>236.0</v>
      </c>
      <c r="AP4" s="512">
        <v>211.0</v>
      </c>
      <c r="AQ4" s="512">
        <v>189.0</v>
      </c>
      <c r="AR4" s="512">
        <v>237.0</v>
      </c>
      <c r="AS4" s="512">
        <v>210.0</v>
      </c>
      <c r="AT4" s="512">
        <v>143.0</v>
      </c>
      <c r="AU4" s="512">
        <v>232.0</v>
      </c>
      <c r="AV4" s="512">
        <v>153.0</v>
      </c>
      <c r="AW4" s="512">
        <v>163.0</v>
      </c>
      <c r="AX4" s="512">
        <v>205.0</v>
      </c>
      <c r="AY4" s="512">
        <v>236.0</v>
      </c>
      <c r="AZ4" s="512">
        <v>198.0</v>
      </c>
      <c r="BA4" s="512">
        <v>155.0</v>
      </c>
      <c r="BB4" s="512">
        <v>230.0</v>
      </c>
      <c r="BC4" s="512">
        <v>204.0</v>
      </c>
      <c r="BD4" s="512">
        <v>223.0</v>
      </c>
      <c r="BE4" s="514">
        <v>338.0</v>
      </c>
      <c r="BF4" s="512">
        <v>263.0</v>
      </c>
      <c r="BG4" s="515">
        <v>216.0</v>
      </c>
      <c r="BH4" s="516">
        <v>214.0</v>
      </c>
      <c r="BI4" s="516">
        <v>251.0</v>
      </c>
      <c r="BJ4" s="516">
        <v>213.0</v>
      </c>
      <c r="BK4" s="517">
        <v>80.0</v>
      </c>
      <c r="BL4" s="512">
        <v>134.0</v>
      </c>
      <c r="BM4" s="512">
        <v>131.0</v>
      </c>
      <c r="BN4" s="512">
        <v>139.0</v>
      </c>
      <c r="BO4" s="512">
        <v>202.0</v>
      </c>
      <c r="BP4" s="518">
        <v>169.0</v>
      </c>
      <c r="BQ4" s="518">
        <v>183.0</v>
      </c>
      <c r="BR4" s="518">
        <v>119.0</v>
      </c>
      <c r="BS4" s="518">
        <v>149.0</v>
      </c>
      <c r="BT4" s="518">
        <v>213.0</v>
      </c>
      <c r="BU4" s="518">
        <v>165.0</v>
      </c>
      <c r="BV4" s="518">
        <v>236.0</v>
      </c>
      <c r="BW4" s="518">
        <v>109.0</v>
      </c>
      <c r="BX4" s="518">
        <v>197.0</v>
      </c>
      <c r="BY4" s="518">
        <v>161.0</v>
      </c>
      <c r="BZ4" s="518">
        <v>176.0</v>
      </c>
      <c r="CA4" s="518">
        <v>119.0</v>
      </c>
      <c r="CB4" s="518">
        <v>153.0</v>
      </c>
      <c r="CC4" s="518">
        <v>152.0</v>
      </c>
      <c r="CD4" s="518">
        <v>141.0</v>
      </c>
      <c r="CE4" s="518">
        <v>134.0</v>
      </c>
      <c r="CF4" s="518">
        <v>189.0</v>
      </c>
      <c r="CG4" s="519">
        <v>161.0</v>
      </c>
      <c r="CH4" s="518"/>
      <c r="CI4" s="518">
        <v>131.0</v>
      </c>
      <c r="CJ4" s="518">
        <v>208.0</v>
      </c>
      <c r="CK4" s="518">
        <v>101.0</v>
      </c>
      <c r="CL4" s="518">
        <v>117.0</v>
      </c>
      <c r="CM4" s="518"/>
      <c r="CN4" s="518">
        <v>152.0</v>
      </c>
      <c r="CO4" s="518">
        <v>116.0</v>
      </c>
      <c r="CP4" s="520"/>
      <c r="CQ4" s="520"/>
      <c r="CR4" s="520"/>
      <c r="CS4" s="520"/>
      <c r="CT4" s="520"/>
      <c r="CU4" s="520"/>
      <c r="CV4" s="520"/>
      <c r="CW4" s="520"/>
      <c r="CX4" s="520"/>
      <c r="CY4" s="520"/>
      <c r="CZ4" s="520"/>
      <c r="DA4" s="520"/>
      <c r="DB4" s="520"/>
      <c r="DC4" s="520"/>
      <c r="DD4" s="520"/>
      <c r="DE4" s="520"/>
      <c r="DF4" s="520"/>
      <c r="DG4" s="520"/>
      <c r="DH4" s="520"/>
      <c r="DI4" s="520"/>
      <c r="DJ4" s="520"/>
      <c r="DK4" s="520"/>
      <c r="DL4" s="520"/>
      <c r="DM4" s="520"/>
      <c r="DN4" s="520"/>
      <c r="DO4" s="520"/>
      <c r="DP4" s="520"/>
      <c r="DQ4" s="520"/>
      <c r="DR4" s="520"/>
      <c r="DS4" s="520"/>
      <c r="DT4" s="520"/>
      <c r="DU4" s="520"/>
      <c r="DV4" s="520"/>
      <c r="DW4" s="520"/>
      <c r="DX4" s="510"/>
      <c r="DY4" s="520"/>
      <c r="DZ4" s="520"/>
      <c r="EA4" s="520"/>
      <c r="EB4" s="520"/>
      <c r="EC4" s="520"/>
      <c r="ED4" s="520"/>
      <c r="EE4" s="520"/>
      <c r="EF4" s="520"/>
      <c r="EG4" s="520"/>
      <c r="EH4" s="520"/>
      <c r="EI4" s="520"/>
      <c r="EJ4" s="520"/>
      <c r="EK4" s="520"/>
      <c r="EL4" s="520"/>
      <c r="EM4" s="520"/>
      <c r="EN4" s="520"/>
      <c r="EO4" s="520"/>
      <c r="EP4" s="520"/>
      <c r="EQ4" s="520"/>
    </row>
    <row r="5" hidden="1">
      <c r="A5" s="521" t="s">
        <v>290</v>
      </c>
      <c r="B5" s="512"/>
      <c r="C5" s="512">
        <v>59.0</v>
      </c>
      <c r="D5" s="512">
        <v>50.0</v>
      </c>
      <c r="E5" s="512">
        <v>49.0</v>
      </c>
      <c r="F5" s="512">
        <v>58.0</v>
      </c>
      <c r="G5" s="512">
        <v>53.0</v>
      </c>
      <c r="H5" s="512">
        <v>50.0</v>
      </c>
      <c r="I5" s="512">
        <v>52.0</v>
      </c>
      <c r="J5" s="512">
        <v>50.0</v>
      </c>
      <c r="K5" s="512">
        <v>51.0</v>
      </c>
      <c r="L5" s="512">
        <v>52.0</v>
      </c>
      <c r="M5" s="512">
        <v>48.0</v>
      </c>
      <c r="N5" s="512">
        <v>68.0</v>
      </c>
      <c r="O5" s="512">
        <v>49.0</v>
      </c>
      <c r="P5" s="512">
        <v>57.0</v>
      </c>
      <c r="Q5" s="512">
        <v>0.0</v>
      </c>
      <c r="R5" s="513">
        <v>55.0</v>
      </c>
      <c r="S5" s="513">
        <v>60.0</v>
      </c>
      <c r="T5" s="513">
        <v>47.0</v>
      </c>
      <c r="U5" s="513">
        <v>50.0</v>
      </c>
      <c r="V5" s="513">
        <v>60.0</v>
      </c>
      <c r="W5" s="513">
        <v>68.0</v>
      </c>
      <c r="X5" s="513">
        <v>57.0</v>
      </c>
      <c r="Y5" s="513">
        <v>50.0</v>
      </c>
      <c r="Z5" s="512">
        <v>59.0</v>
      </c>
      <c r="AA5" s="512">
        <v>60.0</v>
      </c>
      <c r="AB5" s="512">
        <v>65.0</v>
      </c>
      <c r="AC5" s="512">
        <v>66.0</v>
      </c>
      <c r="AD5" s="512">
        <v>62.0</v>
      </c>
      <c r="AE5" s="512">
        <v>55.0</v>
      </c>
      <c r="AF5" s="512">
        <v>52.0</v>
      </c>
      <c r="AG5" s="512">
        <v>60.0</v>
      </c>
      <c r="AH5" s="512">
        <v>67.0</v>
      </c>
      <c r="AI5" s="512">
        <v>62.0</v>
      </c>
      <c r="AJ5" s="512">
        <v>55.0</v>
      </c>
      <c r="AK5" s="512">
        <v>69.0</v>
      </c>
      <c r="AL5" s="512">
        <v>57.0</v>
      </c>
      <c r="AM5" s="512">
        <v>54.0</v>
      </c>
      <c r="AN5" s="512">
        <v>70.0</v>
      </c>
      <c r="AO5" s="512">
        <v>69.0</v>
      </c>
      <c r="AP5" s="512">
        <v>72.0</v>
      </c>
      <c r="AQ5" s="512">
        <v>69.0</v>
      </c>
      <c r="AR5" s="512">
        <v>62.0</v>
      </c>
      <c r="AS5" s="512">
        <v>70.0</v>
      </c>
      <c r="AT5" s="512">
        <v>62.0</v>
      </c>
      <c r="AU5" s="512">
        <v>86.0</v>
      </c>
      <c r="AV5" s="512">
        <v>71.0</v>
      </c>
      <c r="AW5" s="512">
        <v>69.0</v>
      </c>
      <c r="AX5" s="512">
        <v>75.0</v>
      </c>
      <c r="AY5" s="512">
        <v>84.0</v>
      </c>
      <c r="AZ5" s="512">
        <v>80.0</v>
      </c>
      <c r="BA5" s="512">
        <v>71.0</v>
      </c>
      <c r="BB5" s="512">
        <v>83.0</v>
      </c>
      <c r="BC5" s="512">
        <v>84.0</v>
      </c>
      <c r="BD5" s="512">
        <v>78.0</v>
      </c>
      <c r="BE5" s="514">
        <v>105.0</v>
      </c>
      <c r="BF5" s="512">
        <v>107.0</v>
      </c>
      <c r="BG5" s="515">
        <v>85.0</v>
      </c>
      <c r="BH5" s="516">
        <v>85.0</v>
      </c>
      <c r="BI5" s="516">
        <v>102.0</v>
      </c>
      <c r="BJ5" s="516">
        <v>89.0</v>
      </c>
      <c r="BK5" s="517">
        <v>41.0</v>
      </c>
      <c r="BL5" s="512">
        <v>52.0</v>
      </c>
      <c r="BM5" s="512">
        <v>60.0</v>
      </c>
      <c r="BN5" s="512">
        <v>48.0</v>
      </c>
      <c r="BO5" s="512">
        <v>68.0</v>
      </c>
      <c r="BP5" s="518">
        <v>64.0</v>
      </c>
      <c r="BQ5" s="518">
        <v>66.0</v>
      </c>
      <c r="BR5" s="518">
        <v>51.0</v>
      </c>
      <c r="BS5" s="518">
        <v>55.0</v>
      </c>
      <c r="BT5" s="518">
        <v>56.0</v>
      </c>
      <c r="BU5" s="518">
        <v>62.0</v>
      </c>
      <c r="BV5" s="518">
        <v>73.0</v>
      </c>
      <c r="BW5" s="518">
        <v>44.0</v>
      </c>
      <c r="BX5" s="518">
        <v>81.0</v>
      </c>
      <c r="BY5" s="518">
        <v>62.0</v>
      </c>
      <c r="BZ5" s="518">
        <v>64.0</v>
      </c>
      <c r="CA5" s="518">
        <v>43.0</v>
      </c>
      <c r="CB5" s="518">
        <v>65.0</v>
      </c>
      <c r="CC5" s="518">
        <v>56.0</v>
      </c>
      <c r="CD5" s="518">
        <v>44.0</v>
      </c>
      <c r="CE5" s="518">
        <v>62.0</v>
      </c>
      <c r="CF5" s="518">
        <v>64.0</v>
      </c>
      <c r="CG5" s="518">
        <v>57.0</v>
      </c>
      <c r="CH5" s="518"/>
      <c r="CI5" s="518">
        <v>62.0</v>
      </c>
      <c r="CJ5" s="518">
        <v>77.0</v>
      </c>
      <c r="CK5" s="518">
        <v>49.0</v>
      </c>
      <c r="CL5" s="518">
        <v>49.0</v>
      </c>
      <c r="CM5" s="518"/>
      <c r="CN5" s="518">
        <v>65.0</v>
      </c>
      <c r="CO5" s="518">
        <v>55.0</v>
      </c>
      <c r="CP5" s="520"/>
      <c r="CQ5" s="520"/>
      <c r="CR5" s="520"/>
      <c r="CS5" s="520"/>
      <c r="CT5" s="520"/>
      <c r="CU5" s="520"/>
      <c r="CV5" s="520"/>
      <c r="CW5" s="520"/>
      <c r="CX5" s="520"/>
      <c r="CY5" s="520"/>
      <c r="CZ5" s="520"/>
      <c r="DA5" s="520"/>
      <c r="DB5" s="520"/>
      <c r="DC5" s="520"/>
      <c r="DD5" s="520"/>
      <c r="DE5" s="520"/>
      <c r="DF5" s="520"/>
      <c r="DG5" s="520"/>
      <c r="DH5" s="520"/>
      <c r="DI5" s="520"/>
      <c r="DJ5" s="520"/>
      <c r="DK5" s="520"/>
      <c r="DL5" s="520"/>
      <c r="DM5" s="520"/>
      <c r="DN5" s="520"/>
      <c r="DO5" s="520"/>
      <c r="DP5" s="520"/>
      <c r="DQ5" s="520"/>
      <c r="DR5" s="520"/>
      <c r="DS5" s="520"/>
      <c r="DT5" s="520"/>
      <c r="DU5" s="520"/>
      <c r="DV5" s="520"/>
      <c r="DW5" s="520"/>
      <c r="DX5" s="510"/>
      <c r="DY5" s="520"/>
      <c r="DZ5" s="520"/>
      <c r="EA5" s="520"/>
      <c r="EB5" s="520"/>
      <c r="EC5" s="520"/>
      <c r="ED5" s="520"/>
      <c r="EE5" s="520"/>
      <c r="EF5" s="520"/>
      <c r="EG5" s="520"/>
      <c r="EH5" s="520"/>
      <c r="EI5" s="520"/>
      <c r="EJ5" s="520"/>
      <c r="EK5" s="520"/>
      <c r="EL5" s="520"/>
      <c r="EM5" s="520"/>
      <c r="EN5" s="520"/>
      <c r="EO5" s="520"/>
      <c r="EP5" s="520"/>
      <c r="EQ5" s="520"/>
    </row>
    <row r="6" hidden="1">
      <c r="A6" s="502" t="s">
        <v>291</v>
      </c>
      <c r="B6" s="522">
        <f>14.74-28.81</f>
        <v>-14.07</v>
      </c>
      <c r="C6" s="522">
        <f>59.28-156.65</f>
        <v>-97.37</v>
      </c>
      <c r="D6" s="522">
        <f>-89.6+23.03</f>
        <v>-66.57</v>
      </c>
      <c r="E6" s="523">
        <f>63.87-20.11</f>
        <v>43.76</v>
      </c>
      <c r="F6" s="522">
        <f>8.03-216.43+4.9</f>
        <v>-203.5</v>
      </c>
      <c r="G6" s="522">
        <f>75.43-177.81</f>
        <v>-102.38</v>
      </c>
      <c r="H6" s="522">
        <f>33.96-287.25</f>
        <v>-253.29</v>
      </c>
      <c r="I6" s="523">
        <f>40.23-38.05</f>
        <v>2.18</v>
      </c>
      <c r="J6" s="522">
        <f>67.83-116.87</f>
        <v>-49.04</v>
      </c>
      <c r="K6" s="523">
        <f>34.19-3.42</f>
        <v>30.77</v>
      </c>
      <c r="L6" s="522">
        <f>57.03-100.74</f>
        <v>-43.71</v>
      </c>
      <c r="M6" s="523">
        <f>22.52+23.36</f>
        <v>45.88</v>
      </c>
      <c r="N6" s="522">
        <f>14.86-64.83</f>
        <v>-49.97</v>
      </c>
      <c r="O6" s="522">
        <f>-63.97-91.85</f>
        <v>-155.82</v>
      </c>
      <c r="P6" s="524">
        <v>91.54</v>
      </c>
      <c r="Q6" s="523">
        <f>-82.77+90.49</f>
        <v>7.72</v>
      </c>
      <c r="R6" s="523">
        <f>67.96+50.69</f>
        <v>118.65</v>
      </c>
      <c r="S6" s="522">
        <f>-100.4+39.03</f>
        <v>-61.37</v>
      </c>
      <c r="T6" s="522">
        <f>-142.7+7.87</f>
        <v>-134.83</v>
      </c>
      <c r="U6" s="513">
        <v>180.06</v>
      </c>
      <c r="V6" s="525">
        <f>-108.48</f>
        <v>-108.48</v>
      </c>
      <c r="W6" s="525">
        <f>202.8</f>
        <v>202.8</v>
      </c>
      <c r="X6" s="512">
        <v>63.79</v>
      </c>
      <c r="Y6" s="512">
        <v>34.8</v>
      </c>
      <c r="Z6" s="512">
        <v>34.7</v>
      </c>
      <c r="AA6" s="512">
        <v>185.37</v>
      </c>
      <c r="AB6" s="525">
        <f>+33.47+31.2</f>
        <v>64.67</v>
      </c>
      <c r="AC6" s="512">
        <v>67.22</v>
      </c>
      <c r="AD6" s="512">
        <v>41.35</v>
      </c>
      <c r="AE6" s="512">
        <v>60.05</v>
      </c>
      <c r="AF6" s="512">
        <v>40.34</v>
      </c>
      <c r="AG6" s="512">
        <v>39.68</v>
      </c>
      <c r="AH6" s="512">
        <v>55.76</v>
      </c>
      <c r="AI6" s="512">
        <v>43.15</v>
      </c>
      <c r="AJ6" s="512">
        <v>57.02</v>
      </c>
      <c r="AK6" s="512">
        <v>77.32</v>
      </c>
      <c r="AL6" s="512">
        <v>52.99</v>
      </c>
      <c r="AM6" s="512">
        <v>52.67</v>
      </c>
      <c r="AN6" s="512">
        <v>70.2</v>
      </c>
      <c r="AO6" s="512">
        <v>62.47</v>
      </c>
      <c r="AP6" s="512">
        <v>73.19</v>
      </c>
      <c r="AQ6" s="512">
        <v>58.45</v>
      </c>
      <c r="AR6" s="512">
        <v>42.09</v>
      </c>
      <c r="AS6" s="512">
        <v>71.11</v>
      </c>
      <c r="AT6" s="512">
        <v>69.07</v>
      </c>
      <c r="AU6" s="512">
        <v>-39.92</v>
      </c>
      <c r="AV6" s="512">
        <v>82.32</v>
      </c>
      <c r="AW6" s="512">
        <v>48.7</v>
      </c>
      <c r="AX6" s="512">
        <v>73.95</v>
      </c>
      <c r="AY6" s="512">
        <v>85.33</v>
      </c>
      <c r="AZ6" s="512">
        <v>52.85</v>
      </c>
      <c r="BA6" s="512">
        <v>58.81</v>
      </c>
      <c r="BB6" s="512">
        <v>61.38</v>
      </c>
      <c r="BC6" s="512">
        <v>-115.74</v>
      </c>
      <c r="BD6" s="512">
        <v>-18.76</v>
      </c>
      <c r="BE6" s="514">
        <v>119.29</v>
      </c>
      <c r="BF6" s="526">
        <v>89.54</v>
      </c>
      <c r="BG6" s="516">
        <v>-32.84</v>
      </c>
      <c r="BH6" s="516">
        <v>-383.53</v>
      </c>
      <c r="BI6" s="516">
        <v>59.86</v>
      </c>
      <c r="BJ6" s="516">
        <v>43.91</v>
      </c>
      <c r="BK6" s="527">
        <v>9.87</v>
      </c>
      <c r="BL6" s="512">
        <v>55.11</v>
      </c>
      <c r="BM6" s="512">
        <v>56.16</v>
      </c>
      <c r="BN6" s="512">
        <v>82.1</v>
      </c>
      <c r="BO6" s="512">
        <v>-202.02</v>
      </c>
      <c r="BP6" s="512">
        <v>29.89</v>
      </c>
      <c r="BQ6" s="512">
        <v>70.72</v>
      </c>
      <c r="BR6" s="514">
        <v>52.66</v>
      </c>
      <c r="BS6" s="528">
        <v>48.12</v>
      </c>
      <c r="BT6" s="529">
        <v>57.22</v>
      </c>
      <c r="BU6" s="512">
        <v>40.93</v>
      </c>
      <c r="BV6" s="512">
        <v>54.83</v>
      </c>
      <c r="BW6" s="512">
        <v>30.65</v>
      </c>
      <c r="BX6" s="514">
        <v>48.73</v>
      </c>
      <c r="BY6" s="528">
        <v>52.73</v>
      </c>
      <c r="BZ6" s="529">
        <v>28.39</v>
      </c>
      <c r="CA6" s="512"/>
      <c r="CB6" s="529">
        <v>55.65</v>
      </c>
      <c r="CC6" s="529">
        <v>45.2</v>
      </c>
      <c r="CD6" s="529">
        <v>-20.6</v>
      </c>
      <c r="CE6" s="529">
        <v>27.26</v>
      </c>
      <c r="CF6" s="529">
        <v>54.91</v>
      </c>
      <c r="CG6" s="529">
        <v>-37.83</v>
      </c>
      <c r="CH6" s="529">
        <v>-314.99</v>
      </c>
      <c r="CI6" s="529">
        <v>-46.06</v>
      </c>
      <c r="CJ6" s="529">
        <v>-10.37</v>
      </c>
      <c r="CK6" s="529">
        <v>-3.19</v>
      </c>
      <c r="CL6" s="529">
        <v>29.39</v>
      </c>
      <c r="CM6" s="529"/>
      <c r="CN6" s="529">
        <v>-86.75</v>
      </c>
      <c r="CO6" s="529">
        <v>26.44</v>
      </c>
      <c r="DX6" s="530"/>
    </row>
    <row r="7" hidden="1">
      <c r="A7" s="531"/>
      <c r="B7" s="118"/>
      <c r="C7" s="118"/>
      <c r="D7" s="118"/>
      <c r="E7" s="118"/>
      <c r="F7" s="118"/>
      <c r="G7" s="118"/>
      <c r="H7" s="118"/>
      <c r="I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8"/>
      <c r="DG7" s="118"/>
      <c r="DH7" s="118"/>
      <c r="DI7" s="118"/>
      <c r="DJ7" s="118"/>
      <c r="DK7" s="118"/>
      <c r="DL7" s="118"/>
      <c r="DM7" s="118"/>
      <c r="DN7" s="118"/>
      <c r="DO7" s="118"/>
      <c r="DP7" s="118"/>
      <c r="DQ7" s="118"/>
      <c r="DR7" s="118"/>
      <c r="DS7" s="118"/>
      <c r="DT7" s="118"/>
      <c r="DU7" s="118"/>
      <c r="DV7" s="118"/>
      <c r="DW7" s="118"/>
      <c r="DX7" s="499"/>
      <c r="DY7" s="118"/>
      <c r="DZ7" s="118"/>
      <c r="EA7" s="118"/>
      <c r="EB7" s="118"/>
      <c r="EC7" s="118"/>
      <c r="ED7" s="118"/>
      <c r="EE7" s="118"/>
      <c r="EF7" s="118"/>
      <c r="EG7" s="118"/>
      <c r="EH7" s="118"/>
      <c r="EI7" s="118"/>
      <c r="EJ7" s="118"/>
      <c r="EK7" s="118"/>
      <c r="EL7" s="118"/>
      <c r="EM7" s="118"/>
      <c r="EN7" s="118"/>
      <c r="EO7" s="118"/>
      <c r="EP7" s="118"/>
      <c r="EQ7" s="118"/>
    </row>
    <row r="8" hidden="1">
      <c r="A8" s="531"/>
      <c r="B8" s="118"/>
      <c r="C8" s="118"/>
      <c r="D8" s="118"/>
      <c r="E8" s="118"/>
      <c r="F8" s="118"/>
      <c r="G8" s="118"/>
      <c r="H8" s="118"/>
      <c r="I8" s="118"/>
      <c r="J8" s="532"/>
      <c r="K8" s="532"/>
      <c r="L8" s="45"/>
      <c r="M8" s="532"/>
      <c r="N8" s="532"/>
      <c r="O8" s="532"/>
      <c r="P8" s="118"/>
      <c r="Q8" s="118"/>
      <c r="R8" s="532"/>
      <c r="S8" s="118"/>
      <c r="T8" s="532"/>
      <c r="U8" s="532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  <c r="DA8" s="118"/>
      <c r="DB8" s="118"/>
      <c r="DC8" s="118"/>
      <c r="DD8" s="118"/>
      <c r="DE8" s="118"/>
      <c r="DF8" s="118"/>
      <c r="DG8" s="118"/>
      <c r="DH8" s="118"/>
      <c r="DI8" s="118"/>
      <c r="DJ8" s="118"/>
      <c r="DK8" s="118"/>
      <c r="DL8" s="118"/>
      <c r="DM8" s="118"/>
      <c r="DN8" s="118"/>
      <c r="DO8" s="118"/>
      <c r="DP8" s="118"/>
      <c r="DQ8" s="118"/>
      <c r="DR8" s="118"/>
      <c r="DS8" s="118"/>
      <c r="DT8" s="118"/>
      <c r="DU8" s="118"/>
      <c r="DV8" s="118"/>
      <c r="DW8" s="118"/>
      <c r="DX8" s="499"/>
      <c r="DY8" s="118"/>
      <c r="DZ8" s="118"/>
      <c r="EA8" s="118"/>
      <c r="EB8" s="118"/>
      <c r="EC8" s="118"/>
      <c r="ED8" s="118"/>
      <c r="EE8" s="118"/>
      <c r="EF8" s="118"/>
      <c r="EG8" s="118"/>
      <c r="EH8" s="118"/>
      <c r="EI8" s="118"/>
      <c r="EJ8" s="118"/>
      <c r="EK8" s="118"/>
      <c r="EL8" s="118"/>
      <c r="EM8" s="118"/>
      <c r="EN8" s="118"/>
      <c r="EO8" s="118"/>
      <c r="EP8" s="118"/>
      <c r="EQ8" s="118"/>
    </row>
    <row r="9" hidden="1">
      <c r="A9" s="500" t="s">
        <v>8</v>
      </c>
      <c r="B9" s="533"/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3"/>
      <c r="AJ9" s="533"/>
      <c r="AK9" s="533"/>
      <c r="AL9" s="533"/>
      <c r="AM9" s="533"/>
      <c r="AN9" s="533"/>
      <c r="AO9" s="533"/>
      <c r="AP9" s="533"/>
      <c r="AQ9" s="533"/>
      <c r="AR9" s="533"/>
      <c r="AS9" s="533"/>
      <c r="AT9" s="534"/>
      <c r="AU9" s="533"/>
      <c r="AV9" s="533"/>
      <c r="AW9" s="533"/>
      <c r="AX9" s="533"/>
      <c r="AY9" s="533"/>
      <c r="AZ9" s="533"/>
      <c r="BA9" s="533"/>
      <c r="BB9" s="533"/>
      <c r="BC9" s="533"/>
      <c r="BD9" s="533"/>
      <c r="BE9" s="533"/>
      <c r="BF9" s="533"/>
      <c r="BG9" s="533"/>
      <c r="BH9" s="533"/>
      <c r="BI9" s="533"/>
      <c r="BJ9" s="533"/>
      <c r="BK9" s="533"/>
      <c r="BL9" s="533"/>
      <c r="BM9" s="533"/>
      <c r="BN9" s="533"/>
      <c r="BO9" s="533"/>
      <c r="BP9" s="533"/>
      <c r="BQ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  <c r="CD9" s="533"/>
      <c r="CE9" s="533"/>
      <c r="CF9" s="533"/>
      <c r="CG9" s="533"/>
      <c r="CH9" s="533"/>
      <c r="CI9" s="533"/>
      <c r="CJ9" s="533"/>
      <c r="CK9" s="533"/>
      <c r="CL9" s="533"/>
      <c r="CM9" s="533"/>
      <c r="CN9" s="533"/>
      <c r="CO9" s="533"/>
      <c r="CP9" s="533"/>
      <c r="CQ9" s="533"/>
      <c r="CR9" s="533"/>
      <c r="CS9" s="533"/>
      <c r="CT9" s="533"/>
      <c r="CU9" s="533"/>
      <c r="CV9" s="533"/>
      <c r="CW9" s="533"/>
      <c r="CX9" s="533"/>
      <c r="CY9" s="533"/>
      <c r="CZ9" s="533"/>
      <c r="DA9" s="533"/>
      <c r="DB9" s="533"/>
      <c r="DC9" s="533"/>
      <c r="DD9" s="533"/>
      <c r="DE9" s="533"/>
      <c r="DF9" s="533"/>
      <c r="DG9" s="533"/>
      <c r="DH9" s="533"/>
      <c r="DI9" s="533"/>
      <c r="DJ9" s="533"/>
      <c r="DK9" s="533"/>
      <c r="DL9" s="533"/>
      <c r="DM9" s="533"/>
      <c r="DN9" s="533"/>
      <c r="DO9" s="533"/>
      <c r="DP9" s="533"/>
      <c r="DQ9" s="533"/>
      <c r="DR9" s="533"/>
      <c r="DS9" s="533"/>
      <c r="DT9" s="533"/>
      <c r="DU9" s="533"/>
      <c r="DV9" s="533"/>
      <c r="DW9" s="533"/>
      <c r="DX9" s="535"/>
      <c r="DY9" s="533"/>
      <c r="DZ9" s="533"/>
      <c r="EA9" s="533"/>
      <c r="EB9" s="533"/>
      <c r="EC9" s="533"/>
      <c r="ED9" s="533"/>
      <c r="EE9" s="533"/>
      <c r="EF9" s="533"/>
      <c r="EG9" s="533"/>
      <c r="EH9" s="533"/>
      <c r="EI9" s="533"/>
      <c r="EJ9" s="533"/>
      <c r="EK9" s="533"/>
      <c r="EL9" s="533"/>
      <c r="EM9" s="533"/>
      <c r="EN9" s="533"/>
      <c r="EO9" s="533"/>
      <c r="EP9" s="533"/>
      <c r="EQ9" s="533"/>
    </row>
    <row r="10" hidden="1">
      <c r="A10" s="502" t="s">
        <v>288</v>
      </c>
      <c r="B10" s="503">
        <v>45597.0</v>
      </c>
      <c r="C10" s="503">
        <v>45598.0</v>
      </c>
      <c r="D10" s="503">
        <v>45599.0</v>
      </c>
      <c r="E10" s="503">
        <v>45600.0</v>
      </c>
      <c r="F10" s="503">
        <v>45601.0</v>
      </c>
      <c r="G10" s="503">
        <v>45602.0</v>
      </c>
      <c r="H10" s="503">
        <v>45603.0</v>
      </c>
      <c r="I10" s="503">
        <v>45604.0</v>
      </c>
      <c r="J10" s="503">
        <v>45605.0</v>
      </c>
      <c r="K10" s="503">
        <v>45606.0</v>
      </c>
      <c r="L10" s="503">
        <v>45607.0</v>
      </c>
      <c r="M10" s="503">
        <v>45608.0</v>
      </c>
      <c r="N10" s="503">
        <v>45609.0</v>
      </c>
      <c r="O10" s="503">
        <v>45610.0</v>
      </c>
      <c r="P10" s="503">
        <v>45611.0</v>
      </c>
      <c r="Q10" s="503">
        <v>45612.0</v>
      </c>
      <c r="R10" s="503">
        <v>45613.0</v>
      </c>
      <c r="S10" s="503">
        <v>45614.0</v>
      </c>
      <c r="T10" s="503">
        <v>45615.0</v>
      </c>
      <c r="U10" s="503">
        <v>45616.0</v>
      </c>
      <c r="V10" s="503">
        <v>45617.0</v>
      </c>
      <c r="W10" s="503">
        <v>45618.0</v>
      </c>
      <c r="X10" s="503">
        <v>45619.0</v>
      </c>
      <c r="Y10" s="503">
        <v>45620.0</v>
      </c>
      <c r="Z10" s="503">
        <v>45621.0</v>
      </c>
      <c r="AA10" s="503">
        <v>45622.0</v>
      </c>
      <c r="AB10" s="503">
        <v>45623.0</v>
      </c>
      <c r="AC10" s="503">
        <v>45624.0</v>
      </c>
      <c r="AD10" s="503">
        <v>45625.0</v>
      </c>
      <c r="AE10" s="503">
        <v>45626.0</v>
      </c>
      <c r="AF10" s="503">
        <v>45627.0</v>
      </c>
      <c r="AG10" s="503">
        <v>45628.0</v>
      </c>
      <c r="AH10" s="503">
        <v>45629.0</v>
      </c>
      <c r="AI10" s="503">
        <v>45630.0</v>
      </c>
      <c r="AJ10" s="503">
        <v>45631.0</v>
      </c>
      <c r="AK10" s="503">
        <v>45632.0</v>
      </c>
      <c r="AL10" s="503">
        <v>45633.0</v>
      </c>
      <c r="AM10" s="503">
        <v>45634.0</v>
      </c>
      <c r="AN10" s="503">
        <v>45635.0</v>
      </c>
      <c r="AO10" s="503">
        <v>45636.0</v>
      </c>
      <c r="AP10" s="503">
        <v>45637.0</v>
      </c>
      <c r="AQ10" s="503">
        <v>45638.0</v>
      </c>
      <c r="AR10" s="503">
        <v>45639.0</v>
      </c>
      <c r="AS10" s="503">
        <v>45640.0</v>
      </c>
      <c r="AT10" s="504">
        <v>45641.0</v>
      </c>
      <c r="AU10" s="503">
        <v>45642.0</v>
      </c>
      <c r="AV10" s="503">
        <v>45643.0</v>
      </c>
      <c r="AW10" s="503">
        <v>45644.0</v>
      </c>
      <c r="AX10" s="503">
        <v>45645.0</v>
      </c>
      <c r="AY10" s="503">
        <v>45646.0</v>
      </c>
      <c r="AZ10" s="503">
        <v>45647.0</v>
      </c>
      <c r="BA10" s="503">
        <v>45648.0</v>
      </c>
      <c r="BB10" s="503">
        <v>45649.0</v>
      </c>
      <c r="BC10" s="503">
        <v>45650.0</v>
      </c>
      <c r="BD10" s="503">
        <v>45651.0</v>
      </c>
      <c r="BE10" s="505">
        <v>45652.0</v>
      </c>
      <c r="BF10" s="507">
        <v>45653.0</v>
      </c>
      <c r="BG10" s="507">
        <v>45654.0</v>
      </c>
      <c r="BH10" s="507">
        <v>45655.0</v>
      </c>
      <c r="BI10" s="507">
        <v>45656.0</v>
      </c>
      <c r="BJ10" s="507">
        <v>45657.0</v>
      </c>
      <c r="BK10" s="508">
        <v>45659.0</v>
      </c>
      <c r="BL10" s="503">
        <v>45660.0</v>
      </c>
      <c r="BM10" s="503">
        <v>45661.0</v>
      </c>
      <c r="BN10" s="503">
        <v>45662.0</v>
      </c>
      <c r="BO10" s="503">
        <v>45663.0</v>
      </c>
      <c r="BP10" s="503">
        <v>45664.0</v>
      </c>
      <c r="BQ10" s="503">
        <v>45665.0</v>
      </c>
      <c r="BR10" s="503">
        <v>45666.0</v>
      </c>
      <c r="BS10" s="503">
        <v>45667.0</v>
      </c>
      <c r="BT10" s="503">
        <v>45668.0</v>
      </c>
      <c r="BU10" s="503">
        <v>45669.0</v>
      </c>
      <c r="BV10" s="503">
        <v>45670.0</v>
      </c>
      <c r="BW10" s="503">
        <v>45671.0</v>
      </c>
      <c r="BX10" s="503">
        <v>45672.0</v>
      </c>
      <c r="BY10" s="503">
        <v>45673.0</v>
      </c>
      <c r="BZ10" s="503">
        <v>45674.0</v>
      </c>
      <c r="CA10" s="503">
        <v>45675.0</v>
      </c>
      <c r="CB10" s="503">
        <v>45676.0</v>
      </c>
      <c r="CC10" s="503">
        <v>45677.0</v>
      </c>
      <c r="CD10" s="503">
        <v>45678.0</v>
      </c>
      <c r="CE10" s="503">
        <v>45679.0</v>
      </c>
      <c r="CF10" s="503">
        <v>45680.0</v>
      </c>
      <c r="CG10" s="503">
        <v>45681.0</v>
      </c>
      <c r="CH10" s="503">
        <v>45682.0</v>
      </c>
      <c r="CI10" s="503">
        <v>45683.0</v>
      </c>
      <c r="CJ10" s="503">
        <v>45684.0</v>
      </c>
      <c r="CK10" s="503">
        <v>45685.0</v>
      </c>
      <c r="CL10" s="503">
        <v>45686.0</v>
      </c>
      <c r="CM10" s="503"/>
      <c r="CN10" s="503">
        <v>45687.0</v>
      </c>
      <c r="CO10" s="503">
        <v>45688.0</v>
      </c>
      <c r="CR10" s="533"/>
      <c r="CS10" s="533"/>
      <c r="CT10" s="533"/>
      <c r="CU10" s="533"/>
      <c r="CV10" s="533"/>
      <c r="CW10" s="533"/>
      <c r="CX10" s="533"/>
      <c r="CY10" s="533"/>
      <c r="CZ10" s="533"/>
      <c r="DA10" s="533"/>
      <c r="DB10" s="533"/>
      <c r="DC10" s="533"/>
      <c r="DD10" s="533"/>
      <c r="DE10" s="533"/>
      <c r="DF10" s="533"/>
      <c r="DG10" s="533"/>
      <c r="DH10" s="533"/>
      <c r="DI10" s="533"/>
      <c r="DJ10" s="533"/>
      <c r="DK10" s="533"/>
      <c r="DL10" s="533"/>
      <c r="DM10" s="533"/>
      <c r="DN10" s="533"/>
      <c r="DO10" s="533"/>
      <c r="DP10" s="533"/>
      <c r="DQ10" s="533"/>
      <c r="DR10" s="533"/>
      <c r="DS10" s="533"/>
      <c r="DT10" s="533"/>
      <c r="DU10" s="533"/>
      <c r="DV10" s="533"/>
      <c r="DW10" s="533"/>
      <c r="DX10" s="535"/>
      <c r="DY10" s="533"/>
      <c r="DZ10" s="533"/>
      <c r="EA10" s="533"/>
      <c r="EB10" s="533"/>
      <c r="EC10" s="533"/>
      <c r="ED10" s="533"/>
      <c r="EE10" s="533"/>
      <c r="EF10" s="533"/>
      <c r="EG10" s="533"/>
      <c r="EH10" s="533"/>
      <c r="EI10" s="533"/>
      <c r="EJ10" s="533"/>
      <c r="EK10" s="533"/>
      <c r="EL10" s="533"/>
      <c r="EM10" s="533"/>
      <c r="EN10" s="533"/>
      <c r="EO10" s="533"/>
      <c r="EP10" s="533"/>
      <c r="EQ10" s="533"/>
    </row>
    <row r="11" hidden="1">
      <c r="A11" s="502" t="s">
        <v>292</v>
      </c>
      <c r="B11" s="518">
        <v>119.0</v>
      </c>
      <c r="C11" s="512">
        <v>130.0</v>
      </c>
      <c r="D11" s="512">
        <v>92.0</v>
      </c>
      <c r="E11" s="512">
        <v>113.0</v>
      </c>
      <c r="F11" s="512">
        <v>128.0</v>
      </c>
      <c r="G11" s="512">
        <v>131.0</v>
      </c>
      <c r="H11" s="511">
        <v>144.0</v>
      </c>
      <c r="I11" s="512">
        <v>228.0</v>
      </c>
      <c r="J11" s="512">
        <v>123.0</v>
      </c>
      <c r="K11" s="512">
        <v>150.0</v>
      </c>
      <c r="L11" s="512">
        <v>194.0</v>
      </c>
      <c r="M11" s="512">
        <v>120.0</v>
      </c>
      <c r="N11" s="512">
        <v>233.0</v>
      </c>
      <c r="O11" s="512">
        <v>180.0</v>
      </c>
      <c r="P11" s="512">
        <v>164.0</v>
      </c>
      <c r="Q11" s="512">
        <v>164.0</v>
      </c>
      <c r="R11" s="512">
        <v>231.0</v>
      </c>
      <c r="S11" s="512">
        <v>245.0</v>
      </c>
      <c r="T11" s="512">
        <v>193.0</v>
      </c>
      <c r="U11" s="512">
        <v>225.0</v>
      </c>
      <c r="V11" s="512">
        <v>231.0</v>
      </c>
      <c r="W11" s="512">
        <v>232.0</v>
      </c>
      <c r="X11" s="512">
        <v>279.0</v>
      </c>
      <c r="Y11" s="512">
        <v>272.0</v>
      </c>
      <c r="Z11" s="512">
        <v>228.0</v>
      </c>
      <c r="AA11" s="512">
        <v>164.0</v>
      </c>
      <c r="AB11" s="512">
        <v>184.0</v>
      </c>
      <c r="AC11" s="512">
        <v>281.0</v>
      </c>
      <c r="AD11" s="512">
        <v>174.0</v>
      </c>
      <c r="AE11" s="512">
        <v>223.0</v>
      </c>
      <c r="AF11" s="512">
        <v>230.0</v>
      </c>
      <c r="AG11" s="512">
        <v>216.0</v>
      </c>
      <c r="AH11" s="512">
        <v>203.0</v>
      </c>
      <c r="AI11" s="525"/>
      <c r="AJ11" s="512">
        <v>230.0</v>
      </c>
      <c r="AK11" s="512">
        <v>228.0</v>
      </c>
      <c r="AL11" s="512">
        <v>226.0</v>
      </c>
      <c r="AM11" s="512">
        <v>311.0</v>
      </c>
      <c r="AN11" s="525"/>
      <c r="AO11" s="512">
        <v>279.0</v>
      </c>
      <c r="AP11" s="512">
        <v>242.0</v>
      </c>
      <c r="AQ11" s="525"/>
      <c r="AR11" s="512">
        <v>201.0</v>
      </c>
      <c r="AS11" s="512">
        <v>258.0</v>
      </c>
      <c r="AT11" s="512">
        <v>250.0</v>
      </c>
      <c r="AU11" s="512">
        <v>215.0</v>
      </c>
      <c r="AV11" s="512">
        <v>207.0</v>
      </c>
      <c r="AW11" s="512">
        <v>243.0</v>
      </c>
      <c r="AX11" s="512">
        <v>298.0</v>
      </c>
      <c r="AY11" s="512">
        <v>278.0</v>
      </c>
      <c r="AZ11" s="512">
        <v>257.0</v>
      </c>
      <c r="BA11" s="512">
        <v>196.0</v>
      </c>
      <c r="BB11" s="512">
        <v>351.0</v>
      </c>
      <c r="BC11" s="512">
        <v>294.0</v>
      </c>
      <c r="BD11" s="512">
        <v>246.0</v>
      </c>
      <c r="BE11" s="514">
        <v>259.0</v>
      </c>
      <c r="BF11" s="516">
        <v>420.0</v>
      </c>
      <c r="BG11" s="516">
        <v>287.0</v>
      </c>
      <c r="BH11" s="516">
        <v>254.0</v>
      </c>
      <c r="BI11" s="516">
        <v>334.0</v>
      </c>
      <c r="BJ11" s="516"/>
      <c r="BK11" s="517">
        <v>102.0</v>
      </c>
      <c r="BL11" s="512">
        <v>171.0</v>
      </c>
      <c r="BM11" s="512">
        <v>163.0</v>
      </c>
      <c r="BN11" s="512">
        <v>149.0</v>
      </c>
      <c r="BO11" s="512">
        <v>177.0</v>
      </c>
      <c r="BP11" s="518">
        <v>211.0</v>
      </c>
      <c r="BQ11" s="518">
        <v>163.0</v>
      </c>
      <c r="BR11" s="518">
        <v>215.0</v>
      </c>
      <c r="BS11" s="518">
        <v>190.0</v>
      </c>
      <c r="BT11" s="518">
        <v>202.0</v>
      </c>
      <c r="BU11" s="518"/>
      <c r="BV11" s="518"/>
      <c r="BW11" s="518"/>
      <c r="BX11" s="518">
        <v>225.0</v>
      </c>
      <c r="BY11" s="518"/>
      <c r="BZ11" s="518"/>
      <c r="CA11" s="518"/>
      <c r="CB11" s="518">
        <v>216.0</v>
      </c>
      <c r="CC11" s="518">
        <v>262.0</v>
      </c>
      <c r="CD11" s="518">
        <v>162.0</v>
      </c>
      <c r="CE11" s="518">
        <v>224.0</v>
      </c>
      <c r="CF11" s="518">
        <v>222.0</v>
      </c>
      <c r="CG11" s="518">
        <v>226.0</v>
      </c>
      <c r="CH11" s="518">
        <v>222.0</v>
      </c>
      <c r="CI11" s="518">
        <v>247.0</v>
      </c>
      <c r="CJ11" s="518">
        <v>223.0</v>
      </c>
      <c r="CK11" s="518">
        <v>202.0</v>
      </c>
      <c r="CL11" s="518">
        <v>168.0</v>
      </c>
      <c r="CM11" s="503"/>
      <c r="CN11" s="503"/>
      <c r="CO11" s="518">
        <v>209.0</v>
      </c>
      <c r="CR11" s="519"/>
      <c r="CS11" s="519"/>
      <c r="CT11" s="519"/>
      <c r="CU11" s="519"/>
      <c r="CV11" s="519"/>
      <c r="CW11" s="519"/>
      <c r="CX11" s="519"/>
      <c r="CY11" s="519"/>
      <c r="CZ11" s="519"/>
      <c r="DA11" s="519"/>
      <c r="DB11" s="519"/>
      <c r="DC11" s="519"/>
      <c r="DD11" s="519"/>
      <c r="DE11" s="519"/>
      <c r="DF11" s="519"/>
      <c r="DG11" s="519"/>
      <c r="DH11" s="519"/>
      <c r="DI11" s="519"/>
      <c r="DJ11" s="519"/>
      <c r="DK11" s="519"/>
      <c r="DL11" s="519"/>
      <c r="DM11" s="519"/>
      <c r="DN11" s="519"/>
      <c r="DO11" s="519"/>
      <c r="DP11" s="519"/>
      <c r="DQ11" s="519"/>
      <c r="DR11" s="519"/>
      <c r="DS11" s="519"/>
      <c r="DT11" s="519"/>
      <c r="DU11" s="519"/>
      <c r="DV11" s="519"/>
      <c r="DW11" s="519"/>
      <c r="DX11" s="535"/>
      <c r="DY11" s="519"/>
      <c r="DZ11" s="519"/>
      <c r="EA11" s="519"/>
      <c r="EB11" s="519"/>
      <c r="EC11" s="519"/>
      <c r="ED11" s="519"/>
      <c r="EE11" s="519"/>
      <c r="EF11" s="519"/>
      <c r="EG11" s="519"/>
      <c r="EH11" s="519"/>
      <c r="EI11" s="519"/>
      <c r="EJ11" s="519"/>
      <c r="EK11" s="519"/>
      <c r="EL11" s="519"/>
      <c r="EM11" s="519"/>
      <c r="EN11" s="519"/>
      <c r="EO11" s="519"/>
      <c r="EP11" s="519"/>
      <c r="EQ11" s="519"/>
    </row>
    <row r="12" hidden="1">
      <c r="A12" s="502" t="s">
        <v>290</v>
      </c>
      <c r="B12" s="518">
        <v>41.0</v>
      </c>
      <c r="C12" s="512">
        <v>45.0</v>
      </c>
      <c r="D12" s="512">
        <v>49.0</v>
      </c>
      <c r="E12" s="512">
        <v>45.0</v>
      </c>
      <c r="F12" s="512">
        <v>55.0</v>
      </c>
      <c r="G12" s="512">
        <v>60.0</v>
      </c>
      <c r="H12" s="511">
        <v>64.0</v>
      </c>
      <c r="I12" s="512">
        <v>70.0</v>
      </c>
      <c r="J12" s="512">
        <v>54.0</v>
      </c>
      <c r="K12" s="512">
        <v>61.0</v>
      </c>
      <c r="L12" s="512">
        <v>71.0</v>
      </c>
      <c r="M12" s="512">
        <v>53.0</v>
      </c>
      <c r="N12" s="512">
        <v>75.0</v>
      </c>
      <c r="O12" s="512">
        <v>68.0</v>
      </c>
      <c r="P12" s="512">
        <v>62.0</v>
      </c>
      <c r="Q12" s="512">
        <v>73.0</v>
      </c>
      <c r="R12" s="536">
        <v>87.0</v>
      </c>
      <c r="S12" s="512">
        <v>83.0</v>
      </c>
      <c r="T12" s="512">
        <v>79.0</v>
      </c>
      <c r="U12" s="512">
        <v>95.0</v>
      </c>
      <c r="V12" s="512">
        <v>80.0</v>
      </c>
      <c r="W12" s="512">
        <v>83.0</v>
      </c>
      <c r="X12" s="512">
        <v>97.0</v>
      </c>
      <c r="Y12" s="512">
        <v>96.0</v>
      </c>
      <c r="Z12" s="512">
        <v>85.0</v>
      </c>
      <c r="AA12" s="512">
        <v>77.0</v>
      </c>
      <c r="AB12" s="512">
        <v>84.0</v>
      </c>
      <c r="AC12" s="512">
        <v>94.0</v>
      </c>
      <c r="AD12" s="512">
        <v>65.0</v>
      </c>
      <c r="AE12" s="512">
        <v>80.0</v>
      </c>
      <c r="AF12" s="512">
        <v>94.0</v>
      </c>
      <c r="AG12" s="512">
        <v>82.0</v>
      </c>
      <c r="AH12" s="512">
        <v>78.0</v>
      </c>
      <c r="AI12" s="525"/>
      <c r="AJ12" s="512">
        <v>91.0</v>
      </c>
      <c r="AK12" s="512">
        <v>81.0</v>
      </c>
      <c r="AL12" s="512">
        <v>89.0</v>
      </c>
      <c r="AM12" s="512">
        <v>98.0</v>
      </c>
      <c r="AN12" s="525"/>
      <c r="AO12" s="512">
        <v>96.0</v>
      </c>
      <c r="AP12" s="512">
        <v>108.0</v>
      </c>
      <c r="AQ12" s="525"/>
      <c r="AR12" s="512">
        <v>74.0</v>
      </c>
      <c r="AS12" s="512">
        <v>97.0</v>
      </c>
      <c r="AT12" s="512">
        <v>94.0</v>
      </c>
      <c r="AU12" s="512">
        <v>88.0</v>
      </c>
      <c r="AV12" s="512">
        <v>80.0</v>
      </c>
      <c r="AW12" s="512">
        <v>96.0</v>
      </c>
      <c r="AX12" s="512">
        <v>111.0</v>
      </c>
      <c r="AY12" s="537">
        <v>86.79</v>
      </c>
      <c r="AZ12" s="537">
        <v>90.0</v>
      </c>
      <c r="BA12" s="512">
        <v>81.0</v>
      </c>
      <c r="BB12" s="512">
        <v>122.0</v>
      </c>
      <c r="BC12" s="512">
        <v>105.0</v>
      </c>
      <c r="BD12" s="512">
        <v>107.0</v>
      </c>
      <c r="BE12" s="514">
        <v>109.0</v>
      </c>
      <c r="BF12" s="516">
        <v>141.0</v>
      </c>
      <c r="BG12" s="516">
        <v>128.0</v>
      </c>
      <c r="BH12" s="516">
        <v>103.0</v>
      </c>
      <c r="BI12" s="516">
        <v>136.0</v>
      </c>
      <c r="BJ12" s="516"/>
      <c r="BK12" s="517">
        <v>50.0</v>
      </c>
      <c r="BL12" s="512">
        <v>75.0</v>
      </c>
      <c r="BM12" s="512">
        <v>78.0</v>
      </c>
      <c r="BN12" s="512">
        <v>66.0</v>
      </c>
      <c r="BO12" s="512">
        <v>88.0</v>
      </c>
      <c r="BP12" s="518">
        <v>80.0</v>
      </c>
      <c r="BQ12" s="518">
        <v>78.0</v>
      </c>
      <c r="BR12" s="518">
        <v>93.0</v>
      </c>
      <c r="BS12" s="518">
        <v>77.0</v>
      </c>
      <c r="BT12" s="518">
        <v>91.0</v>
      </c>
      <c r="BU12" s="518"/>
      <c r="BV12" s="518"/>
      <c r="BW12" s="518"/>
      <c r="BX12" s="518">
        <v>91.0</v>
      </c>
      <c r="BY12" s="518"/>
      <c r="BZ12" s="518"/>
      <c r="CA12" s="518"/>
      <c r="CB12" s="518">
        <v>100.0</v>
      </c>
      <c r="CC12" s="518">
        <v>93.0</v>
      </c>
      <c r="CD12" s="518">
        <v>82.0</v>
      </c>
      <c r="CE12" s="518">
        <v>80.0</v>
      </c>
      <c r="CF12" s="518">
        <v>89.0</v>
      </c>
      <c r="CG12" s="518">
        <v>99.0</v>
      </c>
      <c r="CH12" s="518">
        <v>94.0</v>
      </c>
      <c r="CI12" s="518">
        <v>93.0</v>
      </c>
      <c r="CJ12" s="518">
        <v>97.0</v>
      </c>
      <c r="CK12" s="518">
        <v>80.0</v>
      </c>
      <c r="CL12" s="518">
        <v>80.0</v>
      </c>
      <c r="CM12" s="503"/>
      <c r="CN12" s="503"/>
      <c r="CO12" s="518">
        <v>86.0</v>
      </c>
      <c r="CR12" s="519"/>
      <c r="CS12" s="519"/>
      <c r="CT12" s="519"/>
      <c r="CU12" s="519"/>
      <c r="CV12" s="519"/>
      <c r="CW12" s="519"/>
      <c r="CX12" s="519"/>
      <c r="CY12" s="519"/>
      <c r="CZ12" s="519"/>
      <c r="DA12" s="519"/>
      <c r="DB12" s="519"/>
      <c r="DC12" s="519"/>
      <c r="DD12" s="519"/>
      <c r="DE12" s="519"/>
      <c r="DF12" s="519"/>
      <c r="DG12" s="519"/>
      <c r="DH12" s="519"/>
      <c r="DI12" s="519"/>
      <c r="DJ12" s="519"/>
      <c r="DK12" s="519"/>
      <c r="DL12" s="519"/>
      <c r="DM12" s="519"/>
      <c r="DN12" s="519"/>
      <c r="DO12" s="519"/>
      <c r="DP12" s="519"/>
      <c r="DQ12" s="519"/>
      <c r="DR12" s="519"/>
      <c r="DS12" s="519"/>
      <c r="DT12" s="519"/>
      <c r="DU12" s="519"/>
      <c r="DV12" s="519"/>
      <c r="DW12" s="519"/>
      <c r="DX12" s="535"/>
      <c r="DY12" s="519"/>
      <c r="DZ12" s="519"/>
      <c r="EA12" s="519"/>
      <c r="EB12" s="519"/>
      <c r="EC12" s="519"/>
      <c r="ED12" s="519"/>
      <c r="EE12" s="519"/>
      <c r="EF12" s="519"/>
      <c r="EG12" s="519"/>
      <c r="EH12" s="519"/>
      <c r="EI12" s="519"/>
      <c r="EJ12" s="519"/>
      <c r="EK12" s="519"/>
      <c r="EL12" s="519"/>
      <c r="EM12" s="519"/>
      <c r="EN12" s="519"/>
      <c r="EO12" s="519"/>
      <c r="EP12" s="519"/>
      <c r="EQ12" s="519"/>
    </row>
    <row r="13" hidden="1">
      <c r="A13" s="502" t="s">
        <v>291</v>
      </c>
      <c r="B13" s="522">
        <f>3.37-113.28</f>
        <v>-109.91</v>
      </c>
      <c r="C13" s="522">
        <f>47.33-121.24</f>
        <v>-73.91</v>
      </c>
      <c r="D13" s="522">
        <f>-131.05-81.87</f>
        <v>-212.92</v>
      </c>
      <c r="E13" s="522">
        <f>20.16-195.71</f>
        <v>-175.55</v>
      </c>
      <c r="F13" s="522">
        <f>13.92-127.55</f>
        <v>-113.63</v>
      </c>
      <c r="G13" s="522">
        <f>-100.81-189.52</f>
        <v>-290.33</v>
      </c>
      <c r="H13" s="522">
        <f>36.25-121.17</f>
        <v>-84.92</v>
      </c>
      <c r="I13" s="522">
        <f>1.69-507.37</f>
        <v>-505.68</v>
      </c>
      <c r="J13" s="522">
        <f>-79.13-275.72</f>
        <v>-354.85</v>
      </c>
      <c r="K13" s="522">
        <f>-87.93-417.39</f>
        <v>-505.32</v>
      </c>
      <c r="L13" s="522">
        <f>-113.55-205.78</f>
        <v>-319.33</v>
      </c>
      <c r="M13" s="522">
        <f>-111+9.5</f>
        <v>-101.5</v>
      </c>
      <c r="N13" s="522">
        <f>-414.69-323.85+14.15</f>
        <v>-724.39</v>
      </c>
      <c r="O13" s="523">
        <f>4.69+11.72</f>
        <v>16.41</v>
      </c>
      <c r="P13" s="522">
        <f>-144.4+104.26</f>
        <v>-40.14</v>
      </c>
      <c r="Q13" s="523">
        <f>63.15+26.44+6.32</f>
        <v>95.91</v>
      </c>
      <c r="R13" s="523">
        <f>63.59-7.71</f>
        <v>55.88</v>
      </c>
      <c r="S13" s="523">
        <f>34.81+77.89</f>
        <v>112.7</v>
      </c>
      <c r="T13" s="523">
        <f>101.75+231.78</f>
        <v>333.53</v>
      </c>
      <c r="U13" s="524">
        <v>48.35</v>
      </c>
      <c r="V13" s="538">
        <v>-442.79</v>
      </c>
      <c r="W13" s="524">
        <v>10.76</v>
      </c>
      <c r="X13" s="538">
        <v>-556.79</v>
      </c>
      <c r="Y13" s="524">
        <v>172.98</v>
      </c>
      <c r="Z13" s="524">
        <v>134.41</v>
      </c>
      <c r="AA13" s="524">
        <v>122.56</v>
      </c>
      <c r="AB13" s="524">
        <v>75.16</v>
      </c>
      <c r="AC13" s="524">
        <v>64.12</v>
      </c>
      <c r="AD13" s="524">
        <v>37.61</v>
      </c>
      <c r="AE13" s="538">
        <v>-150.93</v>
      </c>
      <c r="AF13" s="524">
        <v>89.8</v>
      </c>
      <c r="AG13" s="524">
        <v>66.57</v>
      </c>
      <c r="AH13" s="524">
        <v>65.4</v>
      </c>
      <c r="AI13" s="524">
        <v>77.36</v>
      </c>
      <c r="AJ13" s="524">
        <v>21.47</v>
      </c>
      <c r="AK13" s="538">
        <v>-387.6</v>
      </c>
      <c r="AL13" s="524">
        <v>63.35</v>
      </c>
      <c r="AM13" s="524">
        <v>102.42</v>
      </c>
      <c r="AN13" s="524">
        <v>134.65</v>
      </c>
      <c r="AO13" s="524">
        <v>105.09</v>
      </c>
      <c r="AP13" s="524">
        <v>154.78</v>
      </c>
      <c r="AQ13" s="524">
        <v>114.74</v>
      </c>
      <c r="AR13" s="524">
        <v>112.58</v>
      </c>
      <c r="AS13" s="524">
        <v>146.34</v>
      </c>
      <c r="AT13" s="524">
        <v>195.75</v>
      </c>
      <c r="AU13" s="538">
        <v>-105.56</v>
      </c>
      <c r="AV13" s="538">
        <v>-61.97</v>
      </c>
      <c r="AW13" s="524">
        <v>108.01</v>
      </c>
      <c r="AX13" s="524">
        <v>190.49</v>
      </c>
      <c r="AY13" s="524">
        <v>152.58</v>
      </c>
      <c r="AZ13" s="513">
        <v>127.63</v>
      </c>
      <c r="BA13" s="513">
        <v>115.42</v>
      </c>
      <c r="BB13" s="512">
        <v>71.67</v>
      </c>
      <c r="BC13" s="520">
        <v>-71.47</v>
      </c>
      <c r="BD13" s="512">
        <v>-320.17</v>
      </c>
      <c r="BE13" s="512">
        <v>-196.84</v>
      </c>
      <c r="BF13" s="514">
        <v>168.38</v>
      </c>
      <c r="BG13" s="516">
        <v>168.38</v>
      </c>
      <c r="BH13" s="516">
        <v>135.05</v>
      </c>
      <c r="BI13" s="516">
        <v>165.92</v>
      </c>
      <c r="BJ13" s="516">
        <v>48.38</v>
      </c>
      <c r="BK13" s="527">
        <v>-198.77</v>
      </c>
      <c r="BL13" s="512">
        <v>-41.7</v>
      </c>
      <c r="BM13" s="512">
        <v>64.34</v>
      </c>
      <c r="BN13" s="512">
        <v>-49.47</v>
      </c>
      <c r="BO13" s="512">
        <v>-267.73</v>
      </c>
      <c r="BP13" s="512">
        <v>104.45</v>
      </c>
      <c r="BQ13" s="512">
        <v>81.66</v>
      </c>
      <c r="BR13" s="514">
        <v>6.5</v>
      </c>
      <c r="BS13" s="528">
        <v>-517.85</v>
      </c>
      <c r="BT13" s="529">
        <v>53.66</v>
      </c>
      <c r="BU13" s="512">
        <v>-454.79</v>
      </c>
      <c r="BV13" s="512">
        <v>-58.05</v>
      </c>
      <c r="BW13" s="512">
        <v>-253.77</v>
      </c>
      <c r="BX13" s="514">
        <v>-103.49</v>
      </c>
      <c r="BY13" s="528">
        <v>-836.83</v>
      </c>
      <c r="BZ13" s="529">
        <v>-427.22</v>
      </c>
      <c r="CA13" s="539"/>
      <c r="CB13" s="529">
        <v>-256.49</v>
      </c>
      <c r="CC13" s="529">
        <v>100.84</v>
      </c>
      <c r="CD13" s="529">
        <v>16.91</v>
      </c>
      <c r="CE13" s="529">
        <v>-91.99</v>
      </c>
      <c r="CF13" s="529">
        <v>87.3</v>
      </c>
      <c r="CG13" s="529">
        <v>-16.08</v>
      </c>
      <c r="CH13" s="529">
        <v>-594.93</v>
      </c>
      <c r="CI13" s="529">
        <v>-133.59</v>
      </c>
      <c r="CJ13" s="529">
        <v>-173.27</v>
      </c>
      <c r="CK13" s="529">
        <v>21.06</v>
      </c>
      <c r="CL13" s="529">
        <v>70.56</v>
      </c>
      <c r="CM13" s="529"/>
      <c r="CN13" s="529">
        <v>37.21</v>
      </c>
      <c r="CO13" s="529">
        <v>-56.46</v>
      </c>
      <c r="CR13" s="533"/>
      <c r="CS13" s="533"/>
      <c r="CT13" s="533"/>
      <c r="CU13" s="533"/>
      <c r="CV13" s="533"/>
      <c r="CW13" s="533"/>
      <c r="CX13" s="533"/>
      <c r="CY13" s="533"/>
      <c r="CZ13" s="533"/>
      <c r="DA13" s="533"/>
      <c r="DB13" s="533"/>
      <c r="DC13" s="533"/>
      <c r="DD13" s="533"/>
      <c r="DE13" s="533"/>
      <c r="DF13" s="533"/>
      <c r="DG13" s="533"/>
      <c r="DH13" s="533"/>
      <c r="DI13" s="533"/>
      <c r="DJ13" s="533"/>
      <c r="DK13" s="533"/>
      <c r="DL13" s="533"/>
      <c r="DM13" s="533"/>
      <c r="DN13" s="533"/>
      <c r="DO13" s="533"/>
      <c r="DP13" s="533"/>
      <c r="DQ13" s="533"/>
      <c r="DR13" s="533"/>
      <c r="DS13" s="533"/>
      <c r="DT13" s="533"/>
      <c r="DU13" s="533"/>
      <c r="DV13" s="533"/>
      <c r="DW13" s="533"/>
      <c r="DX13" s="535"/>
      <c r="DY13" s="533"/>
      <c r="DZ13" s="533"/>
      <c r="EA13" s="533"/>
      <c r="EB13" s="533"/>
      <c r="EC13" s="533"/>
      <c r="ED13" s="533"/>
      <c r="EE13" s="533"/>
      <c r="EF13" s="533"/>
      <c r="EG13" s="533"/>
      <c r="EH13" s="533"/>
      <c r="EI13" s="533"/>
      <c r="EJ13" s="533"/>
      <c r="EK13" s="533"/>
      <c r="EL13" s="533"/>
      <c r="EM13" s="533"/>
      <c r="EN13" s="533"/>
      <c r="EO13" s="533"/>
      <c r="EP13" s="533"/>
      <c r="EQ13" s="533"/>
    </row>
    <row r="14" hidden="1">
      <c r="A14" s="531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499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</row>
    <row r="15" hidden="1">
      <c r="A15" s="531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18"/>
      <c r="DK15" s="118"/>
      <c r="DL15" s="118"/>
      <c r="DM15" s="118"/>
      <c r="DN15" s="118"/>
      <c r="DO15" s="118"/>
      <c r="DP15" s="118"/>
      <c r="DQ15" s="118"/>
      <c r="DR15" s="118"/>
      <c r="DS15" s="118"/>
      <c r="DT15" s="118"/>
      <c r="DU15" s="118"/>
      <c r="DV15" s="118"/>
      <c r="DW15" s="118"/>
      <c r="DX15" s="499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</row>
    <row r="16" hidden="1">
      <c r="A16" s="500" t="s">
        <v>12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499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</row>
    <row r="17" hidden="1">
      <c r="A17" s="502" t="s">
        <v>288</v>
      </c>
      <c r="AD17" s="540">
        <v>45625.0</v>
      </c>
      <c r="AE17" s="540">
        <v>45626.0</v>
      </c>
      <c r="AF17" s="541">
        <v>45627.0</v>
      </c>
      <c r="AG17" s="541">
        <v>45628.0</v>
      </c>
      <c r="AH17" s="541">
        <v>45629.0</v>
      </c>
      <c r="AI17" s="541">
        <v>45630.0</v>
      </c>
      <c r="AJ17" s="541">
        <v>45631.0</v>
      </c>
      <c r="AK17" s="541">
        <v>45632.0</v>
      </c>
      <c r="AL17" s="541">
        <v>45633.0</v>
      </c>
      <c r="AM17" s="541">
        <v>45634.0</v>
      </c>
      <c r="AN17" s="541">
        <v>45635.0</v>
      </c>
      <c r="AO17" s="542">
        <v>45636.0</v>
      </c>
      <c r="AP17" s="542">
        <v>45637.0</v>
      </c>
      <c r="AQ17" s="542">
        <v>45638.0</v>
      </c>
      <c r="AR17" s="542">
        <v>45639.0</v>
      </c>
      <c r="AS17" s="542">
        <v>45640.0</v>
      </c>
      <c r="AT17" s="543">
        <v>45641.0</v>
      </c>
      <c r="AU17" s="542">
        <v>45642.0</v>
      </c>
      <c r="AV17" s="503">
        <v>45643.0</v>
      </c>
      <c r="AW17" s="503">
        <v>45644.0</v>
      </c>
      <c r="AX17" s="503">
        <v>45645.0</v>
      </c>
      <c r="AY17" s="503">
        <v>45646.0</v>
      </c>
      <c r="AZ17" s="503">
        <v>45647.0</v>
      </c>
      <c r="BA17" s="503">
        <v>45648.0</v>
      </c>
      <c r="BB17" s="503">
        <v>45649.0</v>
      </c>
      <c r="BC17" s="503">
        <v>45650.0</v>
      </c>
      <c r="BD17" s="503">
        <v>45651.0</v>
      </c>
      <c r="BE17" s="503">
        <v>45652.0</v>
      </c>
      <c r="BF17" s="542">
        <v>45653.0</v>
      </c>
      <c r="BG17" s="542">
        <v>45654.0</v>
      </c>
      <c r="BH17" s="542">
        <v>45655.0</v>
      </c>
      <c r="BI17" s="542">
        <v>45656.0</v>
      </c>
      <c r="BJ17" s="542">
        <v>46022.0</v>
      </c>
      <c r="BK17" s="541">
        <v>45659.0</v>
      </c>
      <c r="BL17" s="541">
        <v>45660.0</v>
      </c>
      <c r="BM17" s="541">
        <v>45661.0</v>
      </c>
      <c r="BN17" s="541">
        <v>45662.0</v>
      </c>
      <c r="BO17" s="541">
        <v>45663.0</v>
      </c>
      <c r="BP17" s="541">
        <v>45664.0</v>
      </c>
      <c r="BQ17" s="541">
        <v>45665.0</v>
      </c>
      <c r="BR17" s="541">
        <v>45666.0</v>
      </c>
      <c r="BS17" s="541">
        <v>45667.0</v>
      </c>
      <c r="BT17" s="541">
        <v>45668.0</v>
      </c>
      <c r="BU17" s="541">
        <v>45669.0</v>
      </c>
      <c r="BV17" s="541">
        <v>45670.0</v>
      </c>
      <c r="BW17" s="541">
        <v>45671.0</v>
      </c>
      <c r="BX17" s="541">
        <v>45672.0</v>
      </c>
      <c r="BY17" s="541">
        <v>45673.0</v>
      </c>
      <c r="BZ17" s="541">
        <v>45674.0</v>
      </c>
      <c r="CA17" s="541">
        <v>45675.0</v>
      </c>
      <c r="CB17" s="541">
        <v>45676.0</v>
      </c>
      <c r="CC17" s="541">
        <v>45677.0</v>
      </c>
      <c r="CD17" s="541">
        <v>45678.0</v>
      </c>
      <c r="CE17" s="541">
        <v>45679.0</v>
      </c>
      <c r="CF17" s="541">
        <v>45680.0</v>
      </c>
      <c r="CG17" s="541">
        <v>45681.0</v>
      </c>
      <c r="CH17" s="541">
        <v>45682.0</v>
      </c>
      <c r="CI17" s="541">
        <v>45683.0</v>
      </c>
      <c r="CJ17" s="541">
        <v>45684.0</v>
      </c>
      <c r="CK17" s="541">
        <v>45685.0</v>
      </c>
      <c r="CL17" s="541">
        <v>45686.0</v>
      </c>
      <c r="CM17" s="541"/>
      <c r="CN17" s="541">
        <v>45687.0</v>
      </c>
      <c r="CO17" s="541">
        <v>45688.0</v>
      </c>
      <c r="CP17" s="541"/>
      <c r="CQ17" s="544"/>
      <c r="CR17" s="544"/>
      <c r="CS17" s="544"/>
      <c r="CT17" s="544"/>
      <c r="CU17" s="544"/>
      <c r="CV17" s="544"/>
      <c r="CW17" s="544"/>
      <c r="CX17" s="544"/>
      <c r="CY17" s="544"/>
      <c r="CZ17" s="544"/>
      <c r="DA17" s="544"/>
      <c r="DB17" s="544"/>
      <c r="DC17" s="544"/>
      <c r="DD17" s="544"/>
      <c r="DE17" s="544"/>
      <c r="DF17" s="544"/>
      <c r="DG17" s="544"/>
      <c r="DH17" s="544"/>
      <c r="DI17" s="544"/>
      <c r="DJ17" s="544"/>
      <c r="DK17" s="544"/>
      <c r="DL17" s="544"/>
      <c r="DM17" s="544"/>
      <c r="DN17" s="544"/>
      <c r="DO17" s="544"/>
      <c r="DP17" s="544"/>
      <c r="DQ17" s="544"/>
      <c r="DR17" s="544"/>
      <c r="DS17" s="544"/>
      <c r="DT17" s="544"/>
      <c r="DU17" s="544"/>
      <c r="DV17" s="544"/>
      <c r="DW17" s="544"/>
      <c r="DX17" s="545"/>
      <c r="DY17" s="544"/>
      <c r="DZ17" s="544"/>
      <c r="EA17" s="544"/>
      <c r="EB17" s="544"/>
      <c r="EC17" s="544"/>
      <c r="ED17" s="544"/>
      <c r="EE17" s="544"/>
      <c r="EF17" s="544"/>
      <c r="EG17" s="544"/>
      <c r="EH17" s="544"/>
      <c r="EI17" s="544"/>
      <c r="EJ17" s="544"/>
      <c r="EK17" s="544"/>
      <c r="EL17" s="544"/>
      <c r="EM17" s="544"/>
      <c r="EN17" s="544"/>
      <c r="EO17" s="544"/>
      <c r="EP17" s="544"/>
      <c r="EQ17" s="544"/>
    </row>
    <row r="18" hidden="1">
      <c r="A18" s="502" t="s">
        <v>293</v>
      </c>
      <c r="AD18" s="513">
        <v>2.0</v>
      </c>
      <c r="AE18" s="513">
        <v>39.0</v>
      </c>
      <c r="AF18" s="512">
        <v>20.0</v>
      </c>
      <c r="AG18" s="512">
        <v>16.0</v>
      </c>
      <c r="AH18" s="512">
        <v>27.0</v>
      </c>
      <c r="AI18" s="512">
        <v>9.0</v>
      </c>
      <c r="AJ18" s="512">
        <v>46.0</v>
      </c>
      <c r="AK18" s="512">
        <v>50.0</v>
      </c>
      <c r="AL18" s="512">
        <v>45.0</v>
      </c>
      <c r="AM18" s="512">
        <v>27.0</v>
      </c>
      <c r="AN18" s="512">
        <v>60.0</v>
      </c>
      <c r="AO18" s="512">
        <v>77.0</v>
      </c>
      <c r="AP18" s="512">
        <v>121.0</v>
      </c>
      <c r="AQ18" s="512">
        <v>126.0</v>
      </c>
      <c r="AR18" s="512">
        <v>52.0</v>
      </c>
      <c r="AS18" s="512">
        <v>77.0</v>
      </c>
      <c r="AT18" s="512">
        <v>132.0</v>
      </c>
      <c r="AU18" s="512">
        <v>90.0</v>
      </c>
      <c r="AV18" s="512">
        <v>73.0</v>
      </c>
      <c r="AW18" s="512">
        <v>108.0</v>
      </c>
      <c r="AX18" s="512">
        <v>125.0</v>
      </c>
      <c r="AY18" s="512">
        <v>77.0</v>
      </c>
      <c r="AZ18" s="512">
        <v>100.0</v>
      </c>
      <c r="BA18" s="512">
        <v>172.0</v>
      </c>
      <c r="BB18" s="512">
        <v>145.0</v>
      </c>
      <c r="BC18" s="512">
        <v>158.0</v>
      </c>
      <c r="BD18" s="512">
        <v>109.0</v>
      </c>
      <c r="BE18" s="512">
        <v>123.0</v>
      </c>
      <c r="BF18" s="512">
        <v>208.0</v>
      </c>
      <c r="BG18" s="512">
        <v>118.0</v>
      </c>
      <c r="BH18" s="520">
        <v>184.0</v>
      </c>
      <c r="BI18" s="512">
        <v>207.0</v>
      </c>
      <c r="BJ18" s="512">
        <v>178.0</v>
      </c>
      <c r="BK18" s="512">
        <v>12.0</v>
      </c>
      <c r="BL18" s="512">
        <v>94.0</v>
      </c>
      <c r="BM18" s="512">
        <v>90.0</v>
      </c>
      <c r="BN18" s="512">
        <v>81.0</v>
      </c>
      <c r="BO18" s="512">
        <v>133.0</v>
      </c>
      <c r="BP18" s="512">
        <v>108.0</v>
      </c>
      <c r="BQ18" s="512">
        <v>121.0</v>
      </c>
      <c r="BR18" s="512">
        <v>82.0</v>
      </c>
      <c r="BS18" s="512">
        <v>83.0</v>
      </c>
      <c r="BT18" s="512">
        <v>121.0</v>
      </c>
      <c r="BU18" s="512">
        <v>108.0</v>
      </c>
      <c r="BV18" s="512">
        <v>89.0</v>
      </c>
      <c r="BW18" s="512">
        <v>89.0</v>
      </c>
      <c r="BX18" s="512">
        <v>153.0</v>
      </c>
      <c r="BY18" s="512">
        <v>92.0</v>
      </c>
      <c r="BZ18" s="512">
        <v>79.0</v>
      </c>
      <c r="CA18" s="512">
        <v>120.0</v>
      </c>
      <c r="CB18" s="512">
        <v>116.0</v>
      </c>
      <c r="CC18" s="512">
        <v>97.0</v>
      </c>
      <c r="CD18" s="512">
        <v>91.0</v>
      </c>
      <c r="CE18" s="512">
        <v>107.0</v>
      </c>
      <c r="CF18" s="512">
        <v>143.0</v>
      </c>
      <c r="CG18" s="512">
        <v>95.0</v>
      </c>
      <c r="CH18" s="512">
        <v>155.0</v>
      </c>
      <c r="CI18" s="512">
        <v>105.0</v>
      </c>
      <c r="CJ18" s="512">
        <v>102.0</v>
      </c>
      <c r="CK18" s="512">
        <v>114.0</v>
      </c>
      <c r="CL18" s="512">
        <v>129.0</v>
      </c>
      <c r="CM18" s="512"/>
      <c r="CN18" s="512">
        <v>58.0</v>
      </c>
      <c r="CO18" s="512">
        <v>105.0</v>
      </c>
      <c r="CP18" s="541"/>
      <c r="CQ18" s="544"/>
      <c r="CR18" s="546"/>
      <c r="CS18" s="546"/>
      <c r="CT18" s="546"/>
      <c r="CU18" s="546"/>
      <c r="CV18" s="546"/>
      <c r="CW18" s="546"/>
      <c r="CX18" s="546"/>
      <c r="CY18" s="546"/>
      <c r="CZ18" s="546"/>
      <c r="DA18" s="546"/>
      <c r="DB18" s="546"/>
      <c r="DC18" s="546"/>
      <c r="DD18" s="546"/>
      <c r="DE18" s="546"/>
      <c r="DF18" s="546"/>
      <c r="DG18" s="546"/>
      <c r="DH18" s="546"/>
      <c r="DI18" s="546"/>
      <c r="DJ18" s="546"/>
      <c r="DK18" s="546"/>
      <c r="DL18" s="546"/>
      <c r="DM18" s="546"/>
      <c r="DN18" s="546"/>
      <c r="DO18" s="546"/>
      <c r="DP18" s="546"/>
      <c r="DQ18" s="546"/>
      <c r="DR18" s="546"/>
      <c r="DS18" s="546"/>
      <c r="DT18" s="546"/>
      <c r="DU18" s="546"/>
      <c r="DV18" s="546"/>
      <c r="DW18" s="546"/>
      <c r="DX18" s="545"/>
      <c r="DY18" s="546"/>
      <c r="DZ18" s="546"/>
      <c r="EA18" s="546"/>
      <c r="EB18" s="546"/>
      <c r="EC18" s="546"/>
      <c r="ED18" s="546"/>
      <c r="EE18" s="546"/>
      <c r="EF18" s="546"/>
      <c r="EG18" s="546"/>
      <c r="EH18" s="546"/>
      <c r="EI18" s="546"/>
      <c r="EJ18" s="546"/>
      <c r="EK18" s="546"/>
      <c r="EL18" s="546"/>
      <c r="EM18" s="546"/>
      <c r="EN18" s="546"/>
      <c r="EO18" s="546"/>
      <c r="EP18" s="546"/>
      <c r="EQ18" s="546"/>
    </row>
    <row r="19" hidden="1">
      <c r="A19" s="502" t="s">
        <v>290</v>
      </c>
      <c r="AD19" s="513">
        <v>2.0</v>
      </c>
      <c r="AE19" s="513">
        <v>6.0</v>
      </c>
      <c r="AF19" s="512">
        <v>10.0</v>
      </c>
      <c r="AG19" s="512">
        <v>6.0</v>
      </c>
      <c r="AH19" s="512">
        <v>10.0</v>
      </c>
      <c r="AI19" s="512">
        <v>5.0</v>
      </c>
      <c r="AJ19" s="512">
        <v>18.0</v>
      </c>
      <c r="AK19" s="512">
        <v>20.0</v>
      </c>
      <c r="AL19" s="512">
        <v>19.0</v>
      </c>
      <c r="AM19" s="512">
        <v>16.0</v>
      </c>
      <c r="AN19" s="512">
        <v>35.0</v>
      </c>
      <c r="AO19" s="512">
        <v>30.0</v>
      </c>
      <c r="AP19" s="512">
        <v>40.0</v>
      </c>
      <c r="AQ19" s="512">
        <v>48.0</v>
      </c>
      <c r="AR19" s="512">
        <v>23.0</v>
      </c>
      <c r="AS19" s="512">
        <v>35.0</v>
      </c>
      <c r="AT19" s="512">
        <v>47.0</v>
      </c>
      <c r="AU19" s="512">
        <v>35.0</v>
      </c>
      <c r="AV19" s="512">
        <v>35.0</v>
      </c>
      <c r="AW19" s="512">
        <v>33.0</v>
      </c>
      <c r="AX19" s="512">
        <v>46.0</v>
      </c>
      <c r="AY19" s="512">
        <v>29.0</v>
      </c>
      <c r="AZ19" s="512">
        <v>42.0</v>
      </c>
      <c r="BA19" s="512">
        <v>51.0</v>
      </c>
      <c r="BB19" s="512">
        <v>38.0</v>
      </c>
      <c r="BC19" s="512">
        <v>55.0</v>
      </c>
      <c r="BD19" s="512">
        <v>50.0</v>
      </c>
      <c r="BE19" s="512">
        <v>43.0</v>
      </c>
      <c r="BF19" s="512">
        <v>72.0</v>
      </c>
      <c r="BG19" s="512">
        <v>48.0</v>
      </c>
      <c r="BH19" s="512">
        <v>61.0</v>
      </c>
      <c r="BI19" s="512">
        <v>83.0</v>
      </c>
      <c r="BJ19" s="512">
        <v>66.0</v>
      </c>
      <c r="BK19" s="512">
        <v>9.0</v>
      </c>
      <c r="BL19" s="512">
        <v>46.0</v>
      </c>
      <c r="BM19" s="512">
        <v>33.0</v>
      </c>
      <c r="BN19" s="512">
        <v>37.0</v>
      </c>
      <c r="BO19" s="512">
        <v>52.0</v>
      </c>
      <c r="BP19" s="512">
        <v>45.0</v>
      </c>
      <c r="BQ19" s="512">
        <v>50.0</v>
      </c>
      <c r="BR19" s="512">
        <v>33.0</v>
      </c>
      <c r="BS19" s="512">
        <v>38.0</v>
      </c>
      <c r="BT19" s="512">
        <v>45.0</v>
      </c>
      <c r="BU19" s="512">
        <v>44.0</v>
      </c>
      <c r="BV19" s="547">
        <v>33.0</v>
      </c>
      <c r="BW19" s="512">
        <v>42.0</v>
      </c>
      <c r="BX19" s="512">
        <v>49.0</v>
      </c>
      <c r="BY19" s="512">
        <v>35.0</v>
      </c>
      <c r="BZ19" s="512">
        <v>39.0</v>
      </c>
      <c r="CA19" s="512">
        <v>38.0</v>
      </c>
      <c r="CB19" s="512">
        <v>50.0</v>
      </c>
      <c r="CC19" s="512">
        <v>46.0</v>
      </c>
      <c r="CD19" s="512">
        <v>39.0</v>
      </c>
      <c r="CE19" s="512">
        <v>49.0</v>
      </c>
      <c r="CF19" s="512">
        <v>48.0</v>
      </c>
      <c r="CG19" s="512">
        <v>50.0</v>
      </c>
      <c r="CH19" s="512">
        <v>59.0</v>
      </c>
      <c r="CI19" s="512">
        <v>48.0</v>
      </c>
      <c r="CJ19" s="512">
        <v>46.0</v>
      </c>
      <c r="CK19" s="512">
        <v>48.0</v>
      </c>
      <c r="CL19" s="512">
        <v>48.0</v>
      </c>
      <c r="CM19" s="512"/>
      <c r="CN19" s="512">
        <v>37.0</v>
      </c>
      <c r="CO19" s="512">
        <v>50.0</v>
      </c>
      <c r="CP19" s="541"/>
      <c r="CQ19" s="544"/>
      <c r="CR19" s="546"/>
      <c r="CS19" s="546"/>
      <c r="CT19" s="546"/>
      <c r="CU19" s="546"/>
      <c r="CV19" s="546"/>
      <c r="CW19" s="546"/>
      <c r="CX19" s="546"/>
      <c r="CY19" s="546"/>
      <c r="CZ19" s="546"/>
      <c r="DA19" s="546"/>
      <c r="DB19" s="546"/>
      <c r="DC19" s="546"/>
      <c r="DD19" s="546"/>
      <c r="DE19" s="546"/>
      <c r="DF19" s="546"/>
      <c r="DG19" s="546"/>
      <c r="DH19" s="546"/>
      <c r="DI19" s="546"/>
      <c r="DJ19" s="546"/>
      <c r="DK19" s="546"/>
      <c r="DL19" s="546"/>
      <c r="DM19" s="546"/>
      <c r="DN19" s="546"/>
      <c r="DO19" s="546"/>
      <c r="DP19" s="546"/>
      <c r="DQ19" s="546"/>
      <c r="DR19" s="546"/>
      <c r="DS19" s="546"/>
      <c r="DT19" s="546"/>
      <c r="DU19" s="546"/>
      <c r="DV19" s="546"/>
      <c r="DW19" s="546"/>
      <c r="DX19" s="545"/>
      <c r="DY19" s="546"/>
      <c r="DZ19" s="546"/>
      <c r="EA19" s="546"/>
      <c r="EB19" s="546"/>
      <c r="EC19" s="546"/>
      <c r="ED19" s="546"/>
      <c r="EE19" s="546"/>
      <c r="EF19" s="546"/>
      <c r="EG19" s="546"/>
      <c r="EH19" s="546"/>
      <c r="EI19" s="546"/>
      <c r="EJ19" s="546"/>
      <c r="EK19" s="546"/>
      <c r="EL19" s="546"/>
      <c r="EM19" s="546"/>
      <c r="EN19" s="546"/>
      <c r="EO19" s="546"/>
      <c r="EP19" s="546"/>
      <c r="EQ19" s="546"/>
    </row>
    <row r="20" ht="19.5" hidden="1" customHeight="1">
      <c r="A20" s="502" t="s">
        <v>291</v>
      </c>
      <c r="AD20" s="523">
        <f>5.44+8.28</f>
        <v>13.72</v>
      </c>
      <c r="AE20" s="524">
        <v>2.86</v>
      </c>
      <c r="AF20" s="538">
        <v>-35.74</v>
      </c>
      <c r="AG20" s="523">
        <f>11</f>
        <v>11</v>
      </c>
      <c r="AH20" s="524">
        <v>17.59</v>
      </c>
      <c r="AI20" s="538">
        <v>-20.22</v>
      </c>
      <c r="AJ20" s="538">
        <v>-76.02</v>
      </c>
      <c r="AK20" s="538">
        <v>-48.63</v>
      </c>
      <c r="AL20" s="524">
        <v>31.0</v>
      </c>
      <c r="AM20" s="524">
        <v>27.84</v>
      </c>
      <c r="AN20" s="538">
        <v>-257.21</v>
      </c>
      <c r="AO20" s="538">
        <v>-232.64</v>
      </c>
      <c r="AP20" s="538">
        <v>-176.62</v>
      </c>
      <c r="AQ20" s="538">
        <v>-41.18</v>
      </c>
      <c r="AR20" s="538">
        <v>-257.79</v>
      </c>
      <c r="AS20" s="538">
        <v>-490.37</v>
      </c>
      <c r="AT20" s="538">
        <v>-10.38</v>
      </c>
      <c r="AU20" s="538">
        <v>-1.58</v>
      </c>
      <c r="AV20" s="538">
        <v>-138.34</v>
      </c>
      <c r="AW20" s="538">
        <v>-122.81</v>
      </c>
      <c r="AX20" s="538">
        <v>-228.22</v>
      </c>
      <c r="AY20" s="524">
        <v>67.8</v>
      </c>
      <c r="AZ20" s="524">
        <v>50.88</v>
      </c>
      <c r="BA20" s="512">
        <v>41.17</v>
      </c>
      <c r="BB20" s="512">
        <v>50.53</v>
      </c>
      <c r="BC20" s="512">
        <v>62.16</v>
      </c>
      <c r="BD20" s="512">
        <v>51.37</v>
      </c>
      <c r="BE20" s="512">
        <v>-137.06</v>
      </c>
      <c r="BF20" s="512">
        <v>79.48</v>
      </c>
      <c r="BG20" s="512">
        <v>52.09</v>
      </c>
      <c r="BH20" s="512">
        <v>-15.8</v>
      </c>
      <c r="BI20" s="512">
        <v>-65.32</v>
      </c>
      <c r="BJ20" s="512">
        <v>20.74</v>
      </c>
      <c r="BK20" s="548"/>
      <c r="BL20" s="549">
        <v>-532.39</v>
      </c>
      <c r="BM20" s="512">
        <v>-438.28</v>
      </c>
      <c r="BN20" s="512">
        <v>-85.88</v>
      </c>
      <c r="BO20" s="512">
        <v>-226.24</v>
      </c>
      <c r="BP20" s="512">
        <v>-152.34</v>
      </c>
      <c r="BQ20" s="512">
        <v>20.73</v>
      </c>
      <c r="BR20" s="512">
        <v>-163.08</v>
      </c>
      <c r="BS20" s="512">
        <v>23.71</v>
      </c>
      <c r="BT20" s="512">
        <v>-120.78</v>
      </c>
      <c r="BU20" s="514">
        <v>-100.09</v>
      </c>
      <c r="BV20" s="528">
        <v>-195.85</v>
      </c>
      <c r="BW20" s="529">
        <v>-422.29</v>
      </c>
      <c r="BX20" s="512">
        <v>-127.48</v>
      </c>
      <c r="BY20" s="512">
        <v>18.78</v>
      </c>
      <c r="BZ20" s="512">
        <v>-82.82</v>
      </c>
      <c r="CA20" s="525"/>
      <c r="CB20" s="512">
        <v>-125.12</v>
      </c>
      <c r="CC20" s="512">
        <v>54.88</v>
      </c>
      <c r="CD20" s="512">
        <v>44.85</v>
      </c>
      <c r="CE20" s="512">
        <v>38.82</v>
      </c>
      <c r="CF20" s="529">
        <v>46.72</v>
      </c>
      <c r="CG20" s="529">
        <v>-53.19</v>
      </c>
      <c r="CH20" s="529">
        <v>-126.33</v>
      </c>
      <c r="CI20" s="529">
        <v>-190.12</v>
      </c>
      <c r="CJ20" s="529">
        <v>35.54</v>
      </c>
      <c r="CK20" s="529">
        <v>38.65</v>
      </c>
      <c r="CL20" s="529">
        <v>33.12</v>
      </c>
      <c r="CM20" s="529"/>
      <c r="CN20" s="529">
        <v>38.33</v>
      </c>
      <c r="CO20" s="529">
        <v>21.44</v>
      </c>
      <c r="CP20" s="541"/>
      <c r="CQ20" s="544"/>
      <c r="CR20" s="546"/>
      <c r="CT20" s="546"/>
      <c r="CU20" s="546"/>
      <c r="CV20" s="546"/>
      <c r="CW20" s="546"/>
      <c r="CX20" s="546"/>
      <c r="CY20" s="546"/>
      <c r="CZ20" s="546"/>
      <c r="DA20" s="546"/>
      <c r="DB20" s="546"/>
      <c r="DC20" s="546"/>
      <c r="DD20" s="546"/>
      <c r="DE20" s="546"/>
      <c r="DF20" s="546"/>
      <c r="DG20" s="546"/>
      <c r="DH20" s="546"/>
      <c r="DI20" s="546"/>
      <c r="DJ20" s="546"/>
      <c r="DK20" s="546"/>
      <c r="DL20" s="546"/>
      <c r="DM20" s="546"/>
      <c r="DN20" s="546"/>
      <c r="DO20" s="546"/>
      <c r="DP20" s="546"/>
      <c r="DQ20" s="546"/>
      <c r="DR20" s="546"/>
      <c r="DS20" s="546"/>
      <c r="DT20" s="546"/>
      <c r="DU20" s="546"/>
      <c r="DV20" s="546"/>
      <c r="DW20" s="546"/>
      <c r="DX20" s="545"/>
      <c r="DY20" s="546"/>
      <c r="DZ20" s="546"/>
      <c r="EA20" s="546"/>
      <c r="EB20" s="546"/>
      <c r="EC20" s="546"/>
      <c r="ED20" s="546"/>
      <c r="EE20" s="546"/>
      <c r="EF20" s="546"/>
      <c r="EG20" s="546"/>
      <c r="EH20" s="546"/>
      <c r="EI20" s="546"/>
      <c r="EJ20" s="546"/>
      <c r="EK20" s="546"/>
      <c r="EL20" s="546"/>
      <c r="EM20" s="546"/>
      <c r="EN20" s="546"/>
      <c r="EO20" s="546"/>
      <c r="EP20" s="546"/>
      <c r="EQ20" s="546"/>
    </row>
    <row r="21" hidden="1">
      <c r="A21" s="531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546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499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</row>
    <row r="22" hidden="1">
      <c r="A22" s="531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499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</row>
    <row r="23" hidden="1">
      <c r="A23" s="500" t="s">
        <v>25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499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</row>
    <row r="24" hidden="1">
      <c r="A24" s="502" t="s">
        <v>288</v>
      </c>
      <c r="AD24" s="540">
        <v>45625.0</v>
      </c>
      <c r="AE24" s="540">
        <v>45626.0</v>
      </c>
      <c r="AF24" s="541">
        <v>45627.0</v>
      </c>
      <c r="AG24" s="541">
        <v>45628.0</v>
      </c>
      <c r="AH24" s="541">
        <v>45629.0</v>
      </c>
      <c r="AI24" s="541">
        <v>45630.0</v>
      </c>
      <c r="AJ24" s="541">
        <v>45631.0</v>
      </c>
      <c r="AK24" s="541">
        <v>45632.0</v>
      </c>
      <c r="AL24" s="541">
        <v>45633.0</v>
      </c>
      <c r="AM24" s="541">
        <v>45634.0</v>
      </c>
      <c r="AN24" s="541">
        <v>45635.0</v>
      </c>
      <c r="AO24" s="542">
        <v>45636.0</v>
      </c>
      <c r="AP24" s="542">
        <v>45637.0</v>
      </c>
      <c r="AQ24" s="542">
        <v>45638.0</v>
      </c>
      <c r="AR24" s="542">
        <v>45639.0</v>
      </c>
      <c r="AS24" s="542">
        <v>45640.0</v>
      </c>
      <c r="AT24" s="543">
        <v>45641.0</v>
      </c>
      <c r="AU24" s="542">
        <v>45642.0</v>
      </c>
      <c r="AV24" s="503">
        <v>45643.0</v>
      </c>
      <c r="AW24" s="503">
        <v>45644.0</v>
      </c>
      <c r="AX24" s="503">
        <v>45645.0</v>
      </c>
      <c r="AY24" s="503">
        <v>45646.0</v>
      </c>
      <c r="AZ24" s="503">
        <v>45647.0</v>
      </c>
      <c r="BA24" s="503">
        <v>45648.0</v>
      </c>
      <c r="BB24" s="503">
        <v>45649.0</v>
      </c>
      <c r="BC24" s="503">
        <v>45650.0</v>
      </c>
      <c r="BD24" s="503">
        <v>45651.0</v>
      </c>
      <c r="BE24" s="503">
        <v>45652.0</v>
      </c>
      <c r="BF24" s="542">
        <v>45653.0</v>
      </c>
      <c r="BG24" s="542">
        <v>45654.0</v>
      </c>
      <c r="BH24" s="542">
        <v>45655.0</v>
      </c>
      <c r="BI24" s="542">
        <v>45656.0</v>
      </c>
      <c r="BJ24" s="542">
        <v>46022.0</v>
      </c>
      <c r="BK24" s="541">
        <v>45659.0</v>
      </c>
      <c r="BL24" s="541">
        <v>45660.0</v>
      </c>
      <c r="BM24" s="541">
        <v>45661.0</v>
      </c>
      <c r="BN24" s="541">
        <v>45662.0</v>
      </c>
      <c r="BO24" s="541">
        <v>45663.0</v>
      </c>
      <c r="BP24" s="541">
        <v>45664.0</v>
      </c>
      <c r="BQ24" s="541">
        <v>45665.0</v>
      </c>
      <c r="BR24" s="541">
        <v>45666.0</v>
      </c>
      <c r="BS24" s="541">
        <v>45667.0</v>
      </c>
      <c r="BT24" s="541">
        <v>45668.0</v>
      </c>
      <c r="BU24" s="541">
        <v>45669.0</v>
      </c>
      <c r="BV24" s="541">
        <v>45670.0</v>
      </c>
      <c r="BW24" s="541">
        <v>45671.0</v>
      </c>
      <c r="BX24" s="541">
        <v>45672.0</v>
      </c>
      <c r="BY24" s="541">
        <v>45673.0</v>
      </c>
      <c r="BZ24" s="541">
        <v>45674.0</v>
      </c>
      <c r="CA24" s="541">
        <v>45675.0</v>
      </c>
      <c r="CB24" s="541">
        <v>45676.0</v>
      </c>
      <c r="CC24" s="541">
        <v>45677.0</v>
      </c>
      <c r="CD24" s="541">
        <v>45678.0</v>
      </c>
      <c r="CE24" s="541">
        <v>45679.0</v>
      </c>
      <c r="CF24" s="541">
        <v>45680.0</v>
      </c>
      <c r="CG24" s="541">
        <v>45681.0</v>
      </c>
      <c r="CH24" s="541">
        <v>45682.0</v>
      </c>
      <c r="CI24" s="541">
        <v>45683.0</v>
      </c>
      <c r="CJ24" s="541">
        <v>45684.0</v>
      </c>
      <c r="CK24" s="541">
        <v>45685.0</v>
      </c>
      <c r="CL24" s="541">
        <v>45686.0</v>
      </c>
      <c r="CM24" s="541"/>
      <c r="CN24" s="541">
        <v>45687.0</v>
      </c>
      <c r="CO24" s="541">
        <v>45688.0</v>
      </c>
      <c r="CP24" s="544"/>
      <c r="CQ24" s="544"/>
      <c r="CR24" s="544"/>
      <c r="CS24" s="544"/>
      <c r="CT24" s="544"/>
      <c r="CU24" s="544"/>
      <c r="CV24" s="544"/>
      <c r="CW24" s="544"/>
      <c r="CX24" s="544"/>
      <c r="CY24" s="544"/>
      <c r="CZ24" s="544"/>
      <c r="DA24" s="544"/>
      <c r="DB24" s="544"/>
      <c r="DC24" s="544"/>
      <c r="DD24" s="544"/>
      <c r="DE24" s="544"/>
      <c r="DF24" s="544"/>
      <c r="DG24" s="544"/>
      <c r="DH24" s="544"/>
      <c r="DI24" s="544"/>
      <c r="DJ24" s="544"/>
      <c r="DK24" s="544"/>
      <c r="DL24" s="544"/>
      <c r="DM24" s="544"/>
      <c r="DN24" s="544"/>
      <c r="DO24" s="544"/>
      <c r="DP24" s="544"/>
      <c r="DQ24" s="544"/>
      <c r="DR24" s="544"/>
      <c r="DS24" s="544"/>
      <c r="DT24" s="544"/>
      <c r="DU24" s="544"/>
      <c r="DV24" s="544"/>
      <c r="DW24" s="544"/>
      <c r="DX24" s="545"/>
      <c r="DY24" s="544"/>
      <c r="DZ24" s="544"/>
      <c r="EA24" s="544"/>
      <c r="EB24" s="544"/>
      <c r="EC24" s="544"/>
      <c r="ED24" s="544"/>
      <c r="EE24" s="544"/>
      <c r="EF24" s="544"/>
      <c r="EG24" s="544"/>
      <c r="EH24" s="544"/>
      <c r="EI24" s="544"/>
      <c r="EJ24" s="544"/>
      <c r="EK24" s="544"/>
      <c r="EL24" s="544"/>
      <c r="EM24" s="544"/>
      <c r="EN24" s="544"/>
      <c r="EO24" s="544"/>
      <c r="EP24" s="544"/>
      <c r="EQ24" s="544"/>
    </row>
    <row r="25" hidden="1">
      <c r="A25" s="502" t="s">
        <v>293</v>
      </c>
      <c r="AD25" s="513">
        <v>2.0</v>
      </c>
      <c r="AE25" s="513">
        <v>39.0</v>
      </c>
      <c r="AF25" s="512">
        <v>20.0</v>
      </c>
      <c r="AG25" s="512">
        <v>16.0</v>
      </c>
      <c r="AH25" s="512">
        <v>27.0</v>
      </c>
      <c r="AI25" s="512">
        <v>9.0</v>
      </c>
      <c r="AJ25" s="512">
        <v>46.0</v>
      </c>
      <c r="AK25" s="512">
        <v>50.0</v>
      </c>
      <c r="AL25" s="512">
        <v>45.0</v>
      </c>
      <c r="AM25" s="512">
        <v>27.0</v>
      </c>
      <c r="AN25" s="512">
        <v>60.0</v>
      </c>
      <c r="AO25" s="512">
        <v>77.0</v>
      </c>
      <c r="AP25" s="512">
        <v>121.0</v>
      </c>
      <c r="AQ25" s="512">
        <v>126.0</v>
      </c>
      <c r="AR25" s="512">
        <v>52.0</v>
      </c>
      <c r="AS25" s="512">
        <v>77.0</v>
      </c>
      <c r="AT25" s="512">
        <v>132.0</v>
      </c>
      <c r="AU25" s="512">
        <v>90.0</v>
      </c>
      <c r="AV25" s="512">
        <v>73.0</v>
      </c>
      <c r="AW25" s="512">
        <v>108.0</v>
      </c>
      <c r="AX25" s="512">
        <v>125.0</v>
      </c>
      <c r="AY25" s="512">
        <v>77.0</v>
      </c>
      <c r="AZ25" s="512">
        <v>100.0</v>
      </c>
      <c r="BA25" s="512">
        <v>172.0</v>
      </c>
      <c r="BB25" s="512">
        <v>145.0</v>
      </c>
      <c r="BC25" s="512">
        <v>158.0</v>
      </c>
      <c r="BD25" s="512">
        <v>109.0</v>
      </c>
      <c r="BE25" s="512">
        <v>123.0</v>
      </c>
      <c r="BF25" s="512">
        <v>208.0</v>
      </c>
      <c r="BG25" s="512">
        <v>118.0</v>
      </c>
      <c r="BH25" s="520">
        <v>184.0</v>
      </c>
      <c r="BI25" s="512">
        <v>207.0</v>
      </c>
      <c r="BJ25" s="512">
        <v>178.0</v>
      </c>
      <c r="BK25" s="512">
        <v>0.0</v>
      </c>
      <c r="BL25" s="512">
        <v>0.0</v>
      </c>
      <c r="BM25" s="512">
        <v>0.0</v>
      </c>
      <c r="BN25" s="512">
        <v>0.0</v>
      </c>
      <c r="BO25" s="512">
        <v>0.0</v>
      </c>
      <c r="BP25" s="512">
        <v>0.0</v>
      </c>
      <c r="BQ25" s="512">
        <v>0.0</v>
      </c>
      <c r="BR25" s="512">
        <v>0.0</v>
      </c>
      <c r="BS25" s="512">
        <v>0.0</v>
      </c>
      <c r="BT25" s="512">
        <v>0.0</v>
      </c>
      <c r="BU25" s="512">
        <v>0.0</v>
      </c>
      <c r="BV25" s="512">
        <v>0.0</v>
      </c>
      <c r="BW25" s="512">
        <v>0.0</v>
      </c>
      <c r="BX25" s="512">
        <v>0.0</v>
      </c>
      <c r="BY25" s="512">
        <v>0.0</v>
      </c>
      <c r="BZ25" s="512">
        <v>0.0</v>
      </c>
      <c r="CA25" s="512">
        <v>0.0</v>
      </c>
      <c r="CB25" s="512">
        <v>0.0</v>
      </c>
      <c r="CC25" s="512">
        <v>4.0</v>
      </c>
      <c r="CD25" s="512">
        <v>4.0</v>
      </c>
      <c r="CE25" s="512">
        <v>5.0</v>
      </c>
      <c r="CF25" s="512">
        <v>7.0</v>
      </c>
      <c r="CG25" s="512">
        <v>6.0</v>
      </c>
      <c r="CH25" s="512">
        <v>6.0</v>
      </c>
      <c r="CI25" s="512">
        <v>26.0</v>
      </c>
      <c r="CJ25" s="512">
        <v>4.0</v>
      </c>
      <c r="CK25" s="512">
        <v>11.0</v>
      </c>
      <c r="CL25" s="512">
        <v>22.0</v>
      </c>
      <c r="CM25" s="512"/>
      <c r="CN25" s="512">
        <v>26.0</v>
      </c>
      <c r="CO25" s="512">
        <v>24.0</v>
      </c>
      <c r="CP25" s="546"/>
      <c r="CQ25" s="546"/>
      <c r="CR25" s="546"/>
      <c r="CS25" s="546"/>
      <c r="CT25" s="546"/>
      <c r="CU25" s="546"/>
      <c r="CV25" s="546"/>
      <c r="CW25" s="546"/>
      <c r="CX25" s="546"/>
      <c r="CY25" s="546"/>
      <c r="CZ25" s="546"/>
      <c r="DA25" s="546"/>
      <c r="DB25" s="546"/>
      <c r="DC25" s="546"/>
      <c r="DD25" s="546"/>
      <c r="DE25" s="546"/>
      <c r="DF25" s="546"/>
      <c r="DG25" s="546"/>
      <c r="DH25" s="546"/>
      <c r="DI25" s="546"/>
      <c r="DJ25" s="546"/>
      <c r="DK25" s="546"/>
      <c r="DL25" s="546"/>
      <c r="DM25" s="546"/>
      <c r="DN25" s="546"/>
      <c r="DO25" s="546"/>
      <c r="DP25" s="546"/>
      <c r="DQ25" s="546"/>
      <c r="DR25" s="546"/>
      <c r="DS25" s="546"/>
      <c r="DT25" s="546"/>
      <c r="DU25" s="546"/>
      <c r="DV25" s="546"/>
      <c r="DW25" s="546"/>
      <c r="DX25" s="545"/>
      <c r="DY25" s="546"/>
      <c r="DZ25" s="546"/>
      <c r="EA25" s="546"/>
      <c r="EB25" s="546"/>
      <c r="EC25" s="546"/>
      <c r="ED25" s="546"/>
      <c r="EE25" s="546"/>
      <c r="EF25" s="546"/>
      <c r="EG25" s="546"/>
      <c r="EH25" s="546"/>
      <c r="EI25" s="546"/>
      <c r="EJ25" s="546"/>
      <c r="EK25" s="546"/>
      <c r="EL25" s="546"/>
      <c r="EM25" s="546"/>
      <c r="EN25" s="546"/>
      <c r="EO25" s="546"/>
      <c r="EP25" s="546"/>
      <c r="EQ25" s="546"/>
    </row>
    <row r="26" hidden="1">
      <c r="A26" s="502" t="s">
        <v>290</v>
      </c>
      <c r="AD26" s="513">
        <v>2.0</v>
      </c>
      <c r="AE26" s="513">
        <v>6.0</v>
      </c>
      <c r="AF26" s="512">
        <v>10.0</v>
      </c>
      <c r="AG26" s="512">
        <v>6.0</v>
      </c>
      <c r="AH26" s="512">
        <v>10.0</v>
      </c>
      <c r="AI26" s="512">
        <v>5.0</v>
      </c>
      <c r="AJ26" s="512">
        <v>18.0</v>
      </c>
      <c r="AK26" s="512">
        <v>20.0</v>
      </c>
      <c r="AL26" s="512">
        <v>19.0</v>
      </c>
      <c r="AM26" s="512">
        <v>16.0</v>
      </c>
      <c r="AN26" s="512">
        <v>35.0</v>
      </c>
      <c r="AO26" s="512">
        <v>30.0</v>
      </c>
      <c r="AP26" s="512">
        <v>40.0</v>
      </c>
      <c r="AQ26" s="512">
        <v>48.0</v>
      </c>
      <c r="AR26" s="512">
        <v>23.0</v>
      </c>
      <c r="AS26" s="512">
        <v>35.0</v>
      </c>
      <c r="AT26" s="512">
        <v>47.0</v>
      </c>
      <c r="AU26" s="512">
        <v>35.0</v>
      </c>
      <c r="AV26" s="512">
        <v>35.0</v>
      </c>
      <c r="AW26" s="512">
        <v>33.0</v>
      </c>
      <c r="AX26" s="512">
        <v>46.0</v>
      </c>
      <c r="AY26" s="512">
        <v>29.0</v>
      </c>
      <c r="AZ26" s="512">
        <v>42.0</v>
      </c>
      <c r="BA26" s="512">
        <v>51.0</v>
      </c>
      <c r="BB26" s="512">
        <v>38.0</v>
      </c>
      <c r="BC26" s="512">
        <v>55.0</v>
      </c>
      <c r="BD26" s="512">
        <v>50.0</v>
      </c>
      <c r="BE26" s="512">
        <v>43.0</v>
      </c>
      <c r="BF26" s="512">
        <v>72.0</v>
      </c>
      <c r="BG26" s="512">
        <v>48.0</v>
      </c>
      <c r="BH26" s="512">
        <v>61.0</v>
      </c>
      <c r="BI26" s="512">
        <v>83.0</v>
      </c>
      <c r="BJ26" s="512">
        <v>66.0</v>
      </c>
      <c r="BK26" s="512">
        <v>0.0</v>
      </c>
      <c r="BL26" s="512">
        <v>0.0</v>
      </c>
      <c r="BM26" s="512">
        <v>0.0</v>
      </c>
      <c r="BN26" s="512">
        <v>0.0</v>
      </c>
      <c r="BO26" s="512">
        <v>0.0</v>
      </c>
      <c r="BP26" s="512">
        <v>0.0</v>
      </c>
      <c r="BQ26" s="512">
        <v>0.0</v>
      </c>
      <c r="BR26" s="512">
        <v>0.0</v>
      </c>
      <c r="BS26" s="512">
        <v>0.0</v>
      </c>
      <c r="BT26" s="512">
        <v>0.0</v>
      </c>
      <c r="BU26" s="512">
        <v>0.0</v>
      </c>
      <c r="BV26" s="547">
        <v>0.0</v>
      </c>
      <c r="BW26" s="512">
        <v>0.0</v>
      </c>
      <c r="BX26" s="512">
        <v>0.0</v>
      </c>
      <c r="BY26" s="512">
        <v>0.0</v>
      </c>
      <c r="BZ26" s="512">
        <v>0.0</v>
      </c>
      <c r="CA26" s="512">
        <v>0.0</v>
      </c>
      <c r="CB26" s="512">
        <v>0.0</v>
      </c>
      <c r="CC26" s="512">
        <v>1.0</v>
      </c>
      <c r="CD26" s="512">
        <v>1.0</v>
      </c>
      <c r="CE26" s="512">
        <v>2.0</v>
      </c>
      <c r="CF26" s="512">
        <v>4.0</v>
      </c>
      <c r="CG26" s="512">
        <v>11.0</v>
      </c>
      <c r="CH26" s="512">
        <v>14.0</v>
      </c>
      <c r="CI26" s="512">
        <v>14.0</v>
      </c>
      <c r="CJ26" s="512">
        <v>2.0</v>
      </c>
      <c r="CK26" s="512">
        <v>7.0</v>
      </c>
      <c r="CL26" s="512">
        <v>9.0</v>
      </c>
      <c r="CM26" s="512"/>
      <c r="CN26" s="512">
        <v>11.0</v>
      </c>
      <c r="CO26" s="512">
        <v>8.0</v>
      </c>
      <c r="CP26" s="546"/>
      <c r="CQ26" s="546"/>
      <c r="CR26" s="546"/>
      <c r="CS26" s="546"/>
      <c r="CT26" s="546"/>
      <c r="CU26" s="546"/>
      <c r="CV26" s="546"/>
      <c r="CW26" s="546"/>
      <c r="CX26" s="546"/>
      <c r="CY26" s="546"/>
      <c r="CZ26" s="546"/>
      <c r="DA26" s="546"/>
      <c r="DB26" s="546"/>
      <c r="DC26" s="546"/>
      <c r="DD26" s="546"/>
      <c r="DE26" s="546"/>
      <c r="DF26" s="546"/>
      <c r="DG26" s="546"/>
      <c r="DH26" s="546"/>
      <c r="DI26" s="546"/>
      <c r="DJ26" s="546"/>
      <c r="DK26" s="546"/>
      <c r="DL26" s="546"/>
      <c r="DM26" s="546"/>
      <c r="DN26" s="546"/>
      <c r="DO26" s="546"/>
      <c r="DP26" s="546"/>
      <c r="DQ26" s="546"/>
      <c r="DR26" s="546"/>
      <c r="DS26" s="546"/>
      <c r="DT26" s="546"/>
      <c r="DU26" s="546"/>
      <c r="DV26" s="546"/>
      <c r="DW26" s="546"/>
      <c r="DX26" s="545"/>
      <c r="DY26" s="546"/>
      <c r="DZ26" s="546"/>
      <c r="EA26" s="546"/>
      <c r="EB26" s="546"/>
      <c r="EC26" s="546"/>
      <c r="ED26" s="546"/>
      <c r="EE26" s="546"/>
      <c r="EF26" s="546"/>
      <c r="EG26" s="546"/>
      <c r="EH26" s="546"/>
      <c r="EI26" s="546"/>
      <c r="EJ26" s="546"/>
      <c r="EK26" s="546"/>
      <c r="EL26" s="546"/>
      <c r="EM26" s="546"/>
      <c r="EN26" s="546"/>
      <c r="EO26" s="546"/>
      <c r="EP26" s="546"/>
      <c r="EQ26" s="546"/>
    </row>
    <row r="27" hidden="1">
      <c r="A27" s="502" t="s">
        <v>291</v>
      </c>
      <c r="AD27" s="523">
        <f>5.44+8.28</f>
        <v>13.72</v>
      </c>
      <c r="AE27" s="524">
        <v>2.86</v>
      </c>
      <c r="AF27" s="538">
        <v>-35.74</v>
      </c>
      <c r="AG27" s="523">
        <f>11</f>
        <v>11</v>
      </c>
      <c r="AH27" s="524">
        <v>17.59</v>
      </c>
      <c r="AI27" s="538">
        <v>-20.22</v>
      </c>
      <c r="AJ27" s="538">
        <v>-76.02</v>
      </c>
      <c r="AK27" s="538">
        <v>-48.63</v>
      </c>
      <c r="AL27" s="524">
        <v>31.0</v>
      </c>
      <c r="AM27" s="524">
        <v>27.84</v>
      </c>
      <c r="AN27" s="538">
        <v>-257.21</v>
      </c>
      <c r="AO27" s="538">
        <v>-232.64</v>
      </c>
      <c r="AP27" s="538">
        <v>-176.62</v>
      </c>
      <c r="AQ27" s="538">
        <v>-41.18</v>
      </c>
      <c r="AR27" s="538">
        <v>-257.79</v>
      </c>
      <c r="AS27" s="538">
        <v>-490.37</v>
      </c>
      <c r="AT27" s="538">
        <v>-10.38</v>
      </c>
      <c r="AU27" s="538">
        <v>-1.58</v>
      </c>
      <c r="AV27" s="538">
        <v>-138.34</v>
      </c>
      <c r="AW27" s="538">
        <v>-122.81</v>
      </c>
      <c r="AX27" s="538">
        <v>-228.22</v>
      </c>
      <c r="AY27" s="524">
        <v>67.8</v>
      </c>
      <c r="AZ27" s="524">
        <v>50.88</v>
      </c>
      <c r="BA27" s="512">
        <v>41.17</v>
      </c>
      <c r="BB27" s="512">
        <v>50.53</v>
      </c>
      <c r="BC27" s="512">
        <v>62.16</v>
      </c>
      <c r="BD27" s="512">
        <v>51.37</v>
      </c>
      <c r="BE27" s="512">
        <v>-137.06</v>
      </c>
      <c r="BF27" s="512">
        <v>79.48</v>
      </c>
      <c r="BG27" s="512">
        <v>52.09</v>
      </c>
      <c r="BH27" s="512">
        <v>-15.8</v>
      </c>
      <c r="BI27" s="512">
        <v>-65.32</v>
      </c>
      <c r="BJ27" s="512">
        <v>20.74</v>
      </c>
      <c r="BK27" s="527"/>
      <c r="BL27" s="527"/>
      <c r="BM27" s="527"/>
      <c r="BN27" s="527"/>
      <c r="BO27" s="527"/>
      <c r="BP27" s="527"/>
      <c r="BQ27" s="527"/>
      <c r="BR27" s="527"/>
      <c r="BS27" s="527"/>
      <c r="BT27" s="527"/>
      <c r="BU27" s="527"/>
      <c r="BV27" s="527"/>
      <c r="BW27" s="527"/>
      <c r="BX27" s="527"/>
      <c r="BY27" s="527"/>
      <c r="BZ27" s="527"/>
      <c r="CA27" s="527"/>
      <c r="CB27" s="527"/>
      <c r="CC27" s="550">
        <v>-13.6</v>
      </c>
      <c r="CD27" s="550">
        <v>2.79</v>
      </c>
      <c r="CE27" s="550">
        <v>6.98</v>
      </c>
      <c r="CF27" s="550">
        <v>3.81</v>
      </c>
      <c r="CG27" s="550">
        <v>2.22</v>
      </c>
      <c r="CH27" s="550">
        <v>7.72</v>
      </c>
      <c r="CI27" s="550">
        <v>2.2</v>
      </c>
      <c r="CJ27" s="550">
        <v>3.6</v>
      </c>
      <c r="CK27" s="550">
        <v>3.92</v>
      </c>
      <c r="CL27" s="550">
        <v>-2.88</v>
      </c>
      <c r="CM27" s="550"/>
      <c r="CN27" s="550">
        <v>6.78</v>
      </c>
      <c r="CO27" s="550">
        <v>7.92</v>
      </c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499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</row>
    <row r="28" hidden="1">
      <c r="A28" s="531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499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</row>
    <row r="29" hidden="1">
      <c r="A29" s="551" t="s">
        <v>294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499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</row>
    <row r="30" hidden="1">
      <c r="A30" s="500" t="s">
        <v>2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  <c r="CU30" s="118"/>
      <c r="CV30" s="118"/>
      <c r="CW30" s="118"/>
      <c r="CX30" s="118"/>
      <c r="CY30" s="118"/>
      <c r="CZ30" s="118"/>
      <c r="DA30" s="118"/>
      <c r="DB30" s="118"/>
      <c r="DC30" s="546"/>
      <c r="DD30" s="546"/>
      <c r="DE30" s="546"/>
      <c r="DF30" s="546"/>
      <c r="DG30" s="546"/>
      <c r="DH30" s="546"/>
      <c r="DI30" s="546"/>
      <c r="DJ30" s="546"/>
      <c r="DK30" s="546"/>
      <c r="DL30" s="546"/>
      <c r="DM30" s="546"/>
      <c r="DN30" s="546"/>
      <c r="DO30" s="546"/>
      <c r="DP30" s="546"/>
      <c r="DQ30" s="546"/>
      <c r="DR30" s="546"/>
      <c r="DS30" s="118"/>
      <c r="DT30" s="118"/>
      <c r="DU30" s="118"/>
      <c r="DV30" s="118"/>
      <c r="DW30" s="118"/>
      <c r="DX30" s="499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  <c r="EJ30" s="118"/>
      <c r="EK30" s="118"/>
      <c r="EL30" s="118"/>
      <c r="EM30" s="118"/>
      <c r="EN30" s="118"/>
      <c r="EO30" s="118"/>
      <c r="EP30" s="118"/>
      <c r="EQ30" s="118"/>
    </row>
    <row r="31" hidden="1">
      <c r="A31" s="502" t="s">
        <v>288</v>
      </c>
      <c r="B31" s="525"/>
      <c r="C31" s="525"/>
      <c r="D31" s="525"/>
      <c r="E31" s="525"/>
      <c r="F31" s="525"/>
      <c r="G31" s="525"/>
      <c r="H31" s="525"/>
      <c r="I31" s="525"/>
      <c r="J31" s="525"/>
      <c r="K31" s="525"/>
      <c r="L31" s="525"/>
      <c r="M31" s="525"/>
      <c r="N31" s="525"/>
      <c r="O31" s="525"/>
      <c r="P31" s="525"/>
      <c r="Q31" s="525"/>
      <c r="R31" s="525"/>
      <c r="S31" s="525"/>
      <c r="T31" s="525"/>
      <c r="U31" s="525"/>
      <c r="V31" s="525"/>
      <c r="W31" s="525"/>
      <c r="X31" s="525"/>
      <c r="Y31" s="525"/>
      <c r="Z31" s="525"/>
      <c r="AA31" s="525"/>
      <c r="AB31" s="525"/>
      <c r="AC31" s="525"/>
      <c r="AD31" s="525"/>
      <c r="AE31" s="525"/>
      <c r="AF31" s="525"/>
      <c r="AG31" s="525"/>
      <c r="AH31" s="525"/>
      <c r="AI31" s="525"/>
      <c r="AJ31" s="525"/>
      <c r="AK31" s="525"/>
      <c r="AL31" s="525"/>
      <c r="AM31" s="525"/>
      <c r="AN31" s="525"/>
      <c r="AO31" s="525"/>
      <c r="AP31" s="525"/>
      <c r="AQ31" s="525"/>
      <c r="AR31" s="525"/>
      <c r="AS31" s="525"/>
      <c r="AT31" s="525"/>
      <c r="AU31" s="525"/>
      <c r="AV31" s="525"/>
      <c r="AW31" s="525"/>
      <c r="AX31" s="525"/>
      <c r="AY31" s="525"/>
      <c r="AZ31" s="525"/>
      <c r="BA31" s="525"/>
      <c r="BB31" s="525"/>
      <c r="BC31" s="525"/>
      <c r="BD31" s="525"/>
      <c r="BE31" s="525"/>
      <c r="BF31" s="525"/>
      <c r="BG31" s="525"/>
      <c r="BH31" s="525"/>
      <c r="BI31" s="525"/>
      <c r="BJ31" s="525"/>
      <c r="BK31" s="541">
        <v>45689.0</v>
      </c>
      <c r="BL31" s="541">
        <v>45690.0</v>
      </c>
      <c r="BM31" s="541">
        <v>45691.0</v>
      </c>
      <c r="BN31" s="541">
        <v>45692.0</v>
      </c>
      <c r="BO31" s="541">
        <v>45693.0</v>
      </c>
      <c r="BP31" s="541">
        <v>45694.0</v>
      </c>
      <c r="BQ31" s="541">
        <v>45695.0</v>
      </c>
      <c r="BR31" s="541">
        <v>45696.0</v>
      </c>
      <c r="BS31" s="541">
        <v>45697.0</v>
      </c>
      <c r="BT31" s="541">
        <v>45698.0</v>
      </c>
      <c r="BU31" s="541">
        <v>45699.0</v>
      </c>
      <c r="BV31" s="541">
        <v>45700.0</v>
      </c>
      <c r="BW31" s="541">
        <v>45701.0</v>
      </c>
      <c r="BX31" s="541">
        <v>45702.0</v>
      </c>
      <c r="BY31" s="541">
        <v>45703.0</v>
      </c>
      <c r="BZ31" s="541">
        <v>45704.0</v>
      </c>
      <c r="CA31" s="541">
        <v>45705.0</v>
      </c>
      <c r="CB31" s="541">
        <v>45706.0</v>
      </c>
      <c r="CC31" s="541">
        <v>45707.0</v>
      </c>
      <c r="CD31" s="541">
        <v>45708.0</v>
      </c>
      <c r="CE31" s="541">
        <v>45709.0</v>
      </c>
      <c r="CF31" s="541">
        <v>45710.0</v>
      </c>
      <c r="CG31" s="541">
        <v>45711.0</v>
      </c>
      <c r="CH31" s="541">
        <v>45712.0</v>
      </c>
      <c r="CI31" s="541">
        <v>45713.0</v>
      </c>
      <c r="CJ31" s="541">
        <v>45714.0</v>
      </c>
      <c r="CK31" s="541">
        <v>45715.0</v>
      </c>
      <c r="CL31" s="541">
        <v>45716.0</v>
      </c>
      <c r="CM31" s="541"/>
      <c r="CN31" s="541">
        <v>45717.0</v>
      </c>
      <c r="CO31" s="541">
        <v>45718.0</v>
      </c>
      <c r="CP31" s="541">
        <v>45719.0</v>
      </c>
      <c r="CQ31" s="541">
        <v>45720.0</v>
      </c>
      <c r="CR31" s="541">
        <v>45721.0</v>
      </c>
      <c r="CS31" s="541">
        <v>45722.0</v>
      </c>
      <c r="CT31" s="541">
        <v>45723.0</v>
      </c>
      <c r="CU31" s="541">
        <v>45724.0</v>
      </c>
      <c r="CV31" s="541">
        <v>45725.0</v>
      </c>
      <c r="CW31" s="541">
        <v>45726.0</v>
      </c>
      <c r="CX31" s="541">
        <v>45727.0</v>
      </c>
      <c r="CY31" s="541">
        <v>45728.0</v>
      </c>
      <c r="CZ31" s="541">
        <v>45729.0</v>
      </c>
      <c r="DA31" s="541">
        <v>45730.0</v>
      </c>
      <c r="DB31" s="541">
        <v>45731.0</v>
      </c>
      <c r="DC31" s="541">
        <v>45732.0</v>
      </c>
      <c r="DD31" s="541">
        <v>45733.0</v>
      </c>
      <c r="DE31" s="541">
        <v>45734.0</v>
      </c>
      <c r="DF31" s="541">
        <v>45735.0</v>
      </c>
      <c r="DG31" s="541">
        <v>45736.0</v>
      </c>
      <c r="DH31" s="541">
        <v>45737.0</v>
      </c>
      <c r="DI31" s="541">
        <v>45738.0</v>
      </c>
      <c r="DJ31" s="541">
        <v>45739.0</v>
      </c>
      <c r="DK31" s="541">
        <v>45740.0</v>
      </c>
      <c r="DL31" s="541">
        <v>45741.0</v>
      </c>
      <c r="DM31" s="541">
        <v>45742.0</v>
      </c>
      <c r="DN31" s="541">
        <v>45743.0</v>
      </c>
      <c r="DO31" s="541">
        <v>45744.0</v>
      </c>
      <c r="DP31" s="541">
        <v>45745.0</v>
      </c>
      <c r="DQ31" s="541">
        <v>45746.0</v>
      </c>
      <c r="DR31" s="541">
        <v>45747.0</v>
      </c>
      <c r="DS31" s="118"/>
      <c r="DT31" s="118"/>
      <c r="DU31" s="118"/>
      <c r="DV31" s="118"/>
      <c r="DW31" s="118"/>
      <c r="DX31" s="499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</row>
    <row r="32" hidden="1">
      <c r="A32" s="502" t="s">
        <v>289</v>
      </c>
      <c r="B32" s="525"/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  <c r="AA32" s="525"/>
      <c r="AB32" s="525"/>
      <c r="AC32" s="525"/>
      <c r="AD32" s="525"/>
      <c r="AE32" s="525"/>
      <c r="AF32" s="525"/>
      <c r="AG32" s="525"/>
      <c r="AH32" s="525"/>
      <c r="AI32" s="525"/>
      <c r="AJ32" s="525"/>
      <c r="AK32" s="525"/>
      <c r="AL32" s="525"/>
      <c r="AM32" s="525"/>
      <c r="AN32" s="525"/>
      <c r="AO32" s="525"/>
      <c r="AP32" s="525"/>
      <c r="AQ32" s="525"/>
      <c r="AR32" s="525"/>
      <c r="AS32" s="525"/>
      <c r="AT32" s="525"/>
      <c r="AU32" s="525"/>
      <c r="AV32" s="525"/>
      <c r="AW32" s="525"/>
      <c r="AX32" s="525"/>
      <c r="AY32" s="525"/>
      <c r="AZ32" s="525"/>
      <c r="BA32" s="525"/>
      <c r="BB32" s="525"/>
      <c r="BC32" s="525"/>
      <c r="BD32" s="525"/>
      <c r="BE32" s="525"/>
      <c r="BF32" s="525"/>
      <c r="BG32" s="525"/>
      <c r="BH32" s="525"/>
      <c r="BI32" s="525"/>
      <c r="BJ32" s="525"/>
      <c r="BK32" s="512">
        <v>67.0</v>
      </c>
      <c r="BL32" s="512">
        <v>133.0</v>
      </c>
      <c r="BM32" s="525"/>
      <c r="BN32" s="512">
        <v>100.0</v>
      </c>
      <c r="BO32" s="512">
        <v>130.0</v>
      </c>
      <c r="BP32" s="512">
        <v>162.0</v>
      </c>
      <c r="BQ32" s="512">
        <v>219.0</v>
      </c>
      <c r="BR32" s="512">
        <v>120.0</v>
      </c>
      <c r="BS32" s="512">
        <v>198.0</v>
      </c>
      <c r="BT32" s="512">
        <v>128.0</v>
      </c>
      <c r="BU32" s="512">
        <v>214.0</v>
      </c>
      <c r="BV32" s="512">
        <v>159.0</v>
      </c>
      <c r="BW32" s="512">
        <v>159.0</v>
      </c>
      <c r="BX32" s="512">
        <v>148.0</v>
      </c>
      <c r="BY32" s="512">
        <v>141.0</v>
      </c>
      <c r="BZ32" s="512">
        <v>125.0</v>
      </c>
      <c r="CA32" s="512">
        <v>160.0</v>
      </c>
      <c r="CB32" s="512">
        <v>188.0</v>
      </c>
      <c r="CC32" s="512">
        <v>189.0</v>
      </c>
      <c r="CD32" s="512">
        <v>177.0</v>
      </c>
      <c r="CE32" s="512">
        <v>175.0</v>
      </c>
      <c r="CF32" s="512">
        <v>172.0</v>
      </c>
      <c r="CG32" s="512">
        <v>204.0</v>
      </c>
      <c r="CH32" s="512">
        <v>198.0</v>
      </c>
      <c r="CI32" s="512">
        <v>163.0</v>
      </c>
      <c r="CJ32" s="512">
        <v>177.0</v>
      </c>
      <c r="CK32" s="512">
        <v>156.0</v>
      </c>
      <c r="CL32" s="512">
        <v>177.0</v>
      </c>
      <c r="CM32" s="512"/>
      <c r="CN32" s="512">
        <v>155.0</v>
      </c>
      <c r="CO32" s="512">
        <v>140.0</v>
      </c>
      <c r="CP32" s="512">
        <v>223.0</v>
      </c>
      <c r="CQ32" s="512">
        <v>158.0</v>
      </c>
      <c r="CR32" s="512">
        <v>185.0</v>
      </c>
      <c r="CS32" s="512">
        <v>177.0</v>
      </c>
      <c r="CT32" s="512">
        <v>281.0</v>
      </c>
      <c r="CU32" s="512">
        <v>151.0</v>
      </c>
      <c r="CV32" s="512">
        <v>149.0</v>
      </c>
      <c r="CW32" s="512">
        <v>164.0</v>
      </c>
      <c r="CX32" s="512">
        <v>157.0</v>
      </c>
      <c r="CY32" s="512">
        <v>112.0</v>
      </c>
      <c r="CZ32" s="512">
        <v>131.0</v>
      </c>
      <c r="DA32" s="512">
        <v>160.0</v>
      </c>
      <c r="DB32" s="512">
        <v>168.0</v>
      </c>
      <c r="DC32" s="512">
        <v>138.0</v>
      </c>
      <c r="DD32" s="512">
        <v>143.0</v>
      </c>
      <c r="DE32" s="512">
        <v>158.0</v>
      </c>
      <c r="DF32" s="512">
        <v>161.0</v>
      </c>
      <c r="DG32" s="512">
        <v>160.0</v>
      </c>
      <c r="DH32" s="512">
        <v>226.0</v>
      </c>
      <c r="DI32" s="512">
        <v>121.0</v>
      </c>
      <c r="DJ32" s="512">
        <v>200.0</v>
      </c>
      <c r="DK32" s="512">
        <v>201.0</v>
      </c>
      <c r="DL32" s="512">
        <v>136.0</v>
      </c>
      <c r="DM32" s="512">
        <v>193.0</v>
      </c>
      <c r="DN32" s="512">
        <v>128.0</v>
      </c>
      <c r="DO32" s="512">
        <v>159.0</v>
      </c>
      <c r="DP32" s="512">
        <v>115.0</v>
      </c>
      <c r="DQ32" s="512">
        <v>160.0</v>
      </c>
      <c r="DR32" s="512">
        <v>124.0</v>
      </c>
      <c r="DS32" s="118"/>
      <c r="DT32" s="118"/>
      <c r="DU32" s="118"/>
      <c r="DV32" s="118"/>
      <c r="DW32" s="118"/>
      <c r="DX32" s="499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</row>
    <row r="33" hidden="1">
      <c r="A33" s="521" t="s">
        <v>290</v>
      </c>
      <c r="B33" s="525"/>
      <c r="C33" s="525"/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525"/>
      <c r="O33" s="525"/>
      <c r="P33" s="525"/>
      <c r="Q33" s="525"/>
      <c r="R33" s="525"/>
      <c r="S33" s="525"/>
      <c r="T33" s="525"/>
      <c r="U33" s="525"/>
      <c r="V33" s="525"/>
      <c r="W33" s="525"/>
      <c r="X33" s="525"/>
      <c r="Y33" s="525"/>
      <c r="Z33" s="525"/>
      <c r="AA33" s="525"/>
      <c r="AB33" s="525"/>
      <c r="AC33" s="525"/>
      <c r="AD33" s="525"/>
      <c r="AE33" s="525"/>
      <c r="AF33" s="525"/>
      <c r="AG33" s="525"/>
      <c r="AH33" s="525"/>
      <c r="AI33" s="525"/>
      <c r="AJ33" s="525"/>
      <c r="AK33" s="525"/>
      <c r="AL33" s="525"/>
      <c r="AM33" s="525"/>
      <c r="AN33" s="525"/>
      <c r="AO33" s="525"/>
      <c r="AP33" s="525"/>
      <c r="AQ33" s="525"/>
      <c r="AR33" s="525"/>
      <c r="AS33" s="525"/>
      <c r="AT33" s="525"/>
      <c r="AU33" s="525"/>
      <c r="AV33" s="525"/>
      <c r="AW33" s="525"/>
      <c r="AX33" s="525"/>
      <c r="AY33" s="525"/>
      <c r="AZ33" s="525"/>
      <c r="BA33" s="525"/>
      <c r="BB33" s="525"/>
      <c r="BC33" s="525"/>
      <c r="BD33" s="525"/>
      <c r="BE33" s="525"/>
      <c r="BF33" s="525"/>
      <c r="BG33" s="525"/>
      <c r="BH33" s="525"/>
      <c r="BI33" s="525"/>
      <c r="BJ33" s="525"/>
      <c r="BK33" s="512">
        <v>36.0</v>
      </c>
      <c r="BL33" s="512">
        <v>53.0</v>
      </c>
      <c r="BM33" s="525"/>
      <c r="BN33" s="512">
        <v>40.0</v>
      </c>
      <c r="BO33" s="512">
        <v>50.0</v>
      </c>
      <c r="BP33" s="512">
        <v>56.0</v>
      </c>
      <c r="BQ33" s="512">
        <v>70.0</v>
      </c>
      <c r="BR33" s="512">
        <v>51.0</v>
      </c>
      <c r="BS33" s="512">
        <v>63.0</v>
      </c>
      <c r="BT33" s="512">
        <v>62.0</v>
      </c>
      <c r="BU33" s="512">
        <v>68.0</v>
      </c>
      <c r="BV33" s="512">
        <v>65.0</v>
      </c>
      <c r="BW33" s="512">
        <v>64.0</v>
      </c>
      <c r="BX33" s="512">
        <v>64.0</v>
      </c>
      <c r="BY33" s="512">
        <v>67.0</v>
      </c>
      <c r="BZ33" s="512">
        <v>56.0</v>
      </c>
      <c r="CA33" s="512">
        <v>65.0</v>
      </c>
      <c r="CB33" s="512">
        <v>68.0</v>
      </c>
      <c r="CC33" s="512">
        <v>72.0</v>
      </c>
      <c r="CD33" s="512">
        <v>67.0</v>
      </c>
      <c r="CE33" s="512">
        <v>72.0</v>
      </c>
      <c r="CF33" s="512">
        <v>72.0</v>
      </c>
      <c r="CG33" s="512">
        <v>81.0</v>
      </c>
      <c r="CH33" s="512">
        <v>81.0</v>
      </c>
      <c r="CI33" s="512">
        <v>67.0</v>
      </c>
      <c r="CJ33" s="512">
        <v>64.0</v>
      </c>
      <c r="CK33" s="512">
        <v>66.0</v>
      </c>
      <c r="CL33" s="512">
        <v>58.0</v>
      </c>
      <c r="CM33" s="552">
        <f>SUM(BK33:CL33)/28</f>
        <v>60.64285714</v>
      </c>
      <c r="CN33" s="512">
        <v>54.0</v>
      </c>
      <c r="CO33" s="512">
        <v>62.0</v>
      </c>
      <c r="CP33" s="512">
        <v>72.0</v>
      </c>
      <c r="CQ33" s="512">
        <v>57.0</v>
      </c>
      <c r="CR33" s="512">
        <v>67.0</v>
      </c>
      <c r="CS33" s="512">
        <v>80.0</v>
      </c>
      <c r="CT33" s="512">
        <v>99.0</v>
      </c>
      <c r="CU33" s="512">
        <v>61.0</v>
      </c>
      <c r="CV33" s="512">
        <v>69.0</v>
      </c>
      <c r="CW33" s="512">
        <v>68.0</v>
      </c>
      <c r="CX33" s="512">
        <v>67.0</v>
      </c>
      <c r="CY33" s="512">
        <v>51.0</v>
      </c>
      <c r="CZ33" s="512">
        <v>70.0</v>
      </c>
      <c r="DA33" s="512">
        <v>62.0</v>
      </c>
      <c r="DB33" s="512">
        <v>59.0</v>
      </c>
      <c r="DC33" s="512">
        <v>68.0</v>
      </c>
      <c r="DD33" s="512">
        <v>65.0</v>
      </c>
      <c r="DE33" s="512">
        <v>71.0</v>
      </c>
      <c r="DF33" s="512">
        <v>61.0</v>
      </c>
      <c r="DG33" s="512">
        <v>67.0</v>
      </c>
      <c r="DH33" s="512">
        <v>80.0</v>
      </c>
      <c r="DI33" s="512">
        <v>58.0</v>
      </c>
      <c r="DJ33" s="512">
        <v>77.0</v>
      </c>
      <c r="DK33" s="512">
        <v>79.0</v>
      </c>
      <c r="DL33" s="512">
        <v>64.0</v>
      </c>
      <c r="DM33" s="512">
        <v>70.0</v>
      </c>
      <c r="DN33" s="512">
        <v>61.0</v>
      </c>
      <c r="DO33" s="512">
        <v>72.0</v>
      </c>
      <c r="DP33" s="512">
        <v>52.0</v>
      </c>
      <c r="DQ33" s="512">
        <v>74.0</v>
      </c>
      <c r="DR33" s="512">
        <v>63.0</v>
      </c>
      <c r="DS33" s="118"/>
      <c r="DT33" s="118"/>
      <c r="DU33" s="118"/>
      <c r="DV33" s="118"/>
      <c r="DW33" s="118"/>
      <c r="DX33" s="499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  <c r="EJ33" s="118"/>
      <c r="EK33" s="118"/>
      <c r="EL33" s="118"/>
      <c r="EM33" s="118"/>
      <c r="EN33" s="118"/>
      <c r="EO33" s="118"/>
      <c r="EP33" s="118"/>
      <c r="EQ33" s="118"/>
    </row>
    <row r="34" hidden="1">
      <c r="A34" s="553" t="s">
        <v>291</v>
      </c>
      <c r="B34" s="529"/>
      <c r="C34" s="529"/>
      <c r="D34" s="529"/>
      <c r="E34" s="529"/>
      <c r="F34" s="529"/>
      <c r="G34" s="529"/>
      <c r="H34" s="529"/>
      <c r="I34" s="529"/>
      <c r="J34" s="529"/>
      <c r="K34" s="529"/>
      <c r="L34" s="529"/>
      <c r="M34" s="529"/>
      <c r="N34" s="529"/>
      <c r="O34" s="529"/>
      <c r="P34" s="529"/>
      <c r="Q34" s="529"/>
      <c r="R34" s="529"/>
      <c r="S34" s="529"/>
      <c r="T34" s="529"/>
      <c r="U34" s="529"/>
      <c r="V34" s="529"/>
      <c r="W34" s="529"/>
      <c r="X34" s="529"/>
      <c r="Y34" s="529"/>
      <c r="Z34" s="529"/>
      <c r="AA34" s="529"/>
      <c r="AB34" s="529"/>
      <c r="AC34" s="529"/>
      <c r="AD34" s="529"/>
      <c r="AE34" s="529"/>
      <c r="AF34" s="529"/>
      <c r="AG34" s="529"/>
      <c r="AH34" s="529"/>
      <c r="AI34" s="529"/>
      <c r="AJ34" s="529"/>
      <c r="AK34" s="529"/>
      <c r="AL34" s="529"/>
      <c r="AM34" s="529"/>
      <c r="AN34" s="529"/>
      <c r="AO34" s="529"/>
      <c r="AP34" s="529"/>
      <c r="AQ34" s="529"/>
      <c r="AR34" s="529"/>
      <c r="AS34" s="529"/>
      <c r="AT34" s="529"/>
      <c r="AU34" s="529"/>
      <c r="AV34" s="529"/>
      <c r="AW34" s="529"/>
      <c r="AX34" s="529"/>
      <c r="AY34" s="529"/>
      <c r="AZ34" s="529"/>
      <c r="BA34" s="529"/>
      <c r="BB34" s="529"/>
      <c r="BC34" s="529"/>
      <c r="BD34" s="529"/>
      <c r="BE34" s="529"/>
      <c r="BF34" s="529"/>
      <c r="BG34" s="529"/>
      <c r="BH34" s="529"/>
      <c r="BI34" s="529"/>
      <c r="BJ34" s="529"/>
      <c r="BK34" s="529">
        <v>22.22</v>
      </c>
      <c r="BL34" s="529">
        <v>34.11</v>
      </c>
      <c r="BM34" s="529">
        <v>-190.84</v>
      </c>
      <c r="BN34" s="529">
        <v>38.2</v>
      </c>
      <c r="BO34" s="529">
        <v>33.08</v>
      </c>
      <c r="BP34" s="529">
        <v>48.91</v>
      </c>
      <c r="BQ34" s="529">
        <v>44.55</v>
      </c>
      <c r="BR34" s="529">
        <v>30.32</v>
      </c>
      <c r="BS34" s="529">
        <v>-78.02</v>
      </c>
      <c r="BT34" s="529">
        <v>49.19</v>
      </c>
      <c r="BU34" s="529">
        <v>51.41</v>
      </c>
      <c r="BV34" s="529">
        <v>53.58</v>
      </c>
      <c r="BW34" s="529">
        <v>51.03</v>
      </c>
      <c r="BX34" s="529">
        <v>39.79</v>
      </c>
      <c r="BY34" s="529">
        <v>43.96</v>
      </c>
      <c r="BZ34" s="529">
        <v>43.84</v>
      </c>
      <c r="CA34" s="550">
        <v>45.98</v>
      </c>
      <c r="CB34" s="550">
        <v>40.67</v>
      </c>
      <c r="CC34" s="550">
        <v>47.82</v>
      </c>
      <c r="CD34" s="550">
        <v>63.99</v>
      </c>
      <c r="CE34" s="550">
        <v>-209.27</v>
      </c>
      <c r="CF34" s="550">
        <v>73.03</v>
      </c>
      <c r="CG34" s="550">
        <v>65.24</v>
      </c>
      <c r="CH34" s="550">
        <v>-52.31</v>
      </c>
      <c r="CI34" s="550">
        <v>55.56</v>
      </c>
      <c r="CJ34" s="550">
        <v>37.49</v>
      </c>
      <c r="CK34" s="550">
        <v>42.2</v>
      </c>
      <c r="CL34" s="537">
        <v>57.35</v>
      </c>
      <c r="CM34" s="554"/>
      <c r="CN34" s="537">
        <v>81.52</v>
      </c>
      <c r="CO34" s="537">
        <v>68.57</v>
      </c>
      <c r="CP34" s="537">
        <v>64.44</v>
      </c>
      <c r="CQ34" s="555">
        <v>70.85</v>
      </c>
      <c r="CR34" s="556">
        <v>76.31</v>
      </c>
      <c r="CS34" s="557">
        <v>56.04</v>
      </c>
      <c r="CT34" s="558">
        <v>54.73</v>
      </c>
      <c r="CU34" s="558">
        <v>70.65</v>
      </c>
      <c r="CV34" s="512">
        <v>35.45</v>
      </c>
      <c r="CW34" s="558">
        <v>64.31</v>
      </c>
      <c r="CX34" s="558">
        <v>68.87</v>
      </c>
      <c r="CY34" s="558">
        <v>55.99</v>
      </c>
      <c r="CZ34" s="558">
        <v>74.06</v>
      </c>
      <c r="DA34" s="558">
        <v>56.79</v>
      </c>
      <c r="DB34" s="558">
        <v>44.04</v>
      </c>
      <c r="DC34" s="558">
        <v>55.87</v>
      </c>
      <c r="DD34" s="558">
        <v>45.07</v>
      </c>
      <c r="DE34" s="558">
        <v>56.59</v>
      </c>
      <c r="DF34" s="558">
        <v>83.84</v>
      </c>
      <c r="DG34" s="558">
        <v>60.23</v>
      </c>
      <c r="DH34" s="558">
        <v>58.77</v>
      </c>
      <c r="DI34" s="558">
        <v>54.83</v>
      </c>
      <c r="DJ34" s="559">
        <v>58.67</v>
      </c>
      <c r="DK34" s="559">
        <v>62.12</v>
      </c>
      <c r="DL34" s="559">
        <v>60.47</v>
      </c>
      <c r="DM34" s="559">
        <v>52.18</v>
      </c>
      <c r="DN34" s="559">
        <v>55.59</v>
      </c>
      <c r="DO34" s="559">
        <v>54.08</v>
      </c>
      <c r="DP34" s="559">
        <v>53.08</v>
      </c>
      <c r="DQ34" s="559">
        <v>40.96</v>
      </c>
      <c r="DR34" s="559">
        <v>47.06</v>
      </c>
      <c r="DS34" s="118"/>
      <c r="DT34" s="118"/>
      <c r="DU34" s="118"/>
      <c r="DV34" s="118"/>
      <c r="DW34" s="118"/>
      <c r="DX34" s="499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118"/>
      <c r="EM34" s="118"/>
      <c r="EN34" s="118"/>
      <c r="EO34" s="118"/>
      <c r="EP34" s="118"/>
      <c r="EQ34" s="118"/>
    </row>
    <row r="35" hidden="1">
      <c r="A35" s="531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499"/>
      <c r="CN35" s="118"/>
      <c r="CO35" s="118"/>
      <c r="CP35" s="118"/>
      <c r="CQ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118"/>
      <c r="DG35" s="118"/>
      <c r="DH35" s="118"/>
      <c r="DI35" s="118"/>
      <c r="DJ35" s="118"/>
      <c r="DK35" s="118"/>
      <c r="DL35" s="118"/>
      <c r="DM35" s="118"/>
      <c r="DN35" s="118"/>
      <c r="DO35" s="118"/>
      <c r="DP35" s="118"/>
      <c r="DQ35" s="118"/>
      <c r="DR35" s="118"/>
      <c r="DS35" s="118"/>
      <c r="DT35" s="118"/>
      <c r="DU35" s="118"/>
      <c r="DV35" s="118"/>
      <c r="DW35" s="118"/>
      <c r="DX35" s="499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</row>
    <row r="36" hidden="1">
      <c r="A36" s="531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499"/>
      <c r="CN36" s="118"/>
      <c r="CO36" s="118"/>
      <c r="CP36" s="118"/>
      <c r="CQ36" s="118"/>
      <c r="CR36" s="118"/>
      <c r="CS36" s="118"/>
      <c r="CT36" s="118"/>
      <c r="CU36" s="118"/>
      <c r="CV36" s="118"/>
      <c r="CW36" s="118"/>
      <c r="CX36" s="118"/>
      <c r="CY36" s="118"/>
      <c r="CZ36" s="118"/>
      <c r="DA36" s="118"/>
      <c r="DB36" s="118"/>
      <c r="DC36" s="118"/>
      <c r="DD36" s="118"/>
      <c r="DE36" s="118"/>
      <c r="DF36" s="118"/>
      <c r="DG36" s="118"/>
      <c r="DH36" s="118"/>
      <c r="DI36" s="118"/>
      <c r="DJ36" s="118"/>
      <c r="DK36" s="118"/>
      <c r="DL36" s="118"/>
      <c r="DM36" s="118"/>
      <c r="DN36" s="118"/>
      <c r="DO36" s="118"/>
      <c r="DP36" s="118"/>
      <c r="DQ36" s="118"/>
      <c r="DR36" s="118"/>
      <c r="DS36" s="118"/>
      <c r="DT36" s="118"/>
      <c r="DU36" s="118"/>
      <c r="DV36" s="118"/>
      <c r="DW36" s="118"/>
      <c r="DX36" s="499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</row>
    <row r="37" hidden="1">
      <c r="A37" s="500" t="s">
        <v>8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499"/>
      <c r="CN37" s="118"/>
      <c r="CO37" s="118"/>
      <c r="CP37" s="118"/>
      <c r="CQ37" s="118"/>
      <c r="CR37" s="118"/>
      <c r="CS37" s="118"/>
      <c r="CT37" s="118"/>
      <c r="CU37" s="118"/>
      <c r="CV37" s="118"/>
      <c r="CW37" s="118"/>
      <c r="CX37" s="118"/>
      <c r="CY37" s="118"/>
      <c r="CZ37" s="118"/>
      <c r="DA37" s="118"/>
      <c r="DB37" s="118"/>
      <c r="DC37" s="118"/>
      <c r="DD37" s="546"/>
      <c r="DE37" s="546"/>
      <c r="DF37" s="118"/>
      <c r="DG37" s="118"/>
      <c r="DH37" s="546"/>
      <c r="DI37" s="546"/>
      <c r="DJ37" s="118"/>
      <c r="DK37" s="118"/>
      <c r="DL37" s="546"/>
      <c r="DM37" s="546"/>
      <c r="DN37" s="546"/>
      <c r="DO37" s="546"/>
      <c r="DP37" s="546"/>
      <c r="DQ37" s="546"/>
      <c r="DR37" s="546"/>
      <c r="DS37" s="118"/>
      <c r="DT37" s="118"/>
      <c r="DU37" s="118"/>
      <c r="DV37" s="118"/>
      <c r="DW37" s="118"/>
      <c r="DX37" s="499"/>
      <c r="DY37" s="118"/>
      <c r="DZ37" s="118"/>
      <c r="EA37" s="118"/>
      <c r="EB37" s="118"/>
      <c r="EC37" s="118"/>
      <c r="ED37" s="118"/>
      <c r="EE37" s="118"/>
      <c r="EF37" s="118"/>
      <c r="EG37" s="118"/>
      <c r="EH37" s="118"/>
      <c r="EI37" s="118"/>
      <c r="EJ37" s="118"/>
      <c r="EK37" s="118"/>
      <c r="EL37" s="118"/>
      <c r="EM37" s="118"/>
      <c r="EN37" s="118"/>
      <c r="EO37" s="118"/>
      <c r="EP37" s="118"/>
      <c r="EQ37" s="118"/>
    </row>
    <row r="38" hidden="1">
      <c r="A38" s="502" t="s">
        <v>288</v>
      </c>
      <c r="B38" s="525"/>
      <c r="C38" s="525"/>
      <c r="D38" s="525"/>
      <c r="E38" s="525"/>
      <c r="F38" s="525"/>
      <c r="G38" s="525"/>
      <c r="H38" s="525"/>
      <c r="I38" s="525"/>
      <c r="J38" s="525"/>
      <c r="K38" s="525"/>
      <c r="L38" s="525"/>
      <c r="M38" s="525"/>
      <c r="N38" s="525"/>
      <c r="O38" s="525"/>
      <c r="P38" s="525"/>
      <c r="Q38" s="525"/>
      <c r="R38" s="525"/>
      <c r="S38" s="525"/>
      <c r="T38" s="525"/>
      <c r="U38" s="525"/>
      <c r="V38" s="525"/>
      <c r="W38" s="525"/>
      <c r="X38" s="525"/>
      <c r="Y38" s="525"/>
      <c r="Z38" s="525"/>
      <c r="AA38" s="525"/>
      <c r="AB38" s="525"/>
      <c r="AC38" s="525"/>
      <c r="AD38" s="525"/>
      <c r="AE38" s="525"/>
      <c r="AF38" s="525"/>
      <c r="AG38" s="525"/>
      <c r="AH38" s="525"/>
      <c r="AI38" s="525"/>
      <c r="AJ38" s="525"/>
      <c r="AK38" s="525"/>
      <c r="AL38" s="525"/>
      <c r="AM38" s="525"/>
      <c r="AN38" s="525"/>
      <c r="AO38" s="525"/>
      <c r="AP38" s="525"/>
      <c r="AQ38" s="525"/>
      <c r="AR38" s="525"/>
      <c r="AS38" s="525"/>
      <c r="AT38" s="525"/>
      <c r="AU38" s="525"/>
      <c r="AV38" s="525"/>
      <c r="AW38" s="525"/>
      <c r="AX38" s="525"/>
      <c r="AY38" s="525"/>
      <c r="AZ38" s="525"/>
      <c r="BA38" s="525"/>
      <c r="BB38" s="525"/>
      <c r="BC38" s="525"/>
      <c r="BD38" s="525"/>
      <c r="BE38" s="525"/>
      <c r="BF38" s="525"/>
      <c r="BG38" s="525"/>
      <c r="BH38" s="525"/>
      <c r="BI38" s="525"/>
      <c r="BJ38" s="525"/>
      <c r="BK38" s="541">
        <v>45689.0</v>
      </c>
      <c r="BL38" s="503">
        <v>45690.0</v>
      </c>
      <c r="BM38" s="503">
        <v>45691.0</v>
      </c>
      <c r="BN38" s="541">
        <v>45692.0</v>
      </c>
      <c r="BO38" s="541">
        <v>45693.0</v>
      </c>
      <c r="BP38" s="541">
        <v>45694.0</v>
      </c>
      <c r="BQ38" s="541">
        <v>45695.0</v>
      </c>
      <c r="BR38" s="541">
        <v>45696.0</v>
      </c>
      <c r="BS38" s="541">
        <v>45697.0</v>
      </c>
      <c r="BT38" s="541">
        <v>45698.0</v>
      </c>
      <c r="BU38" s="541">
        <v>45699.0</v>
      </c>
      <c r="BV38" s="541">
        <v>45700.0</v>
      </c>
      <c r="BW38" s="541">
        <v>45701.0</v>
      </c>
      <c r="BX38" s="541">
        <v>45702.0</v>
      </c>
      <c r="BY38" s="541">
        <v>45703.0</v>
      </c>
      <c r="BZ38" s="541">
        <v>45704.0</v>
      </c>
      <c r="CA38" s="541">
        <v>45705.0</v>
      </c>
      <c r="CB38" s="541">
        <v>45706.0</v>
      </c>
      <c r="CC38" s="541">
        <v>45707.0</v>
      </c>
      <c r="CD38" s="541">
        <v>45708.0</v>
      </c>
      <c r="CE38" s="541">
        <v>45709.0</v>
      </c>
      <c r="CF38" s="541">
        <v>45710.0</v>
      </c>
      <c r="CG38" s="541">
        <v>45711.0</v>
      </c>
      <c r="CH38" s="541">
        <v>45712.0</v>
      </c>
      <c r="CI38" s="541">
        <v>45713.0</v>
      </c>
      <c r="CJ38" s="541">
        <v>45714.0</v>
      </c>
      <c r="CK38" s="541">
        <v>45715.0</v>
      </c>
      <c r="CL38" s="541">
        <v>45716.0</v>
      </c>
      <c r="CM38" s="552"/>
      <c r="CN38" s="541">
        <v>45717.0</v>
      </c>
      <c r="CO38" s="541">
        <v>45718.0</v>
      </c>
      <c r="CP38" s="541">
        <v>45719.0</v>
      </c>
      <c r="CQ38" s="541">
        <v>45720.0</v>
      </c>
      <c r="CR38" s="541">
        <v>45721.0</v>
      </c>
      <c r="CS38" s="560">
        <v>45722.0</v>
      </c>
      <c r="CT38" s="541">
        <v>45723.0</v>
      </c>
      <c r="CU38" s="541">
        <v>45724.0</v>
      </c>
      <c r="CV38" s="541">
        <v>45725.0</v>
      </c>
      <c r="CW38" s="541">
        <v>45726.0</v>
      </c>
      <c r="CX38" s="541">
        <v>45727.0</v>
      </c>
      <c r="CY38" s="560">
        <v>45728.0</v>
      </c>
      <c r="CZ38" s="541">
        <v>45729.0</v>
      </c>
      <c r="DA38" s="541">
        <v>45730.0</v>
      </c>
      <c r="DB38" s="541">
        <v>45731.0</v>
      </c>
      <c r="DC38" s="541">
        <v>45732.0</v>
      </c>
      <c r="DD38" s="541">
        <v>45733.0</v>
      </c>
      <c r="DE38" s="560">
        <v>45734.0</v>
      </c>
      <c r="DF38" s="541">
        <v>45735.0</v>
      </c>
      <c r="DG38" s="541">
        <v>45736.0</v>
      </c>
      <c r="DH38" s="541">
        <v>45737.0</v>
      </c>
      <c r="DI38" s="541">
        <v>45738.0</v>
      </c>
      <c r="DJ38" s="541">
        <v>45739.0</v>
      </c>
      <c r="DK38" s="560">
        <v>45740.0</v>
      </c>
      <c r="DL38" s="541">
        <v>45741.0</v>
      </c>
      <c r="DM38" s="541">
        <v>45742.0</v>
      </c>
      <c r="DN38" s="541">
        <v>45743.0</v>
      </c>
      <c r="DO38" s="541">
        <v>45744.0</v>
      </c>
      <c r="DP38" s="541">
        <v>45745.0</v>
      </c>
      <c r="DQ38" s="560">
        <v>45746.0</v>
      </c>
      <c r="DR38" s="541">
        <v>45747.0</v>
      </c>
      <c r="DS38" s="118"/>
      <c r="DT38" s="118"/>
      <c r="DU38" s="118"/>
      <c r="DV38" s="118"/>
      <c r="DW38" s="118"/>
      <c r="DX38" s="499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</row>
    <row r="39" hidden="1">
      <c r="A39" s="502" t="s">
        <v>289</v>
      </c>
      <c r="B39" s="525"/>
      <c r="C39" s="525"/>
      <c r="D39" s="525"/>
      <c r="E39" s="525"/>
      <c r="F39" s="525"/>
      <c r="G39" s="525"/>
      <c r="H39" s="525"/>
      <c r="I39" s="525"/>
      <c r="J39" s="525"/>
      <c r="K39" s="525"/>
      <c r="L39" s="525"/>
      <c r="M39" s="525"/>
      <c r="N39" s="525"/>
      <c r="O39" s="525"/>
      <c r="P39" s="525"/>
      <c r="Q39" s="525"/>
      <c r="R39" s="525"/>
      <c r="S39" s="525"/>
      <c r="T39" s="525"/>
      <c r="U39" s="525"/>
      <c r="V39" s="525"/>
      <c r="W39" s="525"/>
      <c r="X39" s="525"/>
      <c r="Y39" s="525"/>
      <c r="Z39" s="525"/>
      <c r="AA39" s="525"/>
      <c r="AB39" s="525"/>
      <c r="AC39" s="525"/>
      <c r="AD39" s="525"/>
      <c r="AE39" s="525"/>
      <c r="AF39" s="525"/>
      <c r="AG39" s="525"/>
      <c r="AH39" s="525"/>
      <c r="AI39" s="525"/>
      <c r="AJ39" s="525"/>
      <c r="AK39" s="525"/>
      <c r="AL39" s="525"/>
      <c r="AM39" s="525"/>
      <c r="AN39" s="525"/>
      <c r="AO39" s="525"/>
      <c r="AP39" s="525"/>
      <c r="AQ39" s="525"/>
      <c r="AR39" s="525"/>
      <c r="AS39" s="525"/>
      <c r="AT39" s="525"/>
      <c r="AU39" s="525"/>
      <c r="AV39" s="525"/>
      <c r="AW39" s="525"/>
      <c r="AX39" s="525"/>
      <c r="AY39" s="525"/>
      <c r="AZ39" s="525"/>
      <c r="BA39" s="525"/>
      <c r="BB39" s="525"/>
      <c r="BC39" s="525"/>
      <c r="BD39" s="525"/>
      <c r="BE39" s="525"/>
      <c r="BF39" s="525"/>
      <c r="BG39" s="525"/>
      <c r="BH39" s="525"/>
      <c r="BI39" s="525"/>
      <c r="BJ39" s="525"/>
      <c r="BK39" s="525"/>
      <c r="BL39" s="518">
        <v>196.0</v>
      </c>
      <c r="BM39" s="518">
        <v>147.0</v>
      </c>
      <c r="BN39" s="525"/>
      <c r="BO39" s="525"/>
      <c r="BP39" s="512">
        <v>193.0</v>
      </c>
      <c r="BQ39" s="512">
        <v>202.0</v>
      </c>
      <c r="BR39" s="512">
        <v>239.0</v>
      </c>
      <c r="BS39" s="525"/>
      <c r="BT39" s="512">
        <v>181.0</v>
      </c>
      <c r="BU39" s="525"/>
      <c r="BV39" s="512">
        <v>292.0</v>
      </c>
      <c r="BW39" s="512">
        <v>258.0</v>
      </c>
      <c r="BX39" s="512">
        <v>267.0</v>
      </c>
      <c r="BY39" s="512">
        <v>214.0</v>
      </c>
      <c r="BZ39" s="512">
        <v>234.0</v>
      </c>
      <c r="CA39" s="512">
        <v>271.0</v>
      </c>
      <c r="CB39" s="512">
        <v>222.0</v>
      </c>
      <c r="CC39" s="512">
        <v>298.0</v>
      </c>
      <c r="CD39" s="512">
        <v>290.0</v>
      </c>
      <c r="CE39" s="512">
        <v>261.0</v>
      </c>
      <c r="CF39" s="512">
        <v>274.0</v>
      </c>
      <c r="CG39" s="512">
        <v>285.0</v>
      </c>
      <c r="CH39" s="512">
        <v>196.0</v>
      </c>
      <c r="CI39" s="512">
        <v>198.0</v>
      </c>
      <c r="CJ39" s="512">
        <v>274.0</v>
      </c>
      <c r="CK39" s="512">
        <v>197.0</v>
      </c>
      <c r="CL39" s="512">
        <v>246.0</v>
      </c>
      <c r="CM39" s="552"/>
      <c r="CN39" s="512">
        <v>267.0</v>
      </c>
      <c r="CO39" s="512">
        <v>194.0</v>
      </c>
      <c r="CP39" s="512">
        <v>240.0</v>
      </c>
      <c r="CQ39" s="512">
        <v>286.0</v>
      </c>
      <c r="CR39" s="512">
        <v>197.0</v>
      </c>
      <c r="CS39" s="512">
        <v>314.0</v>
      </c>
      <c r="CT39" s="512">
        <v>328.0</v>
      </c>
      <c r="CU39" s="512">
        <v>241.0</v>
      </c>
      <c r="CV39" s="512">
        <v>187.0</v>
      </c>
      <c r="CW39" s="512">
        <v>185.0</v>
      </c>
      <c r="CX39" s="512">
        <v>217.0</v>
      </c>
      <c r="CY39" s="512">
        <v>178.0</v>
      </c>
      <c r="CZ39" s="512">
        <v>209.0</v>
      </c>
      <c r="DA39" s="512">
        <v>223.0</v>
      </c>
      <c r="DB39" s="512">
        <v>184.0</v>
      </c>
      <c r="DC39" s="512">
        <v>182.0</v>
      </c>
      <c r="DD39" s="512">
        <v>202.0</v>
      </c>
      <c r="DE39" s="512">
        <v>252.0</v>
      </c>
      <c r="DF39" s="512">
        <v>260.0</v>
      </c>
      <c r="DG39" s="512">
        <v>184.0</v>
      </c>
      <c r="DH39" s="512">
        <v>226.0</v>
      </c>
      <c r="DI39" s="512">
        <v>204.0</v>
      </c>
      <c r="DJ39" s="512">
        <v>229.0</v>
      </c>
      <c r="DK39" s="512">
        <v>262.0</v>
      </c>
      <c r="DL39" s="512">
        <v>204.0</v>
      </c>
      <c r="DM39" s="512">
        <v>190.0</v>
      </c>
      <c r="DN39" s="512">
        <v>193.0</v>
      </c>
      <c r="DO39" s="512">
        <v>228.0</v>
      </c>
      <c r="DP39" s="512">
        <v>156.0</v>
      </c>
      <c r="DQ39" s="512">
        <v>221.0</v>
      </c>
      <c r="DR39" s="512">
        <v>214.0</v>
      </c>
      <c r="DS39" s="118"/>
      <c r="DT39" s="118"/>
      <c r="DU39" s="118"/>
      <c r="DV39" s="118"/>
      <c r="DW39" s="118"/>
      <c r="DX39" s="499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</row>
    <row r="40" hidden="1">
      <c r="A40" s="521" t="s">
        <v>290</v>
      </c>
      <c r="B40" s="525"/>
      <c r="C40" s="525"/>
      <c r="D40" s="525"/>
      <c r="E40" s="525"/>
      <c r="F40" s="525"/>
      <c r="G40" s="525"/>
      <c r="H40" s="525"/>
      <c r="I40" s="525"/>
      <c r="J40" s="525"/>
      <c r="K40" s="525"/>
      <c r="L40" s="525"/>
      <c r="M40" s="525"/>
      <c r="N40" s="525"/>
      <c r="O40" s="525"/>
      <c r="P40" s="525"/>
      <c r="Q40" s="525"/>
      <c r="R40" s="525"/>
      <c r="S40" s="525"/>
      <c r="T40" s="525"/>
      <c r="U40" s="525"/>
      <c r="V40" s="525"/>
      <c r="W40" s="525"/>
      <c r="X40" s="525"/>
      <c r="Y40" s="525"/>
      <c r="Z40" s="525"/>
      <c r="AA40" s="525"/>
      <c r="AB40" s="525"/>
      <c r="AC40" s="525"/>
      <c r="AD40" s="525"/>
      <c r="AE40" s="525"/>
      <c r="AF40" s="525"/>
      <c r="AG40" s="525"/>
      <c r="AH40" s="525"/>
      <c r="AI40" s="525"/>
      <c r="AJ40" s="525"/>
      <c r="AK40" s="525"/>
      <c r="AL40" s="525"/>
      <c r="AM40" s="525"/>
      <c r="AN40" s="525"/>
      <c r="AO40" s="525"/>
      <c r="AP40" s="525"/>
      <c r="AQ40" s="525"/>
      <c r="AR40" s="525"/>
      <c r="AS40" s="525"/>
      <c r="AT40" s="525"/>
      <c r="AU40" s="525"/>
      <c r="AV40" s="525"/>
      <c r="AW40" s="525"/>
      <c r="AX40" s="525"/>
      <c r="AY40" s="525"/>
      <c r="AZ40" s="525"/>
      <c r="BA40" s="525"/>
      <c r="BB40" s="525"/>
      <c r="BC40" s="525"/>
      <c r="BD40" s="525"/>
      <c r="BE40" s="525"/>
      <c r="BF40" s="525"/>
      <c r="BG40" s="525"/>
      <c r="BH40" s="525"/>
      <c r="BI40" s="525"/>
      <c r="BJ40" s="525"/>
      <c r="BK40" s="525"/>
      <c r="BL40" s="518">
        <v>82.0</v>
      </c>
      <c r="BM40" s="518">
        <v>67.0</v>
      </c>
      <c r="BN40" s="525"/>
      <c r="BO40" s="525"/>
      <c r="BP40" s="512">
        <v>71.0</v>
      </c>
      <c r="BQ40" s="512">
        <v>80.0</v>
      </c>
      <c r="BR40" s="512">
        <v>95.0</v>
      </c>
      <c r="BS40" s="525"/>
      <c r="BT40" s="512">
        <v>73.0</v>
      </c>
      <c r="BU40" s="525"/>
      <c r="BV40" s="512">
        <v>96.0</v>
      </c>
      <c r="BW40" s="512">
        <v>98.0</v>
      </c>
      <c r="BX40" s="512">
        <v>104.0</v>
      </c>
      <c r="BY40" s="512">
        <v>88.0</v>
      </c>
      <c r="BZ40" s="512">
        <v>86.0</v>
      </c>
      <c r="CA40" s="512">
        <v>101.0</v>
      </c>
      <c r="CB40" s="512">
        <v>88.0</v>
      </c>
      <c r="CC40" s="512">
        <v>106.0</v>
      </c>
      <c r="CD40" s="512">
        <v>103.0</v>
      </c>
      <c r="CE40" s="512">
        <v>89.0</v>
      </c>
      <c r="CF40" s="512">
        <v>119.0</v>
      </c>
      <c r="CG40" s="512">
        <v>116.0</v>
      </c>
      <c r="CH40" s="512">
        <v>86.0</v>
      </c>
      <c r="CI40" s="512">
        <v>89.0</v>
      </c>
      <c r="CJ40" s="512">
        <v>103.0</v>
      </c>
      <c r="CK40" s="512">
        <v>82.0</v>
      </c>
      <c r="CL40" s="512">
        <v>92.0</v>
      </c>
      <c r="CM40" s="552">
        <f>SUM(BK40:CL40)/22</f>
        <v>96.09090909</v>
      </c>
      <c r="CN40" s="512">
        <v>90.0</v>
      </c>
      <c r="CO40" s="512">
        <v>86.0</v>
      </c>
      <c r="CP40" s="561">
        <v>87.0</v>
      </c>
      <c r="CQ40" s="512">
        <v>97.0</v>
      </c>
      <c r="CR40" s="512">
        <v>85.0</v>
      </c>
      <c r="CS40" s="512">
        <v>120.0</v>
      </c>
      <c r="CT40" s="512">
        <v>130.0</v>
      </c>
      <c r="CU40" s="512">
        <v>89.0</v>
      </c>
      <c r="CV40" s="512">
        <v>84.0</v>
      </c>
      <c r="CW40" s="512">
        <v>82.0</v>
      </c>
      <c r="CX40" s="512">
        <v>113.0</v>
      </c>
      <c r="CY40" s="512">
        <v>79.0</v>
      </c>
      <c r="CZ40" s="512">
        <v>87.0</v>
      </c>
      <c r="DA40" s="512">
        <v>87.0</v>
      </c>
      <c r="DB40" s="512">
        <v>85.0</v>
      </c>
      <c r="DC40" s="512">
        <v>86.0</v>
      </c>
      <c r="DD40" s="512">
        <v>91.0</v>
      </c>
      <c r="DE40" s="512">
        <v>85.0</v>
      </c>
      <c r="DF40" s="512">
        <v>97.0</v>
      </c>
      <c r="DG40" s="512">
        <v>83.0</v>
      </c>
      <c r="DH40" s="512">
        <v>88.0</v>
      </c>
      <c r="DI40" s="512">
        <v>85.0</v>
      </c>
      <c r="DJ40" s="512">
        <v>101.0</v>
      </c>
      <c r="DK40" s="512">
        <v>109.0</v>
      </c>
      <c r="DL40" s="512">
        <v>93.0</v>
      </c>
      <c r="DM40" s="512">
        <v>69.0</v>
      </c>
      <c r="DN40" s="512">
        <v>89.0</v>
      </c>
      <c r="DO40" s="512">
        <v>95.0</v>
      </c>
      <c r="DP40" s="512">
        <v>62.0</v>
      </c>
      <c r="DQ40" s="512">
        <v>80.0</v>
      </c>
      <c r="DR40" s="512">
        <v>87.0</v>
      </c>
      <c r="DS40" s="118"/>
      <c r="DT40" s="118"/>
      <c r="DU40" s="118"/>
      <c r="DV40" s="118"/>
      <c r="DW40" s="118"/>
      <c r="DX40" s="499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</row>
    <row r="41" hidden="1">
      <c r="A41" s="502" t="s">
        <v>291</v>
      </c>
      <c r="B41" s="525"/>
      <c r="C41" s="525"/>
      <c r="D41" s="525"/>
      <c r="E41" s="525"/>
      <c r="F41" s="525"/>
      <c r="G41" s="525"/>
      <c r="H41" s="525"/>
      <c r="I41" s="525"/>
      <c r="J41" s="525"/>
      <c r="K41" s="525"/>
      <c r="L41" s="525"/>
      <c r="M41" s="525"/>
      <c r="N41" s="525"/>
      <c r="O41" s="525"/>
      <c r="P41" s="525"/>
      <c r="Q41" s="525"/>
      <c r="R41" s="525"/>
      <c r="S41" s="525"/>
      <c r="T41" s="525"/>
      <c r="U41" s="525"/>
      <c r="V41" s="525"/>
      <c r="W41" s="525"/>
      <c r="X41" s="525"/>
      <c r="Y41" s="525"/>
      <c r="Z41" s="525"/>
      <c r="AA41" s="525"/>
      <c r="AB41" s="525"/>
      <c r="AC41" s="525"/>
      <c r="AD41" s="525"/>
      <c r="AE41" s="525"/>
      <c r="AF41" s="525"/>
      <c r="AG41" s="525"/>
      <c r="AH41" s="525"/>
      <c r="AI41" s="525"/>
      <c r="AJ41" s="525"/>
      <c r="AK41" s="525"/>
      <c r="AL41" s="525"/>
      <c r="AM41" s="525"/>
      <c r="AN41" s="525"/>
      <c r="AO41" s="525"/>
      <c r="AP41" s="525"/>
      <c r="AQ41" s="525"/>
      <c r="AR41" s="525"/>
      <c r="AS41" s="525"/>
      <c r="AT41" s="525"/>
      <c r="AU41" s="525"/>
      <c r="AV41" s="525"/>
      <c r="AW41" s="525"/>
      <c r="AX41" s="525"/>
      <c r="AY41" s="525"/>
      <c r="AZ41" s="525"/>
      <c r="BA41" s="525"/>
      <c r="BB41" s="525"/>
      <c r="BC41" s="525"/>
      <c r="BD41" s="525"/>
      <c r="BE41" s="525"/>
      <c r="BF41" s="525"/>
      <c r="BG41" s="525"/>
      <c r="BH41" s="525"/>
      <c r="BI41" s="525"/>
      <c r="BJ41" s="525"/>
      <c r="BK41" s="529">
        <v>-167.68</v>
      </c>
      <c r="BL41" s="529">
        <v>-89.36</v>
      </c>
      <c r="BM41" s="529">
        <v>-26.1</v>
      </c>
      <c r="BN41" s="529">
        <v>-389.28</v>
      </c>
      <c r="BO41" s="529">
        <v>54.9</v>
      </c>
      <c r="BP41" s="529">
        <v>22.93</v>
      </c>
      <c r="BQ41" s="529">
        <v>-66.7</v>
      </c>
      <c r="BR41" s="529">
        <v>-203.56</v>
      </c>
      <c r="BS41" s="529">
        <v>-359.15</v>
      </c>
      <c r="BT41" s="529">
        <v>-10.32</v>
      </c>
      <c r="BU41" s="529">
        <v>-130.74</v>
      </c>
      <c r="BV41" s="529">
        <v>82.49</v>
      </c>
      <c r="BW41" s="529">
        <v>14.18</v>
      </c>
      <c r="BX41" s="529">
        <v>93.65</v>
      </c>
      <c r="BY41" s="529">
        <v>96.27</v>
      </c>
      <c r="BZ41" s="529">
        <v>-478.47</v>
      </c>
      <c r="CA41" s="529">
        <v>-2.11</v>
      </c>
      <c r="CB41" s="529">
        <v>81.53</v>
      </c>
      <c r="CC41" s="529">
        <v>-45.15</v>
      </c>
      <c r="CD41" s="529">
        <v>92.28</v>
      </c>
      <c r="CE41" s="529">
        <v>-294.99</v>
      </c>
      <c r="CF41" s="529">
        <v>121.62</v>
      </c>
      <c r="CG41" s="529">
        <v>109.56</v>
      </c>
      <c r="CH41" s="529">
        <v>-81.66</v>
      </c>
      <c r="CI41" s="529">
        <v>-103.42</v>
      </c>
      <c r="CJ41" s="529">
        <v>72.17</v>
      </c>
      <c r="CK41" s="529">
        <v>106.47</v>
      </c>
      <c r="CL41" s="512">
        <v>7.22</v>
      </c>
      <c r="CM41" s="525"/>
      <c r="CN41" s="538">
        <v>-70.15</v>
      </c>
      <c r="CO41" s="559">
        <v>94.28</v>
      </c>
      <c r="CP41" s="538">
        <v>-109.0</v>
      </c>
      <c r="CQ41" s="559">
        <v>12.52</v>
      </c>
      <c r="CR41" s="559">
        <v>133.52</v>
      </c>
      <c r="CS41" s="538">
        <v>-139.5</v>
      </c>
      <c r="CT41" s="538">
        <v>-53.18</v>
      </c>
      <c r="CU41" s="538">
        <v>-161.39</v>
      </c>
      <c r="CV41" s="512">
        <v>72.11</v>
      </c>
      <c r="CW41" s="538">
        <v>-26.87</v>
      </c>
      <c r="CX41" s="538">
        <v>-122.78</v>
      </c>
      <c r="CY41" s="559">
        <v>50.93</v>
      </c>
      <c r="CZ41" s="559">
        <v>105.17</v>
      </c>
      <c r="DA41" s="538">
        <v>-89.33</v>
      </c>
      <c r="DB41" s="538">
        <v>-87.58</v>
      </c>
      <c r="DC41" s="559">
        <v>0.72</v>
      </c>
      <c r="DD41" s="559">
        <v>91.71</v>
      </c>
      <c r="DE41" s="538">
        <v>-97.53</v>
      </c>
      <c r="DF41" s="538">
        <v>-393.2</v>
      </c>
      <c r="DG41" s="538">
        <v>-182.54</v>
      </c>
      <c r="DH41" s="559">
        <v>88.98</v>
      </c>
      <c r="DI41" s="559">
        <v>81.0</v>
      </c>
      <c r="DJ41" s="559">
        <v>89.02</v>
      </c>
      <c r="DK41" s="538">
        <v>-73.8</v>
      </c>
      <c r="DL41" s="562">
        <v>117.72</v>
      </c>
      <c r="DM41" s="562">
        <v>146.01</v>
      </c>
      <c r="DN41" s="562">
        <v>-543.7</v>
      </c>
      <c r="DO41" s="562">
        <v>-248.34</v>
      </c>
      <c r="DP41" s="562">
        <v>67.17</v>
      </c>
      <c r="DQ41" s="562">
        <v>-55.77</v>
      </c>
      <c r="DR41" s="562">
        <v>77.05</v>
      </c>
      <c r="DS41" s="118"/>
      <c r="DT41" s="118"/>
      <c r="DU41" s="118"/>
      <c r="DV41" s="118"/>
      <c r="DW41" s="118"/>
      <c r="DX41" s="499"/>
      <c r="DY41" s="118"/>
      <c r="DZ41" s="118"/>
      <c r="EA41" s="118"/>
      <c r="EB41" s="118"/>
      <c r="EC41" s="118"/>
      <c r="ED41" s="118"/>
      <c r="EE41" s="118"/>
      <c r="EF41" s="118"/>
      <c r="EG41" s="118"/>
      <c r="EH41" s="118"/>
      <c r="EI41" s="118"/>
      <c r="EJ41" s="118"/>
      <c r="EK41" s="118"/>
      <c r="EL41" s="118"/>
      <c r="EM41" s="118"/>
      <c r="EN41" s="118"/>
      <c r="EO41" s="118"/>
      <c r="EP41" s="118"/>
      <c r="EQ41" s="118"/>
    </row>
    <row r="42" hidden="1">
      <c r="A42" s="531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118"/>
      <c r="DJ42" s="118"/>
      <c r="DK42" s="118"/>
      <c r="DL42" s="118"/>
      <c r="DM42" s="118"/>
      <c r="DN42" s="118"/>
      <c r="DO42" s="118"/>
      <c r="DP42" s="118"/>
      <c r="DQ42" s="118"/>
      <c r="DR42" s="118"/>
      <c r="DS42" s="118"/>
      <c r="DT42" s="118"/>
      <c r="DU42" s="118"/>
      <c r="DV42" s="118"/>
      <c r="DW42" s="118"/>
      <c r="DX42" s="499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</row>
    <row r="43" hidden="1">
      <c r="A43" s="531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18"/>
      <c r="DK43" s="118"/>
      <c r="DL43" s="118"/>
      <c r="DM43" s="118"/>
      <c r="DN43" s="118"/>
      <c r="DO43" s="118"/>
      <c r="DP43" s="118"/>
      <c r="DQ43" s="118"/>
      <c r="DR43" s="118"/>
      <c r="DS43" s="118"/>
      <c r="DT43" s="118"/>
      <c r="DU43" s="118"/>
      <c r="DV43" s="118"/>
      <c r="DW43" s="118"/>
      <c r="DX43" s="499"/>
      <c r="DY43" s="118"/>
      <c r="DZ43" s="118"/>
      <c r="EA43" s="118"/>
      <c r="EB43" s="118"/>
      <c r="EC43" s="118"/>
      <c r="ED43" s="118"/>
      <c r="EE43" s="118"/>
      <c r="EF43" s="118"/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</row>
    <row r="44" hidden="1">
      <c r="A44" s="500" t="s">
        <v>12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118"/>
      <c r="CW44" s="118"/>
      <c r="CX44" s="118"/>
      <c r="CY44" s="118"/>
      <c r="CZ44" s="118"/>
      <c r="DA44" s="118"/>
      <c r="DB44" s="118"/>
      <c r="DC44" s="546"/>
      <c r="DD44" s="546"/>
      <c r="DE44" s="546"/>
      <c r="DF44" s="546"/>
      <c r="DG44" s="546"/>
      <c r="DH44" s="546"/>
      <c r="DI44" s="546"/>
      <c r="DJ44" s="546"/>
      <c r="DK44" s="546"/>
      <c r="DL44" s="546"/>
      <c r="DM44" s="546"/>
      <c r="DN44" s="546"/>
      <c r="DO44" s="546"/>
      <c r="DP44" s="546"/>
      <c r="DQ44" s="546"/>
      <c r="DR44" s="546"/>
      <c r="DS44" s="118"/>
      <c r="DT44" s="118"/>
      <c r="DU44" s="118"/>
      <c r="DV44" s="118"/>
      <c r="DW44" s="118"/>
      <c r="DX44" s="499"/>
      <c r="DY44" s="118"/>
      <c r="DZ44" s="118"/>
      <c r="EA44" s="118"/>
      <c r="EB44" s="118"/>
      <c r="EC44" s="118"/>
      <c r="ED44" s="118"/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</row>
    <row r="45" hidden="1">
      <c r="A45" s="502" t="s">
        <v>288</v>
      </c>
      <c r="B45" s="525"/>
      <c r="C45" s="525"/>
      <c r="D45" s="525"/>
      <c r="E45" s="525"/>
      <c r="F45" s="525"/>
      <c r="G45" s="525"/>
      <c r="H45" s="525"/>
      <c r="I45" s="525"/>
      <c r="J45" s="525"/>
      <c r="K45" s="525"/>
      <c r="L45" s="525"/>
      <c r="M45" s="525"/>
      <c r="N45" s="525"/>
      <c r="O45" s="525"/>
      <c r="P45" s="525"/>
      <c r="Q45" s="525"/>
      <c r="R45" s="525"/>
      <c r="S45" s="525"/>
      <c r="T45" s="525"/>
      <c r="U45" s="525"/>
      <c r="V45" s="525"/>
      <c r="W45" s="525"/>
      <c r="X45" s="525"/>
      <c r="Y45" s="525"/>
      <c r="Z45" s="525"/>
      <c r="AA45" s="525"/>
      <c r="AB45" s="525"/>
      <c r="AC45" s="525"/>
      <c r="AD45" s="525"/>
      <c r="AE45" s="525"/>
      <c r="AF45" s="525"/>
      <c r="AG45" s="525"/>
      <c r="AH45" s="525"/>
      <c r="AI45" s="525"/>
      <c r="AJ45" s="525"/>
      <c r="AK45" s="525"/>
      <c r="AL45" s="525"/>
      <c r="AM45" s="525"/>
      <c r="AN45" s="525"/>
      <c r="AO45" s="525"/>
      <c r="AP45" s="525"/>
      <c r="AQ45" s="525"/>
      <c r="AR45" s="525"/>
      <c r="AS45" s="525"/>
      <c r="AT45" s="525"/>
      <c r="AU45" s="525"/>
      <c r="AV45" s="525"/>
      <c r="AW45" s="525"/>
      <c r="AX45" s="525"/>
      <c r="AY45" s="525"/>
      <c r="AZ45" s="525"/>
      <c r="BA45" s="525"/>
      <c r="BB45" s="525"/>
      <c r="BC45" s="525"/>
      <c r="BD45" s="525"/>
      <c r="BE45" s="525"/>
      <c r="BF45" s="525"/>
      <c r="BG45" s="525"/>
      <c r="BH45" s="525"/>
      <c r="BI45" s="525"/>
      <c r="BJ45" s="525"/>
      <c r="BK45" s="541">
        <v>45689.0</v>
      </c>
      <c r="BL45" s="541">
        <v>45690.0</v>
      </c>
      <c r="BM45" s="541">
        <v>45691.0</v>
      </c>
      <c r="BN45" s="541">
        <v>45692.0</v>
      </c>
      <c r="BO45" s="541">
        <v>45693.0</v>
      </c>
      <c r="BP45" s="541">
        <v>45694.0</v>
      </c>
      <c r="BQ45" s="541">
        <v>45695.0</v>
      </c>
      <c r="BR45" s="541">
        <v>45696.0</v>
      </c>
      <c r="BS45" s="541">
        <v>45697.0</v>
      </c>
      <c r="BT45" s="541">
        <v>45698.0</v>
      </c>
      <c r="BU45" s="541">
        <v>45699.0</v>
      </c>
      <c r="BV45" s="541">
        <v>45700.0</v>
      </c>
      <c r="BW45" s="541">
        <v>45701.0</v>
      </c>
      <c r="BX45" s="541">
        <v>45702.0</v>
      </c>
      <c r="BY45" s="541">
        <v>45703.0</v>
      </c>
      <c r="BZ45" s="541">
        <v>45704.0</v>
      </c>
      <c r="CA45" s="541">
        <v>45705.0</v>
      </c>
      <c r="CB45" s="541">
        <v>45706.0</v>
      </c>
      <c r="CC45" s="541">
        <v>45707.0</v>
      </c>
      <c r="CD45" s="541">
        <v>45708.0</v>
      </c>
      <c r="CE45" s="541">
        <v>45709.0</v>
      </c>
      <c r="CF45" s="541">
        <v>45710.0</v>
      </c>
      <c r="CG45" s="541">
        <v>45711.0</v>
      </c>
      <c r="CH45" s="541">
        <v>45712.0</v>
      </c>
      <c r="CI45" s="541">
        <v>45713.0</v>
      </c>
      <c r="CJ45" s="541">
        <v>45714.0</v>
      </c>
      <c r="CK45" s="541">
        <v>45715.0</v>
      </c>
      <c r="CL45" s="541">
        <v>45716.0</v>
      </c>
      <c r="CM45" s="563"/>
      <c r="CN45" s="563">
        <v>45717.0</v>
      </c>
      <c r="CO45" s="564">
        <v>45718.0</v>
      </c>
      <c r="CP45" s="564">
        <v>45719.0</v>
      </c>
      <c r="CQ45" s="564">
        <v>45720.0</v>
      </c>
      <c r="CR45" s="564">
        <v>45721.0</v>
      </c>
      <c r="CS45" s="564">
        <v>45722.0</v>
      </c>
      <c r="CT45" s="563">
        <v>45723.0</v>
      </c>
      <c r="CU45" s="564">
        <v>45724.0</v>
      </c>
      <c r="CV45" s="564">
        <v>45725.0</v>
      </c>
      <c r="CW45" s="564">
        <v>45726.0</v>
      </c>
      <c r="CX45" s="564">
        <v>45727.0</v>
      </c>
      <c r="CY45" s="564">
        <v>45728.0</v>
      </c>
      <c r="CZ45" s="563">
        <v>45729.0</v>
      </c>
      <c r="DA45" s="564">
        <v>45730.0</v>
      </c>
      <c r="DB45" s="564">
        <v>45731.0</v>
      </c>
      <c r="DC45" s="564">
        <v>45732.0</v>
      </c>
      <c r="DD45" s="564">
        <v>45733.0</v>
      </c>
      <c r="DE45" s="564">
        <v>45734.0</v>
      </c>
      <c r="DF45" s="563">
        <v>45735.0</v>
      </c>
      <c r="DG45" s="564">
        <v>45736.0</v>
      </c>
      <c r="DH45" s="564">
        <v>45737.0</v>
      </c>
      <c r="DI45" s="564">
        <v>45738.0</v>
      </c>
      <c r="DJ45" s="564">
        <v>45739.0</v>
      </c>
      <c r="DK45" s="564">
        <v>45740.0</v>
      </c>
      <c r="DL45" s="563">
        <v>45741.0</v>
      </c>
      <c r="DM45" s="564">
        <v>45742.0</v>
      </c>
      <c r="DN45" s="564">
        <v>45743.0</v>
      </c>
      <c r="DO45" s="564">
        <v>45744.0</v>
      </c>
      <c r="DP45" s="564">
        <v>45745.0</v>
      </c>
      <c r="DQ45" s="565">
        <v>45746.0</v>
      </c>
      <c r="DR45" s="541">
        <v>45747.0</v>
      </c>
      <c r="DS45" s="118"/>
      <c r="DT45" s="118"/>
      <c r="DU45" s="118"/>
      <c r="DV45" s="118"/>
      <c r="DW45" s="118"/>
      <c r="DX45" s="499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</row>
    <row r="46" hidden="1">
      <c r="A46" s="502" t="s">
        <v>289</v>
      </c>
      <c r="B46" s="525"/>
      <c r="C46" s="525"/>
      <c r="D46" s="525"/>
      <c r="E46" s="525"/>
      <c r="F46" s="525"/>
      <c r="G46" s="525"/>
      <c r="H46" s="525"/>
      <c r="I46" s="525"/>
      <c r="J46" s="525"/>
      <c r="K46" s="525"/>
      <c r="L46" s="525"/>
      <c r="M46" s="525"/>
      <c r="N46" s="525"/>
      <c r="O46" s="525"/>
      <c r="P46" s="525"/>
      <c r="Q46" s="525"/>
      <c r="R46" s="525"/>
      <c r="S46" s="525"/>
      <c r="T46" s="525"/>
      <c r="U46" s="525"/>
      <c r="V46" s="525"/>
      <c r="W46" s="525"/>
      <c r="X46" s="525"/>
      <c r="Y46" s="525"/>
      <c r="Z46" s="525"/>
      <c r="AA46" s="525"/>
      <c r="AB46" s="525"/>
      <c r="AC46" s="525"/>
      <c r="AD46" s="525"/>
      <c r="AE46" s="525"/>
      <c r="AF46" s="525"/>
      <c r="AG46" s="525"/>
      <c r="AH46" s="525"/>
      <c r="AI46" s="525"/>
      <c r="AJ46" s="525"/>
      <c r="AK46" s="525"/>
      <c r="AL46" s="525"/>
      <c r="AM46" s="525"/>
      <c r="AN46" s="525"/>
      <c r="AO46" s="525"/>
      <c r="AP46" s="525"/>
      <c r="AQ46" s="525"/>
      <c r="AR46" s="525"/>
      <c r="AS46" s="525"/>
      <c r="AT46" s="525"/>
      <c r="AU46" s="525"/>
      <c r="AV46" s="525"/>
      <c r="AW46" s="525"/>
      <c r="AX46" s="525"/>
      <c r="AY46" s="525"/>
      <c r="AZ46" s="525"/>
      <c r="BA46" s="525"/>
      <c r="BB46" s="525"/>
      <c r="BC46" s="525"/>
      <c r="BD46" s="525"/>
      <c r="BE46" s="525"/>
      <c r="BF46" s="525"/>
      <c r="BG46" s="525"/>
      <c r="BH46" s="525"/>
      <c r="BI46" s="525"/>
      <c r="BJ46" s="525"/>
      <c r="BK46" s="512">
        <v>99.0</v>
      </c>
      <c r="BL46" s="512">
        <v>117.0</v>
      </c>
      <c r="BM46" s="512">
        <v>121.0</v>
      </c>
      <c r="BN46" s="512">
        <v>105.0</v>
      </c>
      <c r="BO46" s="512">
        <v>97.0</v>
      </c>
      <c r="BP46" s="512">
        <v>98.0</v>
      </c>
      <c r="BQ46" s="512">
        <v>110.0</v>
      </c>
      <c r="BR46" s="512">
        <v>141.0</v>
      </c>
      <c r="BS46" s="512">
        <v>157.0</v>
      </c>
      <c r="BT46" s="512">
        <v>98.0</v>
      </c>
      <c r="BU46" s="512">
        <v>130.0</v>
      </c>
      <c r="BV46" s="512">
        <v>130.0</v>
      </c>
      <c r="BW46" s="512">
        <v>153.0</v>
      </c>
      <c r="BX46" s="512">
        <v>131.0</v>
      </c>
      <c r="BY46" s="512">
        <v>126.0</v>
      </c>
      <c r="BZ46" s="512">
        <v>160.0</v>
      </c>
      <c r="CA46" s="512">
        <v>151.0</v>
      </c>
      <c r="CB46" s="512">
        <v>99.0</v>
      </c>
      <c r="CC46" s="512">
        <v>125.0</v>
      </c>
      <c r="CD46" s="512">
        <v>168.0</v>
      </c>
      <c r="CE46" s="512">
        <v>164.0</v>
      </c>
      <c r="CF46" s="512">
        <v>174.0</v>
      </c>
      <c r="CG46" s="512">
        <v>161.0</v>
      </c>
      <c r="CH46" s="512">
        <v>117.0</v>
      </c>
      <c r="CI46" s="512">
        <v>139.0</v>
      </c>
      <c r="CJ46" s="512">
        <v>131.0</v>
      </c>
      <c r="CK46" s="512">
        <v>98.0</v>
      </c>
      <c r="CL46" s="512">
        <v>196.0</v>
      </c>
      <c r="CM46" s="514"/>
      <c r="CN46" s="514">
        <v>103.0</v>
      </c>
      <c r="CO46" s="516">
        <v>124.0</v>
      </c>
      <c r="CP46" s="516">
        <v>128.0</v>
      </c>
      <c r="CQ46" s="516">
        <v>113.0</v>
      </c>
      <c r="CR46" s="516">
        <v>184.0</v>
      </c>
      <c r="CS46" s="516">
        <v>172.0</v>
      </c>
      <c r="CT46" s="517">
        <v>168.0</v>
      </c>
      <c r="CU46" s="512">
        <v>154.0</v>
      </c>
      <c r="CV46" s="512">
        <v>144.0</v>
      </c>
      <c r="CW46" s="512">
        <v>102.0</v>
      </c>
      <c r="CX46" s="512">
        <v>120.0</v>
      </c>
      <c r="CY46" s="512">
        <v>110.0</v>
      </c>
      <c r="CZ46" s="512">
        <v>122.0</v>
      </c>
      <c r="DA46" s="512">
        <v>100.0</v>
      </c>
      <c r="DB46" s="512">
        <v>112.0</v>
      </c>
      <c r="DC46" s="512">
        <v>112.0</v>
      </c>
      <c r="DD46" s="512">
        <v>103.0</v>
      </c>
      <c r="DE46" s="512">
        <v>148.0</v>
      </c>
      <c r="DF46" s="512">
        <v>141.0</v>
      </c>
      <c r="DG46" s="512">
        <v>113.0</v>
      </c>
      <c r="DH46" s="512">
        <v>148.0</v>
      </c>
      <c r="DI46" s="512">
        <v>178.0</v>
      </c>
      <c r="DJ46" s="512">
        <v>151.0</v>
      </c>
      <c r="DK46" s="512">
        <v>174.0</v>
      </c>
      <c r="DL46" s="512">
        <v>148.0</v>
      </c>
      <c r="DM46" s="512">
        <v>109.0</v>
      </c>
      <c r="DN46" s="512">
        <v>170.0</v>
      </c>
      <c r="DO46" s="512">
        <v>110.0</v>
      </c>
      <c r="DP46" s="512">
        <v>146.0</v>
      </c>
      <c r="DQ46" s="512">
        <v>144.0</v>
      </c>
      <c r="DR46" s="512">
        <v>121.0</v>
      </c>
      <c r="DS46" s="118"/>
      <c r="DT46" s="118"/>
      <c r="DU46" s="118"/>
      <c r="DV46" s="118"/>
      <c r="DW46" s="118"/>
      <c r="DX46" s="499"/>
      <c r="DY46" s="118"/>
      <c r="DZ46" s="118"/>
      <c r="EA46" s="118"/>
      <c r="EB46" s="118"/>
      <c r="EC46" s="118"/>
      <c r="ED46" s="118"/>
      <c r="EE46" s="118"/>
      <c r="EF46" s="118"/>
      <c r="EG46" s="118"/>
      <c r="EH46" s="118"/>
      <c r="EI46" s="118"/>
      <c r="EJ46" s="118"/>
      <c r="EK46" s="118"/>
      <c r="EL46" s="118"/>
      <c r="EM46" s="118"/>
      <c r="EN46" s="118"/>
      <c r="EO46" s="118"/>
      <c r="EP46" s="118"/>
      <c r="EQ46" s="118"/>
    </row>
    <row r="47" hidden="1">
      <c r="A47" s="521" t="s">
        <v>290</v>
      </c>
      <c r="B47" s="525"/>
      <c r="C47" s="525"/>
      <c r="D47" s="525"/>
      <c r="E47" s="525"/>
      <c r="F47" s="525"/>
      <c r="G47" s="525"/>
      <c r="H47" s="525"/>
      <c r="I47" s="525"/>
      <c r="J47" s="525"/>
      <c r="K47" s="525"/>
      <c r="L47" s="525"/>
      <c r="M47" s="525"/>
      <c r="N47" s="525"/>
      <c r="O47" s="525"/>
      <c r="P47" s="525"/>
      <c r="Q47" s="525"/>
      <c r="R47" s="525"/>
      <c r="S47" s="525"/>
      <c r="T47" s="525"/>
      <c r="U47" s="525"/>
      <c r="V47" s="525"/>
      <c r="W47" s="525"/>
      <c r="X47" s="525"/>
      <c r="Y47" s="525"/>
      <c r="Z47" s="525"/>
      <c r="AA47" s="525"/>
      <c r="AB47" s="525"/>
      <c r="AC47" s="525"/>
      <c r="AD47" s="525"/>
      <c r="AE47" s="525"/>
      <c r="AF47" s="525"/>
      <c r="AG47" s="525"/>
      <c r="AH47" s="525"/>
      <c r="AI47" s="525"/>
      <c r="AJ47" s="525"/>
      <c r="AK47" s="525"/>
      <c r="AL47" s="525"/>
      <c r="AM47" s="525"/>
      <c r="AN47" s="525"/>
      <c r="AO47" s="525"/>
      <c r="AP47" s="525"/>
      <c r="AQ47" s="525"/>
      <c r="AR47" s="525"/>
      <c r="AS47" s="525"/>
      <c r="AT47" s="525"/>
      <c r="AU47" s="525"/>
      <c r="AV47" s="525"/>
      <c r="AW47" s="525"/>
      <c r="AX47" s="525"/>
      <c r="AY47" s="525"/>
      <c r="AZ47" s="525"/>
      <c r="BA47" s="525"/>
      <c r="BB47" s="525"/>
      <c r="BC47" s="525"/>
      <c r="BD47" s="525"/>
      <c r="BE47" s="525"/>
      <c r="BF47" s="525"/>
      <c r="BG47" s="525"/>
      <c r="BH47" s="525"/>
      <c r="BI47" s="525"/>
      <c r="BJ47" s="525"/>
      <c r="BK47" s="512">
        <v>44.0</v>
      </c>
      <c r="BL47" s="512">
        <v>55.0</v>
      </c>
      <c r="BM47" s="512">
        <v>47.0</v>
      </c>
      <c r="BN47" s="512">
        <v>39.0</v>
      </c>
      <c r="BO47" s="512">
        <v>54.0</v>
      </c>
      <c r="BP47" s="512">
        <v>46.0</v>
      </c>
      <c r="BQ47" s="512">
        <v>51.0</v>
      </c>
      <c r="BR47" s="512">
        <v>48.0</v>
      </c>
      <c r="BS47" s="512">
        <v>55.0</v>
      </c>
      <c r="BT47" s="512">
        <v>41.0</v>
      </c>
      <c r="BU47" s="512">
        <v>57.0</v>
      </c>
      <c r="BV47" s="512">
        <v>57.0</v>
      </c>
      <c r="BW47" s="512">
        <v>59.0</v>
      </c>
      <c r="BX47" s="512">
        <v>41.0</v>
      </c>
      <c r="BY47" s="512">
        <v>52.0</v>
      </c>
      <c r="BZ47" s="512">
        <v>61.0</v>
      </c>
      <c r="CA47" s="512">
        <v>52.0</v>
      </c>
      <c r="CB47" s="512">
        <v>38.0</v>
      </c>
      <c r="CC47" s="512">
        <v>53.0</v>
      </c>
      <c r="CD47" s="512">
        <v>77.0</v>
      </c>
      <c r="CE47" s="512">
        <v>59.0</v>
      </c>
      <c r="CF47" s="512">
        <v>70.0</v>
      </c>
      <c r="CG47" s="512">
        <v>77.0</v>
      </c>
      <c r="CH47" s="512">
        <v>47.0</v>
      </c>
      <c r="CI47" s="512">
        <v>51.0</v>
      </c>
      <c r="CJ47" s="512">
        <v>54.0</v>
      </c>
      <c r="CK47" s="512">
        <v>43.0</v>
      </c>
      <c r="CL47" s="512">
        <v>75.0</v>
      </c>
      <c r="CM47" s="566">
        <f>SUM(BK47:CL47)/28</f>
        <v>53.67857143</v>
      </c>
      <c r="CN47" s="514">
        <v>46.0</v>
      </c>
      <c r="CO47" s="516">
        <v>53.0</v>
      </c>
      <c r="CP47" s="516">
        <v>48.0</v>
      </c>
      <c r="CQ47" s="516">
        <v>46.0</v>
      </c>
      <c r="CR47" s="516">
        <v>70.0</v>
      </c>
      <c r="CS47" s="516">
        <v>65.0</v>
      </c>
      <c r="CT47" s="517">
        <v>69.0</v>
      </c>
      <c r="CU47" s="512">
        <v>59.0</v>
      </c>
      <c r="CV47" s="512">
        <v>63.0</v>
      </c>
      <c r="CW47" s="512">
        <v>52.0</v>
      </c>
      <c r="CX47" s="512">
        <v>60.0</v>
      </c>
      <c r="CY47" s="512">
        <v>48.0</v>
      </c>
      <c r="CZ47" s="512">
        <v>54.0</v>
      </c>
      <c r="DA47" s="512">
        <v>49.0</v>
      </c>
      <c r="DB47" s="512">
        <v>53.0</v>
      </c>
      <c r="DC47" s="512">
        <v>54.0</v>
      </c>
      <c r="DD47" s="512">
        <v>48.0</v>
      </c>
      <c r="DE47" s="512">
        <v>63.0</v>
      </c>
      <c r="DF47" s="512">
        <v>58.0</v>
      </c>
      <c r="DG47" s="512">
        <v>52.0</v>
      </c>
      <c r="DH47" s="512">
        <v>56.0</v>
      </c>
      <c r="DI47" s="512">
        <v>59.0</v>
      </c>
      <c r="DJ47" s="512">
        <v>60.0</v>
      </c>
      <c r="DK47" s="512">
        <v>61.0</v>
      </c>
      <c r="DL47" s="512">
        <v>60.0</v>
      </c>
      <c r="DM47" s="512">
        <v>47.0</v>
      </c>
      <c r="DN47" s="512">
        <v>54.0</v>
      </c>
      <c r="DO47" s="512">
        <v>56.0</v>
      </c>
      <c r="DP47" s="512">
        <v>68.0</v>
      </c>
      <c r="DQ47" s="512">
        <v>62.0</v>
      </c>
      <c r="DR47" s="512">
        <v>56.0</v>
      </c>
      <c r="DS47" s="118"/>
      <c r="DT47" s="118"/>
      <c r="DU47" s="118"/>
      <c r="DV47" s="118"/>
      <c r="DW47" s="118"/>
      <c r="DX47" s="499"/>
      <c r="DY47" s="118"/>
      <c r="DZ47" s="118"/>
      <c r="EA47" s="118"/>
      <c r="EB47" s="118"/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</row>
    <row r="48" hidden="1">
      <c r="A48" s="553" t="s">
        <v>291</v>
      </c>
      <c r="B48" s="529"/>
      <c r="C48" s="529"/>
      <c r="D48" s="529"/>
      <c r="E48" s="529"/>
      <c r="F48" s="529"/>
      <c r="G48" s="529"/>
      <c r="H48" s="529"/>
      <c r="I48" s="529"/>
      <c r="J48" s="529"/>
      <c r="K48" s="529"/>
      <c r="L48" s="529"/>
      <c r="M48" s="529"/>
      <c r="N48" s="529"/>
      <c r="O48" s="529"/>
      <c r="P48" s="529"/>
      <c r="Q48" s="529"/>
      <c r="R48" s="529"/>
      <c r="S48" s="529"/>
      <c r="T48" s="529"/>
      <c r="U48" s="529"/>
      <c r="V48" s="529"/>
      <c r="W48" s="529"/>
      <c r="X48" s="529"/>
      <c r="Y48" s="529"/>
      <c r="Z48" s="529"/>
      <c r="AA48" s="529"/>
      <c r="AB48" s="529"/>
      <c r="AC48" s="529"/>
      <c r="AD48" s="529"/>
      <c r="AE48" s="529"/>
      <c r="AF48" s="529"/>
      <c r="AG48" s="529"/>
      <c r="AH48" s="529"/>
      <c r="AI48" s="529"/>
      <c r="AJ48" s="529"/>
      <c r="AK48" s="529"/>
      <c r="AL48" s="529"/>
      <c r="AM48" s="529"/>
      <c r="AN48" s="529"/>
      <c r="AO48" s="529"/>
      <c r="AP48" s="529"/>
      <c r="AQ48" s="529"/>
      <c r="AR48" s="529"/>
      <c r="AS48" s="529"/>
      <c r="AT48" s="529"/>
      <c r="AU48" s="529"/>
      <c r="AV48" s="529"/>
      <c r="AW48" s="529"/>
      <c r="AX48" s="529"/>
      <c r="AY48" s="529"/>
      <c r="AZ48" s="529"/>
      <c r="BA48" s="529"/>
      <c r="BB48" s="529"/>
      <c r="BC48" s="529"/>
      <c r="BD48" s="529"/>
      <c r="BE48" s="529"/>
      <c r="BF48" s="529"/>
      <c r="BG48" s="529"/>
      <c r="BH48" s="529"/>
      <c r="BI48" s="529"/>
      <c r="BJ48" s="529"/>
      <c r="BK48" s="529">
        <v>-295.52</v>
      </c>
      <c r="BL48" s="529">
        <v>-42.77</v>
      </c>
      <c r="BM48" s="529">
        <v>24.22</v>
      </c>
      <c r="BN48" s="529">
        <v>-438.28</v>
      </c>
      <c r="BO48" s="529">
        <v>35.84</v>
      </c>
      <c r="BP48" s="529">
        <v>-15.94</v>
      </c>
      <c r="BQ48" s="529">
        <v>33.53</v>
      </c>
      <c r="BR48" s="529">
        <v>48.55</v>
      </c>
      <c r="BS48" s="529">
        <v>-179.22</v>
      </c>
      <c r="BT48" s="529">
        <v>-2.05</v>
      </c>
      <c r="BU48" s="529">
        <v>54.16</v>
      </c>
      <c r="BV48" s="529">
        <v>-203.07</v>
      </c>
      <c r="BW48" s="529">
        <v>53.0</v>
      </c>
      <c r="BX48" s="529">
        <v>35.32</v>
      </c>
      <c r="BY48" s="529">
        <v>52.07</v>
      </c>
      <c r="BZ48" s="529">
        <v>38.49</v>
      </c>
      <c r="CA48" s="529">
        <v>54.6</v>
      </c>
      <c r="CB48" s="529">
        <v>43.14</v>
      </c>
      <c r="CC48" s="529">
        <v>-87.46</v>
      </c>
      <c r="CD48" s="529">
        <v>47.24</v>
      </c>
      <c r="CE48" s="529">
        <v>-66.14</v>
      </c>
      <c r="CF48" s="529">
        <v>54.48</v>
      </c>
      <c r="CG48" s="529">
        <v>59.5</v>
      </c>
      <c r="CH48" s="529">
        <v>-90.39</v>
      </c>
      <c r="CI48" s="529">
        <v>50.36</v>
      </c>
      <c r="CJ48" s="529">
        <v>32.76</v>
      </c>
      <c r="CK48" s="529">
        <v>-310.39</v>
      </c>
      <c r="CL48" s="529">
        <v>-88.51</v>
      </c>
      <c r="CM48" s="529"/>
      <c r="CN48" s="529">
        <v>-383.06</v>
      </c>
      <c r="CO48" s="529">
        <v>-3.63</v>
      </c>
      <c r="CP48" s="529">
        <v>-71.54</v>
      </c>
      <c r="CQ48" s="529">
        <v>64.32</v>
      </c>
      <c r="CR48" s="529">
        <v>-22.88</v>
      </c>
      <c r="CS48" s="567">
        <v>18.04</v>
      </c>
      <c r="CT48" s="568">
        <v>-263.97</v>
      </c>
      <c r="CU48" s="538">
        <v>-9.1</v>
      </c>
      <c r="CV48" s="512">
        <v>-233.92</v>
      </c>
      <c r="CW48" s="538">
        <v>-182.04</v>
      </c>
      <c r="CX48" s="538">
        <v>-14.3</v>
      </c>
      <c r="CY48" s="538">
        <v>-178.91</v>
      </c>
      <c r="CZ48" s="555">
        <v>54.39</v>
      </c>
      <c r="DA48" s="538">
        <v>-257.83</v>
      </c>
      <c r="DB48" s="555">
        <v>51.89</v>
      </c>
      <c r="DC48" s="538">
        <v>-476.5</v>
      </c>
      <c r="DD48" s="538">
        <v>-279.43</v>
      </c>
      <c r="DE48" s="555">
        <v>53.29</v>
      </c>
      <c r="DF48" s="555">
        <v>72.54</v>
      </c>
      <c r="DG48" s="538">
        <v>-113.43</v>
      </c>
      <c r="DH48" s="555">
        <v>54.32</v>
      </c>
      <c r="DI48" s="538">
        <v>-18.69</v>
      </c>
      <c r="DJ48" s="555">
        <v>76.94</v>
      </c>
      <c r="DK48" s="555">
        <v>36.12</v>
      </c>
      <c r="DL48" s="555">
        <v>38.57</v>
      </c>
      <c r="DM48" s="555">
        <v>64.91</v>
      </c>
      <c r="DN48" s="555">
        <v>37.36</v>
      </c>
      <c r="DO48" s="555">
        <v>20.15</v>
      </c>
      <c r="DP48" s="555">
        <v>40.6</v>
      </c>
      <c r="DQ48" s="555">
        <v>75.82</v>
      </c>
      <c r="DR48" s="555">
        <v>39.72</v>
      </c>
      <c r="DS48" s="118"/>
      <c r="DT48" s="118"/>
      <c r="DU48" s="118"/>
      <c r="DV48" s="118"/>
      <c r="DW48" s="118"/>
      <c r="DX48" s="499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</row>
    <row r="49" hidden="1">
      <c r="A49" s="531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/>
      <c r="DO49" s="118"/>
      <c r="DP49" s="118"/>
      <c r="DQ49" s="118"/>
      <c r="DR49" s="118"/>
      <c r="DS49" s="118"/>
      <c r="DT49" s="118"/>
      <c r="DU49" s="118"/>
      <c r="DV49" s="118"/>
      <c r="DW49" s="118"/>
      <c r="DX49" s="499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118"/>
      <c r="EJ49" s="118"/>
      <c r="EK49" s="118"/>
      <c r="EL49" s="118"/>
      <c r="EM49" s="118"/>
      <c r="EN49" s="118"/>
      <c r="EO49" s="118"/>
      <c r="EP49" s="118"/>
      <c r="EQ49" s="118"/>
    </row>
    <row r="50" hidden="1">
      <c r="A50" s="531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/>
      <c r="DM50" s="118"/>
      <c r="DN50" s="118"/>
      <c r="DO50" s="118"/>
      <c r="DP50" s="118"/>
      <c r="DQ50" s="118"/>
      <c r="DR50" s="118"/>
      <c r="DS50" s="118"/>
      <c r="DT50" s="118"/>
      <c r="DU50" s="118"/>
      <c r="DV50" s="118"/>
      <c r="DW50" s="118"/>
      <c r="DX50" s="499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</row>
    <row r="51" hidden="1">
      <c r="A51" s="500" t="s">
        <v>295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  <c r="CU51" s="118"/>
      <c r="CV51" s="118"/>
      <c r="CW51" s="118"/>
      <c r="CX51" s="118"/>
      <c r="CY51" s="118"/>
      <c r="CZ51" s="118"/>
      <c r="DA51" s="118"/>
      <c r="DB51" s="118"/>
      <c r="DC51" s="546"/>
      <c r="DD51" s="546"/>
      <c r="DE51" s="546"/>
      <c r="DF51" s="546"/>
      <c r="DG51" s="546"/>
      <c r="DH51" s="546"/>
      <c r="DI51" s="546"/>
      <c r="DJ51" s="546"/>
      <c r="DK51" s="546"/>
      <c r="DL51" s="546"/>
      <c r="DM51" s="546"/>
      <c r="DN51" s="546"/>
      <c r="DO51" s="546"/>
      <c r="DP51" s="546"/>
      <c r="DQ51" s="546"/>
      <c r="DR51" s="546"/>
      <c r="DS51" s="118"/>
      <c r="DT51" s="118"/>
      <c r="DU51" s="118"/>
      <c r="DV51" s="118"/>
      <c r="DW51" s="118"/>
      <c r="DX51" s="499"/>
      <c r="DY51" s="118"/>
      <c r="DZ51" s="118"/>
      <c r="EA51" s="118"/>
      <c r="EB51" s="118"/>
      <c r="EC51" s="118"/>
      <c r="ED51" s="118"/>
      <c r="EE51" s="118"/>
      <c r="EF51" s="118"/>
      <c r="EG51" s="118"/>
      <c r="EH51" s="118"/>
      <c r="EI51" s="118"/>
      <c r="EJ51" s="118"/>
      <c r="EK51" s="118"/>
      <c r="EL51" s="118"/>
      <c r="EM51" s="118"/>
      <c r="EN51" s="118"/>
      <c r="EO51" s="118"/>
      <c r="EP51" s="118"/>
      <c r="EQ51" s="118"/>
    </row>
    <row r="52" hidden="1">
      <c r="A52" s="502" t="s">
        <v>288</v>
      </c>
      <c r="B52" s="525"/>
      <c r="C52" s="525"/>
      <c r="D52" s="525"/>
      <c r="E52" s="525"/>
      <c r="F52" s="525"/>
      <c r="G52" s="525"/>
      <c r="H52" s="525"/>
      <c r="I52" s="525"/>
      <c r="J52" s="525"/>
      <c r="K52" s="525"/>
      <c r="L52" s="525"/>
      <c r="M52" s="525"/>
      <c r="N52" s="525"/>
      <c r="O52" s="525"/>
      <c r="P52" s="525"/>
      <c r="Q52" s="525"/>
      <c r="R52" s="525"/>
      <c r="S52" s="525"/>
      <c r="T52" s="525"/>
      <c r="U52" s="525"/>
      <c r="V52" s="525"/>
      <c r="W52" s="525"/>
      <c r="X52" s="525"/>
      <c r="Y52" s="525"/>
      <c r="Z52" s="525"/>
      <c r="AA52" s="525"/>
      <c r="AB52" s="525"/>
      <c r="AC52" s="525"/>
      <c r="AD52" s="525"/>
      <c r="AE52" s="525"/>
      <c r="AF52" s="525"/>
      <c r="AG52" s="525"/>
      <c r="AH52" s="525"/>
      <c r="AI52" s="525"/>
      <c r="AJ52" s="525"/>
      <c r="AK52" s="525"/>
      <c r="AL52" s="525"/>
      <c r="AM52" s="525"/>
      <c r="AN52" s="525"/>
      <c r="AO52" s="525"/>
      <c r="AP52" s="525"/>
      <c r="AQ52" s="525"/>
      <c r="AR52" s="525"/>
      <c r="AS52" s="525"/>
      <c r="AT52" s="525"/>
      <c r="AU52" s="525"/>
      <c r="AV52" s="525"/>
      <c r="AW52" s="525"/>
      <c r="AX52" s="525"/>
      <c r="AY52" s="525"/>
      <c r="AZ52" s="525"/>
      <c r="BA52" s="525"/>
      <c r="BB52" s="525"/>
      <c r="BC52" s="525"/>
      <c r="BD52" s="525"/>
      <c r="BE52" s="525"/>
      <c r="BF52" s="525"/>
      <c r="BG52" s="525"/>
      <c r="BH52" s="525"/>
      <c r="BI52" s="525"/>
      <c r="BJ52" s="525"/>
      <c r="BK52" s="541">
        <v>45689.0</v>
      </c>
      <c r="BL52" s="541">
        <v>45690.0</v>
      </c>
      <c r="BM52" s="541">
        <v>45691.0</v>
      </c>
      <c r="BN52" s="541">
        <v>45692.0</v>
      </c>
      <c r="BO52" s="541">
        <v>45693.0</v>
      </c>
      <c r="BP52" s="541">
        <v>45694.0</v>
      </c>
      <c r="BQ52" s="541">
        <v>45695.0</v>
      </c>
      <c r="BR52" s="541">
        <v>45696.0</v>
      </c>
      <c r="BS52" s="541">
        <v>45697.0</v>
      </c>
      <c r="BT52" s="541">
        <v>45698.0</v>
      </c>
      <c r="BU52" s="541">
        <v>45699.0</v>
      </c>
      <c r="BV52" s="541">
        <v>45700.0</v>
      </c>
      <c r="BW52" s="541">
        <v>45701.0</v>
      </c>
      <c r="BX52" s="541">
        <v>45702.0</v>
      </c>
      <c r="BY52" s="541">
        <v>45703.0</v>
      </c>
      <c r="BZ52" s="541">
        <v>45704.0</v>
      </c>
      <c r="CA52" s="541">
        <v>45705.0</v>
      </c>
      <c r="CB52" s="541">
        <v>45706.0</v>
      </c>
      <c r="CC52" s="541">
        <v>45707.0</v>
      </c>
      <c r="CD52" s="541">
        <v>45708.0</v>
      </c>
      <c r="CE52" s="541">
        <v>45709.0</v>
      </c>
      <c r="CF52" s="541">
        <v>45710.0</v>
      </c>
      <c r="CG52" s="541">
        <v>45711.0</v>
      </c>
      <c r="CH52" s="541">
        <v>45712.0</v>
      </c>
      <c r="CI52" s="541">
        <v>45713.0</v>
      </c>
      <c r="CJ52" s="541">
        <v>45714.0</v>
      </c>
      <c r="CK52" s="541">
        <v>45715.0</v>
      </c>
      <c r="CL52" s="541">
        <v>45716.0</v>
      </c>
      <c r="CM52" s="541"/>
      <c r="CN52" s="541">
        <v>45717.0</v>
      </c>
      <c r="CO52" s="541">
        <v>45718.0</v>
      </c>
      <c r="CP52" s="541">
        <v>45719.0</v>
      </c>
      <c r="CQ52" s="541">
        <v>45720.0</v>
      </c>
      <c r="CR52" s="541">
        <v>45721.0</v>
      </c>
      <c r="CS52" s="541">
        <v>45722.0</v>
      </c>
      <c r="CT52" s="541">
        <v>45723.0</v>
      </c>
      <c r="CU52" s="541">
        <v>45724.0</v>
      </c>
      <c r="CV52" s="541">
        <v>45725.0</v>
      </c>
      <c r="CW52" s="541">
        <v>45726.0</v>
      </c>
      <c r="CX52" s="541">
        <v>45727.0</v>
      </c>
      <c r="CY52" s="541">
        <v>45728.0</v>
      </c>
      <c r="CZ52" s="541">
        <v>45729.0</v>
      </c>
      <c r="DA52" s="541">
        <v>45730.0</v>
      </c>
      <c r="DB52" s="541">
        <v>45731.0</v>
      </c>
      <c r="DC52" s="541">
        <v>45732.0</v>
      </c>
      <c r="DD52" s="541">
        <v>45733.0</v>
      </c>
      <c r="DE52" s="541">
        <v>45734.0</v>
      </c>
      <c r="DF52" s="541">
        <v>45735.0</v>
      </c>
      <c r="DG52" s="541">
        <v>45736.0</v>
      </c>
      <c r="DH52" s="541">
        <v>45737.0</v>
      </c>
      <c r="DI52" s="541">
        <v>45738.0</v>
      </c>
      <c r="DJ52" s="541">
        <v>45739.0</v>
      </c>
      <c r="DK52" s="541">
        <v>45740.0</v>
      </c>
      <c r="DL52" s="541">
        <v>45741.0</v>
      </c>
      <c r="DM52" s="541">
        <v>45742.0</v>
      </c>
      <c r="DN52" s="541">
        <v>45743.0</v>
      </c>
      <c r="DO52" s="541">
        <v>45744.0</v>
      </c>
      <c r="DP52" s="541">
        <v>45745.0</v>
      </c>
      <c r="DQ52" s="541">
        <v>45746.0</v>
      </c>
      <c r="DR52" s="541">
        <v>45747.0</v>
      </c>
      <c r="DS52" s="118"/>
      <c r="DT52" s="118"/>
      <c r="DU52" s="118"/>
      <c r="DV52" s="118"/>
      <c r="DW52" s="118"/>
      <c r="DX52" s="499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</row>
    <row r="53" hidden="1">
      <c r="A53" s="502" t="s">
        <v>289</v>
      </c>
      <c r="B53" s="525"/>
      <c r="C53" s="525"/>
      <c r="D53" s="525"/>
      <c r="E53" s="525"/>
      <c r="F53" s="525"/>
      <c r="G53" s="525"/>
      <c r="H53" s="525"/>
      <c r="I53" s="525"/>
      <c r="J53" s="525"/>
      <c r="K53" s="525"/>
      <c r="L53" s="525"/>
      <c r="M53" s="525"/>
      <c r="N53" s="525"/>
      <c r="O53" s="525"/>
      <c r="P53" s="525"/>
      <c r="Q53" s="525"/>
      <c r="R53" s="525"/>
      <c r="S53" s="525"/>
      <c r="T53" s="525"/>
      <c r="U53" s="525"/>
      <c r="V53" s="525"/>
      <c r="W53" s="525"/>
      <c r="X53" s="525"/>
      <c r="Y53" s="525"/>
      <c r="Z53" s="525"/>
      <c r="AA53" s="525"/>
      <c r="AB53" s="525"/>
      <c r="AC53" s="525"/>
      <c r="AD53" s="525"/>
      <c r="AE53" s="525"/>
      <c r="AF53" s="525"/>
      <c r="AG53" s="525"/>
      <c r="AH53" s="525"/>
      <c r="AI53" s="525"/>
      <c r="AJ53" s="525"/>
      <c r="AK53" s="525"/>
      <c r="AL53" s="525"/>
      <c r="AM53" s="525"/>
      <c r="AN53" s="525"/>
      <c r="AO53" s="525"/>
      <c r="AP53" s="525"/>
      <c r="AQ53" s="525"/>
      <c r="AR53" s="525"/>
      <c r="AS53" s="525"/>
      <c r="AT53" s="525"/>
      <c r="AU53" s="525"/>
      <c r="AV53" s="525"/>
      <c r="AW53" s="525"/>
      <c r="AX53" s="525"/>
      <c r="AY53" s="525"/>
      <c r="AZ53" s="525"/>
      <c r="BA53" s="525"/>
      <c r="BB53" s="525"/>
      <c r="BC53" s="525"/>
      <c r="BD53" s="525"/>
      <c r="BE53" s="525"/>
      <c r="BF53" s="525"/>
      <c r="BG53" s="525"/>
      <c r="BH53" s="525"/>
      <c r="BI53" s="525"/>
      <c r="BJ53" s="525"/>
      <c r="BK53" s="512">
        <v>12.0</v>
      </c>
      <c r="BL53" s="512">
        <v>16.0</v>
      </c>
      <c r="BM53" s="512">
        <v>37.0</v>
      </c>
      <c r="BN53" s="512">
        <v>24.0</v>
      </c>
      <c r="BO53" s="512">
        <v>23.0</v>
      </c>
      <c r="BP53" s="512">
        <v>48.0</v>
      </c>
      <c r="BQ53" s="512">
        <v>38.0</v>
      </c>
      <c r="BR53" s="512">
        <v>13.0</v>
      </c>
      <c r="BS53" s="512">
        <v>61.0</v>
      </c>
      <c r="BT53" s="512">
        <v>50.0</v>
      </c>
      <c r="BU53" s="512">
        <v>68.0</v>
      </c>
      <c r="BV53" s="512">
        <v>29.0</v>
      </c>
      <c r="BW53" s="512">
        <v>91.0</v>
      </c>
      <c r="BX53" s="512">
        <v>62.0</v>
      </c>
      <c r="BY53" s="512">
        <v>63.0</v>
      </c>
      <c r="BZ53" s="512">
        <v>64.0</v>
      </c>
      <c r="CA53" s="512">
        <v>76.0</v>
      </c>
      <c r="CB53" s="512">
        <v>49.0</v>
      </c>
      <c r="CC53" s="512">
        <v>63.0</v>
      </c>
      <c r="CD53" s="512">
        <v>50.0</v>
      </c>
      <c r="CE53" s="512">
        <v>55.0</v>
      </c>
      <c r="CF53" s="512">
        <v>77.0</v>
      </c>
      <c r="CG53" s="512">
        <v>77.0</v>
      </c>
      <c r="CH53" s="512">
        <v>72.0</v>
      </c>
      <c r="CI53" s="512">
        <v>80.0</v>
      </c>
      <c r="CJ53" s="512">
        <v>89.0</v>
      </c>
      <c r="CK53" s="512">
        <v>64.0</v>
      </c>
      <c r="CL53" s="512">
        <v>82.0</v>
      </c>
      <c r="CM53" s="512"/>
      <c r="CN53" s="512">
        <v>89.0</v>
      </c>
      <c r="CO53" s="512">
        <v>45.0</v>
      </c>
      <c r="CP53" s="512">
        <v>105.0</v>
      </c>
      <c r="CQ53" s="512">
        <v>62.0</v>
      </c>
      <c r="CR53" s="512">
        <v>26.0</v>
      </c>
      <c r="CS53" s="512">
        <v>124.0</v>
      </c>
      <c r="CT53" s="512">
        <v>82.0</v>
      </c>
      <c r="CU53" s="512">
        <v>64.0</v>
      </c>
      <c r="CV53" s="512">
        <v>69.0</v>
      </c>
      <c r="CW53" s="512">
        <v>123.0</v>
      </c>
      <c r="CX53" s="512">
        <v>71.0</v>
      </c>
      <c r="CY53" s="512">
        <v>96.0</v>
      </c>
      <c r="CZ53" s="512">
        <v>99.0</v>
      </c>
      <c r="DA53" s="512">
        <v>62.0</v>
      </c>
      <c r="DB53" s="512">
        <v>49.0</v>
      </c>
      <c r="DC53" s="512">
        <v>87.0</v>
      </c>
      <c r="DD53" s="512">
        <v>92.0</v>
      </c>
      <c r="DE53" s="512">
        <v>66.0</v>
      </c>
      <c r="DF53" s="512">
        <v>74.0</v>
      </c>
      <c r="DG53" s="512">
        <v>82.0</v>
      </c>
      <c r="DH53" s="512">
        <v>119.0</v>
      </c>
      <c r="DI53" s="512">
        <v>64.0</v>
      </c>
      <c r="DJ53" s="512">
        <v>78.0</v>
      </c>
      <c r="DK53" s="512">
        <v>115.0</v>
      </c>
      <c r="DL53" s="512">
        <v>117.0</v>
      </c>
      <c r="DM53" s="512">
        <v>61.0</v>
      </c>
      <c r="DN53" s="512">
        <v>112.0</v>
      </c>
      <c r="DO53" s="512">
        <v>64.0</v>
      </c>
      <c r="DP53" s="512">
        <v>72.0</v>
      </c>
      <c r="DQ53" s="512">
        <v>62.0</v>
      </c>
      <c r="DR53" s="512">
        <v>94.0</v>
      </c>
      <c r="DS53" s="118"/>
      <c r="DT53" s="118"/>
      <c r="DU53" s="118"/>
      <c r="DV53" s="118"/>
      <c r="DW53" s="118"/>
      <c r="DX53" s="499"/>
      <c r="DY53" s="118"/>
      <c r="DZ53" s="118"/>
      <c r="EA53" s="118"/>
      <c r="EB53" s="118"/>
      <c r="EC53" s="118"/>
      <c r="ED53" s="118"/>
      <c r="EE53" s="118"/>
      <c r="EF53" s="118"/>
      <c r="EG53" s="118"/>
      <c r="EH53" s="118"/>
      <c r="EI53" s="118"/>
      <c r="EJ53" s="118"/>
      <c r="EK53" s="118"/>
      <c r="EL53" s="118"/>
      <c r="EM53" s="118"/>
      <c r="EN53" s="118"/>
      <c r="EO53" s="118"/>
      <c r="EP53" s="118"/>
      <c r="EQ53" s="118"/>
    </row>
    <row r="54" hidden="1">
      <c r="A54" s="521" t="s">
        <v>290</v>
      </c>
      <c r="B54" s="525"/>
      <c r="C54" s="525"/>
      <c r="D54" s="525"/>
      <c r="E54" s="525"/>
      <c r="F54" s="525"/>
      <c r="G54" s="525"/>
      <c r="H54" s="525"/>
      <c r="I54" s="525"/>
      <c r="J54" s="525"/>
      <c r="K54" s="525"/>
      <c r="L54" s="525"/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W54" s="525"/>
      <c r="X54" s="525"/>
      <c r="Y54" s="525"/>
      <c r="Z54" s="525"/>
      <c r="AA54" s="525"/>
      <c r="AB54" s="525"/>
      <c r="AC54" s="525"/>
      <c r="AD54" s="525"/>
      <c r="AE54" s="525"/>
      <c r="AF54" s="525"/>
      <c r="AG54" s="525"/>
      <c r="AH54" s="525"/>
      <c r="AI54" s="525"/>
      <c r="AJ54" s="525"/>
      <c r="AK54" s="525"/>
      <c r="AL54" s="525"/>
      <c r="AM54" s="525"/>
      <c r="AN54" s="525"/>
      <c r="AO54" s="525"/>
      <c r="AP54" s="525"/>
      <c r="AQ54" s="525"/>
      <c r="AR54" s="525"/>
      <c r="AS54" s="525"/>
      <c r="AT54" s="525"/>
      <c r="AU54" s="525"/>
      <c r="AV54" s="525"/>
      <c r="AW54" s="525"/>
      <c r="AX54" s="525"/>
      <c r="AY54" s="525"/>
      <c r="AZ54" s="525"/>
      <c r="BA54" s="525"/>
      <c r="BB54" s="525"/>
      <c r="BC54" s="525"/>
      <c r="BD54" s="525"/>
      <c r="BE54" s="525"/>
      <c r="BF54" s="525"/>
      <c r="BG54" s="525"/>
      <c r="BH54" s="525"/>
      <c r="BI54" s="525"/>
      <c r="BJ54" s="525"/>
      <c r="BK54" s="512">
        <v>8.0</v>
      </c>
      <c r="BL54" s="512">
        <v>9.0</v>
      </c>
      <c r="BM54" s="512">
        <v>16.0</v>
      </c>
      <c r="BN54" s="512">
        <v>12.0</v>
      </c>
      <c r="BO54" s="512">
        <v>12.0</v>
      </c>
      <c r="BP54" s="512">
        <v>18.0</v>
      </c>
      <c r="BQ54" s="512">
        <v>20.0</v>
      </c>
      <c r="BR54" s="512">
        <v>6.0</v>
      </c>
      <c r="BS54" s="512">
        <v>18.0</v>
      </c>
      <c r="BT54" s="512">
        <v>20.0</v>
      </c>
      <c r="BU54" s="512">
        <v>24.0</v>
      </c>
      <c r="BV54" s="512">
        <v>14.0</v>
      </c>
      <c r="BW54" s="512">
        <v>32.0</v>
      </c>
      <c r="BX54" s="512">
        <v>25.0</v>
      </c>
      <c r="BY54" s="512">
        <v>22.0</v>
      </c>
      <c r="BZ54" s="512">
        <v>29.0</v>
      </c>
      <c r="CA54" s="512">
        <v>18.0</v>
      </c>
      <c r="CB54" s="512">
        <v>23.0</v>
      </c>
      <c r="CC54" s="512">
        <v>26.0</v>
      </c>
      <c r="CD54" s="512">
        <v>22.0</v>
      </c>
      <c r="CE54" s="512">
        <v>23.0</v>
      </c>
      <c r="CF54" s="512">
        <v>36.0</v>
      </c>
      <c r="CG54" s="512">
        <v>36.0</v>
      </c>
      <c r="CH54" s="512">
        <v>23.0</v>
      </c>
      <c r="CI54" s="512">
        <v>36.0</v>
      </c>
      <c r="CJ54" s="512">
        <v>37.0</v>
      </c>
      <c r="CK54" s="512">
        <v>20.0</v>
      </c>
      <c r="CL54" s="512">
        <v>36.0</v>
      </c>
      <c r="CM54" s="552">
        <f>SUM(BK54:CL54)/28</f>
        <v>22.17857143</v>
      </c>
      <c r="CN54" s="512">
        <v>32.0</v>
      </c>
      <c r="CO54" s="512">
        <v>24.0</v>
      </c>
      <c r="CP54" s="512">
        <v>38.0</v>
      </c>
      <c r="CQ54" s="512">
        <v>29.0</v>
      </c>
      <c r="CR54" s="512">
        <v>55.0</v>
      </c>
      <c r="CS54" s="512">
        <v>44.0</v>
      </c>
      <c r="CT54" s="512">
        <v>34.0</v>
      </c>
      <c r="CU54" s="512">
        <v>23.0</v>
      </c>
      <c r="CV54" s="512">
        <v>30.0</v>
      </c>
      <c r="CW54" s="512">
        <v>36.0</v>
      </c>
      <c r="CX54" s="512">
        <v>34.0</v>
      </c>
      <c r="CY54" s="512">
        <v>26.0</v>
      </c>
      <c r="CZ54" s="512">
        <v>38.0</v>
      </c>
      <c r="DA54" s="512">
        <v>24.0</v>
      </c>
      <c r="DB54" s="512">
        <v>22.0</v>
      </c>
      <c r="DC54" s="512">
        <v>34.0</v>
      </c>
      <c r="DD54" s="512">
        <v>34.0</v>
      </c>
      <c r="DE54" s="512">
        <v>30.0</v>
      </c>
      <c r="DF54" s="512">
        <v>26.0</v>
      </c>
      <c r="DG54" s="512">
        <v>20.0</v>
      </c>
      <c r="DH54" s="512">
        <v>35.0</v>
      </c>
      <c r="DI54" s="512">
        <v>21.0</v>
      </c>
      <c r="DJ54" s="512">
        <v>29.0</v>
      </c>
      <c r="DK54" s="512">
        <v>36.0</v>
      </c>
      <c r="DL54" s="512">
        <v>39.0</v>
      </c>
      <c r="DM54" s="512">
        <v>30.0</v>
      </c>
      <c r="DN54" s="512">
        <v>37.0</v>
      </c>
      <c r="DO54" s="512">
        <v>26.0</v>
      </c>
      <c r="DP54" s="512">
        <v>29.0</v>
      </c>
      <c r="DQ54" s="512">
        <v>28.0</v>
      </c>
      <c r="DR54" s="512">
        <v>34.0</v>
      </c>
      <c r="DS54" s="118"/>
      <c r="DT54" s="118"/>
      <c r="DU54" s="118"/>
      <c r="DV54" s="118"/>
      <c r="DW54" s="118"/>
      <c r="DX54" s="499"/>
      <c r="DY54" s="118"/>
      <c r="DZ54" s="118"/>
      <c r="EA54" s="118"/>
      <c r="EB54" s="118"/>
      <c r="EC54" s="118"/>
      <c r="ED54" s="118"/>
      <c r="EE54" s="118"/>
      <c r="EF54" s="118"/>
      <c r="EG54" s="118"/>
      <c r="EH54" s="118"/>
      <c r="EI54" s="118"/>
      <c r="EJ54" s="118"/>
      <c r="EK54" s="118"/>
      <c r="EL54" s="118"/>
      <c r="EM54" s="118"/>
      <c r="EN54" s="118"/>
      <c r="EO54" s="118"/>
      <c r="EP54" s="118"/>
      <c r="EQ54" s="118"/>
    </row>
    <row r="55" hidden="1">
      <c r="A55" s="502" t="s">
        <v>291</v>
      </c>
      <c r="B55" s="525"/>
      <c r="C55" s="525"/>
      <c r="D55" s="525"/>
      <c r="E55" s="525"/>
      <c r="F55" s="525"/>
      <c r="G55" s="525"/>
      <c r="H55" s="525"/>
      <c r="I55" s="525"/>
      <c r="J55" s="525"/>
      <c r="K55" s="525"/>
      <c r="L55" s="525"/>
      <c r="M55" s="525"/>
      <c r="N55" s="525"/>
      <c r="O55" s="525"/>
      <c r="P55" s="525"/>
      <c r="Q55" s="525"/>
      <c r="R55" s="525"/>
      <c r="S55" s="525"/>
      <c r="T55" s="525"/>
      <c r="U55" s="525"/>
      <c r="V55" s="525"/>
      <c r="W55" s="525"/>
      <c r="X55" s="525"/>
      <c r="Y55" s="525"/>
      <c r="Z55" s="525"/>
      <c r="AA55" s="525"/>
      <c r="AB55" s="525"/>
      <c r="AC55" s="525"/>
      <c r="AD55" s="525"/>
      <c r="AE55" s="525"/>
      <c r="AF55" s="525"/>
      <c r="AG55" s="525"/>
      <c r="AH55" s="525"/>
      <c r="AI55" s="525"/>
      <c r="AJ55" s="525"/>
      <c r="AK55" s="525"/>
      <c r="AL55" s="525"/>
      <c r="AM55" s="525"/>
      <c r="AN55" s="525"/>
      <c r="AO55" s="525"/>
      <c r="AP55" s="525"/>
      <c r="AQ55" s="525"/>
      <c r="AR55" s="525"/>
      <c r="AS55" s="525"/>
      <c r="AT55" s="525"/>
      <c r="AU55" s="525"/>
      <c r="AV55" s="525"/>
      <c r="AW55" s="525"/>
      <c r="AX55" s="525"/>
      <c r="AY55" s="525"/>
      <c r="AZ55" s="525"/>
      <c r="BA55" s="525"/>
      <c r="BB55" s="525"/>
      <c r="BC55" s="525"/>
      <c r="BD55" s="525"/>
      <c r="BE55" s="525"/>
      <c r="BF55" s="525"/>
      <c r="BG55" s="525"/>
      <c r="BH55" s="525"/>
      <c r="BI55" s="525"/>
      <c r="BJ55" s="525"/>
      <c r="BK55" s="529">
        <v>10.85</v>
      </c>
      <c r="BL55" s="529">
        <v>8.12</v>
      </c>
      <c r="BM55" s="529">
        <v>8.91</v>
      </c>
      <c r="BN55" s="529">
        <v>12.38</v>
      </c>
      <c r="BO55" s="529">
        <v>10.65</v>
      </c>
      <c r="BP55" s="529">
        <v>10.65</v>
      </c>
      <c r="BQ55" s="529">
        <v>11.69</v>
      </c>
      <c r="BR55" s="529">
        <v>13.24</v>
      </c>
      <c r="BS55" s="529">
        <v>20.49</v>
      </c>
      <c r="BT55" s="529">
        <v>9.99</v>
      </c>
      <c r="BU55" s="529">
        <v>18.07</v>
      </c>
      <c r="BV55" s="529">
        <v>2.6</v>
      </c>
      <c r="BW55" s="529">
        <v>15.52</v>
      </c>
      <c r="BX55" s="529">
        <v>-84.66</v>
      </c>
      <c r="BY55" s="529">
        <v>-0.49</v>
      </c>
      <c r="BZ55" s="529">
        <v>29.94</v>
      </c>
      <c r="CA55" s="529">
        <v>10.04</v>
      </c>
      <c r="CB55" s="529">
        <v>12.42</v>
      </c>
      <c r="CC55" s="529">
        <v>-21.42</v>
      </c>
      <c r="CD55" s="529">
        <v>18.39</v>
      </c>
      <c r="CE55" s="529">
        <v>14.56</v>
      </c>
      <c r="CF55" s="529">
        <v>-79.95</v>
      </c>
      <c r="CG55" s="529">
        <v>34.0</v>
      </c>
      <c r="CH55" s="529">
        <v>39.31</v>
      </c>
      <c r="CI55" s="529">
        <v>25.66</v>
      </c>
      <c r="CJ55" s="529">
        <v>-74.91</v>
      </c>
      <c r="CK55" s="529">
        <v>-183.09</v>
      </c>
      <c r="CL55" s="529">
        <v>-114.25</v>
      </c>
      <c r="CM55" s="529"/>
      <c r="CN55" s="512">
        <v>-74.72</v>
      </c>
      <c r="CO55" s="512">
        <v>-55.94</v>
      </c>
      <c r="CP55" s="512">
        <v>-57.77</v>
      </c>
      <c r="CQ55" s="512">
        <v>-70.2</v>
      </c>
      <c r="CR55" s="512">
        <v>-105.07</v>
      </c>
      <c r="CS55" s="512">
        <v>-48.42</v>
      </c>
      <c r="CT55" s="512">
        <v>-66.01</v>
      </c>
      <c r="CU55" s="512">
        <v>-41.69</v>
      </c>
      <c r="CV55" s="512">
        <v>29.97</v>
      </c>
      <c r="CW55" s="512">
        <v>-137.49</v>
      </c>
      <c r="CX55" s="512">
        <v>-203.66</v>
      </c>
      <c r="CY55" s="512">
        <v>-48.08</v>
      </c>
      <c r="CZ55" s="512">
        <v>27.79</v>
      </c>
      <c r="DA55" s="512">
        <v>-4.77</v>
      </c>
      <c r="DB55" s="512">
        <v>-122.32</v>
      </c>
      <c r="DC55" s="512">
        <v>40.63</v>
      </c>
      <c r="DD55" s="512">
        <v>37.06</v>
      </c>
      <c r="DE55" s="512">
        <v>31.34</v>
      </c>
      <c r="DF55" s="512">
        <v>18.73</v>
      </c>
      <c r="DG55" s="512">
        <v>1.93</v>
      </c>
      <c r="DH55" s="512">
        <v>31.02</v>
      </c>
      <c r="DI55" s="512">
        <v>32.58</v>
      </c>
      <c r="DJ55" s="524">
        <v>31.1</v>
      </c>
      <c r="DK55" s="512">
        <v>-249.76</v>
      </c>
      <c r="DL55" s="512">
        <v>23.02</v>
      </c>
      <c r="DM55" s="512">
        <v>33.85</v>
      </c>
      <c r="DN55" s="512">
        <v>23.95</v>
      </c>
      <c r="DO55" s="512">
        <v>-146.46</v>
      </c>
      <c r="DP55" s="512">
        <v>26.84</v>
      </c>
      <c r="DQ55" s="512">
        <v>34.39</v>
      </c>
      <c r="DR55" s="512">
        <v>-34.88</v>
      </c>
      <c r="DS55" s="546"/>
      <c r="DT55" s="546"/>
      <c r="DU55" s="546"/>
      <c r="DV55" s="546"/>
      <c r="DW55" s="546"/>
      <c r="DX55" s="545"/>
      <c r="DY55" s="546"/>
      <c r="DZ55" s="529"/>
      <c r="EA55" s="529"/>
      <c r="EB55" s="529"/>
      <c r="EC55" s="529"/>
      <c r="ED55" s="529"/>
      <c r="EE55" s="529"/>
      <c r="EF55" s="529"/>
      <c r="EG55" s="529"/>
      <c r="EH55" s="529"/>
      <c r="EI55" s="529"/>
      <c r="EJ55" s="529"/>
      <c r="EK55" s="529"/>
      <c r="EL55" s="529"/>
      <c r="EM55" s="529"/>
      <c r="EN55" s="529"/>
      <c r="EO55" s="529"/>
      <c r="EP55" s="529"/>
      <c r="EQ55" s="529"/>
    </row>
    <row r="56" hidden="1">
      <c r="A56" s="531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  <c r="CU56" s="118"/>
      <c r="CV56" s="118"/>
      <c r="CW56" s="118"/>
      <c r="CX56" s="118"/>
      <c r="CY56" s="118"/>
      <c r="CZ56" s="118"/>
      <c r="DA56" s="118"/>
      <c r="DB56" s="118"/>
      <c r="DC56" s="118"/>
      <c r="DD56" s="118"/>
      <c r="DE56" s="118"/>
      <c r="DF56" s="118"/>
      <c r="DG56" s="118"/>
      <c r="DH56" s="118"/>
      <c r="DI56" s="118"/>
      <c r="DJ56" s="118"/>
      <c r="DK56" s="118"/>
      <c r="DL56" s="118"/>
      <c r="DM56" s="118"/>
      <c r="DN56" s="118"/>
      <c r="DO56" s="118"/>
      <c r="DP56" s="118"/>
      <c r="DQ56" s="118"/>
      <c r="DR56" s="118"/>
      <c r="DS56" s="118"/>
      <c r="DT56" s="118"/>
      <c r="DU56" s="118"/>
      <c r="DV56" s="118"/>
      <c r="DW56" s="118"/>
      <c r="DX56" s="499"/>
      <c r="DY56" s="118"/>
      <c r="DZ56" s="118"/>
      <c r="EA56" s="118"/>
      <c r="EB56" s="118"/>
      <c r="EC56" s="118"/>
      <c r="ED56" s="118"/>
      <c r="EE56" s="118"/>
      <c r="EF56" s="118"/>
      <c r="EG56" s="118"/>
      <c r="EH56" s="118"/>
      <c r="EI56" s="118"/>
      <c r="EJ56" s="118"/>
      <c r="EK56" s="118"/>
      <c r="EL56" s="118"/>
      <c r="EM56" s="118"/>
      <c r="EN56" s="118"/>
      <c r="EO56" s="118"/>
      <c r="EP56" s="118"/>
      <c r="EQ56" s="118"/>
    </row>
    <row r="57" hidden="1">
      <c r="A57" s="551" t="s">
        <v>296</v>
      </c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118"/>
      <c r="DG57" s="118"/>
      <c r="DH57" s="118"/>
      <c r="DI57" s="118"/>
      <c r="DJ57" s="118"/>
      <c r="DK57" s="118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499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  <c r="EJ57" s="118"/>
      <c r="EK57" s="118"/>
      <c r="EL57" s="118"/>
      <c r="EM57" s="118"/>
      <c r="EN57" s="118"/>
      <c r="EO57" s="118"/>
      <c r="EP57" s="118"/>
      <c r="EQ57" s="118"/>
    </row>
    <row r="58" hidden="1">
      <c r="A58" s="500" t="s">
        <v>2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118"/>
      <c r="DG58" s="118"/>
      <c r="DH58" s="118"/>
      <c r="DI58" s="118"/>
      <c r="DJ58" s="118"/>
      <c r="DK58" s="118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499"/>
      <c r="DY58" s="118"/>
      <c r="DZ58" s="118"/>
      <c r="EA58" s="118"/>
      <c r="EB58" s="118"/>
      <c r="EC58" s="118"/>
      <c r="ED58" s="118"/>
      <c r="EE58" s="118"/>
      <c r="EF58" s="118"/>
      <c r="EG58" s="118"/>
      <c r="EH58" s="118"/>
      <c r="EI58" s="118"/>
      <c r="EJ58" s="118"/>
      <c r="EK58" s="118"/>
      <c r="EL58" s="118"/>
      <c r="EM58" s="118"/>
      <c r="EN58" s="118"/>
      <c r="EO58" s="118"/>
      <c r="EP58" s="118"/>
      <c r="EQ58" s="118"/>
    </row>
    <row r="59" hidden="1">
      <c r="A59" s="502" t="s">
        <v>288</v>
      </c>
      <c r="B59" s="525"/>
      <c r="C59" s="525"/>
      <c r="D59" s="525"/>
      <c r="E59" s="525"/>
      <c r="F59" s="525"/>
      <c r="G59" s="525"/>
      <c r="H59" s="525"/>
      <c r="I59" s="525"/>
      <c r="J59" s="525"/>
      <c r="K59" s="525"/>
      <c r="L59" s="525"/>
      <c r="M59" s="525"/>
      <c r="N59" s="525"/>
      <c r="O59" s="525"/>
      <c r="P59" s="525"/>
      <c r="Q59" s="525"/>
      <c r="R59" s="525"/>
      <c r="S59" s="525"/>
      <c r="T59" s="525"/>
      <c r="U59" s="525"/>
      <c r="V59" s="525"/>
      <c r="W59" s="525"/>
      <c r="X59" s="525"/>
      <c r="Y59" s="525"/>
      <c r="Z59" s="525"/>
      <c r="AA59" s="525"/>
      <c r="AB59" s="525"/>
      <c r="AC59" s="525"/>
      <c r="AD59" s="525"/>
      <c r="AE59" s="525"/>
      <c r="AF59" s="525"/>
      <c r="AG59" s="525"/>
      <c r="AH59" s="525"/>
      <c r="AI59" s="525"/>
      <c r="AJ59" s="525"/>
      <c r="AK59" s="525"/>
      <c r="AL59" s="525"/>
      <c r="AM59" s="525"/>
      <c r="AN59" s="525"/>
      <c r="AO59" s="525"/>
      <c r="AP59" s="525"/>
      <c r="AQ59" s="525"/>
      <c r="AR59" s="525"/>
      <c r="AS59" s="525"/>
      <c r="AT59" s="525"/>
      <c r="AU59" s="525"/>
      <c r="AV59" s="525"/>
      <c r="AW59" s="525"/>
      <c r="AX59" s="525"/>
      <c r="AY59" s="525"/>
      <c r="AZ59" s="525"/>
      <c r="BA59" s="525"/>
      <c r="BB59" s="525"/>
      <c r="BC59" s="525"/>
      <c r="BD59" s="525"/>
      <c r="BE59" s="525"/>
      <c r="BF59" s="525"/>
      <c r="BG59" s="525"/>
      <c r="BH59" s="525"/>
      <c r="BI59" s="525"/>
      <c r="BJ59" s="525"/>
      <c r="BK59" s="541">
        <v>45689.0</v>
      </c>
      <c r="BL59" s="541">
        <v>45690.0</v>
      </c>
      <c r="BM59" s="541">
        <v>45691.0</v>
      </c>
      <c r="BN59" s="541">
        <v>45692.0</v>
      </c>
      <c r="BO59" s="541">
        <v>45693.0</v>
      </c>
      <c r="BP59" s="541">
        <v>45694.0</v>
      </c>
      <c r="BQ59" s="541">
        <v>45695.0</v>
      </c>
      <c r="BR59" s="541">
        <v>45696.0</v>
      </c>
      <c r="BS59" s="541">
        <v>45697.0</v>
      </c>
      <c r="BT59" s="541">
        <v>45698.0</v>
      </c>
      <c r="BU59" s="541">
        <v>45699.0</v>
      </c>
      <c r="BV59" s="541">
        <v>45700.0</v>
      </c>
      <c r="BW59" s="541">
        <v>45701.0</v>
      </c>
      <c r="BX59" s="541">
        <v>45702.0</v>
      </c>
      <c r="BY59" s="541">
        <v>45703.0</v>
      </c>
      <c r="BZ59" s="541">
        <v>45704.0</v>
      </c>
      <c r="CA59" s="541">
        <v>45705.0</v>
      </c>
      <c r="CB59" s="541">
        <v>45706.0</v>
      </c>
      <c r="CC59" s="541">
        <v>45707.0</v>
      </c>
      <c r="CD59" s="541">
        <v>45708.0</v>
      </c>
      <c r="CE59" s="541">
        <v>45709.0</v>
      </c>
      <c r="CF59" s="541">
        <v>45710.0</v>
      </c>
      <c r="CG59" s="541">
        <v>45711.0</v>
      </c>
      <c r="CH59" s="541">
        <v>45712.0</v>
      </c>
      <c r="CI59" s="541">
        <v>45713.0</v>
      </c>
      <c r="CJ59" s="541">
        <v>45714.0</v>
      </c>
      <c r="CK59" s="541">
        <v>45715.0</v>
      </c>
      <c r="CL59" s="541">
        <v>45716.0</v>
      </c>
      <c r="CM59" s="541"/>
      <c r="CN59" s="541">
        <v>45748.0</v>
      </c>
      <c r="CO59" s="541">
        <v>45749.0</v>
      </c>
      <c r="CP59" s="541">
        <v>45750.0</v>
      </c>
      <c r="CQ59" s="541">
        <v>45751.0</v>
      </c>
      <c r="CR59" s="541">
        <v>45752.0</v>
      </c>
      <c r="CS59" s="541">
        <v>45753.0</v>
      </c>
      <c r="CT59" s="541">
        <v>45754.0</v>
      </c>
      <c r="CU59" s="541">
        <v>45755.0</v>
      </c>
      <c r="CV59" s="541">
        <v>45756.0</v>
      </c>
      <c r="CW59" s="541">
        <v>45757.0</v>
      </c>
      <c r="CX59" s="541">
        <v>45758.0</v>
      </c>
      <c r="CY59" s="541">
        <v>45759.0</v>
      </c>
      <c r="CZ59" s="541">
        <v>45760.0</v>
      </c>
      <c r="DA59" s="541">
        <v>45761.0</v>
      </c>
      <c r="DB59" s="541">
        <v>45762.0</v>
      </c>
      <c r="DC59" s="541">
        <v>45763.0</v>
      </c>
      <c r="DD59" s="541">
        <v>45764.0</v>
      </c>
      <c r="DE59" s="541">
        <v>45765.0</v>
      </c>
      <c r="DF59" s="541">
        <v>45766.0</v>
      </c>
      <c r="DG59" s="541">
        <v>45767.0</v>
      </c>
      <c r="DH59" s="541">
        <v>45768.0</v>
      </c>
      <c r="DI59" s="541">
        <v>45769.0</v>
      </c>
      <c r="DJ59" s="541">
        <v>45770.0</v>
      </c>
      <c r="DK59" s="541">
        <v>45771.0</v>
      </c>
      <c r="DL59" s="541">
        <v>45772.0</v>
      </c>
      <c r="DM59" s="541">
        <v>45773.0</v>
      </c>
      <c r="DN59" s="541">
        <v>45774.0</v>
      </c>
      <c r="DO59" s="541">
        <v>45775.0</v>
      </c>
      <c r="DP59" s="541">
        <v>45776.0</v>
      </c>
      <c r="DQ59" s="541">
        <v>45777.0</v>
      </c>
      <c r="DR59" s="541"/>
      <c r="DS59" s="118"/>
      <c r="DT59" s="118"/>
      <c r="DU59" s="118"/>
      <c r="DV59" s="118"/>
      <c r="DW59" s="118"/>
      <c r="DX59" s="499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  <c r="EJ59" s="118"/>
      <c r="EK59" s="118"/>
      <c r="EL59" s="118"/>
      <c r="EM59" s="118"/>
      <c r="EN59" s="118"/>
      <c r="EO59" s="118"/>
      <c r="EP59" s="118"/>
      <c r="EQ59" s="118"/>
    </row>
    <row r="60" hidden="1">
      <c r="A60" s="502" t="s">
        <v>289</v>
      </c>
      <c r="B60" s="525"/>
      <c r="C60" s="525"/>
      <c r="D60" s="525"/>
      <c r="E60" s="525"/>
      <c r="F60" s="525"/>
      <c r="G60" s="525"/>
      <c r="H60" s="525"/>
      <c r="I60" s="525"/>
      <c r="J60" s="525"/>
      <c r="K60" s="525"/>
      <c r="L60" s="525"/>
      <c r="M60" s="525"/>
      <c r="N60" s="525"/>
      <c r="O60" s="525"/>
      <c r="P60" s="525"/>
      <c r="Q60" s="525"/>
      <c r="R60" s="525"/>
      <c r="S60" s="525"/>
      <c r="T60" s="525"/>
      <c r="U60" s="525"/>
      <c r="V60" s="525"/>
      <c r="W60" s="525"/>
      <c r="X60" s="525"/>
      <c r="Y60" s="525"/>
      <c r="Z60" s="525"/>
      <c r="AA60" s="525"/>
      <c r="AB60" s="525"/>
      <c r="AC60" s="525"/>
      <c r="AD60" s="525"/>
      <c r="AE60" s="525"/>
      <c r="AF60" s="525"/>
      <c r="AG60" s="525"/>
      <c r="AH60" s="525"/>
      <c r="AI60" s="525"/>
      <c r="AJ60" s="525"/>
      <c r="AK60" s="525"/>
      <c r="AL60" s="525"/>
      <c r="AM60" s="525"/>
      <c r="AN60" s="525"/>
      <c r="AO60" s="525"/>
      <c r="AP60" s="525"/>
      <c r="AQ60" s="525"/>
      <c r="AR60" s="525"/>
      <c r="AS60" s="525"/>
      <c r="AT60" s="525"/>
      <c r="AU60" s="525"/>
      <c r="AV60" s="525"/>
      <c r="AW60" s="525"/>
      <c r="AX60" s="525"/>
      <c r="AY60" s="525"/>
      <c r="AZ60" s="525"/>
      <c r="BA60" s="525"/>
      <c r="BB60" s="525"/>
      <c r="BC60" s="525"/>
      <c r="BD60" s="525"/>
      <c r="BE60" s="525"/>
      <c r="BF60" s="525"/>
      <c r="BG60" s="525"/>
      <c r="BH60" s="525"/>
      <c r="BI60" s="525"/>
      <c r="BJ60" s="525"/>
      <c r="BK60" s="512">
        <v>67.0</v>
      </c>
      <c r="BL60" s="512">
        <v>133.0</v>
      </c>
      <c r="BM60" s="525"/>
      <c r="BN60" s="512">
        <v>100.0</v>
      </c>
      <c r="BO60" s="512">
        <v>130.0</v>
      </c>
      <c r="BP60" s="512">
        <v>162.0</v>
      </c>
      <c r="BQ60" s="512">
        <v>219.0</v>
      </c>
      <c r="BR60" s="512">
        <v>120.0</v>
      </c>
      <c r="BS60" s="512">
        <v>198.0</v>
      </c>
      <c r="BT60" s="512">
        <v>128.0</v>
      </c>
      <c r="BU60" s="512">
        <v>214.0</v>
      </c>
      <c r="BV60" s="512">
        <v>159.0</v>
      </c>
      <c r="BW60" s="512">
        <v>159.0</v>
      </c>
      <c r="BX60" s="512">
        <v>148.0</v>
      </c>
      <c r="BY60" s="512">
        <v>141.0</v>
      </c>
      <c r="BZ60" s="512">
        <v>125.0</v>
      </c>
      <c r="CA60" s="512">
        <v>160.0</v>
      </c>
      <c r="CB60" s="512">
        <v>188.0</v>
      </c>
      <c r="CC60" s="512">
        <v>189.0</v>
      </c>
      <c r="CD60" s="512">
        <v>177.0</v>
      </c>
      <c r="CE60" s="512">
        <v>175.0</v>
      </c>
      <c r="CF60" s="512">
        <v>172.0</v>
      </c>
      <c r="CG60" s="512">
        <v>204.0</v>
      </c>
      <c r="CH60" s="512">
        <v>198.0</v>
      </c>
      <c r="CI60" s="512">
        <v>163.0</v>
      </c>
      <c r="CJ60" s="512">
        <v>177.0</v>
      </c>
      <c r="CK60" s="512">
        <v>156.0</v>
      </c>
      <c r="CL60" s="512">
        <v>177.0</v>
      </c>
      <c r="CM60" s="512"/>
      <c r="CN60" s="512">
        <v>112.0</v>
      </c>
      <c r="CO60" s="512">
        <v>106.0</v>
      </c>
      <c r="CP60" s="512">
        <v>152.0</v>
      </c>
      <c r="CQ60" s="512">
        <v>197.0</v>
      </c>
      <c r="CR60" s="512">
        <v>131.0</v>
      </c>
      <c r="CS60" s="512">
        <v>158.0</v>
      </c>
      <c r="CT60" s="512">
        <v>145.0</v>
      </c>
      <c r="CU60" s="512">
        <v>154.0</v>
      </c>
      <c r="CV60" s="512">
        <v>140.0</v>
      </c>
      <c r="CW60" s="512">
        <v>143.0</v>
      </c>
      <c r="CX60" s="512">
        <v>173.0</v>
      </c>
      <c r="CY60" s="512">
        <v>202.0</v>
      </c>
      <c r="CZ60" s="512">
        <v>153.0</v>
      </c>
      <c r="DA60" s="512">
        <v>172.0</v>
      </c>
      <c r="DB60" s="512">
        <v>169.0</v>
      </c>
      <c r="DC60" s="512">
        <v>230.0</v>
      </c>
      <c r="DD60" s="512">
        <v>168.0</v>
      </c>
      <c r="DE60" s="512">
        <v>225.0</v>
      </c>
      <c r="DF60" s="512">
        <v>188.0</v>
      </c>
      <c r="DG60" s="512">
        <v>134.0</v>
      </c>
      <c r="DH60" s="512">
        <v>201.0</v>
      </c>
      <c r="DI60" s="512">
        <v>137.0</v>
      </c>
      <c r="DJ60" s="512">
        <v>178.0</v>
      </c>
      <c r="DK60" s="512">
        <v>122.0</v>
      </c>
      <c r="DL60" s="512">
        <v>115.0</v>
      </c>
      <c r="DM60" s="512">
        <v>157.0</v>
      </c>
      <c r="DN60" s="512">
        <v>151.0</v>
      </c>
      <c r="DO60" s="512">
        <v>152.0</v>
      </c>
      <c r="DP60" s="512">
        <v>150.0</v>
      </c>
      <c r="DQ60" s="512">
        <v>163.0</v>
      </c>
      <c r="DR60" s="525"/>
      <c r="DX60" s="530"/>
    </row>
    <row r="61" hidden="1">
      <c r="A61" s="521" t="s">
        <v>290</v>
      </c>
      <c r="B61" s="525"/>
      <c r="C61" s="525"/>
      <c r="D61" s="525"/>
      <c r="E61" s="525"/>
      <c r="F61" s="525"/>
      <c r="G61" s="525"/>
      <c r="H61" s="525"/>
      <c r="I61" s="525"/>
      <c r="J61" s="525"/>
      <c r="K61" s="525"/>
      <c r="L61" s="525"/>
      <c r="M61" s="525"/>
      <c r="N61" s="525"/>
      <c r="O61" s="525"/>
      <c r="P61" s="525"/>
      <c r="Q61" s="525"/>
      <c r="R61" s="525"/>
      <c r="S61" s="525"/>
      <c r="T61" s="525"/>
      <c r="U61" s="525"/>
      <c r="V61" s="525"/>
      <c r="W61" s="525"/>
      <c r="X61" s="525"/>
      <c r="Y61" s="525"/>
      <c r="Z61" s="525"/>
      <c r="AA61" s="525"/>
      <c r="AB61" s="525"/>
      <c r="AC61" s="525"/>
      <c r="AD61" s="525"/>
      <c r="AE61" s="525"/>
      <c r="AF61" s="525"/>
      <c r="AG61" s="525"/>
      <c r="AH61" s="525"/>
      <c r="AI61" s="525"/>
      <c r="AJ61" s="525"/>
      <c r="AK61" s="525"/>
      <c r="AL61" s="525"/>
      <c r="AM61" s="525"/>
      <c r="AN61" s="525"/>
      <c r="AO61" s="525"/>
      <c r="AP61" s="525"/>
      <c r="AQ61" s="525"/>
      <c r="AR61" s="525"/>
      <c r="AS61" s="525"/>
      <c r="AT61" s="525"/>
      <c r="AU61" s="525"/>
      <c r="AV61" s="525"/>
      <c r="AW61" s="525"/>
      <c r="AX61" s="525"/>
      <c r="AY61" s="525"/>
      <c r="AZ61" s="525"/>
      <c r="BA61" s="525"/>
      <c r="BB61" s="525"/>
      <c r="BC61" s="525"/>
      <c r="BD61" s="525"/>
      <c r="BE61" s="525"/>
      <c r="BF61" s="525"/>
      <c r="BG61" s="525"/>
      <c r="BH61" s="525"/>
      <c r="BI61" s="525"/>
      <c r="BJ61" s="525"/>
      <c r="BK61" s="512">
        <v>36.0</v>
      </c>
      <c r="BL61" s="512">
        <v>53.0</v>
      </c>
      <c r="BM61" s="525"/>
      <c r="BN61" s="512">
        <v>40.0</v>
      </c>
      <c r="BO61" s="512">
        <v>50.0</v>
      </c>
      <c r="BP61" s="512">
        <v>56.0</v>
      </c>
      <c r="BQ61" s="512">
        <v>70.0</v>
      </c>
      <c r="BR61" s="512">
        <v>51.0</v>
      </c>
      <c r="BS61" s="512">
        <v>63.0</v>
      </c>
      <c r="BT61" s="512">
        <v>62.0</v>
      </c>
      <c r="BU61" s="512">
        <v>68.0</v>
      </c>
      <c r="BV61" s="512">
        <v>65.0</v>
      </c>
      <c r="BW61" s="512">
        <v>64.0</v>
      </c>
      <c r="BX61" s="512">
        <v>64.0</v>
      </c>
      <c r="BY61" s="512">
        <v>67.0</v>
      </c>
      <c r="BZ61" s="512">
        <v>56.0</v>
      </c>
      <c r="CA61" s="512">
        <v>65.0</v>
      </c>
      <c r="CB61" s="512">
        <v>68.0</v>
      </c>
      <c r="CC61" s="512">
        <v>72.0</v>
      </c>
      <c r="CD61" s="512">
        <v>67.0</v>
      </c>
      <c r="CE61" s="512">
        <v>72.0</v>
      </c>
      <c r="CF61" s="512">
        <v>72.0</v>
      </c>
      <c r="CG61" s="512">
        <v>81.0</v>
      </c>
      <c r="CH61" s="512">
        <v>81.0</v>
      </c>
      <c r="CI61" s="512">
        <v>67.0</v>
      </c>
      <c r="CJ61" s="512">
        <v>64.0</v>
      </c>
      <c r="CK61" s="512">
        <v>66.0</v>
      </c>
      <c r="CL61" s="512">
        <v>58.0</v>
      </c>
      <c r="CM61" s="552">
        <f>SUM(BK61:CL61)/28</f>
        <v>60.64285714</v>
      </c>
      <c r="CN61" s="512">
        <v>49.0</v>
      </c>
      <c r="CO61" s="512">
        <v>53.0</v>
      </c>
      <c r="CP61" s="512">
        <v>72.0</v>
      </c>
      <c r="CQ61" s="512">
        <v>68.0</v>
      </c>
      <c r="CR61" s="512">
        <v>60.0</v>
      </c>
      <c r="CS61" s="512">
        <v>61.0</v>
      </c>
      <c r="CT61" s="512">
        <v>55.0</v>
      </c>
      <c r="CU61" s="512">
        <v>64.0</v>
      </c>
      <c r="CV61" s="512">
        <v>63.0</v>
      </c>
      <c r="CW61" s="512">
        <v>63.0</v>
      </c>
      <c r="CX61" s="512">
        <v>78.0</v>
      </c>
      <c r="CY61" s="512">
        <v>80.0</v>
      </c>
      <c r="CZ61" s="512">
        <v>65.0</v>
      </c>
      <c r="DA61" s="512">
        <v>69.0</v>
      </c>
      <c r="DB61" s="512">
        <v>73.0</v>
      </c>
      <c r="DC61" s="512">
        <v>68.0</v>
      </c>
      <c r="DD61" s="512">
        <v>71.0</v>
      </c>
      <c r="DE61" s="512">
        <v>74.0</v>
      </c>
      <c r="DF61" s="512">
        <v>69.0</v>
      </c>
      <c r="DG61" s="512">
        <v>56.0</v>
      </c>
      <c r="DH61" s="512">
        <v>79.0</v>
      </c>
      <c r="DI61" s="512">
        <v>60.0</v>
      </c>
      <c r="DJ61" s="512">
        <v>67.0</v>
      </c>
      <c r="DK61" s="512">
        <v>59.0</v>
      </c>
      <c r="DL61" s="512">
        <v>54.0</v>
      </c>
      <c r="DM61" s="512">
        <v>62.0</v>
      </c>
      <c r="DN61" s="512">
        <v>65.0</v>
      </c>
      <c r="DO61" s="512">
        <v>57.0</v>
      </c>
      <c r="DP61" s="512">
        <v>50.0</v>
      </c>
      <c r="DQ61" s="512">
        <v>63.0</v>
      </c>
      <c r="DR61" s="525"/>
      <c r="DX61" s="530"/>
    </row>
    <row r="62" hidden="1">
      <c r="A62" s="553" t="s">
        <v>291</v>
      </c>
      <c r="B62" s="529"/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29"/>
      <c r="N62" s="529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529"/>
      <c r="AH62" s="529"/>
      <c r="AI62" s="529"/>
      <c r="AJ62" s="529"/>
      <c r="AK62" s="529"/>
      <c r="AL62" s="529"/>
      <c r="AM62" s="529"/>
      <c r="AN62" s="529"/>
      <c r="AO62" s="529"/>
      <c r="AP62" s="529"/>
      <c r="AQ62" s="529"/>
      <c r="AR62" s="529"/>
      <c r="AS62" s="529"/>
      <c r="AT62" s="529"/>
      <c r="AU62" s="529"/>
      <c r="AV62" s="529"/>
      <c r="AW62" s="529"/>
      <c r="AX62" s="529"/>
      <c r="AY62" s="529"/>
      <c r="AZ62" s="529"/>
      <c r="BA62" s="529"/>
      <c r="BB62" s="529"/>
      <c r="BC62" s="529"/>
      <c r="BD62" s="529"/>
      <c r="BE62" s="529"/>
      <c r="BF62" s="529"/>
      <c r="BG62" s="529"/>
      <c r="BH62" s="529"/>
      <c r="BI62" s="529"/>
      <c r="BJ62" s="529"/>
      <c r="BK62" s="529">
        <v>22.22</v>
      </c>
      <c r="BL62" s="529">
        <v>34.11</v>
      </c>
      <c r="BM62" s="529">
        <v>-190.84</v>
      </c>
      <c r="BN62" s="529">
        <v>38.2</v>
      </c>
      <c r="BO62" s="529">
        <v>33.08</v>
      </c>
      <c r="BP62" s="529">
        <v>48.91</v>
      </c>
      <c r="BQ62" s="529">
        <v>44.55</v>
      </c>
      <c r="BR62" s="529">
        <v>30.32</v>
      </c>
      <c r="BS62" s="529">
        <v>-78.02</v>
      </c>
      <c r="BT62" s="529">
        <v>49.19</v>
      </c>
      <c r="BU62" s="529">
        <v>51.41</v>
      </c>
      <c r="BV62" s="529">
        <v>53.58</v>
      </c>
      <c r="BW62" s="529">
        <v>51.03</v>
      </c>
      <c r="BX62" s="529">
        <v>39.79</v>
      </c>
      <c r="BY62" s="529">
        <v>43.96</v>
      </c>
      <c r="BZ62" s="529">
        <v>43.84</v>
      </c>
      <c r="CA62" s="550">
        <v>45.98</v>
      </c>
      <c r="CB62" s="550">
        <v>40.67</v>
      </c>
      <c r="CC62" s="550">
        <v>47.82</v>
      </c>
      <c r="CD62" s="550">
        <v>63.99</v>
      </c>
      <c r="CE62" s="550">
        <v>-209.27</v>
      </c>
      <c r="CF62" s="550">
        <v>73.03</v>
      </c>
      <c r="CG62" s="550">
        <v>65.24</v>
      </c>
      <c r="CH62" s="550">
        <v>-52.31</v>
      </c>
      <c r="CI62" s="550">
        <v>55.56</v>
      </c>
      <c r="CJ62" s="550">
        <v>37.49</v>
      </c>
      <c r="CK62" s="550">
        <v>42.2</v>
      </c>
      <c r="CL62" s="537">
        <v>57.35</v>
      </c>
      <c r="CM62" s="554"/>
      <c r="CN62" s="537">
        <v>68.21</v>
      </c>
      <c r="CO62" s="537">
        <v>36.09</v>
      </c>
      <c r="CP62" s="537">
        <v>77.02</v>
      </c>
      <c r="CQ62" s="537">
        <v>86.56</v>
      </c>
      <c r="CR62" s="537">
        <v>45.3</v>
      </c>
      <c r="CS62" s="537">
        <v>-60.23</v>
      </c>
      <c r="CT62" s="537">
        <v>56.69</v>
      </c>
      <c r="CU62" s="537">
        <v>29.58</v>
      </c>
      <c r="CV62" s="512">
        <f>21.03+29.58</f>
        <v>50.61</v>
      </c>
      <c r="CW62" s="537">
        <f>21.96+66.44</f>
        <v>88.4</v>
      </c>
      <c r="CX62" s="537">
        <f>7.92+30.27</f>
        <v>38.19</v>
      </c>
      <c r="CY62" s="537">
        <f>36.38+69.04</f>
        <v>105.42</v>
      </c>
      <c r="CZ62" s="537">
        <f>62.35</f>
        <v>62.35</v>
      </c>
      <c r="DA62" s="537">
        <f>12.48+55.95</f>
        <v>68.43</v>
      </c>
      <c r="DB62" s="537">
        <v>84.46</v>
      </c>
      <c r="DC62" s="537">
        <v>131.72</v>
      </c>
      <c r="DD62" s="537">
        <v>103.8</v>
      </c>
      <c r="DE62" s="537">
        <v>115.79</v>
      </c>
      <c r="DF62" s="537">
        <v>152.04</v>
      </c>
      <c r="DG62" s="537">
        <v>72.56</v>
      </c>
      <c r="DH62" s="537">
        <v>120.77</v>
      </c>
      <c r="DI62" s="537">
        <v>68.91</v>
      </c>
      <c r="DJ62" s="537">
        <v>97.41</v>
      </c>
      <c r="DK62" s="537">
        <v>106.79</v>
      </c>
      <c r="DL62" s="537">
        <v>81.07</v>
      </c>
      <c r="DM62" s="537">
        <v>81.42</v>
      </c>
      <c r="DN62" s="537">
        <v>87.98</v>
      </c>
      <c r="DO62" s="537">
        <v>-169.33</v>
      </c>
      <c r="DP62" s="537">
        <v>22.83</v>
      </c>
      <c r="DQ62" s="537">
        <v>118.51</v>
      </c>
      <c r="DR62" s="525"/>
      <c r="DX62" s="530"/>
    </row>
    <row r="63" hidden="1">
      <c r="A63" s="531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499"/>
      <c r="CN63" s="118"/>
      <c r="CO63" s="118"/>
      <c r="CP63" s="118"/>
      <c r="CQ63" s="118"/>
      <c r="CR63" s="118"/>
      <c r="CS63" s="118"/>
      <c r="CT63" s="118"/>
      <c r="CU63" s="118"/>
      <c r="CV63" s="118"/>
      <c r="CW63" s="118"/>
      <c r="CX63" s="118"/>
      <c r="CY63" s="118"/>
      <c r="CZ63" s="118"/>
      <c r="DA63" s="118"/>
      <c r="DB63" s="118"/>
      <c r="DC63" s="118"/>
      <c r="DD63" s="118"/>
      <c r="DE63" s="118"/>
      <c r="DF63" s="118"/>
      <c r="DG63" s="118"/>
      <c r="DH63" s="118"/>
      <c r="DI63" s="118"/>
      <c r="DJ63" s="118"/>
      <c r="DK63" s="118"/>
      <c r="DL63" s="118"/>
      <c r="DM63" s="118"/>
      <c r="DN63" s="118"/>
      <c r="DO63" s="118"/>
      <c r="DP63" s="118"/>
      <c r="DQ63" s="118"/>
      <c r="DR63" s="118"/>
      <c r="DX63" s="530"/>
    </row>
    <row r="64" hidden="1">
      <c r="A64" s="531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499"/>
      <c r="CN64" s="118"/>
      <c r="CO64" s="118"/>
      <c r="CP64" s="118"/>
      <c r="CQ64" s="118"/>
      <c r="CR64" s="118"/>
      <c r="CS64" s="118"/>
      <c r="CT64" s="118"/>
      <c r="CU64" s="118"/>
      <c r="CV64" s="118"/>
      <c r="CW64" s="118"/>
      <c r="CX64" s="118"/>
      <c r="CY64" s="118"/>
      <c r="CZ64" s="118"/>
      <c r="DA64" s="118"/>
      <c r="DB64" s="118"/>
      <c r="DC64" s="118"/>
      <c r="DD64" s="118"/>
      <c r="DE64" s="118"/>
      <c r="DF64" s="118"/>
      <c r="DG64" s="118"/>
      <c r="DH64" s="118"/>
      <c r="DI64" s="118"/>
      <c r="DJ64" s="118"/>
      <c r="DK64" s="118"/>
      <c r="DL64" s="118"/>
      <c r="DM64" s="118"/>
      <c r="DN64" s="118"/>
      <c r="DO64" s="118"/>
      <c r="DP64" s="118"/>
      <c r="DQ64" s="118"/>
      <c r="DR64" s="118"/>
      <c r="DX64" s="530"/>
    </row>
    <row r="65" hidden="1">
      <c r="A65" s="500" t="s">
        <v>8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499"/>
      <c r="CN65" s="118"/>
      <c r="CO65" s="118"/>
      <c r="CP65" s="118"/>
      <c r="CQ65" s="118"/>
      <c r="CR65" s="118"/>
      <c r="CS65" s="118"/>
      <c r="CT65" s="118"/>
      <c r="CU65" s="118"/>
      <c r="CV65" s="118"/>
      <c r="CW65" s="118"/>
      <c r="CX65" s="118"/>
      <c r="CY65" s="118"/>
      <c r="CZ65" s="118"/>
      <c r="DA65" s="118"/>
      <c r="DB65" s="118"/>
      <c r="DC65" s="118"/>
      <c r="DD65" s="118"/>
      <c r="DE65" s="118"/>
      <c r="DF65" s="118"/>
      <c r="DG65" s="118"/>
      <c r="DH65" s="118"/>
      <c r="DI65" s="118"/>
      <c r="DJ65" s="118"/>
      <c r="DK65" s="118"/>
      <c r="DL65" s="118"/>
      <c r="DM65" s="118"/>
      <c r="DN65" s="118"/>
      <c r="DO65" s="118"/>
      <c r="DP65" s="118"/>
      <c r="DQ65" s="118"/>
      <c r="DR65" s="118"/>
      <c r="DX65" s="530"/>
    </row>
    <row r="66" hidden="1">
      <c r="A66" s="502" t="s">
        <v>288</v>
      </c>
      <c r="B66" s="525"/>
      <c r="C66" s="525"/>
      <c r="D66" s="525"/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25"/>
      <c r="P66" s="525"/>
      <c r="Q66" s="525"/>
      <c r="R66" s="525"/>
      <c r="S66" s="525"/>
      <c r="T66" s="525"/>
      <c r="U66" s="525"/>
      <c r="V66" s="525"/>
      <c r="W66" s="525"/>
      <c r="X66" s="525"/>
      <c r="Y66" s="525"/>
      <c r="Z66" s="525"/>
      <c r="AA66" s="525"/>
      <c r="AB66" s="525"/>
      <c r="AC66" s="525"/>
      <c r="AD66" s="525"/>
      <c r="AE66" s="525"/>
      <c r="AF66" s="525"/>
      <c r="AG66" s="525"/>
      <c r="AH66" s="525"/>
      <c r="AI66" s="525"/>
      <c r="AJ66" s="525"/>
      <c r="AK66" s="525"/>
      <c r="AL66" s="525"/>
      <c r="AM66" s="525"/>
      <c r="AN66" s="525"/>
      <c r="AO66" s="525"/>
      <c r="AP66" s="525"/>
      <c r="AQ66" s="525"/>
      <c r="AR66" s="525"/>
      <c r="AS66" s="525"/>
      <c r="AT66" s="525"/>
      <c r="AU66" s="525"/>
      <c r="AV66" s="525"/>
      <c r="AW66" s="525"/>
      <c r="AX66" s="525"/>
      <c r="AY66" s="525"/>
      <c r="AZ66" s="525"/>
      <c r="BA66" s="525"/>
      <c r="BB66" s="525"/>
      <c r="BC66" s="525"/>
      <c r="BD66" s="525"/>
      <c r="BE66" s="525"/>
      <c r="BF66" s="525"/>
      <c r="BG66" s="525"/>
      <c r="BH66" s="525"/>
      <c r="BI66" s="525"/>
      <c r="BJ66" s="525"/>
      <c r="BK66" s="541">
        <v>45689.0</v>
      </c>
      <c r="BL66" s="503">
        <v>45690.0</v>
      </c>
      <c r="BM66" s="503">
        <v>45691.0</v>
      </c>
      <c r="BN66" s="541">
        <v>45692.0</v>
      </c>
      <c r="BO66" s="541">
        <v>45693.0</v>
      </c>
      <c r="BP66" s="541">
        <v>45694.0</v>
      </c>
      <c r="BQ66" s="541">
        <v>45695.0</v>
      </c>
      <c r="BR66" s="541">
        <v>45696.0</v>
      </c>
      <c r="BS66" s="541">
        <v>45697.0</v>
      </c>
      <c r="BT66" s="541">
        <v>45698.0</v>
      </c>
      <c r="BU66" s="541">
        <v>45699.0</v>
      </c>
      <c r="BV66" s="541">
        <v>45700.0</v>
      </c>
      <c r="BW66" s="541">
        <v>45701.0</v>
      </c>
      <c r="BX66" s="541">
        <v>45702.0</v>
      </c>
      <c r="BY66" s="541">
        <v>45703.0</v>
      </c>
      <c r="BZ66" s="541">
        <v>45704.0</v>
      </c>
      <c r="CA66" s="541">
        <v>45705.0</v>
      </c>
      <c r="CB66" s="541">
        <v>45706.0</v>
      </c>
      <c r="CC66" s="541">
        <v>45707.0</v>
      </c>
      <c r="CD66" s="541">
        <v>45708.0</v>
      </c>
      <c r="CE66" s="541">
        <v>45709.0</v>
      </c>
      <c r="CF66" s="541">
        <v>45710.0</v>
      </c>
      <c r="CG66" s="541">
        <v>45711.0</v>
      </c>
      <c r="CH66" s="541">
        <v>45712.0</v>
      </c>
      <c r="CI66" s="541">
        <v>45713.0</v>
      </c>
      <c r="CJ66" s="541">
        <v>45714.0</v>
      </c>
      <c r="CK66" s="541">
        <v>45715.0</v>
      </c>
      <c r="CL66" s="541">
        <v>45716.0</v>
      </c>
      <c r="CM66" s="552"/>
      <c r="CN66" s="541">
        <v>45748.0</v>
      </c>
      <c r="CO66" s="541">
        <v>45749.0</v>
      </c>
      <c r="CP66" s="541">
        <v>45750.0</v>
      </c>
      <c r="CQ66" s="541">
        <v>45751.0</v>
      </c>
      <c r="CR66" s="541">
        <v>45752.0</v>
      </c>
      <c r="CS66" s="541">
        <v>45753.0</v>
      </c>
      <c r="CT66" s="541">
        <v>45754.0</v>
      </c>
      <c r="CU66" s="541">
        <v>45755.0</v>
      </c>
      <c r="CV66" s="541">
        <v>45756.0</v>
      </c>
      <c r="CW66" s="541">
        <v>45757.0</v>
      </c>
      <c r="CX66" s="541">
        <v>45758.0</v>
      </c>
      <c r="CY66" s="541">
        <v>45759.0</v>
      </c>
      <c r="CZ66" s="541">
        <v>45760.0</v>
      </c>
      <c r="DA66" s="541">
        <v>45761.0</v>
      </c>
      <c r="DB66" s="541">
        <v>45762.0</v>
      </c>
      <c r="DC66" s="541">
        <v>45763.0</v>
      </c>
      <c r="DD66" s="541">
        <v>45764.0</v>
      </c>
      <c r="DE66" s="541">
        <v>45765.0</v>
      </c>
      <c r="DF66" s="541">
        <v>45766.0</v>
      </c>
      <c r="DG66" s="541">
        <v>45767.0</v>
      </c>
      <c r="DH66" s="541">
        <v>45768.0</v>
      </c>
      <c r="DI66" s="541">
        <v>45769.0</v>
      </c>
      <c r="DJ66" s="541">
        <v>45770.0</v>
      </c>
      <c r="DK66" s="541">
        <v>45771.0</v>
      </c>
      <c r="DL66" s="541">
        <v>45772.0</v>
      </c>
      <c r="DM66" s="541">
        <v>45773.0</v>
      </c>
      <c r="DN66" s="541">
        <v>45774.0</v>
      </c>
      <c r="DO66" s="541">
        <v>45775.0</v>
      </c>
      <c r="DP66" s="541">
        <v>45776.0</v>
      </c>
      <c r="DQ66" s="541">
        <v>45777.0</v>
      </c>
      <c r="DR66" s="541"/>
      <c r="DX66" s="530"/>
    </row>
    <row r="67" hidden="1">
      <c r="A67" s="502" t="s">
        <v>289</v>
      </c>
      <c r="B67" s="525"/>
      <c r="C67" s="525"/>
      <c r="D67" s="525"/>
      <c r="E67" s="525"/>
      <c r="F67" s="525"/>
      <c r="G67" s="525"/>
      <c r="H67" s="525"/>
      <c r="I67" s="525"/>
      <c r="J67" s="525"/>
      <c r="K67" s="525"/>
      <c r="L67" s="525"/>
      <c r="M67" s="525"/>
      <c r="N67" s="525"/>
      <c r="O67" s="525"/>
      <c r="P67" s="525"/>
      <c r="Q67" s="525"/>
      <c r="R67" s="525"/>
      <c r="S67" s="525"/>
      <c r="T67" s="525"/>
      <c r="U67" s="525"/>
      <c r="V67" s="525"/>
      <c r="W67" s="525"/>
      <c r="X67" s="525"/>
      <c r="Y67" s="525"/>
      <c r="Z67" s="525"/>
      <c r="AA67" s="525"/>
      <c r="AB67" s="525"/>
      <c r="AC67" s="525"/>
      <c r="AD67" s="525"/>
      <c r="AE67" s="525"/>
      <c r="AF67" s="525"/>
      <c r="AG67" s="525"/>
      <c r="AH67" s="525"/>
      <c r="AI67" s="525"/>
      <c r="AJ67" s="525"/>
      <c r="AK67" s="525"/>
      <c r="AL67" s="525"/>
      <c r="AM67" s="525"/>
      <c r="AN67" s="525"/>
      <c r="AO67" s="525"/>
      <c r="AP67" s="525"/>
      <c r="AQ67" s="525"/>
      <c r="AR67" s="525"/>
      <c r="AS67" s="525"/>
      <c r="AT67" s="525"/>
      <c r="AU67" s="525"/>
      <c r="AV67" s="525"/>
      <c r="AW67" s="525"/>
      <c r="AX67" s="525"/>
      <c r="AY67" s="525"/>
      <c r="AZ67" s="525"/>
      <c r="BA67" s="525"/>
      <c r="BB67" s="525"/>
      <c r="BC67" s="525"/>
      <c r="BD67" s="525"/>
      <c r="BE67" s="525"/>
      <c r="BF67" s="525"/>
      <c r="BG67" s="525"/>
      <c r="BH67" s="525"/>
      <c r="BI67" s="525"/>
      <c r="BJ67" s="525"/>
      <c r="BK67" s="525"/>
      <c r="BL67" s="518">
        <v>196.0</v>
      </c>
      <c r="BM67" s="518">
        <v>147.0</v>
      </c>
      <c r="BN67" s="525"/>
      <c r="BO67" s="525"/>
      <c r="BP67" s="512">
        <v>193.0</v>
      </c>
      <c r="BQ67" s="512">
        <v>202.0</v>
      </c>
      <c r="BR67" s="512">
        <v>239.0</v>
      </c>
      <c r="BS67" s="525"/>
      <c r="BT67" s="512">
        <v>181.0</v>
      </c>
      <c r="BU67" s="525"/>
      <c r="BV67" s="512">
        <v>292.0</v>
      </c>
      <c r="BW67" s="512">
        <v>258.0</v>
      </c>
      <c r="BX67" s="512">
        <v>267.0</v>
      </c>
      <c r="BY67" s="512">
        <v>214.0</v>
      </c>
      <c r="BZ67" s="512">
        <v>234.0</v>
      </c>
      <c r="CA67" s="512">
        <v>271.0</v>
      </c>
      <c r="CB67" s="512">
        <v>222.0</v>
      </c>
      <c r="CC67" s="512">
        <v>298.0</v>
      </c>
      <c r="CD67" s="512">
        <v>290.0</v>
      </c>
      <c r="CE67" s="512">
        <v>261.0</v>
      </c>
      <c r="CF67" s="512">
        <v>274.0</v>
      </c>
      <c r="CG67" s="512">
        <v>285.0</v>
      </c>
      <c r="CH67" s="512">
        <v>196.0</v>
      </c>
      <c r="CI67" s="512">
        <v>198.0</v>
      </c>
      <c r="CJ67" s="512">
        <v>274.0</v>
      </c>
      <c r="CK67" s="512">
        <v>197.0</v>
      </c>
      <c r="CL67" s="512">
        <v>246.0</v>
      </c>
      <c r="CM67" s="552"/>
      <c r="CN67" s="512">
        <v>224.0</v>
      </c>
      <c r="CO67" s="512">
        <v>167.0</v>
      </c>
      <c r="CP67" s="512">
        <v>173.0</v>
      </c>
      <c r="CQ67" s="512">
        <v>218.0</v>
      </c>
      <c r="CR67" s="512">
        <v>212.0</v>
      </c>
      <c r="CS67" s="512">
        <v>251.0</v>
      </c>
      <c r="CT67" s="512">
        <v>245.0</v>
      </c>
      <c r="CU67" s="512">
        <v>156.0</v>
      </c>
      <c r="CV67" s="512">
        <v>228.0</v>
      </c>
      <c r="CW67" s="512">
        <v>264.0</v>
      </c>
      <c r="CX67" s="512">
        <v>246.0</v>
      </c>
      <c r="CY67" s="512">
        <v>219.0</v>
      </c>
      <c r="CZ67" s="512">
        <v>223.0</v>
      </c>
      <c r="DA67" s="512">
        <v>195.0</v>
      </c>
      <c r="DB67" s="512">
        <v>223.0</v>
      </c>
      <c r="DC67" s="512">
        <v>261.0</v>
      </c>
      <c r="DD67" s="512">
        <v>202.0</v>
      </c>
      <c r="DE67" s="512">
        <v>191.0</v>
      </c>
      <c r="DF67" s="512">
        <v>225.0</v>
      </c>
      <c r="DG67" s="512">
        <v>268.0</v>
      </c>
      <c r="DH67" s="512">
        <v>276.0</v>
      </c>
      <c r="DI67" s="512">
        <v>252.0</v>
      </c>
      <c r="DJ67" s="512">
        <v>188.0</v>
      </c>
      <c r="DK67" s="512">
        <v>201.0</v>
      </c>
      <c r="DL67" s="512">
        <v>195.0</v>
      </c>
      <c r="DM67" s="512">
        <v>202.0</v>
      </c>
      <c r="DN67" s="512">
        <v>269.0</v>
      </c>
      <c r="DO67" s="512">
        <v>222.0</v>
      </c>
      <c r="DP67" s="512">
        <v>155.0</v>
      </c>
      <c r="DQ67" s="512">
        <v>192.0</v>
      </c>
      <c r="DR67" s="525"/>
      <c r="DX67" s="530"/>
    </row>
    <row r="68" hidden="1">
      <c r="A68" s="521" t="s">
        <v>290</v>
      </c>
      <c r="B68" s="525"/>
      <c r="C68" s="525"/>
      <c r="D68" s="525"/>
      <c r="E68" s="525"/>
      <c r="F68" s="525"/>
      <c r="G68" s="525"/>
      <c r="H68" s="525"/>
      <c r="I68" s="525"/>
      <c r="J68" s="525"/>
      <c r="K68" s="525"/>
      <c r="L68" s="525"/>
      <c r="M68" s="525"/>
      <c r="N68" s="525"/>
      <c r="O68" s="525"/>
      <c r="P68" s="525"/>
      <c r="Q68" s="525"/>
      <c r="R68" s="525"/>
      <c r="S68" s="525"/>
      <c r="T68" s="525"/>
      <c r="U68" s="525"/>
      <c r="V68" s="525"/>
      <c r="W68" s="525"/>
      <c r="X68" s="525"/>
      <c r="Y68" s="525"/>
      <c r="Z68" s="525"/>
      <c r="AA68" s="525"/>
      <c r="AB68" s="525"/>
      <c r="AC68" s="525"/>
      <c r="AD68" s="525"/>
      <c r="AE68" s="525"/>
      <c r="AF68" s="525"/>
      <c r="AG68" s="525"/>
      <c r="AH68" s="525"/>
      <c r="AI68" s="525"/>
      <c r="AJ68" s="525"/>
      <c r="AK68" s="525"/>
      <c r="AL68" s="525"/>
      <c r="AM68" s="525"/>
      <c r="AN68" s="525"/>
      <c r="AO68" s="525"/>
      <c r="AP68" s="525"/>
      <c r="AQ68" s="525"/>
      <c r="AR68" s="525"/>
      <c r="AS68" s="525"/>
      <c r="AT68" s="525"/>
      <c r="AU68" s="525"/>
      <c r="AV68" s="525"/>
      <c r="AW68" s="525"/>
      <c r="AX68" s="525"/>
      <c r="AY68" s="525"/>
      <c r="AZ68" s="525"/>
      <c r="BA68" s="525"/>
      <c r="BB68" s="525"/>
      <c r="BC68" s="525"/>
      <c r="BD68" s="525"/>
      <c r="BE68" s="525"/>
      <c r="BF68" s="525"/>
      <c r="BG68" s="525"/>
      <c r="BH68" s="525"/>
      <c r="BI68" s="525"/>
      <c r="BJ68" s="525"/>
      <c r="BK68" s="525"/>
      <c r="BL68" s="518">
        <v>82.0</v>
      </c>
      <c r="BM68" s="518">
        <v>67.0</v>
      </c>
      <c r="BN68" s="525"/>
      <c r="BO68" s="525"/>
      <c r="BP68" s="512">
        <v>71.0</v>
      </c>
      <c r="BQ68" s="512">
        <v>80.0</v>
      </c>
      <c r="BR68" s="512">
        <v>95.0</v>
      </c>
      <c r="BS68" s="525"/>
      <c r="BT68" s="512">
        <v>73.0</v>
      </c>
      <c r="BU68" s="525"/>
      <c r="BV68" s="512">
        <v>96.0</v>
      </c>
      <c r="BW68" s="512">
        <v>98.0</v>
      </c>
      <c r="BX68" s="512">
        <v>104.0</v>
      </c>
      <c r="BY68" s="512">
        <v>88.0</v>
      </c>
      <c r="BZ68" s="512">
        <v>86.0</v>
      </c>
      <c r="CA68" s="512">
        <v>101.0</v>
      </c>
      <c r="CB68" s="512">
        <v>88.0</v>
      </c>
      <c r="CC68" s="512">
        <v>106.0</v>
      </c>
      <c r="CD68" s="512">
        <v>103.0</v>
      </c>
      <c r="CE68" s="512">
        <v>89.0</v>
      </c>
      <c r="CF68" s="512">
        <v>119.0</v>
      </c>
      <c r="CG68" s="512">
        <v>116.0</v>
      </c>
      <c r="CH68" s="512">
        <v>86.0</v>
      </c>
      <c r="CI68" s="512">
        <v>89.0</v>
      </c>
      <c r="CJ68" s="512">
        <v>103.0</v>
      </c>
      <c r="CK68" s="512">
        <v>82.0</v>
      </c>
      <c r="CL68" s="512">
        <v>92.0</v>
      </c>
      <c r="CM68" s="552">
        <f>SUM(BK68:CL68)/22</f>
        <v>96.09090909</v>
      </c>
      <c r="CN68" s="512">
        <v>75.0</v>
      </c>
      <c r="CO68" s="512">
        <v>82.0</v>
      </c>
      <c r="CP68" s="561">
        <v>78.0</v>
      </c>
      <c r="CQ68" s="512">
        <v>85.0</v>
      </c>
      <c r="CR68" s="512">
        <v>87.0</v>
      </c>
      <c r="CS68" s="512">
        <v>94.0</v>
      </c>
      <c r="CT68" s="512">
        <v>87.0</v>
      </c>
      <c r="CU68" s="512">
        <v>80.0</v>
      </c>
      <c r="CV68" s="512">
        <v>98.0</v>
      </c>
      <c r="CW68" s="512">
        <v>92.0</v>
      </c>
      <c r="CX68" s="512">
        <v>101.0</v>
      </c>
      <c r="CY68" s="512">
        <v>88.0</v>
      </c>
      <c r="CZ68" s="512">
        <v>95.0</v>
      </c>
      <c r="DA68" s="512">
        <v>79.0</v>
      </c>
      <c r="DB68" s="512">
        <v>90.0</v>
      </c>
      <c r="DC68" s="512">
        <v>102.0</v>
      </c>
      <c r="DD68" s="512">
        <v>97.0</v>
      </c>
      <c r="DE68" s="512">
        <v>74.0</v>
      </c>
      <c r="DF68" s="512">
        <v>85.0</v>
      </c>
      <c r="DG68" s="512">
        <v>96.0</v>
      </c>
      <c r="DH68" s="512">
        <v>100.0</v>
      </c>
      <c r="DI68" s="512">
        <v>103.0</v>
      </c>
      <c r="DJ68" s="512">
        <v>81.0</v>
      </c>
      <c r="DK68" s="512">
        <v>85.0</v>
      </c>
      <c r="DL68" s="512">
        <v>78.0</v>
      </c>
      <c r="DM68" s="512">
        <v>92.0</v>
      </c>
      <c r="DN68" s="512">
        <v>105.0</v>
      </c>
      <c r="DO68" s="512">
        <v>89.0</v>
      </c>
      <c r="DP68" s="512">
        <v>69.0</v>
      </c>
      <c r="DQ68" s="525"/>
      <c r="DR68" s="525"/>
      <c r="DX68" s="530"/>
    </row>
    <row r="69" hidden="1">
      <c r="A69" s="502" t="s">
        <v>291</v>
      </c>
      <c r="B69" s="525"/>
      <c r="C69" s="525"/>
      <c r="D69" s="525"/>
      <c r="E69" s="525"/>
      <c r="F69" s="525"/>
      <c r="G69" s="525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Z69" s="525"/>
      <c r="AA69" s="525"/>
      <c r="AB69" s="525"/>
      <c r="AC69" s="525"/>
      <c r="AD69" s="525"/>
      <c r="AE69" s="525"/>
      <c r="AF69" s="525"/>
      <c r="AG69" s="525"/>
      <c r="AH69" s="525"/>
      <c r="AI69" s="525"/>
      <c r="AJ69" s="525"/>
      <c r="AK69" s="525"/>
      <c r="AL69" s="525"/>
      <c r="AM69" s="525"/>
      <c r="AN69" s="525"/>
      <c r="AO69" s="525"/>
      <c r="AP69" s="525"/>
      <c r="AQ69" s="525"/>
      <c r="AR69" s="525"/>
      <c r="AS69" s="525"/>
      <c r="AT69" s="525"/>
      <c r="AU69" s="525"/>
      <c r="AV69" s="525"/>
      <c r="AW69" s="525"/>
      <c r="AX69" s="525"/>
      <c r="AY69" s="525"/>
      <c r="AZ69" s="525"/>
      <c r="BA69" s="525"/>
      <c r="BB69" s="525"/>
      <c r="BC69" s="525"/>
      <c r="BD69" s="525"/>
      <c r="BE69" s="525"/>
      <c r="BF69" s="525"/>
      <c r="BG69" s="525"/>
      <c r="BH69" s="525"/>
      <c r="BI69" s="525"/>
      <c r="BJ69" s="525"/>
      <c r="BK69" s="529">
        <v>-167.68</v>
      </c>
      <c r="BL69" s="529">
        <v>-89.36</v>
      </c>
      <c r="BM69" s="529">
        <v>-26.1</v>
      </c>
      <c r="BN69" s="529">
        <v>-389.28</v>
      </c>
      <c r="BO69" s="529">
        <v>54.9</v>
      </c>
      <c r="BP69" s="529">
        <v>22.93</v>
      </c>
      <c r="BQ69" s="529">
        <v>-66.7</v>
      </c>
      <c r="BR69" s="529">
        <v>-203.56</v>
      </c>
      <c r="BS69" s="529">
        <v>-359.15</v>
      </c>
      <c r="BT69" s="529">
        <v>-10.32</v>
      </c>
      <c r="BU69" s="529">
        <v>-130.74</v>
      </c>
      <c r="BV69" s="529">
        <v>82.49</v>
      </c>
      <c r="BW69" s="529">
        <v>14.18</v>
      </c>
      <c r="BX69" s="529">
        <v>93.65</v>
      </c>
      <c r="BY69" s="529">
        <v>96.27</v>
      </c>
      <c r="BZ69" s="529">
        <v>-478.47</v>
      </c>
      <c r="CA69" s="529">
        <v>-2.11</v>
      </c>
      <c r="CB69" s="529">
        <v>81.53</v>
      </c>
      <c r="CC69" s="529">
        <v>-45.15</v>
      </c>
      <c r="CD69" s="529">
        <v>92.28</v>
      </c>
      <c r="CE69" s="529">
        <v>-294.99</v>
      </c>
      <c r="CF69" s="529">
        <v>121.62</v>
      </c>
      <c r="CG69" s="529">
        <v>109.56</v>
      </c>
      <c r="CH69" s="529">
        <v>-81.66</v>
      </c>
      <c r="CI69" s="529">
        <v>-103.42</v>
      </c>
      <c r="CJ69" s="529">
        <v>72.17</v>
      </c>
      <c r="CK69" s="529">
        <v>106.47</v>
      </c>
      <c r="CL69" s="512">
        <v>7.22</v>
      </c>
      <c r="CM69" s="525"/>
      <c r="CN69" s="537">
        <v>-115.65</v>
      </c>
      <c r="CO69" s="537">
        <v>87.48</v>
      </c>
      <c r="CP69" s="537">
        <v>112.99</v>
      </c>
      <c r="CQ69" s="537">
        <v>124.87</v>
      </c>
      <c r="CR69" s="537">
        <v>-12.81</v>
      </c>
      <c r="CS69" s="537">
        <v>-114.35</v>
      </c>
      <c r="CT69" s="537">
        <v>12.84</v>
      </c>
      <c r="CU69" s="537">
        <v>-95.11</v>
      </c>
      <c r="CV69" s="512">
        <f>37.46-95.11</f>
        <v>-57.65</v>
      </c>
      <c r="CW69" s="537">
        <f>-110.42</f>
        <v>-110.42</v>
      </c>
      <c r="CX69" s="537">
        <f>39.63-181.57</f>
        <v>-141.94</v>
      </c>
      <c r="CY69" s="537">
        <f>38.46+98.5</f>
        <v>136.96</v>
      </c>
      <c r="CZ69" s="537">
        <f>91.4+28.62</f>
        <v>120.02</v>
      </c>
      <c r="DA69" s="537">
        <f>74.18+32.01</f>
        <v>106.19</v>
      </c>
      <c r="DB69" s="537">
        <v>-361.07</v>
      </c>
      <c r="DC69" s="537">
        <v>175.29</v>
      </c>
      <c r="DD69" s="537">
        <v>-266.39</v>
      </c>
      <c r="DE69" s="537">
        <v>-301.38</v>
      </c>
      <c r="DF69" s="537">
        <v>-248.58</v>
      </c>
      <c r="DG69" s="537">
        <v>132.13</v>
      </c>
      <c r="DH69" s="537">
        <v>125.18</v>
      </c>
      <c r="DI69" s="537">
        <v>152.54</v>
      </c>
      <c r="DJ69" s="537">
        <v>107.16</v>
      </c>
      <c r="DK69" s="537">
        <v>179.32</v>
      </c>
      <c r="DL69" s="537">
        <v>149.72</v>
      </c>
      <c r="DM69" s="537">
        <v>-122.46</v>
      </c>
      <c r="DN69" s="537">
        <v>141.62</v>
      </c>
      <c r="DO69" s="537">
        <v>-347.77</v>
      </c>
      <c r="DP69" s="537">
        <v>31.68</v>
      </c>
      <c r="DQ69" s="537">
        <v>250.79</v>
      </c>
      <c r="DR69" s="525"/>
      <c r="DX69" s="530"/>
    </row>
    <row r="70" hidden="1">
      <c r="A70" s="531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118"/>
      <c r="DG70" s="118"/>
      <c r="DH70" s="118"/>
      <c r="DJ70" s="118"/>
      <c r="DK70" s="118"/>
      <c r="DL70" s="118"/>
      <c r="DM70" s="118"/>
      <c r="DN70" s="118"/>
      <c r="DO70" s="118"/>
      <c r="DP70" s="118"/>
      <c r="DQ70" s="118"/>
      <c r="DR70" s="118"/>
      <c r="DX70" s="530"/>
    </row>
    <row r="71" hidden="1">
      <c r="A71" s="531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18"/>
      <c r="DL71" s="118"/>
      <c r="DM71" s="118"/>
      <c r="DN71" s="118"/>
      <c r="DO71" s="118"/>
      <c r="DP71" s="118"/>
      <c r="DQ71" s="118"/>
      <c r="DR71" s="118"/>
      <c r="DX71" s="530"/>
    </row>
    <row r="72" hidden="1">
      <c r="A72" s="500" t="s">
        <v>12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118"/>
      <c r="DG72" s="118"/>
      <c r="DH72" s="118"/>
      <c r="DI72" s="118"/>
      <c r="DJ72" s="118"/>
      <c r="DK72" s="118"/>
      <c r="DL72" s="118"/>
      <c r="DM72" s="118"/>
      <c r="DN72" s="118"/>
      <c r="DO72" s="118"/>
      <c r="DP72" s="118"/>
      <c r="DQ72" s="118"/>
      <c r="DR72" s="118"/>
      <c r="DX72" s="530"/>
    </row>
    <row r="73" hidden="1">
      <c r="A73" s="502" t="s">
        <v>288</v>
      </c>
      <c r="B73" s="525"/>
      <c r="C73" s="525"/>
      <c r="D73" s="525"/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  <c r="T73" s="525"/>
      <c r="U73" s="525"/>
      <c r="V73" s="525"/>
      <c r="W73" s="525"/>
      <c r="X73" s="525"/>
      <c r="Y73" s="525"/>
      <c r="Z73" s="525"/>
      <c r="AA73" s="525"/>
      <c r="AB73" s="525"/>
      <c r="AC73" s="525"/>
      <c r="AD73" s="525"/>
      <c r="AE73" s="525"/>
      <c r="AF73" s="525"/>
      <c r="AG73" s="525"/>
      <c r="AH73" s="525"/>
      <c r="AI73" s="525"/>
      <c r="AJ73" s="525"/>
      <c r="AK73" s="525"/>
      <c r="AL73" s="525"/>
      <c r="AM73" s="525"/>
      <c r="AN73" s="525"/>
      <c r="AO73" s="525"/>
      <c r="AP73" s="525"/>
      <c r="AQ73" s="525"/>
      <c r="AR73" s="525"/>
      <c r="AS73" s="525"/>
      <c r="AT73" s="525"/>
      <c r="AU73" s="525"/>
      <c r="AV73" s="525"/>
      <c r="AW73" s="525"/>
      <c r="AX73" s="525"/>
      <c r="AY73" s="525"/>
      <c r="AZ73" s="525"/>
      <c r="BA73" s="525"/>
      <c r="BB73" s="525"/>
      <c r="BC73" s="525"/>
      <c r="BD73" s="525"/>
      <c r="BE73" s="525"/>
      <c r="BF73" s="525"/>
      <c r="BG73" s="525"/>
      <c r="BH73" s="525"/>
      <c r="BI73" s="525"/>
      <c r="BJ73" s="525"/>
      <c r="BK73" s="541">
        <v>45689.0</v>
      </c>
      <c r="BL73" s="541">
        <v>45690.0</v>
      </c>
      <c r="BM73" s="541">
        <v>45691.0</v>
      </c>
      <c r="BN73" s="541">
        <v>45692.0</v>
      </c>
      <c r="BO73" s="541">
        <v>45693.0</v>
      </c>
      <c r="BP73" s="541">
        <v>45694.0</v>
      </c>
      <c r="BQ73" s="541">
        <v>45695.0</v>
      </c>
      <c r="BR73" s="541">
        <v>45696.0</v>
      </c>
      <c r="BS73" s="541">
        <v>45697.0</v>
      </c>
      <c r="BT73" s="541">
        <v>45698.0</v>
      </c>
      <c r="BU73" s="541">
        <v>45699.0</v>
      </c>
      <c r="BV73" s="541">
        <v>45700.0</v>
      </c>
      <c r="BW73" s="541">
        <v>45701.0</v>
      </c>
      <c r="BX73" s="541">
        <v>45702.0</v>
      </c>
      <c r="BY73" s="541">
        <v>45703.0</v>
      </c>
      <c r="BZ73" s="541">
        <v>45704.0</v>
      </c>
      <c r="CA73" s="541">
        <v>45705.0</v>
      </c>
      <c r="CB73" s="541">
        <v>45706.0</v>
      </c>
      <c r="CC73" s="541">
        <v>45707.0</v>
      </c>
      <c r="CD73" s="541">
        <v>45708.0</v>
      </c>
      <c r="CE73" s="541">
        <v>45709.0</v>
      </c>
      <c r="CF73" s="541">
        <v>45710.0</v>
      </c>
      <c r="CG73" s="541">
        <v>45711.0</v>
      </c>
      <c r="CH73" s="541">
        <v>45712.0</v>
      </c>
      <c r="CI73" s="541">
        <v>45713.0</v>
      </c>
      <c r="CJ73" s="541">
        <v>45714.0</v>
      </c>
      <c r="CK73" s="541">
        <v>45715.0</v>
      </c>
      <c r="CL73" s="541">
        <v>45716.0</v>
      </c>
      <c r="CM73" s="563"/>
      <c r="CN73" s="541">
        <v>45748.0</v>
      </c>
      <c r="CO73" s="541">
        <v>45749.0</v>
      </c>
      <c r="CP73" s="541">
        <v>45750.0</v>
      </c>
      <c r="CQ73" s="541">
        <v>45751.0</v>
      </c>
      <c r="CR73" s="541">
        <v>45752.0</v>
      </c>
      <c r="CS73" s="541">
        <v>45753.0</v>
      </c>
      <c r="CT73" s="541">
        <v>45754.0</v>
      </c>
      <c r="CU73" s="541">
        <v>45755.0</v>
      </c>
      <c r="CV73" s="541">
        <v>45756.0</v>
      </c>
      <c r="CW73" s="541">
        <v>45757.0</v>
      </c>
      <c r="CX73" s="541">
        <v>45758.0</v>
      </c>
      <c r="CY73" s="541">
        <v>45759.0</v>
      </c>
      <c r="CZ73" s="541">
        <v>45760.0</v>
      </c>
      <c r="DA73" s="541">
        <v>45761.0</v>
      </c>
      <c r="DB73" s="541">
        <v>45762.0</v>
      </c>
      <c r="DC73" s="541">
        <v>45763.0</v>
      </c>
      <c r="DD73" s="541">
        <v>45764.0</v>
      </c>
      <c r="DE73" s="541">
        <v>45765.0</v>
      </c>
      <c r="DF73" s="541">
        <v>45766.0</v>
      </c>
      <c r="DG73" s="541">
        <v>45767.0</v>
      </c>
      <c r="DH73" s="541">
        <v>45768.0</v>
      </c>
      <c r="DI73" s="541">
        <v>45769.0</v>
      </c>
      <c r="DJ73" s="541">
        <v>45770.0</v>
      </c>
      <c r="DK73" s="541">
        <v>45771.0</v>
      </c>
      <c r="DL73" s="541">
        <v>45772.0</v>
      </c>
      <c r="DM73" s="541">
        <v>45773.0</v>
      </c>
      <c r="DN73" s="541">
        <v>45774.0</v>
      </c>
      <c r="DO73" s="541">
        <v>45775.0</v>
      </c>
      <c r="DP73" s="541">
        <v>45776.0</v>
      </c>
      <c r="DQ73" s="541">
        <v>45777.0</v>
      </c>
      <c r="DR73" s="541"/>
      <c r="DX73" s="530"/>
    </row>
    <row r="74" hidden="1">
      <c r="A74" s="502" t="s">
        <v>289</v>
      </c>
      <c r="B74" s="525"/>
      <c r="C74" s="525"/>
      <c r="D74" s="525"/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5"/>
      <c r="AB74" s="525"/>
      <c r="AC74" s="525"/>
      <c r="AD74" s="525"/>
      <c r="AE74" s="525"/>
      <c r="AF74" s="525"/>
      <c r="AG74" s="525"/>
      <c r="AH74" s="525"/>
      <c r="AI74" s="525"/>
      <c r="AJ74" s="525"/>
      <c r="AK74" s="525"/>
      <c r="AL74" s="525"/>
      <c r="AM74" s="525"/>
      <c r="AN74" s="525"/>
      <c r="AO74" s="525"/>
      <c r="AP74" s="525"/>
      <c r="AQ74" s="525"/>
      <c r="AR74" s="525"/>
      <c r="AS74" s="525"/>
      <c r="AT74" s="525"/>
      <c r="AU74" s="525"/>
      <c r="AV74" s="525"/>
      <c r="AW74" s="525"/>
      <c r="AX74" s="525"/>
      <c r="AY74" s="525"/>
      <c r="AZ74" s="525"/>
      <c r="BA74" s="525"/>
      <c r="BB74" s="525"/>
      <c r="BC74" s="525"/>
      <c r="BD74" s="525"/>
      <c r="BE74" s="525"/>
      <c r="BF74" s="525"/>
      <c r="BG74" s="525"/>
      <c r="BH74" s="525"/>
      <c r="BI74" s="525"/>
      <c r="BJ74" s="525"/>
      <c r="BK74" s="512">
        <v>99.0</v>
      </c>
      <c r="BL74" s="512">
        <v>117.0</v>
      </c>
      <c r="BM74" s="512">
        <v>121.0</v>
      </c>
      <c r="BN74" s="512">
        <v>105.0</v>
      </c>
      <c r="BO74" s="512">
        <v>97.0</v>
      </c>
      <c r="BP74" s="512">
        <v>98.0</v>
      </c>
      <c r="BQ74" s="512">
        <v>110.0</v>
      </c>
      <c r="BR74" s="512">
        <v>141.0</v>
      </c>
      <c r="BS74" s="512">
        <v>157.0</v>
      </c>
      <c r="BT74" s="512">
        <v>98.0</v>
      </c>
      <c r="BU74" s="512">
        <v>130.0</v>
      </c>
      <c r="BV74" s="512">
        <v>130.0</v>
      </c>
      <c r="BW74" s="512">
        <v>153.0</v>
      </c>
      <c r="BX74" s="512">
        <v>131.0</v>
      </c>
      <c r="BY74" s="512">
        <v>126.0</v>
      </c>
      <c r="BZ74" s="512">
        <v>160.0</v>
      </c>
      <c r="CA74" s="512">
        <v>151.0</v>
      </c>
      <c r="CB74" s="512">
        <v>99.0</v>
      </c>
      <c r="CC74" s="512">
        <v>125.0</v>
      </c>
      <c r="CD74" s="512">
        <v>168.0</v>
      </c>
      <c r="CE74" s="512">
        <v>164.0</v>
      </c>
      <c r="CF74" s="512">
        <v>174.0</v>
      </c>
      <c r="CG74" s="512">
        <v>161.0</v>
      </c>
      <c r="CH74" s="512">
        <v>117.0</v>
      </c>
      <c r="CI74" s="512">
        <v>139.0</v>
      </c>
      <c r="CJ74" s="512">
        <v>131.0</v>
      </c>
      <c r="CK74" s="512">
        <v>98.0</v>
      </c>
      <c r="CL74" s="512">
        <v>196.0</v>
      </c>
      <c r="CM74" s="514"/>
      <c r="CN74" s="514">
        <v>111.0</v>
      </c>
      <c r="CO74" s="516">
        <v>141.0</v>
      </c>
      <c r="CP74" s="516">
        <v>104.0</v>
      </c>
      <c r="CQ74" s="516">
        <v>107.0</v>
      </c>
      <c r="CR74" s="516">
        <v>95.0</v>
      </c>
      <c r="CS74" s="516">
        <v>137.0</v>
      </c>
      <c r="CT74" s="517">
        <v>179.0</v>
      </c>
      <c r="CU74" s="512">
        <v>146.0</v>
      </c>
      <c r="CV74" s="512">
        <v>136.0</v>
      </c>
      <c r="CW74" s="512">
        <v>138.0</v>
      </c>
      <c r="CX74" s="512">
        <v>198.0</v>
      </c>
      <c r="CY74" s="512">
        <v>155.0</v>
      </c>
      <c r="CZ74" s="512">
        <v>164.0</v>
      </c>
      <c r="DA74" s="512">
        <v>126.0</v>
      </c>
      <c r="DB74" s="512">
        <v>141.0</v>
      </c>
      <c r="DC74" s="512">
        <v>137.0</v>
      </c>
      <c r="DD74" s="512">
        <v>151.0</v>
      </c>
      <c r="DE74" s="512">
        <v>177.0</v>
      </c>
      <c r="DF74" s="512">
        <v>220.0</v>
      </c>
      <c r="DG74" s="512">
        <v>127.0</v>
      </c>
      <c r="DH74" s="512">
        <v>187.0</v>
      </c>
      <c r="DI74" s="512">
        <v>113.0</v>
      </c>
      <c r="DJ74" s="512">
        <v>153.0</v>
      </c>
      <c r="DK74" s="512">
        <v>144.0</v>
      </c>
      <c r="DL74" s="512">
        <v>113.0</v>
      </c>
      <c r="DM74" s="512">
        <v>119.0</v>
      </c>
      <c r="DN74" s="512">
        <v>165.0</v>
      </c>
      <c r="DO74" s="512">
        <v>134.0</v>
      </c>
      <c r="DP74" s="512">
        <v>73.0</v>
      </c>
      <c r="DQ74" s="512">
        <v>140.0</v>
      </c>
      <c r="DR74" s="525"/>
      <c r="DX74" s="530"/>
    </row>
    <row r="75" hidden="1">
      <c r="A75" s="521" t="s">
        <v>290</v>
      </c>
      <c r="B75" s="525"/>
      <c r="C75" s="525"/>
      <c r="D75" s="525"/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5"/>
      <c r="AB75" s="525"/>
      <c r="AC75" s="525"/>
      <c r="AD75" s="525"/>
      <c r="AE75" s="525"/>
      <c r="AF75" s="525"/>
      <c r="AG75" s="525"/>
      <c r="AH75" s="525"/>
      <c r="AI75" s="525"/>
      <c r="AJ75" s="525"/>
      <c r="AK75" s="525"/>
      <c r="AL75" s="525"/>
      <c r="AM75" s="525"/>
      <c r="AN75" s="525"/>
      <c r="AO75" s="525"/>
      <c r="AP75" s="525"/>
      <c r="AQ75" s="525"/>
      <c r="AR75" s="525"/>
      <c r="AS75" s="525"/>
      <c r="AT75" s="525"/>
      <c r="AU75" s="525"/>
      <c r="AV75" s="525"/>
      <c r="AW75" s="525"/>
      <c r="AX75" s="525"/>
      <c r="AY75" s="525"/>
      <c r="AZ75" s="525"/>
      <c r="BA75" s="525"/>
      <c r="BB75" s="525"/>
      <c r="BC75" s="525"/>
      <c r="BD75" s="525"/>
      <c r="BE75" s="525"/>
      <c r="BF75" s="525"/>
      <c r="BG75" s="525"/>
      <c r="BH75" s="525"/>
      <c r="BI75" s="525"/>
      <c r="BJ75" s="525"/>
      <c r="BK75" s="512">
        <v>44.0</v>
      </c>
      <c r="BL75" s="512">
        <v>55.0</v>
      </c>
      <c r="BM75" s="512">
        <v>47.0</v>
      </c>
      <c r="BN75" s="512">
        <v>39.0</v>
      </c>
      <c r="BO75" s="512">
        <v>54.0</v>
      </c>
      <c r="BP75" s="512">
        <v>46.0</v>
      </c>
      <c r="BQ75" s="512">
        <v>51.0</v>
      </c>
      <c r="BR75" s="512">
        <v>48.0</v>
      </c>
      <c r="BS75" s="512">
        <v>55.0</v>
      </c>
      <c r="BT75" s="512">
        <v>41.0</v>
      </c>
      <c r="BU75" s="512">
        <v>57.0</v>
      </c>
      <c r="BV75" s="512">
        <v>57.0</v>
      </c>
      <c r="BW75" s="512">
        <v>59.0</v>
      </c>
      <c r="BX75" s="512">
        <v>41.0</v>
      </c>
      <c r="BY75" s="512">
        <v>52.0</v>
      </c>
      <c r="BZ75" s="512">
        <v>61.0</v>
      </c>
      <c r="CA75" s="512">
        <v>52.0</v>
      </c>
      <c r="CB75" s="512">
        <v>38.0</v>
      </c>
      <c r="CC75" s="512">
        <v>53.0</v>
      </c>
      <c r="CD75" s="512">
        <v>77.0</v>
      </c>
      <c r="CE75" s="512">
        <v>59.0</v>
      </c>
      <c r="CF75" s="512">
        <v>70.0</v>
      </c>
      <c r="CG75" s="512">
        <v>77.0</v>
      </c>
      <c r="CH75" s="512">
        <v>47.0</v>
      </c>
      <c r="CI75" s="512">
        <v>51.0</v>
      </c>
      <c r="CJ75" s="512">
        <v>54.0</v>
      </c>
      <c r="CK75" s="512">
        <v>43.0</v>
      </c>
      <c r="CL75" s="512">
        <v>75.0</v>
      </c>
      <c r="CM75" s="566">
        <f>SUM(BK75:CL75)/28</f>
        <v>53.67857143</v>
      </c>
      <c r="CN75" s="514">
        <v>54.0</v>
      </c>
      <c r="CO75" s="516">
        <v>53.0</v>
      </c>
      <c r="CP75" s="516">
        <v>46.0</v>
      </c>
      <c r="CQ75" s="516">
        <v>41.0</v>
      </c>
      <c r="CR75" s="516">
        <v>42.0</v>
      </c>
      <c r="CS75" s="516">
        <v>66.0</v>
      </c>
      <c r="CT75" s="517">
        <v>65.0</v>
      </c>
      <c r="CU75" s="512">
        <v>66.0</v>
      </c>
      <c r="CV75" s="512">
        <v>63.0</v>
      </c>
      <c r="CW75" s="512">
        <v>66.0</v>
      </c>
      <c r="CX75" s="512">
        <v>79.0</v>
      </c>
      <c r="CY75" s="512">
        <v>63.0</v>
      </c>
      <c r="CZ75" s="512">
        <v>65.0</v>
      </c>
      <c r="DA75" s="512">
        <v>54.0</v>
      </c>
      <c r="DB75" s="512">
        <v>56.0</v>
      </c>
      <c r="DC75" s="512">
        <v>58.0</v>
      </c>
      <c r="DD75" s="512">
        <v>60.0</v>
      </c>
      <c r="DE75" s="512">
        <v>59.0</v>
      </c>
      <c r="DF75" s="512">
        <v>83.0</v>
      </c>
      <c r="DG75" s="512">
        <v>49.0</v>
      </c>
      <c r="DH75" s="512">
        <v>69.0</v>
      </c>
      <c r="DI75" s="512">
        <v>57.0</v>
      </c>
      <c r="DJ75" s="512">
        <v>65.0</v>
      </c>
      <c r="DK75" s="512">
        <v>61.0</v>
      </c>
      <c r="DL75" s="512">
        <v>48.0</v>
      </c>
      <c r="DM75" s="512">
        <v>61.0</v>
      </c>
      <c r="DN75" s="512">
        <v>65.0</v>
      </c>
      <c r="DO75" s="512">
        <v>52.0</v>
      </c>
      <c r="DP75" s="512">
        <v>34.0</v>
      </c>
      <c r="DQ75" s="512">
        <v>59.0</v>
      </c>
      <c r="DR75" s="525"/>
      <c r="DX75" s="530"/>
    </row>
    <row r="76" hidden="1">
      <c r="A76" s="553" t="s">
        <v>291</v>
      </c>
      <c r="B76" s="529"/>
      <c r="C76" s="529"/>
      <c r="D76" s="529"/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529"/>
      <c r="AG76" s="529"/>
      <c r="AH76" s="529"/>
      <c r="AI76" s="529"/>
      <c r="AJ76" s="529"/>
      <c r="AK76" s="529"/>
      <c r="AL76" s="529"/>
      <c r="AM76" s="529"/>
      <c r="AN76" s="529"/>
      <c r="AO76" s="529"/>
      <c r="AP76" s="529"/>
      <c r="AQ76" s="529"/>
      <c r="AR76" s="529"/>
      <c r="AS76" s="529"/>
      <c r="AT76" s="529"/>
      <c r="AU76" s="529"/>
      <c r="AV76" s="529"/>
      <c r="AW76" s="529"/>
      <c r="AX76" s="529"/>
      <c r="AY76" s="529"/>
      <c r="AZ76" s="529"/>
      <c r="BA76" s="529"/>
      <c r="BB76" s="529"/>
      <c r="BC76" s="529"/>
      <c r="BD76" s="529"/>
      <c r="BE76" s="529"/>
      <c r="BF76" s="529"/>
      <c r="BG76" s="529"/>
      <c r="BH76" s="529"/>
      <c r="BI76" s="529"/>
      <c r="BJ76" s="529"/>
      <c r="BK76" s="529">
        <v>-295.52</v>
      </c>
      <c r="BL76" s="529">
        <v>-42.77</v>
      </c>
      <c r="BM76" s="529">
        <v>24.22</v>
      </c>
      <c r="BN76" s="529">
        <v>-438.28</v>
      </c>
      <c r="BO76" s="529">
        <v>35.84</v>
      </c>
      <c r="BP76" s="529">
        <v>-15.94</v>
      </c>
      <c r="BQ76" s="529">
        <v>33.53</v>
      </c>
      <c r="BR76" s="529">
        <v>48.55</v>
      </c>
      <c r="BS76" s="529">
        <v>-179.22</v>
      </c>
      <c r="BT76" s="529">
        <v>-2.05</v>
      </c>
      <c r="BU76" s="529">
        <v>54.16</v>
      </c>
      <c r="BV76" s="529">
        <v>-203.07</v>
      </c>
      <c r="BW76" s="529">
        <v>53.0</v>
      </c>
      <c r="BX76" s="529">
        <v>35.32</v>
      </c>
      <c r="BY76" s="529">
        <v>52.07</v>
      </c>
      <c r="BZ76" s="529">
        <v>38.49</v>
      </c>
      <c r="CA76" s="529">
        <v>54.6</v>
      </c>
      <c r="CB76" s="529">
        <v>43.14</v>
      </c>
      <c r="CC76" s="529">
        <v>-87.46</v>
      </c>
      <c r="CD76" s="529">
        <v>47.24</v>
      </c>
      <c r="CE76" s="529">
        <v>-66.14</v>
      </c>
      <c r="CF76" s="529">
        <v>54.48</v>
      </c>
      <c r="CG76" s="529">
        <v>59.5</v>
      </c>
      <c r="CH76" s="529">
        <v>-90.39</v>
      </c>
      <c r="CI76" s="529">
        <v>50.36</v>
      </c>
      <c r="CJ76" s="529">
        <v>32.76</v>
      </c>
      <c r="CK76" s="529">
        <v>-310.39</v>
      </c>
      <c r="CL76" s="529">
        <v>-88.51</v>
      </c>
      <c r="CM76" s="529"/>
      <c r="CN76" s="529">
        <v>90.84</v>
      </c>
      <c r="CO76" s="529">
        <v>73.52</v>
      </c>
      <c r="CP76" s="529">
        <v>1.22</v>
      </c>
      <c r="CQ76" s="529">
        <v>-44.46</v>
      </c>
      <c r="CR76" s="529">
        <v>-172.37</v>
      </c>
      <c r="CS76" s="529">
        <v>68.25</v>
      </c>
      <c r="CT76" s="529">
        <v>-151.59</v>
      </c>
      <c r="CU76" s="529">
        <v>64.44</v>
      </c>
      <c r="CV76" s="529">
        <v>64.44</v>
      </c>
      <c r="CW76" s="529">
        <v>-159.97</v>
      </c>
      <c r="CX76" s="529">
        <f>27.92+72.69</f>
        <v>100.61</v>
      </c>
      <c r="CY76" s="529">
        <f>87.71</f>
        <v>87.71</v>
      </c>
      <c r="CZ76" s="539">
        <f>49.62+18.32</f>
        <v>67.94</v>
      </c>
      <c r="DA76" s="529">
        <f>56.19</f>
        <v>56.19</v>
      </c>
      <c r="DB76" s="529">
        <v>103.63</v>
      </c>
      <c r="DC76" s="529">
        <v>120.29</v>
      </c>
      <c r="DD76" s="529">
        <v>105.97</v>
      </c>
      <c r="DE76" s="529">
        <v>116.02</v>
      </c>
      <c r="DF76" s="529">
        <v>144.85</v>
      </c>
      <c r="DG76" s="529">
        <v>151.33</v>
      </c>
      <c r="DH76" s="529">
        <v>92.87</v>
      </c>
      <c r="DI76" s="529">
        <v>98.13</v>
      </c>
      <c r="DJ76" s="529">
        <v>73.58</v>
      </c>
      <c r="DK76" s="529">
        <v>76.92</v>
      </c>
      <c r="DL76" s="529">
        <v>68.8</v>
      </c>
      <c r="DM76" s="529">
        <v>102.69</v>
      </c>
      <c r="DN76" s="529">
        <v>94.91</v>
      </c>
      <c r="DO76" s="529">
        <v>67.55</v>
      </c>
      <c r="DP76" s="529">
        <v>36.82</v>
      </c>
      <c r="DQ76" s="529">
        <v>86.88</v>
      </c>
      <c r="DR76" s="529"/>
      <c r="DX76" s="530"/>
    </row>
    <row r="77" hidden="1">
      <c r="A77" s="531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X77" s="530"/>
    </row>
    <row r="78" hidden="1">
      <c r="A78" s="531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118"/>
      <c r="DI78" s="118"/>
      <c r="DJ78" s="118"/>
      <c r="DK78" s="118"/>
      <c r="DL78" s="118"/>
      <c r="DM78" s="118"/>
      <c r="DN78" s="118"/>
      <c r="DO78" s="118"/>
      <c r="DP78" s="118"/>
      <c r="DQ78" s="118"/>
      <c r="DR78" s="118"/>
      <c r="DX78" s="530"/>
    </row>
    <row r="79" hidden="1">
      <c r="A79" s="500" t="s">
        <v>295</v>
      </c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X79" s="530"/>
    </row>
    <row r="80" hidden="1">
      <c r="A80" s="502" t="s">
        <v>288</v>
      </c>
      <c r="B80" s="525"/>
      <c r="C80" s="525"/>
      <c r="D80" s="525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5"/>
      <c r="AB80" s="525"/>
      <c r="AC80" s="525"/>
      <c r="AD80" s="525"/>
      <c r="AE80" s="525"/>
      <c r="AF80" s="525"/>
      <c r="AG80" s="525"/>
      <c r="AH80" s="525"/>
      <c r="AI80" s="525"/>
      <c r="AJ80" s="525"/>
      <c r="AK80" s="525"/>
      <c r="AL80" s="525"/>
      <c r="AM80" s="525"/>
      <c r="AN80" s="525"/>
      <c r="AO80" s="525"/>
      <c r="AP80" s="525"/>
      <c r="AQ80" s="525"/>
      <c r="AR80" s="525"/>
      <c r="AS80" s="525"/>
      <c r="AT80" s="525"/>
      <c r="AU80" s="525"/>
      <c r="AV80" s="525"/>
      <c r="AW80" s="525"/>
      <c r="AX80" s="525"/>
      <c r="AY80" s="525"/>
      <c r="AZ80" s="525"/>
      <c r="BA80" s="525"/>
      <c r="BB80" s="525"/>
      <c r="BC80" s="525"/>
      <c r="BD80" s="525"/>
      <c r="BE80" s="525"/>
      <c r="BF80" s="525"/>
      <c r="BG80" s="525"/>
      <c r="BH80" s="525"/>
      <c r="BI80" s="525"/>
      <c r="BJ80" s="525"/>
      <c r="BK80" s="541">
        <v>45689.0</v>
      </c>
      <c r="BL80" s="541">
        <v>45690.0</v>
      </c>
      <c r="BM80" s="541">
        <v>45691.0</v>
      </c>
      <c r="BN80" s="541">
        <v>45692.0</v>
      </c>
      <c r="BO80" s="541">
        <v>45693.0</v>
      </c>
      <c r="BP80" s="541">
        <v>45694.0</v>
      </c>
      <c r="BQ80" s="541">
        <v>45695.0</v>
      </c>
      <c r="BR80" s="541">
        <v>45696.0</v>
      </c>
      <c r="BS80" s="541">
        <v>45697.0</v>
      </c>
      <c r="BT80" s="541">
        <v>45698.0</v>
      </c>
      <c r="BU80" s="541">
        <v>45699.0</v>
      </c>
      <c r="BV80" s="541">
        <v>45700.0</v>
      </c>
      <c r="BW80" s="541">
        <v>45701.0</v>
      </c>
      <c r="BX80" s="541">
        <v>45702.0</v>
      </c>
      <c r="BY80" s="541">
        <v>45703.0</v>
      </c>
      <c r="BZ80" s="541">
        <v>45704.0</v>
      </c>
      <c r="CA80" s="541">
        <v>45705.0</v>
      </c>
      <c r="CB80" s="541">
        <v>45706.0</v>
      </c>
      <c r="CC80" s="541">
        <v>45707.0</v>
      </c>
      <c r="CD80" s="541">
        <v>45708.0</v>
      </c>
      <c r="CE80" s="541">
        <v>45709.0</v>
      </c>
      <c r="CF80" s="541">
        <v>45710.0</v>
      </c>
      <c r="CG80" s="541">
        <v>45711.0</v>
      </c>
      <c r="CH80" s="541">
        <v>45712.0</v>
      </c>
      <c r="CI80" s="541">
        <v>45713.0</v>
      </c>
      <c r="CJ80" s="541">
        <v>45714.0</v>
      </c>
      <c r="CK80" s="541">
        <v>45715.0</v>
      </c>
      <c r="CL80" s="541">
        <v>45716.0</v>
      </c>
      <c r="CM80" s="541"/>
      <c r="CN80" s="541">
        <v>45748.0</v>
      </c>
      <c r="CO80" s="541">
        <v>45749.0</v>
      </c>
      <c r="CP80" s="541">
        <v>45750.0</v>
      </c>
      <c r="CQ80" s="541">
        <v>45751.0</v>
      </c>
      <c r="CR80" s="541">
        <v>45752.0</v>
      </c>
      <c r="CS80" s="541">
        <v>45753.0</v>
      </c>
      <c r="CT80" s="541">
        <v>45754.0</v>
      </c>
      <c r="CU80" s="541">
        <v>45755.0</v>
      </c>
      <c r="CV80" s="541">
        <v>45756.0</v>
      </c>
      <c r="CW80" s="541">
        <v>45757.0</v>
      </c>
      <c r="CX80" s="541">
        <v>45758.0</v>
      </c>
      <c r="CY80" s="541">
        <v>45759.0</v>
      </c>
      <c r="CZ80" s="541">
        <v>45760.0</v>
      </c>
      <c r="DA80" s="541">
        <v>45761.0</v>
      </c>
      <c r="DB80" s="541">
        <v>45762.0</v>
      </c>
      <c r="DC80" s="541">
        <v>45763.0</v>
      </c>
      <c r="DD80" s="541">
        <v>45764.0</v>
      </c>
      <c r="DE80" s="541">
        <v>45765.0</v>
      </c>
      <c r="DF80" s="541">
        <v>45766.0</v>
      </c>
      <c r="DG80" s="541">
        <v>45767.0</v>
      </c>
      <c r="DH80" s="541">
        <v>45768.0</v>
      </c>
      <c r="DI80" s="541">
        <v>45769.0</v>
      </c>
      <c r="DJ80" s="541">
        <v>45770.0</v>
      </c>
      <c r="DK80" s="541">
        <v>45771.0</v>
      </c>
      <c r="DL80" s="541">
        <v>45772.0</v>
      </c>
      <c r="DM80" s="541">
        <v>45773.0</v>
      </c>
      <c r="DN80" s="541">
        <v>45774.0</v>
      </c>
      <c r="DO80" s="541">
        <v>45775.0</v>
      </c>
      <c r="DP80" s="541">
        <v>45776.0</v>
      </c>
      <c r="DQ80" s="541">
        <v>45777.0</v>
      </c>
      <c r="DR80" s="541"/>
      <c r="DX80" s="530"/>
    </row>
    <row r="81" hidden="1">
      <c r="A81" s="502" t="s">
        <v>289</v>
      </c>
      <c r="B81" s="525"/>
      <c r="C81" s="525"/>
      <c r="D81" s="525"/>
      <c r="E81" s="525"/>
      <c r="F81" s="525"/>
      <c r="G81" s="525"/>
      <c r="H81" s="525"/>
      <c r="I81" s="525"/>
      <c r="J81" s="525"/>
      <c r="K81" s="525"/>
      <c r="L81" s="525"/>
      <c r="M81" s="525"/>
      <c r="N81" s="525"/>
      <c r="O81" s="525"/>
      <c r="P81" s="525"/>
      <c r="Q81" s="525"/>
      <c r="R81" s="525"/>
      <c r="S81" s="525"/>
      <c r="T81" s="525"/>
      <c r="U81" s="525"/>
      <c r="V81" s="525"/>
      <c r="W81" s="525"/>
      <c r="X81" s="525"/>
      <c r="Y81" s="525"/>
      <c r="Z81" s="525"/>
      <c r="AA81" s="525"/>
      <c r="AB81" s="525"/>
      <c r="AC81" s="525"/>
      <c r="AD81" s="525"/>
      <c r="AE81" s="525"/>
      <c r="AF81" s="525"/>
      <c r="AG81" s="525"/>
      <c r="AH81" s="525"/>
      <c r="AI81" s="525"/>
      <c r="AJ81" s="525"/>
      <c r="AK81" s="525"/>
      <c r="AL81" s="525"/>
      <c r="AM81" s="525"/>
      <c r="AN81" s="525"/>
      <c r="AO81" s="525"/>
      <c r="AP81" s="525"/>
      <c r="AQ81" s="525"/>
      <c r="AR81" s="525"/>
      <c r="AS81" s="525"/>
      <c r="AT81" s="525"/>
      <c r="AU81" s="525"/>
      <c r="AV81" s="525"/>
      <c r="AW81" s="525"/>
      <c r="AX81" s="525"/>
      <c r="AY81" s="525"/>
      <c r="AZ81" s="525"/>
      <c r="BA81" s="525"/>
      <c r="BB81" s="525"/>
      <c r="BC81" s="525"/>
      <c r="BD81" s="525"/>
      <c r="BE81" s="525"/>
      <c r="BF81" s="525"/>
      <c r="BG81" s="525"/>
      <c r="BH81" s="525"/>
      <c r="BI81" s="525"/>
      <c r="BJ81" s="525"/>
      <c r="BK81" s="512">
        <v>12.0</v>
      </c>
      <c r="BL81" s="512">
        <v>16.0</v>
      </c>
      <c r="BM81" s="512">
        <v>37.0</v>
      </c>
      <c r="BN81" s="512">
        <v>24.0</v>
      </c>
      <c r="BO81" s="512">
        <v>23.0</v>
      </c>
      <c r="BP81" s="512">
        <v>48.0</v>
      </c>
      <c r="BQ81" s="512">
        <v>38.0</v>
      </c>
      <c r="BR81" s="512">
        <v>13.0</v>
      </c>
      <c r="BS81" s="512">
        <v>61.0</v>
      </c>
      <c r="BT81" s="512">
        <v>50.0</v>
      </c>
      <c r="BU81" s="512">
        <v>68.0</v>
      </c>
      <c r="BV81" s="512">
        <v>29.0</v>
      </c>
      <c r="BW81" s="512">
        <v>91.0</v>
      </c>
      <c r="BX81" s="512">
        <v>62.0</v>
      </c>
      <c r="BY81" s="512">
        <v>63.0</v>
      </c>
      <c r="BZ81" s="512">
        <v>64.0</v>
      </c>
      <c r="CA81" s="512">
        <v>76.0</v>
      </c>
      <c r="CB81" s="512">
        <v>49.0</v>
      </c>
      <c r="CC81" s="512">
        <v>63.0</v>
      </c>
      <c r="CD81" s="512">
        <v>50.0</v>
      </c>
      <c r="CE81" s="512">
        <v>55.0</v>
      </c>
      <c r="CF81" s="512">
        <v>77.0</v>
      </c>
      <c r="CG81" s="512">
        <v>77.0</v>
      </c>
      <c r="CH81" s="512">
        <v>72.0</v>
      </c>
      <c r="CI81" s="512">
        <v>80.0</v>
      </c>
      <c r="CJ81" s="512">
        <v>89.0</v>
      </c>
      <c r="CK81" s="512">
        <v>64.0</v>
      </c>
      <c r="CL81" s="512">
        <v>82.0</v>
      </c>
      <c r="CM81" s="512"/>
      <c r="CN81" s="512">
        <v>61.0</v>
      </c>
      <c r="CO81" s="512">
        <v>65.0</v>
      </c>
      <c r="CP81" s="512">
        <v>103.0</v>
      </c>
      <c r="CQ81" s="512">
        <v>69.0</v>
      </c>
      <c r="CR81" s="512">
        <v>49.0</v>
      </c>
      <c r="CS81" s="512">
        <v>76.0</v>
      </c>
      <c r="CT81" s="512">
        <v>88.0</v>
      </c>
      <c r="CU81" s="512">
        <v>50.0</v>
      </c>
      <c r="CV81" s="512">
        <v>76.0</v>
      </c>
      <c r="CW81" s="512">
        <v>59.0</v>
      </c>
      <c r="CX81" s="512">
        <v>84.0</v>
      </c>
      <c r="CY81" s="512">
        <v>86.0</v>
      </c>
      <c r="CZ81" s="512">
        <v>66.0</v>
      </c>
      <c r="DA81" s="512">
        <v>51.0</v>
      </c>
      <c r="DB81" s="512">
        <v>77.0</v>
      </c>
      <c r="DC81" s="512">
        <v>86.0</v>
      </c>
      <c r="DD81" s="512">
        <v>58.0</v>
      </c>
      <c r="DE81" s="512">
        <v>57.0</v>
      </c>
      <c r="DF81" s="512">
        <v>65.0</v>
      </c>
      <c r="DG81" s="512">
        <v>76.0</v>
      </c>
      <c r="DH81" s="512">
        <v>60.0</v>
      </c>
      <c r="DI81" s="512">
        <v>48.0</v>
      </c>
      <c r="DJ81" s="512">
        <v>51.0</v>
      </c>
      <c r="DK81" s="512">
        <v>51.0</v>
      </c>
      <c r="DL81" s="512">
        <v>64.0</v>
      </c>
      <c r="DM81" s="512">
        <v>76.0</v>
      </c>
      <c r="DN81" s="512">
        <v>94.0</v>
      </c>
      <c r="DO81" s="512">
        <v>66.0</v>
      </c>
      <c r="DP81" s="512">
        <v>60.0</v>
      </c>
      <c r="DQ81" s="512">
        <v>85.0</v>
      </c>
      <c r="DR81" s="525"/>
      <c r="DX81" s="530"/>
    </row>
    <row r="82" hidden="1">
      <c r="A82" s="521" t="s">
        <v>290</v>
      </c>
      <c r="B82" s="525"/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5"/>
      <c r="N82" s="525"/>
      <c r="O82" s="525"/>
      <c r="P82" s="525"/>
      <c r="Q82" s="525"/>
      <c r="R82" s="525"/>
      <c r="S82" s="525"/>
      <c r="T82" s="525"/>
      <c r="U82" s="525"/>
      <c r="V82" s="525"/>
      <c r="W82" s="525"/>
      <c r="X82" s="525"/>
      <c r="Y82" s="525"/>
      <c r="Z82" s="525"/>
      <c r="AA82" s="525"/>
      <c r="AB82" s="525"/>
      <c r="AC82" s="525"/>
      <c r="AD82" s="525"/>
      <c r="AE82" s="525"/>
      <c r="AF82" s="525"/>
      <c r="AG82" s="525"/>
      <c r="AH82" s="525"/>
      <c r="AI82" s="525"/>
      <c r="AJ82" s="525"/>
      <c r="AK82" s="525"/>
      <c r="AL82" s="525"/>
      <c r="AM82" s="525"/>
      <c r="AN82" s="525"/>
      <c r="AO82" s="525"/>
      <c r="AP82" s="525"/>
      <c r="AQ82" s="525"/>
      <c r="AR82" s="525"/>
      <c r="AS82" s="525"/>
      <c r="AT82" s="525"/>
      <c r="AU82" s="525"/>
      <c r="AV82" s="525"/>
      <c r="AW82" s="525"/>
      <c r="AX82" s="525"/>
      <c r="AY82" s="525"/>
      <c r="AZ82" s="525"/>
      <c r="BA82" s="525"/>
      <c r="BB82" s="525"/>
      <c r="BC82" s="525"/>
      <c r="BD82" s="525"/>
      <c r="BE82" s="525"/>
      <c r="BF82" s="525"/>
      <c r="BG82" s="525"/>
      <c r="BH82" s="525"/>
      <c r="BI82" s="525"/>
      <c r="BJ82" s="525"/>
      <c r="BK82" s="512">
        <v>8.0</v>
      </c>
      <c r="BL82" s="512">
        <v>9.0</v>
      </c>
      <c r="BM82" s="512">
        <v>16.0</v>
      </c>
      <c r="BN82" s="512">
        <v>12.0</v>
      </c>
      <c r="BO82" s="512">
        <v>12.0</v>
      </c>
      <c r="BP82" s="512">
        <v>18.0</v>
      </c>
      <c r="BQ82" s="512">
        <v>20.0</v>
      </c>
      <c r="BR82" s="512">
        <v>6.0</v>
      </c>
      <c r="BS82" s="512">
        <v>18.0</v>
      </c>
      <c r="BT82" s="512">
        <v>20.0</v>
      </c>
      <c r="BU82" s="512">
        <v>24.0</v>
      </c>
      <c r="BV82" s="512">
        <v>14.0</v>
      </c>
      <c r="BW82" s="512">
        <v>32.0</v>
      </c>
      <c r="BX82" s="512">
        <v>25.0</v>
      </c>
      <c r="BY82" s="512">
        <v>22.0</v>
      </c>
      <c r="BZ82" s="512">
        <v>29.0</v>
      </c>
      <c r="CA82" s="512">
        <v>18.0</v>
      </c>
      <c r="CB82" s="512">
        <v>23.0</v>
      </c>
      <c r="CC82" s="512">
        <v>26.0</v>
      </c>
      <c r="CD82" s="512">
        <v>22.0</v>
      </c>
      <c r="CE82" s="512">
        <v>23.0</v>
      </c>
      <c r="CF82" s="512">
        <v>36.0</v>
      </c>
      <c r="CG82" s="512">
        <v>36.0</v>
      </c>
      <c r="CH82" s="512">
        <v>23.0</v>
      </c>
      <c r="CI82" s="512">
        <v>36.0</v>
      </c>
      <c r="CJ82" s="512">
        <v>37.0</v>
      </c>
      <c r="CK82" s="512">
        <v>20.0</v>
      </c>
      <c r="CL82" s="512">
        <v>36.0</v>
      </c>
      <c r="CM82" s="552">
        <f>SUM(BK82:CL82)/28</f>
        <v>22.17857143</v>
      </c>
      <c r="CN82" s="512">
        <v>30.0</v>
      </c>
      <c r="CO82" s="512">
        <v>25.0</v>
      </c>
      <c r="CP82" s="512">
        <v>34.0</v>
      </c>
      <c r="CQ82" s="512">
        <v>21.0</v>
      </c>
      <c r="CR82" s="512">
        <v>27.0</v>
      </c>
      <c r="CS82" s="512">
        <v>32.0</v>
      </c>
      <c r="CT82" s="512">
        <v>42.0</v>
      </c>
      <c r="CU82" s="512">
        <v>18.0</v>
      </c>
      <c r="CV82" s="512">
        <v>34.0</v>
      </c>
      <c r="CW82" s="512">
        <v>27.0</v>
      </c>
      <c r="CX82" s="512">
        <v>33.0</v>
      </c>
      <c r="CY82" s="512">
        <v>27.0</v>
      </c>
      <c r="CZ82" s="512">
        <v>27.0</v>
      </c>
      <c r="DA82" s="512">
        <v>27.0</v>
      </c>
      <c r="DB82" s="512">
        <v>42.0</v>
      </c>
      <c r="DC82" s="512">
        <v>37.0</v>
      </c>
      <c r="DD82" s="512">
        <v>25.0</v>
      </c>
      <c r="DE82" s="512">
        <v>26.0</v>
      </c>
      <c r="DF82" s="512">
        <v>27.0</v>
      </c>
      <c r="DG82" s="512">
        <v>31.0</v>
      </c>
      <c r="DH82" s="512">
        <v>28.0</v>
      </c>
      <c r="DI82" s="512">
        <v>30.0</v>
      </c>
      <c r="DJ82" s="512">
        <v>21.0</v>
      </c>
      <c r="DK82" s="512">
        <v>36.0</v>
      </c>
      <c r="DL82" s="512">
        <v>24.0</v>
      </c>
      <c r="DM82" s="512">
        <v>29.0</v>
      </c>
      <c r="DN82" s="512">
        <v>35.0</v>
      </c>
      <c r="DO82" s="512">
        <v>29.0</v>
      </c>
      <c r="DP82" s="512">
        <v>26.0</v>
      </c>
      <c r="DQ82" s="512">
        <v>28.0</v>
      </c>
      <c r="DR82" s="525"/>
      <c r="DX82" s="530"/>
    </row>
    <row r="83" hidden="1">
      <c r="A83" s="502" t="s">
        <v>291</v>
      </c>
      <c r="B83" s="525"/>
      <c r="C83" s="525"/>
      <c r="D83" s="525"/>
      <c r="E83" s="525"/>
      <c r="F83" s="525"/>
      <c r="G83" s="525"/>
      <c r="H83" s="525"/>
      <c r="I83" s="525"/>
      <c r="J83" s="525"/>
      <c r="K83" s="525"/>
      <c r="L83" s="525"/>
      <c r="M83" s="525"/>
      <c r="N83" s="525"/>
      <c r="O83" s="525"/>
      <c r="P83" s="525"/>
      <c r="Q83" s="525"/>
      <c r="R83" s="525"/>
      <c r="S83" s="525"/>
      <c r="T83" s="525"/>
      <c r="U83" s="525"/>
      <c r="V83" s="525"/>
      <c r="W83" s="525"/>
      <c r="X83" s="525"/>
      <c r="Y83" s="525"/>
      <c r="Z83" s="525"/>
      <c r="AA83" s="525"/>
      <c r="AB83" s="525"/>
      <c r="AC83" s="525"/>
      <c r="AD83" s="525"/>
      <c r="AE83" s="525"/>
      <c r="AF83" s="525"/>
      <c r="AG83" s="525"/>
      <c r="AH83" s="525"/>
      <c r="AI83" s="525"/>
      <c r="AJ83" s="525"/>
      <c r="AK83" s="525"/>
      <c r="AL83" s="525"/>
      <c r="AM83" s="525"/>
      <c r="AN83" s="525"/>
      <c r="AO83" s="525"/>
      <c r="AP83" s="525"/>
      <c r="AQ83" s="525"/>
      <c r="AR83" s="525"/>
      <c r="AS83" s="525"/>
      <c r="AT83" s="525"/>
      <c r="AU83" s="525"/>
      <c r="AV83" s="525"/>
      <c r="AW83" s="525"/>
      <c r="AX83" s="525"/>
      <c r="AY83" s="525"/>
      <c r="AZ83" s="525"/>
      <c r="BA83" s="525"/>
      <c r="BB83" s="525"/>
      <c r="BC83" s="525"/>
      <c r="BD83" s="525"/>
      <c r="BE83" s="525"/>
      <c r="BF83" s="525"/>
      <c r="BG83" s="525"/>
      <c r="BH83" s="525"/>
      <c r="BI83" s="525"/>
      <c r="BJ83" s="525"/>
      <c r="BK83" s="529">
        <v>10.85</v>
      </c>
      <c r="BL83" s="529">
        <v>8.12</v>
      </c>
      <c r="BM83" s="529">
        <v>8.91</v>
      </c>
      <c r="BN83" s="529">
        <v>12.38</v>
      </c>
      <c r="BO83" s="529">
        <v>10.65</v>
      </c>
      <c r="BP83" s="529">
        <v>10.65</v>
      </c>
      <c r="BQ83" s="529">
        <v>11.69</v>
      </c>
      <c r="BR83" s="529">
        <v>13.24</v>
      </c>
      <c r="BS83" s="529">
        <v>20.49</v>
      </c>
      <c r="BT83" s="529">
        <v>9.99</v>
      </c>
      <c r="BU83" s="529">
        <v>18.07</v>
      </c>
      <c r="BV83" s="529">
        <v>2.6</v>
      </c>
      <c r="BW83" s="529">
        <v>15.52</v>
      </c>
      <c r="BX83" s="529">
        <v>-84.66</v>
      </c>
      <c r="BY83" s="529">
        <v>-0.49</v>
      </c>
      <c r="BZ83" s="529">
        <v>29.94</v>
      </c>
      <c r="CA83" s="529">
        <v>10.04</v>
      </c>
      <c r="CB83" s="529">
        <v>12.42</v>
      </c>
      <c r="CC83" s="529">
        <v>-21.42</v>
      </c>
      <c r="CD83" s="529">
        <v>18.39</v>
      </c>
      <c r="CE83" s="529">
        <v>14.56</v>
      </c>
      <c r="CF83" s="529">
        <v>-79.95</v>
      </c>
      <c r="CG83" s="529">
        <v>34.0</v>
      </c>
      <c r="CH83" s="529">
        <v>39.31</v>
      </c>
      <c r="CI83" s="529">
        <v>25.66</v>
      </c>
      <c r="CJ83" s="529">
        <v>-74.91</v>
      </c>
      <c r="CK83" s="529">
        <v>-183.09</v>
      </c>
      <c r="CL83" s="529">
        <v>-114.25</v>
      </c>
      <c r="CM83" s="529"/>
      <c r="CN83" s="512">
        <v>31.9</v>
      </c>
      <c r="CO83" s="512">
        <v>-159.66</v>
      </c>
      <c r="CP83" s="512">
        <v>47.77</v>
      </c>
      <c r="CQ83" s="512">
        <v>-151.74</v>
      </c>
      <c r="CR83" s="512">
        <v>-18.4</v>
      </c>
      <c r="CS83" s="512">
        <v>30.08</v>
      </c>
      <c r="CT83" s="512">
        <v>34.78</v>
      </c>
      <c r="CU83" s="512">
        <v>30.7</v>
      </c>
      <c r="CV83" s="512">
        <v>30.7</v>
      </c>
      <c r="CW83" s="512">
        <v>-85.25</v>
      </c>
      <c r="CX83" s="512">
        <v>24.45</v>
      </c>
      <c r="CY83" s="512">
        <v>31.25</v>
      </c>
      <c r="CZ83" s="529">
        <f>19.74+3.91</f>
        <v>23.65</v>
      </c>
      <c r="DA83" s="512">
        <f>30.79</f>
        <v>30.79</v>
      </c>
      <c r="DB83" s="512">
        <v>26.64</v>
      </c>
      <c r="DC83" s="512">
        <v>46.99</v>
      </c>
      <c r="DD83" s="512">
        <v>55.87</v>
      </c>
      <c r="DE83" s="512">
        <v>36.31</v>
      </c>
      <c r="DF83" s="512">
        <v>72.16</v>
      </c>
      <c r="DG83" s="512">
        <v>43.4</v>
      </c>
      <c r="DH83" s="512">
        <v>39.27</v>
      </c>
      <c r="DI83" s="512">
        <v>30.11</v>
      </c>
      <c r="DJ83" s="512">
        <v>43.41</v>
      </c>
      <c r="DK83" s="512">
        <v>45.37</v>
      </c>
      <c r="DL83" s="512">
        <v>37.04</v>
      </c>
      <c r="DM83" s="512">
        <v>79.17</v>
      </c>
      <c r="DN83" s="512">
        <v>66.97</v>
      </c>
      <c r="DO83" s="512">
        <v>19.43</v>
      </c>
      <c r="DP83" s="512">
        <v>17.31</v>
      </c>
      <c r="DQ83" s="512">
        <v>71.38</v>
      </c>
      <c r="DR83" s="512"/>
      <c r="DX83" s="530"/>
    </row>
    <row r="84" hidden="1">
      <c r="A84" s="531"/>
      <c r="DX84" s="530"/>
    </row>
    <row r="85" hidden="1">
      <c r="A85" s="531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DX85" s="530"/>
    </row>
    <row r="86" hidden="1">
      <c r="A86" s="500" t="s">
        <v>49</v>
      </c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DX86" s="530"/>
    </row>
    <row r="87" hidden="1">
      <c r="A87" s="502" t="s">
        <v>288</v>
      </c>
      <c r="CN87" s="541">
        <v>45770.0</v>
      </c>
      <c r="CO87" s="541">
        <v>45771.0</v>
      </c>
      <c r="CP87" s="541">
        <v>45772.0</v>
      </c>
      <c r="CQ87" s="541">
        <v>45773.0</v>
      </c>
      <c r="CR87" s="541">
        <v>45774.0</v>
      </c>
      <c r="CS87" s="541">
        <v>45775.0</v>
      </c>
      <c r="CT87" s="541">
        <v>45776.0</v>
      </c>
      <c r="CU87" s="541">
        <v>45777.0</v>
      </c>
      <c r="CV87" s="10"/>
      <c r="CW87" s="10"/>
      <c r="DX87" s="530"/>
    </row>
    <row r="88" hidden="1">
      <c r="A88" s="502" t="s">
        <v>289</v>
      </c>
      <c r="CN88" s="314"/>
      <c r="CO88" s="561">
        <v>1.0</v>
      </c>
      <c r="CP88" s="561">
        <v>3.0</v>
      </c>
      <c r="CQ88" s="561">
        <v>11.0</v>
      </c>
      <c r="CR88" s="561">
        <v>9.0</v>
      </c>
      <c r="CS88" s="561">
        <v>13.0</v>
      </c>
      <c r="CT88" s="561">
        <v>31.0</v>
      </c>
      <c r="CU88" s="561">
        <v>26.0</v>
      </c>
      <c r="CV88" s="10"/>
      <c r="CW88" s="10"/>
      <c r="DX88" s="530"/>
    </row>
    <row r="89" hidden="1">
      <c r="A89" s="521" t="s">
        <v>290</v>
      </c>
      <c r="CN89" s="314"/>
      <c r="CO89" s="561">
        <v>1.0</v>
      </c>
      <c r="CP89" s="561">
        <v>3.0</v>
      </c>
      <c r="CQ89" s="561">
        <v>3.0</v>
      </c>
      <c r="CR89" s="561">
        <v>7.0</v>
      </c>
      <c r="CS89" s="561">
        <v>8.0</v>
      </c>
      <c r="CT89" s="561">
        <v>4.0</v>
      </c>
      <c r="CU89" s="561">
        <v>17.0</v>
      </c>
      <c r="CV89" s="10"/>
      <c r="CW89" s="10"/>
      <c r="DX89" s="530"/>
    </row>
    <row r="90" hidden="1">
      <c r="A90" s="502" t="s">
        <v>291</v>
      </c>
      <c r="CN90" s="512"/>
      <c r="CO90" s="512">
        <v>10.82</v>
      </c>
      <c r="CP90" s="512">
        <v>-32.13</v>
      </c>
      <c r="CQ90" s="512">
        <v>12.91</v>
      </c>
      <c r="CR90" s="512">
        <v>18.2</v>
      </c>
      <c r="CS90" s="512">
        <v>14.68</v>
      </c>
      <c r="CT90" s="512">
        <v>11.16</v>
      </c>
      <c r="CU90" s="512">
        <v>-123.18</v>
      </c>
      <c r="CV90" s="546"/>
      <c r="CW90" s="546"/>
      <c r="CX90" s="546"/>
      <c r="DX90" s="530"/>
    </row>
    <row r="91" hidden="1">
      <c r="A91" s="531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DX91" s="530"/>
    </row>
    <row r="92" hidden="1">
      <c r="A92" s="521" t="s">
        <v>297</v>
      </c>
      <c r="DX92" s="530"/>
    </row>
    <row r="93" hidden="1">
      <c r="A93" s="551" t="s">
        <v>298</v>
      </c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118"/>
      <c r="CR93" s="118"/>
      <c r="CS93" s="118"/>
      <c r="CT93" s="118"/>
      <c r="CU93" s="118"/>
      <c r="CV93" s="118"/>
      <c r="CW93" s="118"/>
      <c r="CX93" s="118"/>
      <c r="CY93" s="118"/>
      <c r="CZ93" s="118"/>
      <c r="DA93" s="118"/>
      <c r="DB93" s="118"/>
      <c r="DC93" s="118"/>
      <c r="DD93" s="118"/>
      <c r="DE93" s="118"/>
      <c r="DF93" s="118"/>
      <c r="DG93" s="118"/>
      <c r="DH93" s="118"/>
      <c r="DI93" s="118"/>
      <c r="DJ93" s="118"/>
      <c r="DK93" s="118"/>
      <c r="DL93" s="118"/>
      <c r="DM93" s="118"/>
      <c r="DN93" s="118"/>
      <c r="DO93" s="118"/>
      <c r="DP93" s="118"/>
      <c r="DQ93" s="118"/>
      <c r="DR93" s="118"/>
      <c r="DX93" s="530"/>
    </row>
    <row r="94" hidden="1">
      <c r="A94" s="500" t="s">
        <v>2</v>
      </c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/>
      <c r="CJ94" s="118"/>
      <c r="CK94" s="118"/>
      <c r="CL94" s="118"/>
      <c r="CM94" s="118"/>
      <c r="CN94" s="118"/>
      <c r="CO94" s="118"/>
      <c r="CP94" s="118"/>
      <c r="CQ94" s="118"/>
      <c r="CR94" s="118"/>
      <c r="CS94" s="118"/>
      <c r="CT94" s="118"/>
      <c r="CU94" s="118"/>
      <c r="CV94" s="118"/>
      <c r="CW94" s="118"/>
      <c r="CX94" s="118"/>
      <c r="CY94" s="118"/>
      <c r="CZ94" s="118"/>
      <c r="DA94" s="118"/>
      <c r="DB94" s="118"/>
      <c r="DC94" s="118"/>
      <c r="DD94" s="118"/>
      <c r="DE94" s="118"/>
      <c r="DF94" s="118"/>
      <c r="DG94" s="118"/>
      <c r="DH94" s="118"/>
      <c r="DI94" s="118"/>
      <c r="DJ94" s="118"/>
      <c r="DK94" s="118"/>
      <c r="DL94" s="118"/>
      <c r="DM94" s="118"/>
      <c r="DN94" s="118"/>
      <c r="DO94" s="118"/>
      <c r="DP94" s="118"/>
      <c r="DQ94" s="118"/>
      <c r="DR94" s="118"/>
      <c r="DX94" s="530"/>
    </row>
    <row r="95" hidden="1">
      <c r="A95" s="502" t="s">
        <v>288</v>
      </c>
      <c r="B95" s="525"/>
      <c r="C95" s="525"/>
      <c r="D95" s="525"/>
      <c r="E95" s="525"/>
      <c r="F95" s="525"/>
      <c r="G95" s="525"/>
      <c r="H95" s="525"/>
      <c r="I95" s="525"/>
      <c r="J95" s="525"/>
      <c r="K95" s="525"/>
      <c r="L95" s="525"/>
      <c r="M95" s="525"/>
      <c r="N95" s="525"/>
      <c r="O95" s="525"/>
      <c r="P95" s="525"/>
      <c r="Q95" s="525"/>
      <c r="R95" s="525"/>
      <c r="S95" s="525"/>
      <c r="T95" s="525"/>
      <c r="U95" s="525"/>
      <c r="V95" s="525"/>
      <c r="W95" s="525"/>
      <c r="X95" s="525"/>
      <c r="Y95" s="525"/>
      <c r="Z95" s="525"/>
      <c r="AA95" s="525"/>
      <c r="AB95" s="525"/>
      <c r="AC95" s="525"/>
      <c r="AD95" s="525"/>
      <c r="AE95" s="525"/>
      <c r="AF95" s="525"/>
      <c r="AG95" s="525"/>
      <c r="AH95" s="525"/>
      <c r="AI95" s="525"/>
      <c r="AJ95" s="525"/>
      <c r="AK95" s="525"/>
      <c r="AL95" s="525"/>
      <c r="AM95" s="525"/>
      <c r="AN95" s="525"/>
      <c r="AO95" s="525"/>
      <c r="AP95" s="525"/>
      <c r="AQ95" s="525"/>
      <c r="AR95" s="525"/>
      <c r="AS95" s="525"/>
      <c r="AT95" s="525"/>
      <c r="AU95" s="525"/>
      <c r="AV95" s="525"/>
      <c r="AW95" s="525"/>
      <c r="AX95" s="525"/>
      <c r="AY95" s="525"/>
      <c r="AZ95" s="525"/>
      <c r="BA95" s="525"/>
      <c r="BB95" s="525"/>
      <c r="BC95" s="525"/>
      <c r="BD95" s="525"/>
      <c r="BE95" s="525"/>
      <c r="BF95" s="525"/>
      <c r="BG95" s="525"/>
      <c r="BH95" s="525"/>
      <c r="BI95" s="525"/>
      <c r="BJ95" s="525"/>
      <c r="BK95" s="541">
        <v>45689.0</v>
      </c>
      <c r="BL95" s="541">
        <v>45690.0</v>
      </c>
      <c r="BM95" s="541">
        <v>45691.0</v>
      </c>
      <c r="BN95" s="541">
        <v>45692.0</v>
      </c>
      <c r="BO95" s="541">
        <v>45693.0</v>
      </c>
      <c r="BP95" s="541">
        <v>45694.0</v>
      </c>
      <c r="BQ95" s="541">
        <v>45695.0</v>
      </c>
      <c r="BR95" s="541">
        <v>45696.0</v>
      </c>
      <c r="BS95" s="541">
        <v>45697.0</v>
      </c>
      <c r="BT95" s="541">
        <v>45698.0</v>
      </c>
      <c r="BU95" s="541">
        <v>45699.0</v>
      </c>
      <c r="BV95" s="541">
        <v>45700.0</v>
      </c>
      <c r="BW95" s="541">
        <v>45701.0</v>
      </c>
      <c r="BX95" s="541">
        <v>45702.0</v>
      </c>
      <c r="BY95" s="541">
        <v>45703.0</v>
      </c>
      <c r="BZ95" s="541">
        <v>45704.0</v>
      </c>
      <c r="CA95" s="541">
        <v>45705.0</v>
      </c>
      <c r="CB95" s="541">
        <v>45706.0</v>
      </c>
      <c r="CC95" s="541">
        <v>45707.0</v>
      </c>
      <c r="CD95" s="541">
        <v>45708.0</v>
      </c>
      <c r="CE95" s="541">
        <v>45709.0</v>
      </c>
      <c r="CF95" s="541">
        <v>45710.0</v>
      </c>
      <c r="CG95" s="541">
        <v>45711.0</v>
      </c>
      <c r="CH95" s="541">
        <v>45712.0</v>
      </c>
      <c r="CI95" s="541">
        <v>45713.0</v>
      </c>
      <c r="CJ95" s="541">
        <v>45714.0</v>
      </c>
      <c r="CK95" s="541">
        <v>45715.0</v>
      </c>
      <c r="CL95" s="541">
        <v>45716.0</v>
      </c>
      <c r="CM95" s="541"/>
      <c r="CN95" s="541">
        <v>45778.0</v>
      </c>
      <c r="CO95" s="541">
        <v>45779.0</v>
      </c>
      <c r="CP95" s="541">
        <v>45780.0</v>
      </c>
      <c r="CQ95" s="541">
        <v>45781.0</v>
      </c>
      <c r="CR95" s="541">
        <v>45782.0</v>
      </c>
      <c r="CS95" s="541">
        <v>45783.0</v>
      </c>
      <c r="CT95" s="541">
        <v>45784.0</v>
      </c>
      <c r="CU95" s="541">
        <v>45785.0</v>
      </c>
      <c r="CV95" s="541">
        <v>45786.0</v>
      </c>
      <c r="CW95" s="541">
        <v>45787.0</v>
      </c>
      <c r="CX95" s="541">
        <v>45788.0</v>
      </c>
      <c r="CY95" s="541">
        <v>45789.0</v>
      </c>
      <c r="CZ95" s="541">
        <v>45790.0</v>
      </c>
      <c r="DA95" s="541">
        <v>45791.0</v>
      </c>
      <c r="DB95" s="541">
        <v>45792.0</v>
      </c>
      <c r="DC95" s="541">
        <v>45793.0</v>
      </c>
      <c r="DD95" s="541">
        <v>45794.0</v>
      </c>
      <c r="DE95" s="541">
        <v>45795.0</v>
      </c>
      <c r="DF95" s="541">
        <v>45796.0</v>
      </c>
      <c r="DG95" s="541">
        <v>45797.0</v>
      </c>
      <c r="DH95" s="541">
        <v>45798.0</v>
      </c>
      <c r="DI95" s="541">
        <v>45799.0</v>
      </c>
      <c r="DJ95" s="541">
        <v>45800.0</v>
      </c>
      <c r="DK95" s="541">
        <v>45801.0</v>
      </c>
      <c r="DL95" s="541">
        <v>45802.0</v>
      </c>
      <c r="DM95" s="541">
        <v>45803.0</v>
      </c>
      <c r="DN95" s="541">
        <v>45804.0</v>
      </c>
      <c r="DO95" s="541">
        <v>45805.0</v>
      </c>
      <c r="DP95" s="541">
        <v>45806.0</v>
      </c>
      <c r="DQ95" s="541">
        <v>45807.0</v>
      </c>
      <c r="DR95" s="541">
        <v>45808.0</v>
      </c>
      <c r="DX95" s="530"/>
    </row>
    <row r="96" hidden="1">
      <c r="A96" s="502" t="s">
        <v>289</v>
      </c>
      <c r="B96" s="525"/>
      <c r="C96" s="525"/>
      <c r="D96" s="525"/>
      <c r="E96" s="525"/>
      <c r="F96" s="525"/>
      <c r="G96" s="525"/>
      <c r="H96" s="525"/>
      <c r="I96" s="525"/>
      <c r="J96" s="525"/>
      <c r="K96" s="525"/>
      <c r="L96" s="525"/>
      <c r="M96" s="525"/>
      <c r="N96" s="525"/>
      <c r="O96" s="525"/>
      <c r="P96" s="525"/>
      <c r="Q96" s="525"/>
      <c r="R96" s="525"/>
      <c r="S96" s="525"/>
      <c r="T96" s="525"/>
      <c r="U96" s="525"/>
      <c r="V96" s="525"/>
      <c r="W96" s="525"/>
      <c r="X96" s="525"/>
      <c r="Y96" s="525"/>
      <c r="Z96" s="525"/>
      <c r="AA96" s="525"/>
      <c r="AB96" s="525"/>
      <c r="AC96" s="525"/>
      <c r="AD96" s="525"/>
      <c r="AE96" s="525"/>
      <c r="AF96" s="525"/>
      <c r="AG96" s="525"/>
      <c r="AH96" s="525"/>
      <c r="AI96" s="525"/>
      <c r="AJ96" s="525"/>
      <c r="AK96" s="525"/>
      <c r="AL96" s="525"/>
      <c r="AM96" s="525"/>
      <c r="AN96" s="525"/>
      <c r="AO96" s="525"/>
      <c r="AP96" s="525"/>
      <c r="AQ96" s="525"/>
      <c r="AR96" s="525"/>
      <c r="AS96" s="525"/>
      <c r="AT96" s="525"/>
      <c r="AU96" s="525"/>
      <c r="AV96" s="525"/>
      <c r="AW96" s="525"/>
      <c r="AX96" s="525"/>
      <c r="AY96" s="525"/>
      <c r="AZ96" s="525"/>
      <c r="BA96" s="525"/>
      <c r="BB96" s="525"/>
      <c r="BC96" s="525"/>
      <c r="BD96" s="525"/>
      <c r="BE96" s="525"/>
      <c r="BF96" s="525"/>
      <c r="BG96" s="525"/>
      <c r="BH96" s="525"/>
      <c r="BI96" s="525"/>
      <c r="BJ96" s="525"/>
      <c r="BK96" s="512">
        <v>67.0</v>
      </c>
      <c r="BL96" s="512">
        <v>133.0</v>
      </c>
      <c r="BM96" s="525"/>
      <c r="BN96" s="512">
        <v>100.0</v>
      </c>
      <c r="BO96" s="512">
        <v>130.0</v>
      </c>
      <c r="BP96" s="512">
        <v>162.0</v>
      </c>
      <c r="BQ96" s="512">
        <v>219.0</v>
      </c>
      <c r="BR96" s="512">
        <v>120.0</v>
      </c>
      <c r="BS96" s="512">
        <v>198.0</v>
      </c>
      <c r="BT96" s="512">
        <v>128.0</v>
      </c>
      <c r="BU96" s="512">
        <v>214.0</v>
      </c>
      <c r="BV96" s="512">
        <v>159.0</v>
      </c>
      <c r="BW96" s="512">
        <v>159.0</v>
      </c>
      <c r="BX96" s="512">
        <v>148.0</v>
      </c>
      <c r="BY96" s="512">
        <v>141.0</v>
      </c>
      <c r="BZ96" s="512">
        <v>125.0</v>
      </c>
      <c r="CA96" s="512">
        <v>160.0</v>
      </c>
      <c r="CB96" s="512">
        <v>188.0</v>
      </c>
      <c r="CC96" s="512">
        <v>189.0</v>
      </c>
      <c r="CD96" s="512">
        <v>177.0</v>
      </c>
      <c r="CE96" s="512">
        <v>175.0</v>
      </c>
      <c r="CF96" s="512">
        <v>172.0</v>
      </c>
      <c r="CG96" s="512">
        <v>204.0</v>
      </c>
      <c r="CH96" s="512">
        <v>198.0</v>
      </c>
      <c r="CI96" s="512">
        <v>163.0</v>
      </c>
      <c r="CJ96" s="512">
        <v>177.0</v>
      </c>
      <c r="CK96" s="512">
        <v>156.0</v>
      </c>
      <c r="CL96" s="512">
        <v>177.0</v>
      </c>
      <c r="CM96" s="512"/>
      <c r="CN96" s="561">
        <v>174.0</v>
      </c>
      <c r="CO96" s="561">
        <v>147.0</v>
      </c>
      <c r="CP96" s="561">
        <v>124.0</v>
      </c>
      <c r="CQ96" s="561">
        <v>208.0</v>
      </c>
      <c r="CR96" s="561">
        <v>150.0</v>
      </c>
      <c r="CS96" s="561">
        <v>197.0</v>
      </c>
      <c r="CT96" s="561">
        <v>137.0</v>
      </c>
      <c r="CU96" s="561">
        <v>160.0</v>
      </c>
      <c r="CV96" s="561">
        <v>89.0</v>
      </c>
      <c r="CW96" s="561">
        <v>197.0</v>
      </c>
      <c r="CX96" s="561">
        <v>154.0</v>
      </c>
      <c r="CY96" s="561">
        <v>148.0</v>
      </c>
      <c r="CZ96" s="561">
        <v>177.0</v>
      </c>
      <c r="DA96" s="561">
        <v>150.0</v>
      </c>
      <c r="DB96" s="561">
        <v>204.0</v>
      </c>
      <c r="DC96" s="561">
        <v>146.0</v>
      </c>
      <c r="DD96" s="561">
        <v>124.0</v>
      </c>
      <c r="DE96" s="561">
        <v>216.0</v>
      </c>
      <c r="DF96" s="561">
        <v>184.0</v>
      </c>
      <c r="DG96" s="561">
        <v>136.0</v>
      </c>
      <c r="DH96" s="561">
        <v>177.0</v>
      </c>
      <c r="DI96" s="561">
        <v>199.0</v>
      </c>
      <c r="DJ96" s="561">
        <v>128.0</v>
      </c>
      <c r="DK96" s="561">
        <v>144.0</v>
      </c>
      <c r="DL96" s="561">
        <v>147.0</v>
      </c>
      <c r="DM96" s="561">
        <v>185.0</v>
      </c>
      <c r="DN96" s="561">
        <v>130.0</v>
      </c>
      <c r="DO96" s="561">
        <v>200.0</v>
      </c>
      <c r="DP96" s="561">
        <v>162.0</v>
      </c>
      <c r="DQ96" s="561">
        <v>166.0</v>
      </c>
      <c r="DR96" s="561">
        <v>158.0</v>
      </c>
      <c r="DS96" s="10"/>
      <c r="DX96" s="530"/>
    </row>
    <row r="97" hidden="1">
      <c r="A97" s="521" t="s">
        <v>290</v>
      </c>
      <c r="B97" s="525"/>
      <c r="C97" s="525"/>
      <c r="D97" s="525"/>
      <c r="E97" s="525"/>
      <c r="F97" s="525"/>
      <c r="G97" s="525"/>
      <c r="H97" s="525"/>
      <c r="I97" s="525"/>
      <c r="J97" s="525"/>
      <c r="K97" s="525"/>
      <c r="L97" s="525"/>
      <c r="M97" s="525"/>
      <c r="N97" s="525"/>
      <c r="O97" s="525"/>
      <c r="P97" s="525"/>
      <c r="Q97" s="525"/>
      <c r="R97" s="525"/>
      <c r="S97" s="525"/>
      <c r="T97" s="525"/>
      <c r="U97" s="525"/>
      <c r="V97" s="525"/>
      <c r="W97" s="525"/>
      <c r="X97" s="525"/>
      <c r="Y97" s="525"/>
      <c r="Z97" s="525"/>
      <c r="AA97" s="525"/>
      <c r="AB97" s="525"/>
      <c r="AC97" s="525"/>
      <c r="AD97" s="525"/>
      <c r="AE97" s="525"/>
      <c r="AF97" s="525"/>
      <c r="AG97" s="525"/>
      <c r="AH97" s="525"/>
      <c r="AI97" s="525"/>
      <c r="AJ97" s="525"/>
      <c r="AK97" s="525"/>
      <c r="AL97" s="525"/>
      <c r="AM97" s="525"/>
      <c r="AN97" s="525"/>
      <c r="AO97" s="525"/>
      <c r="AP97" s="525"/>
      <c r="AQ97" s="525"/>
      <c r="AR97" s="525"/>
      <c r="AS97" s="525"/>
      <c r="AT97" s="525"/>
      <c r="AU97" s="525"/>
      <c r="AV97" s="525"/>
      <c r="AW97" s="525"/>
      <c r="AX97" s="525"/>
      <c r="AY97" s="525"/>
      <c r="AZ97" s="525"/>
      <c r="BA97" s="525"/>
      <c r="BB97" s="525"/>
      <c r="BC97" s="525"/>
      <c r="BD97" s="525"/>
      <c r="BE97" s="525"/>
      <c r="BF97" s="525"/>
      <c r="BG97" s="525"/>
      <c r="BH97" s="525"/>
      <c r="BI97" s="525"/>
      <c r="BJ97" s="525"/>
      <c r="BK97" s="512">
        <v>36.0</v>
      </c>
      <c r="BL97" s="512">
        <v>53.0</v>
      </c>
      <c r="BM97" s="525"/>
      <c r="BN97" s="512">
        <v>40.0</v>
      </c>
      <c r="BO97" s="512">
        <v>50.0</v>
      </c>
      <c r="BP97" s="512">
        <v>56.0</v>
      </c>
      <c r="BQ97" s="512">
        <v>70.0</v>
      </c>
      <c r="BR97" s="512">
        <v>51.0</v>
      </c>
      <c r="BS97" s="512">
        <v>63.0</v>
      </c>
      <c r="BT97" s="512">
        <v>62.0</v>
      </c>
      <c r="BU97" s="512">
        <v>68.0</v>
      </c>
      <c r="BV97" s="512">
        <v>65.0</v>
      </c>
      <c r="BW97" s="512">
        <v>64.0</v>
      </c>
      <c r="BX97" s="512">
        <v>64.0</v>
      </c>
      <c r="BY97" s="512">
        <v>67.0</v>
      </c>
      <c r="BZ97" s="512">
        <v>56.0</v>
      </c>
      <c r="CA97" s="512">
        <v>65.0</v>
      </c>
      <c r="CB97" s="512">
        <v>68.0</v>
      </c>
      <c r="CC97" s="512">
        <v>72.0</v>
      </c>
      <c r="CD97" s="512">
        <v>67.0</v>
      </c>
      <c r="CE97" s="512">
        <v>72.0</v>
      </c>
      <c r="CF97" s="512">
        <v>72.0</v>
      </c>
      <c r="CG97" s="512">
        <v>81.0</v>
      </c>
      <c r="CH97" s="512">
        <v>81.0</v>
      </c>
      <c r="CI97" s="512">
        <v>67.0</v>
      </c>
      <c r="CJ97" s="512">
        <v>64.0</v>
      </c>
      <c r="CK97" s="512">
        <v>66.0</v>
      </c>
      <c r="CL97" s="512">
        <v>58.0</v>
      </c>
      <c r="CM97" s="552">
        <f>SUM(BK97:CL97)/28</f>
        <v>60.64285714</v>
      </c>
      <c r="CN97" s="561">
        <v>70.0</v>
      </c>
      <c r="CO97" s="561">
        <v>62.0</v>
      </c>
      <c r="CP97" s="561">
        <v>52.0</v>
      </c>
      <c r="CQ97" s="561">
        <v>69.0</v>
      </c>
      <c r="CR97" s="561">
        <v>60.0</v>
      </c>
      <c r="CS97" s="561">
        <v>69.0</v>
      </c>
      <c r="CT97" s="561">
        <v>56.0</v>
      </c>
      <c r="CU97" s="561">
        <v>52.0</v>
      </c>
      <c r="CV97" s="561">
        <v>37.0</v>
      </c>
      <c r="CW97" s="561">
        <v>67.0</v>
      </c>
      <c r="CX97" s="561">
        <v>58.0</v>
      </c>
      <c r="CY97" s="561">
        <v>73.0</v>
      </c>
      <c r="CZ97" s="561">
        <v>68.0</v>
      </c>
      <c r="DA97" s="561">
        <v>63.0</v>
      </c>
      <c r="DB97" s="561">
        <v>78.0</v>
      </c>
      <c r="DC97" s="561">
        <v>59.0</v>
      </c>
      <c r="DD97" s="561">
        <v>54.0</v>
      </c>
      <c r="DE97" s="561">
        <v>84.0</v>
      </c>
      <c r="DF97" s="561">
        <v>73.0</v>
      </c>
      <c r="DG97" s="561">
        <v>53.0</v>
      </c>
      <c r="DH97" s="561">
        <v>70.0</v>
      </c>
      <c r="DI97" s="561">
        <v>78.0</v>
      </c>
      <c r="DJ97" s="561">
        <v>65.0</v>
      </c>
      <c r="DK97" s="561">
        <v>68.0</v>
      </c>
      <c r="DL97" s="561">
        <v>54.0</v>
      </c>
      <c r="DM97" s="561">
        <v>80.0</v>
      </c>
      <c r="DN97" s="561">
        <v>64.0</v>
      </c>
      <c r="DO97" s="561">
        <v>84.0</v>
      </c>
      <c r="DP97" s="561">
        <v>68.0</v>
      </c>
      <c r="DQ97" s="561">
        <v>70.0</v>
      </c>
      <c r="DR97" s="561">
        <v>79.0</v>
      </c>
      <c r="DS97" s="10"/>
      <c r="DX97" s="530"/>
    </row>
    <row r="98" hidden="1">
      <c r="A98" s="553" t="s">
        <v>291</v>
      </c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  <c r="AI98" s="529"/>
      <c r="AJ98" s="529"/>
      <c r="AK98" s="529"/>
      <c r="AL98" s="529"/>
      <c r="AM98" s="529"/>
      <c r="AN98" s="529"/>
      <c r="AO98" s="529"/>
      <c r="AP98" s="529"/>
      <c r="AQ98" s="529"/>
      <c r="AR98" s="529"/>
      <c r="AS98" s="529"/>
      <c r="AT98" s="529"/>
      <c r="AU98" s="529"/>
      <c r="AV98" s="529"/>
      <c r="AW98" s="529"/>
      <c r="AX98" s="529"/>
      <c r="AY98" s="529"/>
      <c r="AZ98" s="529"/>
      <c r="BA98" s="529"/>
      <c r="BB98" s="529"/>
      <c r="BC98" s="529"/>
      <c r="BD98" s="529"/>
      <c r="BE98" s="529"/>
      <c r="BF98" s="529"/>
      <c r="BG98" s="529"/>
      <c r="BH98" s="529"/>
      <c r="BI98" s="529"/>
      <c r="BJ98" s="529"/>
      <c r="BK98" s="529">
        <v>22.22</v>
      </c>
      <c r="BL98" s="529">
        <v>34.11</v>
      </c>
      <c r="BM98" s="529">
        <v>-190.84</v>
      </c>
      <c r="BN98" s="529">
        <v>38.2</v>
      </c>
      <c r="BO98" s="529">
        <v>33.08</v>
      </c>
      <c r="BP98" s="529">
        <v>48.91</v>
      </c>
      <c r="BQ98" s="529">
        <v>44.55</v>
      </c>
      <c r="BR98" s="529">
        <v>30.32</v>
      </c>
      <c r="BS98" s="529">
        <v>-78.02</v>
      </c>
      <c r="BT98" s="529">
        <v>49.19</v>
      </c>
      <c r="BU98" s="529">
        <v>51.41</v>
      </c>
      <c r="BV98" s="529">
        <v>53.58</v>
      </c>
      <c r="BW98" s="529">
        <v>51.03</v>
      </c>
      <c r="BX98" s="529">
        <v>39.79</v>
      </c>
      <c r="BY98" s="529">
        <v>43.96</v>
      </c>
      <c r="BZ98" s="529">
        <v>43.84</v>
      </c>
      <c r="CA98" s="550">
        <v>45.98</v>
      </c>
      <c r="CB98" s="550">
        <v>40.67</v>
      </c>
      <c r="CC98" s="550">
        <v>47.82</v>
      </c>
      <c r="CD98" s="550">
        <v>63.99</v>
      </c>
      <c r="CE98" s="550">
        <v>-209.27</v>
      </c>
      <c r="CF98" s="550">
        <v>73.03</v>
      </c>
      <c r="CG98" s="550">
        <v>65.24</v>
      </c>
      <c r="CH98" s="550">
        <v>-52.31</v>
      </c>
      <c r="CI98" s="550">
        <v>55.56</v>
      </c>
      <c r="CJ98" s="550">
        <v>37.49</v>
      </c>
      <c r="CK98" s="550">
        <v>42.2</v>
      </c>
      <c r="CL98" s="537">
        <v>57.35</v>
      </c>
      <c r="CM98" s="554"/>
      <c r="CN98" s="537">
        <v>59.66</v>
      </c>
      <c r="CO98" s="537">
        <v>60.37</v>
      </c>
      <c r="CP98" s="537">
        <v>141.75</v>
      </c>
      <c r="CQ98" s="537">
        <v>108.4</v>
      </c>
      <c r="CR98" s="537">
        <v>69.56</v>
      </c>
      <c r="CS98" s="537">
        <v>61.4</v>
      </c>
      <c r="CT98" s="537">
        <v>77.24</v>
      </c>
      <c r="CU98" s="537">
        <v>93.09</v>
      </c>
      <c r="CV98" s="512">
        <v>78.81</v>
      </c>
      <c r="CW98" s="537">
        <v>50.45</v>
      </c>
      <c r="CX98" s="537">
        <v>96.65</v>
      </c>
      <c r="CY98" s="537">
        <v>53.72</v>
      </c>
      <c r="CZ98" s="537">
        <v>66.0</v>
      </c>
      <c r="DA98" s="537">
        <v>83.18</v>
      </c>
      <c r="DB98" s="537">
        <v>120.43</v>
      </c>
      <c r="DC98" s="537">
        <v>117.97</v>
      </c>
      <c r="DD98" s="537">
        <v>139.43</v>
      </c>
      <c r="DE98" s="537">
        <v>92.37</v>
      </c>
      <c r="DF98" s="537">
        <v>75.33</v>
      </c>
      <c r="DG98" s="537">
        <v>81.92</v>
      </c>
      <c r="DH98" s="537">
        <v>76.66</v>
      </c>
      <c r="DI98" s="537">
        <v>82.05</v>
      </c>
      <c r="DJ98" s="537">
        <v>134.46</v>
      </c>
      <c r="DK98" s="537">
        <v>85.28</v>
      </c>
      <c r="DL98" s="537">
        <v>115.26</v>
      </c>
      <c r="DM98" s="537">
        <v>78.71</v>
      </c>
      <c r="DN98" s="537">
        <v>86.54</v>
      </c>
      <c r="DO98" s="537">
        <v>142.97</v>
      </c>
      <c r="DP98" s="537">
        <v>-82.39</v>
      </c>
      <c r="DQ98" s="537">
        <v>105.34</v>
      </c>
      <c r="DR98" s="537">
        <v>101.14</v>
      </c>
      <c r="DS98" s="10"/>
      <c r="DX98" s="530"/>
    </row>
    <row r="99" hidden="1">
      <c r="A99" s="531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499"/>
      <c r="CN99" s="118"/>
      <c r="CO99" s="118"/>
      <c r="CP99" s="118"/>
      <c r="CQ99" s="118"/>
      <c r="CR99" s="118"/>
      <c r="CS99" s="118"/>
      <c r="CT99" s="118"/>
      <c r="CU99" s="118"/>
      <c r="CV99" s="118"/>
      <c r="CW99" s="118"/>
      <c r="CX99" s="118"/>
      <c r="CY99" s="118"/>
      <c r="CZ99" s="118"/>
      <c r="DA99" s="118"/>
      <c r="DB99" s="118"/>
      <c r="DC99" s="118"/>
      <c r="DD99" s="546"/>
      <c r="DE99" s="118"/>
      <c r="DF99" s="118"/>
      <c r="DG99" s="546"/>
      <c r="DH99" s="118"/>
      <c r="DI99" s="118"/>
      <c r="DJ99" s="546"/>
      <c r="DK99" s="118"/>
      <c r="DL99" s="118"/>
      <c r="DM99" s="118"/>
      <c r="DN99" s="118"/>
      <c r="DO99" s="118"/>
      <c r="DP99" s="118"/>
      <c r="DQ99" s="118"/>
      <c r="DR99" s="118"/>
      <c r="DS99" s="10"/>
      <c r="DX99" s="530"/>
    </row>
    <row r="100" hidden="1">
      <c r="A100" s="531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499"/>
      <c r="CN100" s="118"/>
      <c r="CO100" s="118"/>
      <c r="CP100" s="118"/>
      <c r="CQ100" s="118"/>
      <c r="CR100" s="118"/>
      <c r="CS100" s="118"/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0"/>
      <c r="DX100" s="530"/>
    </row>
    <row r="101" hidden="1">
      <c r="A101" s="569" t="s">
        <v>8</v>
      </c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18"/>
      <c r="BK101" s="118"/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499"/>
      <c r="CN101" s="118"/>
      <c r="CO101" s="118"/>
      <c r="CP101" s="118"/>
      <c r="CQ101" s="118"/>
      <c r="CR101" s="118"/>
      <c r="CS101" s="118"/>
      <c r="CT101" s="118"/>
      <c r="CU101" s="118"/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0"/>
      <c r="DX101" s="530"/>
    </row>
    <row r="102" hidden="1">
      <c r="A102" s="502" t="s">
        <v>288</v>
      </c>
      <c r="B102" s="525"/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5"/>
      <c r="N102" s="525"/>
      <c r="O102" s="525"/>
      <c r="P102" s="525"/>
      <c r="Q102" s="525"/>
      <c r="R102" s="525"/>
      <c r="S102" s="525"/>
      <c r="T102" s="525"/>
      <c r="U102" s="525"/>
      <c r="V102" s="525"/>
      <c r="W102" s="525"/>
      <c r="X102" s="525"/>
      <c r="Y102" s="525"/>
      <c r="Z102" s="525"/>
      <c r="AA102" s="525"/>
      <c r="AB102" s="525"/>
      <c r="AC102" s="525"/>
      <c r="AD102" s="525"/>
      <c r="AE102" s="525"/>
      <c r="AF102" s="525"/>
      <c r="AG102" s="525"/>
      <c r="AH102" s="525"/>
      <c r="AI102" s="525"/>
      <c r="AJ102" s="525"/>
      <c r="AK102" s="525"/>
      <c r="AL102" s="525"/>
      <c r="AM102" s="525"/>
      <c r="AN102" s="525"/>
      <c r="AO102" s="525"/>
      <c r="AP102" s="525"/>
      <c r="AQ102" s="525"/>
      <c r="AR102" s="525"/>
      <c r="AS102" s="525"/>
      <c r="AT102" s="525"/>
      <c r="AU102" s="525"/>
      <c r="AV102" s="525"/>
      <c r="AW102" s="525"/>
      <c r="AX102" s="525"/>
      <c r="AY102" s="525"/>
      <c r="AZ102" s="525"/>
      <c r="BA102" s="525"/>
      <c r="BB102" s="525"/>
      <c r="BC102" s="525"/>
      <c r="BD102" s="525"/>
      <c r="BE102" s="525"/>
      <c r="BF102" s="525"/>
      <c r="BG102" s="525"/>
      <c r="BH102" s="525"/>
      <c r="BI102" s="525"/>
      <c r="BJ102" s="525"/>
      <c r="BK102" s="541">
        <v>45689.0</v>
      </c>
      <c r="BL102" s="503">
        <v>45690.0</v>
      </c>
      <c r="BM102" s="503">
        <v>45691.0</v>
      </c>
      <c r="BN102" s="541">
        <v>45692.0</v>
      </c>
      <c r="BO102" s="541">
        <v>45693.0</v>
      </c>
      <c r="BP102" s="541">
        <v>45694.0</v>
      </c>
      <c r="BQ102" s="541">
        <v>45695.0</v>
      </c>
      <c r="BR102" s="541">
        <v>45696.0</v>
      </c>
      <c r="BS102" s="541">
        <v>45697.0</v>
      </c>
      <c r="BT102" s="541">
        <v>45698.0</v>
      </c>
      <c r="BU102" s="541">
        <v>45699.0</v>
      </c>
      <c r="BV102" s="541">
        <v>45700.0</v>
      </c>
      <c r="BW102" s="541">
        <v>45701.0</v>
      </c>
      <c r="BX102" s="541">
        <v>45702.0</v>
      </c>
      <c r="BY102" s="541">
        <v>45703.0</v>
      </c>
      <c r="BZ102" s="541">
        <v>45704.0</v>
      </c>
      <c r="CA102" s="541">
        <v>45705.0</v>
      </c>
      <c r="CB102" s="541">
        <v>45706.0</v>
      </c>
      <c r="CC102" s="541">
        <v>45707.0</v>
      </c>
      <c r="CD102" s="541">
        <v>45708.0</v>
      </c>
      <c r="CE102" s="541">
        <v>45709.0</v>
      </c>
      <c r="CF102" s="541">
        <v>45710.0</v>
      </c>
      <c r="CG102" s="541">
        <v>45711.0</v>
      </c>
      <c r="CH102" s="541">
        <v>45712.0</v>
      </c>
      <c r="CI102" s="541">
        <v>45713.0</v>
      </c>
      <c r="CJ102" s="541">
        <v>45714.0</v>
      </c>
      <c r="CK102" s="541">
        <v>45715.0</v>
      </c>
      <c r="CL102" s="541">
        <v>45716.0</v>
      </c>
      <c r="CM102" s="552"/>
      <c r="CN102" s="541">
        <v>45778.0</v>
      </c>
      <c r="CO102" s="541">
        <v>45779.0</v>
      </c>
      <c r="CP102" s="541">
        <v>45780.0</v>
      </c>
      <c r="CQ102" s="541">
        <v>45781.0</v>
      </c>
      <c r="CR102" s="541">
        <v>45782.0</v>
      </c>
      <c r="CS102" s="541">
        <v>45783.0</v>
      </c>
      <c r="CT102" s="541">
        <v>45784.0</v>
      </c>
      <c r="CU102" s="541">
        <v>45785.0</v>
      </c>
      <c r="CV102" s="541">
        <v>45786.0</v>
      </c>
      <c r="CW102" s="541">
        <v>45787.0</v>
      </c>
      <c r="CX102" s="541">
        <v>45788.0</v>
      </c>
      <c r="CY102" s="541">
        <v>45789.0</v>
      </c>
      <c r="CZ102" s="541">
        <v>45790.0</v>
      </c>
      <c r="DA102" s="541">
        <v>45791.0</v>
      </c>
      <c r="DB102" s="541">
        <v>45792.0</v>
      </c>
      <c r="DC102" s="541">
        <v>45793.0</v>
      </c>
      <c r="DD102" s="541">
        <v>45794.0</v>
      </c>
      <c r="DE102" s="541">
        <v>45795.0</v>
      </c>
      <c r="DF102" s="541">
        <v>45796.0</v>
      </c>
      <c r="DG102" s="541">
        <v>45797.0</v>
      </c>
      <c r="DH102" s="541">
        <v>45798.0</v>
      </c>
      <c r="DI102" s="541">
        <v>45799.0</v>
      </c>
      <c r="DJ102" s="541">
        <v>45800.0</v>
      </c>
      <c r="DK102" s="541">
        <v>45801.0</v>
      </c>
      <c r="DL102" s="541">
        <v>45802.0</v>
      </c>
      <c r="DM102" s="541">
        <v>45803.0</v>
      </c>
      <c r="DN102" s="541">
        <v>45804.0</v>
      </c>
      <c r="DO102" s="541">
        <v>45805.0</v>
      </c>
      <c r="DP102" s="541">
        <v>45806.0</v>
      </c>
      <c r="DQ102" s="541">
        <v>45807.0</v>
      </c>
      <c r="DR102" s="541">
        <v>45808.0</v>
      </c>
      <c r="DS102" s="10"/>
      <c r="DX102" s="530"/>
    </row>
    <row r="103" hidden="1">
      <c r="A103" s="502" t="s">
        <v>289</v>
      </c>
      <c r="B103" s="525"/>
      <c r="C103" s="525"/>
      <c r="D103" s="525"/>
      <c r="E103" s="525"/>
      <c r="F103" s="525"/>
      <c r="G103" s="525"/>
      <c r="H103" s="525"/>
      <c r="I103" s="525"/>
      <c r="J103" s="525"/>
      <c r="K103" s="525"/>
      <c r="L103" s="525"/>
      <c r="M103" s="525"/>
      <c r="N103" s="525"/>
      <c r="O103" s="525"/>
      <c r="P103" s="525"/>
      <c r="Q103" s="525"/>
      <c r="R103" s="525"/>
      <c r="S103" s="525"/>
      <c r="T103" s="525"/>
      <c r="U103" s="525"/>
      <c r="V103" s="525"/>
      <c r="W103" s="525"/>
      <c r="X103" s="525"/>
      <c r="Y103" s="525"/>
      <c r="Z103" s="525"/>
      <c r="AA103" s="525"/>
      <c r="AB103" s="525"/>
      <c r="AC103" s="525"/>
      <c r="AD103" s="525"/>
      <c r="AE103" s="525"/>
      <c r="AF103" s="525"/>
      <c r="AG103" s="525"/>
      <c r="AH103" s="525"/>
      <c r="AI103" s="525"/>
      <c r="AJ103" s="525"/>
      <c r="AK103" s="525"/>
      <c r="AL103" s="525"/>
      <c r="AM103" s="525"/>
      <c r="AN103" s="525"/>
      <c r="AO103" s="525"/>
      <c r="AP103" s="525"/>
      <c r="AQ103" s="525"/>
      <c r="AR103" s="525"/>
      <c r="AS103" s="525"/>
      <c r="AT103" s="525"/>
      <c r="AU103" s="525"/>
      <c r="AV103" s="525"/>
      <c r="AW103" s="525"/>
      <c r="AX103" s="525"/>
      <c r="AY103" s="525"/>
      <c r="AZ103" s="525"/>
      <c r="BA103" s="525"/>
      <c r="BB103" s="525"/>
      <c r="BC103" s="525"/>
      <c r="BD103" s="525"/>
      <c r="BE103" s="525"/>
      <c r="BF103" s="525"/>
      <c r="BG103" s="525"/>
      <c r="BH103" s="525"/>
      <c r="BI103" s="525"/>
      <c r="BJ103" s="525"/>
      <c r="BK103" s="525"/>
      <c r="BL103" s="518">
        <v>196.0</v>
      </c>
      <c r="BM103" s="518">
        <v>147.0</v>
      </c>
      <c r="BN103" s="525"/>
      <c r="BO103" s="525"/>
      <c r="BP103" s="512">
        <v>193.0</v>
      </c>
      <c r="BQ103" s="512">
        <v>202.0</v>
      </c>
      <c r="BR103" s="512">
        <v>239.0</v>
      </c>
      <c r="BS103" s="525"/>
      <c r="BT103" s="512">
        <v>181.0</v>
      </c>
      <c r="BU103" s="525"/>
      <c r="BV103" s="512">
        <v>292.0</v>
      </c>
      <c r="BW103" s="512">
        <v>258.0</v>
      </c>
      <c r="BX103" s="512">
        <v>267.0</v>
      </c>
      <c r="BY103" s="512">
        <v>214.0</v>
      </c>
      <c r="BZ103" s="512">
        <v>234.0</v>
      </c>
      <c r="CA103" s="512">
        <v>271.0</v>
      </c>
      <c r="CB103" s="512">
        <v>222.0</v>
      </c>
      <c r="CC103" s="512">
        <v>298.0</v>
      </c>
      <c r="CD103" s="512">
        <v>290.0</v>
      </c>
      <c r="CE103" s="512">
        <v>261.0</v>
      </c>
      <c r="CF103" s="512">
        <v>274.0</v>
      </c>
      <c r="CG103" s="512">
        <v>285.0</v>
      </c>
      <c r="CH103" s="512">
        <v>196.0</v>
      </c>
      <c r="CI103" s="512">
        <v>198.0</v>
      </c>
      <c r="CJ103" s="512">
        <v>274.0</v>
      </c>
      <c r="CK103" s="512">
        <v>197.0</v>
      </c>
      <c r="CL103" s="512">
        <v>246.0</v>
      </c>
      <c r="CM103" s="552"/>
      <c r="CN103" s="561">
        <v>204.0</v>
      </c>
      <c r="CO103" s="561">
        <v>199.0</v>
      </c>
      <c r="CP103" s="561">
        <v>160.0</v>
      </c>
      <c r="CQ103" s="561">
        <v>198.0</v>
      </c>
      <c r="CR103" s="561">
        <v>163.0</v>
      </c>
      <c r="CS103" s="561">
        <v>305.0</v>
      </c>
      <c r="CT103" s="561">
        <v>243.0</v>
      </c>
      <c r="CU103" s="561">
        <v>256.0</v>
      </c>
      <c r="CV103" s="561">
        <v>165.0</v>
      </c>
      <c r="CW103" s="561">
        <v>173.0</v>
      </c>
      <c r="CX103" s="561">
        <v>247.0</v>
      </c>
      <c r="CY103" s="561">
        <v>212.0</v>
      </c>
      <c r="CZ103" s="561">
        <v>253.0</v>
      </c>
      <c r="DA103" s="561">
        <v>279.0</v>
      </c>
      <c r="DB103" s="561">
        <v>228.0</v>
      </c>
      <c r="DC103" s="561">
        <v>238.0</v>
      </c>
      <c r="DD103" s="561">
        <v>175.0</v>
      </c>
      <c r="DE103" s="561">
        <v>198.0</v>
      </c>
      <c r="DF103" s="561">
        <v>216.0</v>
      </c>
      <c r="DG103" s="561">
        <v>250.0</v>
      </c>
      <c r="DH103" s="561">
        <v>213.0</v>
      </c>
      <c r="DI103" s="561">
        <v>214.0</v>
      </c>
      <c r="DJ103" s="561">
        <v>216.0</v>
      </c>
      <c r="DK103" s="561">
        <v>173.0</v>
      </c>
      <c r="DL103" s="561">
        <v>217.0</v>
      </c>
      <c r="DM103" s="561">
        <v>251.0</v>
      </c>
      <c r="DN103" s="561">
        <v>289.0</v>
      </c>
      <c r="DO103" s="561">
        <v>222.0</v>
      </c>
      <c r="DP103" s="561">
        <v>240.0</v>
      </c>
      <c r="DQ103" s="561">
        <v>254.0</v>
      </c>
      <c r="DR103" s="561">
        <v>158.0</v>
      </c>
      <c r="DS103" s="10"/>
      <c r="DX103" s="530"/>
    </row>
    <row r="104" hidden="1">
      <c r="A104" s="521" t="s">
        <v>290</v>
      </c>
      <c r="B104" s="525"/>
      <c r="C104" s="525"/>
      <c r="D104" s="525"/>
      <c r="E104" s="525"/>
      <c r="F104" s="525"/>
      <c r="G104" s="525"/>
      <c r="H104" s="525"/>
      <c r="I104" s="525"/>
      <c r="J104" s="525"/>
      <c r="K104" s="525"/>
      <c r="L104" s="525"/>
      <c r="M104" s="525"/>
      <c r="N104" s="525"/>
      <c r="O104" s="525"/>
      <c r="P104" s="525"/>
      <c r="Q104" s="525"/>
      <c r="R104" s="525"/>
      <c r="S104" s="525"/>
      <c r="T104" s="525"/>
      <c r="U104" s="525"/>
      <c r="V104" s="525"/>
      <c r="W104" s="525"/>
      <c r="X104" s="525"/>
      <c r="Y104" s="525"/>
      <c r="Z104" s="525"/>
      <c r="AA104" s="525"/>
      <c r="AB104" s="525"/>
      <c r="AC104" s="525"/>
      <c r="AD104" s="525"/>
      <c r="AE104" s="525"/>
      <c r="AF104" s="525"/>
      <c r="AG104" s="525"/>
      <c r="AH104" s="525"/>
      <c r="AI104" s="525"/>
      <c r="AJ104" s="525"/>
      <c r="AK104" s="525"/>
      <c r="AL104" s="525"/>
      <c r="AM104" s="525"/>
      <c r="AN104" s="525"/>
      <c r="AO104" s="525"/>
      <c r="AP104" s="525"/>
      <c r="AQ104" s="525"/>
      <c r="AR104" s="525"/>
      <c r="AS104" s="525"/>
      <c r="AT104" s="525"/>
      <c r="AU104" s="525"/>
      <c r="AV104" s="525"/>
      <c r="AW104" s="525"/>
      <c r="AX104" s="525"/>
      <c r="AY104" s="525"/>
      <c r="AZ104" s="525"/>
      <c r="BA104" s="525"/>
      <c r="BB104" s="525"/>
      <c r="BC104" s="525"/>
      <c r="BD104" s="525"/>
      <c r="BE104" s="525"/>
      <c r="BF104" s="525"/>
      <c r="BG104" s="525"/>
      <c r="BH104" s="525"/>
      <c r="BI104" s="525"/>
      <c r="BJ104" s="525"/>
      <c r="BK104" s="525"/>
      <c r="BL104" s="518">
        <v>82.0</v>
      </c>
      <c r="BM104" s="518">
        <v>67.0</v>
      </c>
      <c r="BN104" s="525"/>
      <c r="BO104" s="525"/>
      <c r="BP104" s="512">
        <v>71.0</v>
      </c>
      <c r="BQ104" s="512">
        <v>80.0</v>
      </c>
      <c r="BR104" s="512">
        <v>95.0</v>
      </c>
      <c r="BS104" s="525"/>
      <c r="BT104" s="512">
        <v>73.0</v>
      </c>
      <c r="BU104" s="525"/>
      <c r="BV104" s="512">
        <v>96.0</v>
      </c>
      <c r="BW104" s="512">
        <v>98.0</v>
      </c>
      <c r="BX104" s="512">
        <v>104.0</v>
      </c>
      <c r="BY104" s="512">
        <v>88.0</v>
      </c>
      <c r="BZ104" s="512">
        <v>86.0</v>
      </c>
      <c r="CA104" s="512">
        <v>101.0</v>
      </c>
      <c r="CB104" s="512">
        <v>88.0</v>
      </c>
      <c r="CC104" s="512">
        <v>106.0</v>
      </c>
      <c r="CD104" s="512">
        <v>103.0</v>
      </c>
      <c r="CE104" s="512">
        <v>89.0</v>
      </c>
      <c r="CF104" s="512">
        <v>119.0</v>
      </c>
      <c r="CG104" s="512">
        <v>116.0</v>
      </c>
      <c r="CH104" s="512">
        <v>86.0</v>
      </c>
      <c r="CI104" s="512">
        <v>89.0</v>
      </c>
      <c r="CJ104" s="512">
        <v>103.0</v>
      </c>
      <c r="CK104" s="512">
        <v>82.0</v>
      </c>
      <c r="CL104" s="512">
        <v>92.0</v>
      </c>
      <c r="CM104" s="552">
        <f>SUM(BK104:CL104)/22</f>
        <v>96.09090909</v>
      </c>
      <c r="CN104" s="561">
        <v>97.0</v>
      </c>
      <c r="CO104" s="561">
        <v>81.0</v>
      </c>
      <c r="CP104" s="561">
        <v>67.0</v>
      </c>
      <c r="CQ104" s="561">
        <v>89.0</v>
      </c>
      <c r="CR104" s="561">
        <v>78.0</v>
      </c>
      <c r="CS104" s="561">
        <v>104.0</v>
      </c>
      <c r="CT104" s="561">
        <v>91.0</v>
      </c>
      <c r="CU104" s="561">
        <v>102.0</v>
      </c>
      <c r="CV104" s="561">
        <v>62.0</v>
      </c>
      <c r="CW104" s="561">
        <v>86.0</v>
      </c>
      <c r="CX104" s="561">
        <v>98.0</v>
      </c>
      <c r="CY104" s="561">
        <v>108.0</v>
      </c>
      <c r="CZ104" s="561">
        <v>94.0</v>
      </c>
      <c r="DA104" s="561">
        <v>91.0</v>
      </c>
      <c r="DB104" s="561">
        <v>99.0</v>
      </c>
      <c r="DC104" s="561">
        <v>55.0</v>
      </c>
      <c r="DD104" s="561">
        <v>76.0</v>
      </c>
      <c r="DE104" s="561">
        <v>96.0</v>
      </c>
      <c r="DF104" s="561">
        <v>90.0</v>
      </c>
      <c r="DG104" s="561">
        <v>94.0</v>
      </c>
      <c r="DH104" s="561">
        <v>94.0</v>
      </c>
      <c r="DI104" s="561">
        <v>91.0</v>
      </c>
      <c r="DJ104" s="561">
        <v>98.0</v>
      </c>
      <c r="DK104" s="561">
        <v>75.0</v>
      </c>
      <c r="DL104" s="561">
        <v>95.0</v>
      </c>
      <c r="DM104" s="561">
        <v>99.0</v>
      </c>
      <c r="DN104" s="561">
        <v>102.0</v>
      </c>
      <c r="DO104" s="561">
        <v>81.0</v>
      </c>
      <c r="DP104" s="561">
        <v>91.0</v>
      </c>
      <c r="DQ104" s="561">
        <v>105.0</v>
      </c>
      <c r="DR104" s="561">
        <v>75.0</v>
      </c>
      <c r="DS104" s="10"/>
      <c r="DX104" s="530"/>
    </row>
    <row r="105" hidden="1">
      <c r="A105" s="502" t="s">
        <v>291</v>
      </c>
      <c r="B105" s="525"/>
      <c r="C105" s="525"/>
      <c r="D105" s="525"/>
      <c r="E105" s="525"/>
      <c r="F105" s="525"/>
      <c r="G105" s="525"/>
      <c r="H105" s="525"/>
      <c r="I105" s="525"/>
      <c r="J105" s="525"/>
      <c r="K105" s="525"/>
      <c r="L105" s="525"/>
      <c r="M105" s="525"/>
      <c r="N105" s="525"/>
      <c r="O105" s="525"/>
      <c r="P105" s="525"/>
      <c r="Q105" s="525"/>
      <c r="R105" s="525"/>
      <c r="S105" s="525"/>
      <c r="T105" s="525"/>
      <c r="U105" s="525"/>
      <c r="V105" s="525"/>
      <c r="W105" s="525"/>
      <c r="X105" s="525"/>
      <c r="Y105" s="525"/>
      <c r="Z105" s="525"/>
      <c r="AA105" s="525"/>
      <c r="AB105" s="525"/>
      <c r="AC105" s="525"/>
      <c r="AD105" s="525"/>
      <c r="AE105" s="525"/>
      <c r="AF105" s="525"/>
      <c r="AG105" s="525"/>
      <c r="AH105" s="525"/>
      <c r="AI105" s="525"/>
      <c r="AJ105" s="525"/>
      <c r="AK105" s="525"/>
      <c r="AL105" s="525"/>
      <c r="AM105" s="525"/>
      <c r="AN105" s="525"/>
      <c r="AO105" s="525"/>
      <c r="AP105" s="525"/>
      <c r="AQ105" s="525"/>
      <c r="AR105" s="525"/>
      <c r="AS105" s="525"/>
      <c r="AT105" s="525"/>
      <c r="AU105" s="525"/>
      <c r="AV105" s="525"/>
      <c r="AW105" s="525"/>
      <c r="AX105" s="525"/>
      <c r="AY105" s="525"/>
      <c r="AZ105" s="525"/>
      <c r="BA105" s="525"/>
      <c r="BB105" s="525"/>
      <c r="BC105" s="525"/>
      <c r="BD105" s="525"/>
      <c r="BE105" s="525"/>
      <c r="BF105" s="525"/>
      <c r="BG105" s="525"/>
      <c r="BH105" s="525"/>
      <c r="BI105" s="525"/>
      <c r="BJ105" s="525"/>
      <c r="BK105" s="529">
        <v>-167.68</v>
      </c>
      <c r="BL105" s="529">
        <v>-89.36</v>
      </c>
      <c r="BM105" s="529">
        <v>-26.1</v>
      </c>
      <c r="BN105" s="529">
        <v>-389.28</v>
      </c>
      <c r="BO105" s="529">
        <v>54.9</v>
      </c>
      <c r="BP105" s="529">
        <v>22.93</v>
      </c>
      <c r="BQ105" s="529">
        <v>-66.7</v>
      </c>
      <c r="BR105" s="529">
        <v>-203.56</v>
      </c>
      <c r="BS105" s="529">
        <v>-359.15</v>
      </c>
      <c r="BT105" s="529">
        <v>-10.32</v>
      </c>
      <c r="BU105" s="529">
        <v>-130.74</v>
      </c>
      <c r="BV105" s="529">
        <v>82.49</v>
      </c>
      <c r="BW105" s="529">
        <v>14.18</v>
      </c>
      <c r="BX105" s="529">
        <v>93.65</v>
      </c>
      <c r="BY105" s="529">
        <v>96.27</v>
      </c>
      <c r="BZ105" s="529">
        <v>-478.47</v>
      </c>
      <c r="CA105" s="529">
        <v>-2.11</v>
      </c>
      <c r="CB105" s="529">
        <v>81.53</v>
      </c>
      <c r="CC105" s="529">
        <v>-45.15</v>
      </c>
      <c r="CD105" s="529">
        <v>92.28</v>
      </c>
      <c r="CE105" s="529">
        <v>-294.99</v>
      </c>
      <c r="CF105" s="529">
        <v>121.62</v>
      </c>
      <c r="CG105" s="529">
        <v>109.56</v>
      </c>
      <c r="CH105" s="529">
        <v>-81.66</v>
      </c>
      <c r="CI105" s="529">
        <v>-103.42</v>
      </c>
      <c r="CJ105" s="529">
        <v>72.17</v>
      </c>
      <c r="CK105" s="529">
        <v>106.47</v>
      </c>
      <c r="CL105" s="512">
        <v>7.22</v>
      </c>
      <c r="CM105" s="525"/>
      <c r="CN105" s="537">
        <v>98.57</v>
      </c>
      <c r="CO105" s="537">
        <v>122.74</v>
      </c>
      <c r="CP105" s="537">
        <v>170.6</v>
      </c>
      <c r="CQ105" s="537">
        <v>165.04</v>
      </c>
      <c r="CR105" s="537">
        <v>74.36</v>
      </c>
      <c r="CS105" s="537">
        <v>148.73</v>
      </c>
      <c r="CT105" s="537">
        <v>104.8</v>
      </c>
      <c r="CU105" s="537">
        <v>132.05</v>
      </c>
      <c r="CV105" s="512">
        <v>-156.88</v>
      </c>
      <c r="CW105" s="537">
        <v>153.3</v>
      </c>
      <c r="CX105" s="537">
        <v>196.55</v>
      </c>
      <c r="CY105" s="537">
        <v>121.95</v>
      </c>
      <c r="CZ105" s="537">
        <v>114.4</v>
      </c>
      <c r="DA105" s="537">
        <v>140.36</v>
      </c>
      <c r="DB105" s="537">
        <v>128.71</v>
      </c>
      <c r="DC105" s="537">
        <v>200.19</v>
      </c>
      <c r="DD105" s="537">
        <v>213.71</v>
      </c>
      <c r="DE105" s="537">
        <v>158.06</v>
      </c>
      <c r="DF105" s="537">
        <v>104.2</v>
      </c>
      <c r="DG105" s="537">
        <v>100.72</v>
      </c>
      <c r="DH105" s="537">
        <v>-439.92</v>
      </c>
      <c r="DI105" s="537">
        <v>-440.08</v>
      </c>
      <c r="DJ105" s="537">
        <v>-298.3</v>
      </c>
      <c r="DK105" s="537">
        <v>168.3</v>
      </c>
      <c r="DL105" s="537">
        <v>231.02</v>
      </c>
      <c r="DM105" s="537">
        <v>129.85</v>
      </c>
      <c r="DN105" s="537">
        <v>155.54</v>
      </c>
      <c r="DO105" s="537">
        <v>194.33</v>
      </c>
      <c r="DP105" s="537">
        <v>200.63</v>
      </c>
      <c r="DQ105" s="537">
        <v>-289.71</v>
      </c>
      <c r="DR105" s="537">
        <v>274.56</v>
      </c>
      <c r="DS105" s="10"/>
      <c r="DX105" s="530"/>
    </row>
    <row r="106" hidden="1">
      <c r="A106" s="531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  <c r="CU106" s="118"/>
      <c r="CV106" s="118"/>
      <c r="CW106" s="118"/>
      <c r="CX106" s="118"/>
      <c r="CY106" s="118"/>
      <c r="CZ106" s="118"/>
      <c r="DA106" s="118"/>
      <c r="DB106" s="118"/>
      <c r="DC106" s="118"/>
      <c r="DD106" s="546"/>
      <c r="DE106" s="118"/>
      <c r="DF106" s="118"/>
      <c r="DG106" s="546"/>
      <c r="DH106" s="118"/>
      <c r="DI106" s="10"/>
      <c r="DJ106" s="546"/>
      <c r="DK106" s="118"/>
      <c r="DL106" s="118"/>
      <c r="DM106" s="118"/>
      <c r="DN106" s="118"/>
      <c r="DO106" s="118"/>
      <c r="DP106" s="118"/>
      <c r="DQ106" s="118"/>
      <c r="DR106" s="118"/>
      <c r="DS106" s="10"/>
      <c r="DX106" s="530"/>
    </row>
    <row r="107" hidden="1">
      <c r="A107" s="531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0"/>
      <c r="DX107" s="530"/>
    </row>
    <row r="108" hidden="1">
      <c r="A108" s="500" t="s">
        <v>12</v>
      </c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0"/>
      <c r="DX108" s="530"/>
    </row>
    <row r="109" hidden="1">
      <c r="A109" s="502" t="s">
        <v>288</v>
      </c>
      <c r="B109" s="525"/>
      <c r="C109" s="525"/>
      <c r="D109" s="525"/>
      <c r="E109" s="525"/>
      <c r="F109" s="525"/>
      <c r="G109" s="525"/>
      <c r="H109" s="525"/>
      <c r="I109" s="525"/>
      <c r="J109" s="525"/>
      <c r="K109" s="525"/>
      <c r="L109" s="525"/>
      <c r="M109" s="525"/>
      <c r="N109" s="525"/>
      <c r="O109" s="525"/>
      <c r="P109" s="525"/>
      <c r="Q109" s="525"/>
      <c r="R109" s="525"/>
      <c r="S109" s="525"/>
      <c r="T109" s="525"/>
      <c r="U109" s="525"/>
      <c r="V109" s="525"/>
      <c r="W109" s="525"/>
      <c r="X109" s="525"/>
      <c r="Y109" s="525"/>
      <c r="Z109" s="525"/>
      <c r="AA109" s="525"/>
      <c r="AB109" s="525"/>
      <c r="AC109" s="525"/>
      <c r="AD109" s="525"/>
      <c r="AE109" s="525"/>
      <c r="AF109" s="525"/>
      <c r="AG109" s="525"/>
      <c r="AH109" s="525"/>
      <c r="AI109" s="525"/>
      <c r="AJ109" s="525"/>
      <c r="AK109" s="525"/>
      <c r="AL109" s="525"/>
      <c r="AM109" s="525"/>
      <c r="AN109" s="525"/>
      <c r="AO109" s="525"/>
      <c r="AP109" s="525"/>
      <c r="AQ109" s="525"/>
      <c r="AR109" s="525"/>
      <c r="AS109" s="525"/>
      <c r="AT109" s="525"/>
      <c r="AU109" s="525"/>
      <c r="AV109" s="525"/>
      <c r="AW109" s="525"/>
      <c r="AX109" s="525"/>
      <c r="AY109" s="525"/>
      <c r="AZ109" s="525"/>
      <c r="BA109" s="525"/>
      <c r="BB109" s="525"/>
      <c r="BC109" s="525"/>
      <c r="BD109" s="525"/>
      <c r="BE109" s="525"/>
      <c r="BF109" s="525"/>
      <c r="BG109" s="525"/>
      <c r="BH109" s="525"/>
      <c r="BI109" s="525"/>
      <c r="BJ109" s="525"/>
      <c r="BK109" s="541">
        <v>45689.0</v>
      </c>
      <c r="BL109" s="541">
        <v>45690.0</v>
      </c>
      <c r="BM109" s="541">
        <v>45691.0</v>
      </c>
      <c r="BN109" s="541">
        <v>45692.0</v>
      </c>
      <c r="BO109" s="541">
        <v>45693.0</v>
      </c>
      <c r="BP109" s="541">
        <v>45694.0</v>
      </c>
      <c r="BQ109" s="541">
        <v>45695.0</v>
      </c>
      <c r="BR109" s="541">
        <v>45696.0</v>
      </c>
      <c r="BS109" s="541">
        <v>45697.0</v>
      </c>
      <c r="BT109" s="541">
        <v>45698.0</v>
      </c>
      <c r="BU109" s="541">
        <v>45699.0</v>
      </c>
      <c r="BV109" s="541">
        <v>45700.0</v>
      </c>
      <c r="BW109" s="541">
        <v>45701.0</v>
      </c>
      <c r="BX109" s="541">
        <v>45702.0</v>
      </c>
      <c r="BY109" s="541">
        <v>45703.0</v>
      </c>
      <c r="BZ109" s="541">
        <v>45704.0</v>
      </c>
      <c r="CA109" s="541">
        <v>45705.0</v>
      </c>
      <c r="CB109" s="541">
        <v>45706.0</v>
      </c>
      <c r="CC109" s="541">
        <v>45707.0</v>
      </c>
      <c r="CD109" s="541">
        <v>45708.0</v>
      </c>
      <c r="CE109" s="541">
        <v>45709.0</v>
      </c>
      <c r="CF109" s="541">
        <v>45710.0</v>
      </c>
      <c r="CG109" s="541">
        <v>45711.0</v>
      </c>
      <c r="CH109" s="541">
        <v>45712.0</v>
      </c>
      <c r="CI109" s="541">
        <v>45713.0</v>
      </c>
      <c r="CJ109" s="541">
        <v>45714.0</v>
      </c>
      <c r="CK109" s="541">
        <v>45715.0</v>
      </c>
      <c r="CL109" s="541">
        <v>45716.0</v>
      </c>
      <c r="CM109" s="563"/>
      <c r="CN109" s="541">
        <v>45778.0</v>
      </c>
      <c r="CO109" s="541">
        <v>45779.0</v>
      </c>
      <c r="CP109" s="541">
        <v>45780.0</v>
      </c>
      <c r="CQ109" s="541">
        <v>45781.0</v>
      </c>
      <c r="CR109" s="541">
        <v>45782.0</v>
      </c>
      <c r="CS109" s="541">
        <v>45783.0</v>
      </c>
      <c r="CT109" s="541">
        <v>45784.0</v>
      </c>
      <c r="CU109" s="541">
        <v>45785.0</v>
      </c>
      <c r="CV109" s="541">
        <v>45786.0</v>
      </c>
      <c r="CW109" s="541">
        <v>45787.0</v>
      </c>
      <c r="CX109" s="541">
        <v>45788.0</v>
      </c>
      <c r="CY109" s="541">
        <v>45789.0</v>
      </c>
      <c r="CZ109" s="541">
        <v>45790.0</v>
      </c>
      <c r="DA109" s="541">
        <v>45791.0</v>
      </c>
      <c r="DB109" s="541">
        <v>45792.0</v>
      </c>
      <c r="DC109" s="541">
        <v>45793.0</v>
      </c>
      <c r="DD109" s="541">
        <v>45794.0</v>
      </c>
      <c r="DE109" s="541">
        <v>45795.0</v>
      </c>
      <c r="DF109" s="541">
        <v>45796.0</v>
      </c>
      <c r="DG109" s="541">
        <v>45797.0</v>
      </c>
      <c r="DH109" s="541">
        <v>45798.0</v>
      </c>
      <c r="DI109" s="541">
        <v>45799.0</v>
      </c>
      <c r="DJ109" s="541">
        <v>45800.0</v>
      </c>
      <c r="DK109" s="541">
        <v>45801.0</v>
      </c>
      <c r="DL109" s="541">
        <v>45802.0</v>
      </c>
      <c r="DM109" s="541">
        <v>45803.0</v>
      </c>
      <c r="DN109" s="541">
        <v>45804.0</v>
      </c>
      <c r="DO109" s="541">
        <v>45805.0</v>
      </c>
      <c r="DP109" s="541">
        <v>45806.0</v>
      </c>
      <c r="DQ109" s="541">
        <v>45807.0</v>
      </c>
      <c r="DR109" s="541">
        <v>45808.0</v>
      </c>
      <c r="DS109" s="10"/>
      <c r="DX109" s="530"/>
    </row>
    <row r="110" hidden="1">
      <c r="A110" s="502" t="s">
        <v>289</v>
      </c>
      <c r="B110" s="525"/>
      <c r="C110" s="525"/>
      <c r="D110" s="525"/>
      <c r="E110" s="525"/>
      <c r="F110" s="525"/>
      <c r="G110" s="525"/>
      <c r="H110" s="525"/>
      <c r="I110" s="525"/>
      <c r="J110" s="525"/>
      <c r="K110" s="525"/>
      <c r="L110" s="525"/>
      <c r="M110" s="525"/>
      <c r="N110" s="525"/>
      <c r="O110" s="525"/>
      <c r="P110" s="525"/>
      <c r="Q110" s="525"/>
      <c r="R110" s="525"/>
      <c r="S110" s="525"/>
      <c r="T110" s="525"/>
      <c r="U110" s="525"/>
      <c r="V110" s="525"/>
      <c r="W110" s="525"/>
      <c r="X110" s="525"/>
      <c r="Y110" s="525"/>
      <c r="Z110" s="525"/>
      <c r="AA110" s="525"/>
      <c r="AB110" s="525"/>
      <c r="AC110" s="525"/>
      <c r="AD110" s="525"/>
      <c r="AE110" s="525"/>
      <c r="AF110" s="525"/>
      <c r="AG110" s="525"/>
      <c r="AH110" s="525"/>
      <c r="AI110" s="525"/>
      <c r="AJ110" s="525"/>
      <c r="AK110" s="525"/>
      <c r="AL110" s="525"/>
      <c r="AM110" s="525"/>
      <c r="AN110" s="525"/>
      <c r="AO110" s="525"/>
      <c r="AP110" s="525"/>
      <c r="AQ110" s="525"/>
      <c r="AR110" s="525"/>
      <c r="AS110" s="525"/>
      <c r="AT110" s="525"/>
      <c r="AU110" s="525"/>
      <c r="AV110" s="525"/>
      <c r="AW110" s="525"/>
      <c r="AX110" s="525"/>
      <c r="AY110" s="525"/>
      <c r="AZ110" s="525"/>
      <c r="BA110" s="525"/>
      <c r="BB110" s="525"/>
      <c r="BC110" s="525"/>
      <c r="BD110" s="525"/>
      <c r="BE110" s="525"/>
      <c r="BF110" s="525"/>
      <c r="BG110" s="525"/>
      <c r="BH110" s="525"/>
      <c r="BI110" s="525"/>
      <c r="BJ110" s="525"/>
      <c r="BK110" s="512">
        <v>99.0</v>
      </c>
      <c r="BL110" s="512">
        <v>117.0</v>
      </c>
      <c r="BM110" s="512">
        <v>121.0</v>
      </c>
      <c r="BN110" s="512">
        <v>105.0</v>
      </c>
      <c r="BO110" s="512">
        <v>97.0</v>
      </c>
      <c r="BP110" s="512">
        <v>98.0</v>
      </c>
      <c r="BQ110" s="512">
        <v>110.0</v>
      </c>
      <c r="BR110" s="512">
        <v>141.0</v>
      </c>
      <c r="BS110" s="512">
        <v>157.0</v>
      </c>
      <c r="BT110" s="512">
        <v>98.0</v>
      </c>
      <c r="BU110" s="512">
        <v>130.0</v>
      </c>
      <c r="BV110" s="512">
        <v>130.0</v>
      </c>
      <c r="BW110" s="512">
        <v>153.0</v>
      </c>
      <c r="BX110" s="512">
        <v>131.0</v>
      </c>
      <c r="BY110" s="512">
        <v>126.0</v>
      </c>
      <c r="BZ110" s="512">
        <v>160.0</v>
      </c>
      <c r="CA110" s="512">
        <v>151.0</v>
      </c>
      <c r="CB110" s="512">
        <v>99.0</v>
      </c>
      <c r="CC110" s="512">
        <v>125.0</v>
      </c>
      <c r="CD110" s="512">
        <v>168.0</v>
      </c>
      <c r="CE110" s="512">
        <v>164.0</v>
      </c>
      <c r="CF110" s="512">
        <v>174.0</v>
      </c>
      <c r="CG110" s="512">
        <v>161.0</v>
      </c>
      <c r="CH110" s="512">
        <v>117.0</v>
      </c>
      <c r="CI110" s="512">
        <v>139.0</v>
      </c>
      <c r="CJ110" s="512">
        <v>131.0</v>
      </c>
      <c r="CK110" s="512">
        <v>98.0</v>
      </c>
      <c r="CL110" s="512">
        <v>196.0</v>
      </c>
      <c r="CM110" s="514"/>
      <c r="CN110" s="561">
        <v>139.0</v>
      </c>
      <c r="CO110" s="561">
        <v>124.0</v>
      </c>
      <c r="CP110" s="561">
        <v>107.0</v>
      </c>
      <c r="CQ110" s="561">
        <v>116.0</v>
      </c>
      <c r="CR110" s="561">
        <v>103.0</v>
      </c>
      <c r="CS110" s="561">
        <v>234.0</v>
      </c>
      <c r="CT110" s="561">
        <v>128.0</v>
      </c>
      <c r="CU110" s="561">
        <v>118.0</v>
      </c>
      <c r="CV110" s="561">
        <v>82.0</v>
      </c>
      <c r="CW110" s="561">
        <v>140.0</v>
      </c>
      <c r="CX110" s="561">
        <v>132.0</v>
      </c>
      <c r="CY110" s="561">
        <v>182.0</v>
      </c>
      <c r="CZ110" s="561">
        <v>136.0</v>
      </c>
      <c r="DA110" s="561">
        <v>153.0</v>
      </c>
      <c r="DB110" s="561">
        <v>140.0</v>
      </c>
      <c r="DC110" s="561">
        <v>238.0</v>
      </c>
      <c r="DD110" s="561">
        <v>175.0</v>
      </c>
      <c r="DE110" s="561">
        <v>156.0</v>
      </c>
      <c r="DF110" s="561">
        <v>198.0</v>
      </c>
      <c r="DG110" s="561">
        <v>128.0</v>
      </c>
      <c r="DH110" s="561">
        <v>176.0</v>
      </c>
      <c r="DI110" s="561">
        <v>229.0</v>
      </c>
      <c r="DJ110" s="561">
        <v>157.0</v>
      </c>
      <c r="DK110" s="561">
        <v>120.0</v>
      </c>
      <c r="DL110" s="561">
        <v>168.0</v>
      </c>
      <c r="DM110" s="561">
        <v>154.0</v>
      </c>
      <c r="DN110" s="561">
        <v>158.0</v>
      </c>
      <c r="DO110" s="561">
        <v>118.0</v>
      </c>
      <c r="DP110" s="561">
        <v>183.0</v>
      </c>
      <c r="DQ110" s="561">
        <v>145.0</v>
      </c>
      <c r="DR110" s="561">
        <v>97.0</v>
      </c>
      <c r="DS110" s="10"/>
      <c r="DX110" s="530"/>
    </row>
    <row r="111" hidden="1">
      <c r="A111" s="521" t="s">
        <v>290</v>
      </c>
      <c r="B111" s="525"/>
      <c r="C111" s="525"/>
      <c r="D111" s="525"/>
      <c r="E111" s="525"/>
      <c r="F111" s="525"/>
      <c r="G111" s="525"/>
      <c r="H111" s="525"/>
      <c r="I111" s="525"/>
      <c r="J111" s="525"/>
      <c r="K111" s="525"/>
      <c r="L111" s="525"/>
      <c r="M111" s="525"/>
      <c r="N111" s="525"/>
      <c r="O111" s="525"/>
      <c r="P111" s="525"/>
      <c r="Q111" s="525"/>
      <c r="R111" s="525"/>
      <c r="S111" s="525"/>
      <c r="T111" s="525"/>
      <c r="U111" s="525"/>
      <c r="V111" s="525"/>
      <c r="W111" s="525"/>
      <c r="X111" s="525"/>
      <c r="Y111" s="525"/>
      <c r="Z111" s="525"/>
      <c r="AA111" s="525"/>
      <c r="AB111" s="525"/>
      <c r="AC111" s="525"/>
      <c r="AD111" s="525"/>
      <c r="AE111" s="525"/>
      <c r="AF111" s="525"/>
      <c r="AG111" s="525"/>
      <c r="AH111" s="525"/>
      <c r="AI111" s="525"/>
      <c r="AJ111" s="525"/>
      <c r="AK111" s="525"/>
      <c r="AL111" s="525"/>
      <c r="AM111" s="525"/>
      <c r="AN111" s="525"/>
      <c r="AO111" s="525"/>
      <c r="AP111" s="525"/>
      <c r="AQ111" s="525"/>
      <c r="AR111" s="525"/>
      <c r="AS111" s="525"/>
      <c r="AT111" s="525"/>
      <c r="AU111" s="525"/>
      <c r="AV111" s="525"/>
      <c r="AW111" s="525"/>
      <c r="AX111" s="525"/>
      <c r="AY111" s="525"/>
      <c r="AZ111" s="525"/>
      <c r="BA111" s="525"/>
      <c r="BB111" s="525"/>
      <c r="BC111" s="525"/>
      <c r="BD111" s="525"/>
      <c r="BE111" s="525"/>
      <c r="BF111" s="525"/>
      <c r="BG111" s="525"/>
      <c r="BH111" s="525"/>
      <c r="BI111" s="525"/>
      <c r="BJ111" s="525"/>
      <c r="BK111" s="512">
        <v>44.0</v>
      </c>
      <c r="BL111" s="512">
        <v>55.0</v>
      </c>
      <c r="BM111" s="512">
        <v>47.0</v>
      </c>
      <c r="BN111" s="512">
        <v>39.0</v>
      </c>
      <c r="BO111" s="512">
        <v>54.0</v>
      </c>
      <c r="BP111" s="512">
        <v>46.0</v>
      </c>
      <c r="BQ111" s="512">
        <v>51.0</v>
      </c>
      <c r="BR111" s="512">
        <v>48.0</v>
      </c>
      <c r="BS111" s="512">
        <v>55.0</v>
      </c>
      <c r="BT111" s="512">
        <v>41.0</v>
      </c>
      <c r="BU111" s="512">
        <v>57.0</v>
      </c>
      <c r="BV111" s="512">
        <v>57.0</v>
      </c>
      <c r="BW111" s="512">
        <v>59.0</v>
      </c>
      <c r="BX111" s="512">
        <v>41.0</v>
      </c>
      <c r="BY111" s="512">
        <v>52.0</v>
      </c>
      <c r="BZ111" s="512">
        <v>61.0</v>
      </c>
      <c r="CA111" s="512">
        <v>52.0</v>
      </c>
      <c r="CB111" s="512">
        <v>38.0</v>
      </c>
      <c r="CC111" s="512">
        <v>53.0</v>
      </c>
      <c r="CD111" s="512">
        <v>77.0</v>
      </c>
      <c r="CE111" s="512">
        <v>59.0</v>
      </c>
      <c r="CF111" s="512">
        <v>70.0</v>
      </c>
      <c r="CG111" s="512">
        <v>77.0</v>
      </c>
      <c r="CH111" s="512">
        <v>47.0</v>
      </c>
      <c r="CI111" s="512">
        <v>51.0</v>
      </c>
      <c r="CJ111" s="512">
        <v>54.0</v>
      </c>
      <c r="CK111" s="512">
        <v>43.0</v>
      </c>
      <c r="CL111" s="512">
        <v>75.0</v>
      </c>
      <c r="CM111" s="566">
        <f>SUM(BK111:CL111)/28</f>
        <v>53.67857143</v>
      </c>
      <c r="CN111" s="561">
        <v>51.0</v>
      </c>
      <c r="CO111" s="561">
        <v>56.0</v>
      </c>
      <c r="CP111" s="561">
        <v>41.0</v>
      </c>
      <c r="CQ111" s="561">
        <v>55.0</v>
      </c>
      <c r="CR111" s="561">
        <v>46.0</v>
      </c>
      <c r="CS111" s="561">
        <v>76.0</v>
      </c>
      <c r="CT111" s="561">
        <v>54.0</v>
      </c>
      <c r="CU111" s="561">
        <v>50.0</v>
      </c>
      <c r="CV111" s="561">
        <v>28.0</v>
      </c>
      <c r="CW111" s="561">
        <v>74.0</v>
      </c>
      <c r="CX111" s="561">
        <v>62.0</v>
      </c>
      <c r="CY111" s="561">
        <v>70.0</v>
      </c>
      <c r="CZ111" s="561">
        <v>57.0</v>
      </c>
      <c r="DA111" s="561">
        <v>63.0</v>
      </c>
      <c r="DB111" s="561">
        <v>64.0</v>
      </c>
      <c r="DC111" s="561">
        <v>55.0</v>
      </c>
      <c r="DD111" s="561">
        <v>76.0</v>
      </c>
      <c r="DE111" s="561">
        <v>64.0</v>
      </c>
      <c r="DF111" s="561">
        <v>68.0</v>
      </c>
      <c r="DG111" s="561">
        <v>60.0</v>
      </c>
      <c r="DH111" s="561">
        <v>68.0</v>
      </c>
      <c r="DI111" s="561">
        <v>79.0</v>
      </c>
      <c r="DJ111" s="561">
        <v>75.0</v>
      </c>
      <c r="DK111" s="561">
        <v>52.0</v>
      </c>
      <c r="DL111" s="561">
        <v>78.0</v>
      </c>
      <c r="DM111" s="561">
        <v>71.0</v>
      </c>
      <c r="DN111" s="561">
        <v>66.0</v>
      </c>
      <c r="DO111" s="561">
        <v>50.0</v>
      </c>
      <c r="DP111" s="561">
        <v>72.0</v>
      </c>
      <c r="DQ111" s="561">
        <v>65.0</v>
      </c>
      <c r="DR111" s="561">
        <v>50.0</v>
      </c>
      <c r="DS111" s="10"/>
      <c r="DX111" s="530"/>
    </row>
    <row r="112" hidden="1">
      <c r="A112" s="553" t="s">
        <v>291</v>
      </c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  <c r="AI112" s="529"/>
      <c r="AJ112" s="529"/>
      <c r="AK112" s="529"/>
      <c r="AL112" s="529"/>
      <c r="AM112" s="529"/>
      <c r="AN112" s="529"/>
      <c r="AO112" s="529"/>
      <c r="AP112" s="529"/>
      <c r="AQ112" s="529"/>
      <c r="AR112" s="529"/>
      <c r="AS112" s="529"/>
      <c r="AT112" s="529"/>
      <c r="AU112" s="529"/>
      <c r="AV112" s="529"/>
      <c r="AW112" s="529"/>
      <c r="AX112" s="529"/>
      <c r="AY112" s="529"/>
      <c r="AZ112" s="529"/>
      <c r="BA112" s="529"/>
      <c r="BB112" s="529"/>
      <c r="BC112" s="529"/>
      <c r="BD112" s="529"/>
      <c r="BE112" s="529"/>
      <c r="BF112" s="529"/>
      <c r="BG112" s="529"/>
      <c r="BH112" s="529"/>
      <c r="BI112" s="529"/>
      <c r="BJ112" s="529"/>
      <c r="BK112" s="529">
        <v>-295.52</v>
      </c>
      <c r="BL112" s="529">
        <v>-42.77</v>
      </c>
      <c r="BM112" s="529">
        <v>24.22</v>
      </c>
      <c r="BN112" s="529">
        <v>-438.28</v>
      </c>
      <c r="BO112" s="529">
        <v>35.84</v>
      </c>
      <c r="BP112" s="529">
        <v>-15.94</v>
      </c>
      <c r="BQ112" s="529">
        <v>33.53</v>
      </c>
      <c r="BR112" s="529">
        <v>48.55</v>
      </c>
      <c r="BS112" s="529">
        <v>-179.22</v>
      </c>
      <c r="BT112" s="529">
        <v>-2.05</v>
      </c>
      <c r="BU112" s="529">
        <v>54.16</v>
      </c>
      <c r="BV112" s="529">
        <v>-203.07</v>
      </c>
      <c r="BW112" s="529">
        <v>53.0</v>
      </c>
      <c r="BX112" s="529">
        <v>35.32</v>
      </c>
      <c r="BY112" s="529">
        <v>52.07</v>
      </c>
      <c r="BZ112" s="529">
        <v>38.49</v>
      </c>
      <c r="CA112" s="529">
        <v>54.6</v>
      </c>
      <c r="CB112" s="529">
        <v>43.14</v>
      </c>
      <c r="CC112" s="529">
        <v>-87.46</v>
      </c>
      <c r="CD112" s="529">
        <v>47.24</v>
      </c>
      <c r="CE112" s="529">
        <v>-66.14</v>
      </c>
      <c r="CF112" s="529">
        <v>54.48</v>
      </c>
      <c r="CG112" s="529">
        <v>59.5</v>
      </c>
      <c r="CH112" s="529">
        <v>-90.39</v>
      </c>
      <c r="CI112" s="529">
        <v>50.36</v>
      </c>
      <c r="CJ112" s="529">
        <v>32.76</v>
      </c>
      <c r="CK112" s="529">
        <v>-310.39</v>
      </c>
      <c r="CL112" s="529">
        <v>-88.51</v>
      </c>
      <c r="CM112" s="529"/>
      <c r="CN112" s="537">
        <v>90.83</v>
      </c>
      <c r="CO112" s="537">
        <v>-187.48</v>
      </c>
      <c r="CP112" s="537">
        <v>65.53</v>
      </c>
      <c r="CQ112" s="537">
        <v>108.87</v>
      </c>
      <c r="CR112" s="537">
        <v>135.31</v>
      </c>
      <c r="CS112" s="537">
        <v>103.27</v>
      </c>
      <c r="CT112" s="537">
        <v>77.7</v>
      </c>
      <c r="CU112" s="537">
        <v>115.18</v>
      </c>
      <c r="CV112" s="512">
        <v>100.43</v>
      </c>
      <c r="CW112" s="537">
        <v>57.72</v>
      </c>
      <c r="CX112" s="537">
        <v>139.22</v>
      </c>
      <c r="CY112" s="537">
        <v>77.49</v>
      </c>
      <c r="CZ112" s="537">
        <v>123.33</v>
      </c>
      <c r="DA112" s="537">
        <v>98.53</v>
      </c>
      <c r="DB112" s="537">
        <v>102.9</v>
      </c>
      <c r="DC112" s="537">
        <v>153.9</v>
      </c>
      <c r="DD112" s="537">
        <v>150.56</v>
      </c>
      <c r="DE112" s="537">
        <v>112.18</v>
      </c>
      <c r="DF112" s="537">
        <v>91.75</v>
      </c>
      <c r="DG112" s="537">
        <v>83.32</v>
      </c>
      <c r="DH112" s="537">
        <v>-388.46</v>
      </c>
      <c r="DI112" s="537">
        <v>127.23</v>
      </c>
      <c r="DJ112" s="537">
        <v>96.08</v>
      </c>
      <c r="DK112" s="537">
        <v>118.38</v>
      </c>
      <c r="DL112" s="537">
        <v>-225.66</v>
      </c>
      <c r="DM112" s="537">
        <v>95.13</v>
      </c>
      <c r="DN112" s="537">
        <v>112.11</v>
      </c>
      <c r="DO112" s="537">
        <v>171.73</v>
      </c>
      <c r="DP112" s="537">
        <v>111.38</v>
      </c>
      <c r="DQ112" s="537">
        <v>151.96</v>
      </c>
      <c r="DR112" s="537">
        <v>134.22</v>
      </c>
      <c r="DS112" s="10"/>
      <c r="DX112" s="530"/>
    </row>
    <row r="113" hidden="1">
      <c r="A113" s="531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546"/>
      <c r="DE113" s="118"/>
      <c r="DF113" s="118"/>
      <c r="DG113" s="546"/>
      <c r="DH113" s="118"/>
      <c r="DI113" s="118"/>
      <c r="DJ113" s="546"/>
      <c r="DK113" s="118"/>
      <c r="DL113" s="118"/>
      <c r="DM113" s="118"/>
      <c r="DN113" s="118"/>
      <c r="DO113" s="118"/>
      <c r="DP113" s="118"/>
      <c r="DQ113" s="118"/>
      <c r="DR113" s="118"/>
      <c r="DS113" s="10"/>
      <c r="DX113" s="530"/>
    </row>
    <row r="114" hidden="1">
      <c r="A114" s="531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118"/>
      <c r="BM114" s="118"/>
      <c r="BN114" s="118"/>
      <c r="BO114" s="118"/>
      <c r="BP114" s="118"/>
      <c r="BQ114" s="118"/>
      <c r="BR114" s="118"/>
      <c r="BS114" s="118"/>
      <c r="BT114" s="118"/>
      <c r="BU114" s="118"/>
      <c r="BV114" s="118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118"/>
      <c r="CO114" s="118"/>
      <c r="CP114" s="118"/>
      <c r="CQ114" s="118"/>
      <c r="CR114" s="118"/>
      <c r="CS114" s="118"/>
      <c r="CT114" s="118"/>
      <c r="CU114" s="118"/>
      <c r="CV114" s="118"/>
      <c r="CW114" s="118"/>
      <c r="CX114" s="118"/>
      <c r="CY114" s="118"/>
      <c r="CZ114" s="118"/>
      <c r="DA114" s="118"/>
      <c r="DB114" s="118"/>
      <c r="DC114" s="118"/>
      <c r="DD114" s="118"/>
      <c r="DE114" s="118"/>
      <c r="DF114" s="118"/>
      <c r="DG114" s="118"/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0"/>
      <c r="DX114" s="530"/>
    </row>
    <row r="115" hidden="1">
      <c r="A115" s="500" t="s">
        <v>295</v>
      </c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  <c r="BS115" s="118"/>
      <c r="BT115" s="118"/>
      <c r="BU115" s="118"/>
      <c r="BV115" s="118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8"/>
      <c r="CP115" s="118"/>
      <c r="CQ115" s="118"/>
      <c r="CR115" s="118"/>
      <c r="CS115" s="118"/>
      <c r="CT115" s="118"/>
      <c r="CU115" s="118"/>
      <c r="CV115" s="118"/>
      <c r="CW115" s="118"/>
      <c r="CX115" s="118"/>
      <c r="CY115" s="118"/>
      <c r="CZ115" s="118"/>
      <c r="DA115" s="118"/>
      <c r="DB115" s="118"/>
      <c r="DC115" s="118"/>
      <c r="DD115" s="118"/>
      <c r="DE115" s="118"/>
      <c r="DF115" s="118"/>
      <c r="DG115" s="118"/>
      <c r="DH115" s="118"/>
      <c r="DI115" s="118"/>
      <c r="DJ115" s="118"/>
      <c r="DK115" s="118"/>
      <c r="DL115" s="118"/>
      <c r="DM115" s="118"/>
      <c r="DN115" s="118"/>
      <c r="DO115" s="118"/>
      <c r="DP115" s="118"/>
      <c r="DQ115" s="118"/>
      <c r="DR115" s="118"/>
      <c r="DS115" s="10"/>
      <c r="DX115" s="530"/>
    </row>
    <row r="116" hidden="1">
      <c r="A116" s="502" t="s">
        <v>288</v>
      </c>
      <c r="B116" s="525"/>
      <c r="C116" s="525"/>
      <c r="D116" s="525"/>
      <c r="E116" s="525"/>
      <c r="F116" s="525"/>
      <c r="G116" s="525"/>
      <c r="H116" s="525"/>
      <c r="I116" s="525"/>
      <c r="J116" s="525"/>
      <c r="K116" s="525"/>
      <c r="L116" s="525"/>
      <c r="M116" s="525"/>
      <c r="N116" s="525"/>
      <c r="O116" s="525"/>
      <c r="P116" s="525"/>
      <c r="Q116" s="525"/>
      <c r="R116" s="525"/>
      <c r="S116" s="525"/>
      <c r="T116" s="525"/>
      <c r="U116" s="525"/>
      <c r="V116" s="525"/>
      <c r="W116" s="525"/>
      <c r="X116" s="525"/>
      <c r="Y116" s="525"/>
      <c r="Z116" s="525"/>
      <c r="AA116" s="525"/>
      <c r="AB116" s="525"/>
      <c r="AC116" s="525"/>
      <c r="AD116" s="525"/>
      <c r="AE116" s="525"/>
      <c r="AF116" s="525"/>
      <c r="AG116" s="525"/>
      <c r="AH116" s="525"/>
      <c r="AI116" s="525"/>
      <c r="AJ116" s="525"/>
      <c r="AK116" s="525"/>
      <c r="AL116" s="525"/>
      <c r="AM116" s="525"/>
      <c r="AN116" s="525"/>
      <c r="AO116" s="525"/>
      <c r="AP116" s="525"/>
      <c r="AQ116" s="525"/>
      <c r="AR116" s="525"/>
      <c r="AS116" s="525"/>
      <c r="AT116" s="525"/>
      <c r="AU116" s="525"/>
      <c r="AV116" s="525"/>
      <c r="AW116" s="525"/>
      <c r="AX116" s="525"/>
      <c r="AY116" s="525"/>
      <c r="AZ116" s="525"/>
      <c r="BA116" s="525"/>
      <c r="BB116" s="525"/>
      <c r="BC116" s="525"/>
      <c r="BD116" s="525"/>
      <c r="BE116" s="525"/>
      <c r="BF116" s="525"/>
      <c r="BG116" s="525"/>
      <c r="BH116" s="525"/>
      <c r="BI116" s="525"/>
      <c r="BJ116" s="525"/>
      <c r="BK116" s="541">
        <v>45689.0</v>
      </c>
      <c r="BL116" s="541">
        <v>45690.0</v>
      </c>
      <c r="BM116" s="541">
        <v>45691.0</v>
      </c>
      <c r="BN116" s="541">
        <v>45692.0</v>
      </c>
      <c r="BO116" s="541">
        <v>45693.0</v>
      </c>
      <c r="BP116" s="541">
        <v>45694.0</v>
      </c>
      <c r="BQ116" s="541">
        <v>45695.0</v>
      </c>
      <c r="BR116" s="541">
        <v>45696.0</v>
      </c>
      <c r="BS116" s="541">
        <v>45697.0</v>
      </c>
      <c r="BT116" s="541">
        <v>45698.0</v>
      </c>
      <c r="BU116" s="541">
        <v>45699.0</v>
      </c>
      <c r="BV116" s="541">
        <v>45700.0</v>
      </c>
      <c r="BW116" s="541">
        <v>45701.0</v>
      </c>
      <c r="BX116" s="541">
        <v>45702.0</v>
      </c>
      <c r="BY116" s="541">
        <v>45703.0</v>
      </c>
      <c r="BZ116" s="541">
        <v>45704.0</v>
      </c>
      <c r="CA116" s="541">
        <v>45705.0</v>
      </c>
      <c r="CB116" s="541">
        <v>45706.0</v>
      </c>
      <c r="CC116" s="541">
        <v>45707.0</v>
      </c>
      <c r="CD116" s="541">
        <v>45708.0</v>
      </c>
      <c r="CE116" s="541">
        <v>45709.0</v>
      </c>
      <c r="CF116" s="541">
        <v>45710.0</v>
      </c>
      <c r="CG116" s="541">
        <v>45711.0</v>
      </c>
      <c r="CH116" s="541">
        <v>45712.0</v>
      </c>
      <c r="CI116" s="541">
        <v>45713.0</v>
      </c>
      <c r="CJ116" s="541">
        <v>45714.0</v>
      </c>
      <c r="CK116" s="541">
        <v>45715.0</v>
      </c>
      <c r="CL116" s="541">
        <v>45716.0</v>
      </c>
      <c r="CM116" s="541"/>
      <c r="CN116" s="541">
        <v>45778.0</v>
      </c>
      <c r="CO116" s="541">
        <v>45779.0</v>
      </c>
      <c r="CP116" s="541">
        <v>45780.0</v>
      </c>
      <c r="CQ116" s="541">
        <v>45781.0</v>
      </c>
      <c r="CR116" s="541">
        <v>45782.0</v>
      </c>
      <c r="CS116" s="541">
        <v>45783.0</v>
      </c>
      <c r="CT116" s="541">
        <v>45784.0</v>
      </c>
      <c r="CU116" s="541">
        <v>45785.0</v>
      </c>
      <c r="CV116" s="541">
        <v>45786.0</v>
      </c>
      <c r="CW116" s="541">
        <v>45787.0</v>
      </c>
      <c r="CX116" s="541">
        <v>45788.0</v>
      </c>
      <c r="CY116" s="541">
        <v>45789.0</v>
      </c>
      <c r="CZ116" s="541">
        <v>45790.0</v>
      </c>
      <c r="DA116" s="541">
        <v>45791.0</v>
      </c>
      <c r="DB116" s="541">
        <v>45792.0</v>
      </c>
      <c r="DC116" s="541">
        <v>45793.0</v>
      </c>
      <c r="DD116" s="541">
        <v>45794.0</v>
      </c>
      <c r="DE116" s="541">
        <v>45795.0</v>
      </c>
      <c r="DF116" s="541">
        <v>45796.0</v>
      </c>
      <c r="DG116" s="541">
        <v>45797.0</v>
      </c>
      <c r="DH116" s="541">
        <v>45798.0</v>
      </c>
      <c r="DI116" s="541">
        <v>45799.0</v>
      </c>
      <c r="DJ116" s="541">
        <v>45800.0</v>
      </c>
      <c r="DK116" s="541">
        <v>45801.0</v>
      </c>
      <c r="DL116" s="541">
        <v>45802.0</v>
      </c>
      <c r="DM116" s="541">
        <v>45803.0</v>
      </c>
      <c r="DN116" s="541">
        <v>45804.0</v>
      </c>
      <c r="DO116" s="541">
        <v>45805.0</v>
      </c>
      <c r="DP116" s="541">
        <v>45806.0</v>
      </c>
      <c r="DQ116" s="541">
        <v>45807.0</v>
      </c>
      <c r="DR116" s="541">
        <v>45808.0</v>
      </c>
      <c r="DS116" s="10"/>
      <c r="DX116" s="530"/>
    </row>
    <row r="117" hidden="1">
      <c r="A117" s="502" t="s">
        <v>289</v>
      </c>
      <c r="B117" s="525"/>
      <c r="C117" s="525"/>
      <c r="D117" s="525"/>
      <c r="E117" s="525"/>
      <c r="F117" s="525"/>
      <c r="G117" s="525"/>
      <c r="H117" s="525"/>
      <c r="I117" s="525"/>
      <c r="J117" s="525"/>
      <c r="K117" s="525"/>
      <c r="L117" s="525"/>
      <c r="M117" s="525"/>
      <c r="N117" s="525"/>
      <c r="O117" s="525"/>
      <c r="P117" s="525"/>
      <c r="Q117" s="525"/>
      <c r="R117" s="525"/>
      <c r="S117" s="525"/>
      <c r="T117" s="525"/>
      <c r="U117" s="525"/>
      <c r="V117" s="525"/>
      <c r="W117" s="525"/>
      <c r="X117" s="525"/>
      <c r="Y117" s="525"/>
      <c r="Z117" s="525"/>
      <c r="AA117" s="525"/>
      <c r="AB117" s="525"/>
      <c r="AC117" s="525"/>
      <c r="AD117" s="525"/>
      <c r="AE117" s="525"/>
      <c r="AF117" s="525"/>
      <c r="AG117" s="525"/>
      <c r="AH117" s="525"/>
      <c r="AI117" s="525"/>
      <c r="AJ117" s="525"/>
      <c r="AK117" s="525"/>
      <c r="AL117" s="525"/>
      <c r="AM117" s="525"/>
      <c r="AN117" s="525"/>
      <c r="AO117" s="525"/>
      <c r="AP117" s="525"/>
      <c r="AQ117" s="525"/>
      <c r="AR117" s="525"/>
      <c r="AS117" s="525"/>
      <c r="AT117" s="525"/>
      <c r="AU117" s="525"/>
      <c r="AV117" s="525"/>
      <c r="AW117" s="525"/>
      <c r="AX117" s="525"/>
      <c r="AY117" s="525"/>
      <c r="AZ117" s="525"/>
      <c r="BA117" s="525"/>
      <c r="BB117" s="525"/>
      <c r="BC117" s="525"/>
      <c r="BD117" s="525"/>
      <c r="BE117" s="525"/>
      <c r="BF117" s="525"/>
      <c r="BG117" s="525"/>
      <c r="BH117" s="525"/>
      <c r="BI117" s="525"/>
      <c r="BJ117" s="525"/>
      <c r="BK117" s="512">
        <v>12.0</v>
      </c>
      <c r="BL117" s="512">
        <v>16.0</v>
      </c>
      <c r="BM117" s="512">
        <v>37.0</v>
      </c>
      <c r="BN117" s="512">
        <v>24.0</v>
      </c>
      <c r="BO117" s="512">
        <v>23.0</v>
      </c>
      <c r="BP117" s="512">
        <v>48.0</v>
      </c>
      <c r="BQ117" s="512">
        <v>38.0</v>
      </c>
      <c r="BR117" s="512">
        <v>13.0</v>
      </c>
      <c r="BS117" s="512">
        <v>61.0</v>
      </c>
      <c r="BT117" s="512">
        <v>50.0</v>
      </c>
      <c r="BU117" s="512">
        <v>68.0</v>
      </c>
      <c r="BV117" s="512">
        <v>29.0</v>
      </c>
      <c r="BW117" s="512">
        <v>91.0</v>
      </c>
      <c r="BX117" s="512">
        <v>62.0</v>
      </c>
      <c r="BY117" s="512">
        <v>63.0</v>
      </c>
      <c r="BZ117" s="512">
        <v>64.0</v>
      </c>
      <c r="CA117" s="512">
        <v>76.0</v>
      </c>
      <c r="CB117" s="512">
        <v>49.0</v>
      </c>
      <c r="CC117" s="512">
        <v>63.0</v>
      </c>
      <c r="CD117" s="512">
        <v>50.0</v>
      </c>
      <c r="CE117" s="512">
        <v>55.0</v>
      </c>
      <c r="CF117" s="512">
        <v>77.0</v>
      </c>
      <c r="CG117" s="512">
        <v>77.0</v>
      </c>
      <c r="CH117" s="512">
        <v>72.0</v>
      </c>
      <c r="CI117" s="512">
        <v>80.0</v>
      </c>
      <c r="CJ117" s="512">
        <v>89.0</v>
      </c>
      <c r="CK117" s="512">
        <v>64.0</v>
      </c>
      <c r="CL117" s="512">
        <v>82.0</v>
      </c>
      <c r="CM117" s="512"/>
      <c r="CN117" s="561">
        <v>62.0</v>
      </c>
      <c r="CO117" s="561">
        <v>67.0</v>
      </c>
      <c r="CP117" s="561">
        <v>47.0</v>
      </c>
      <c r="CQ117" s="561">
        <v>105.0</v>
      </c>
      <c r="CR117" s="561">
        <v>85.0</v>
      </c>
      <c r="CS117" s="561">
        <v>117.0</v>
      </c>
      <c r="CT117" s="561">
        <v>93.0</v>
      </c>
      <c r="CU117" s="561">
        <v>82.0</v>
      </c>
      <c r="CV117" s="561">
        <v>41.0</v>
      </c>
      <c r="CW117" s="561">
        <v>64.0</v>
      </c>
      <c r="CX117" s="561">
        <v>97.0</v>
      </c>
      <c r="CY117" s="561">
        <v>83.0</v>
      </c>
      <c r="CZ117" s="561">
        <v>69.0</v>
      </c>
      <c r="DA117" s="561">
        <v>102.0</v>
      </c>
      <c r="DB117" s="561">
        <v>87.0</v>
      </c>
      <c r="DC117" s="561">
        <v>138.0</v>
      </c>
      <c r="DD117" s="561">
        <v>90.0</v>
      </c>
      <c r="DE117" s="561">
        <v>117.0</v>
      </c>
      <c r="DF117" s="561">
        <v>76.0</v>
      </c>
      <c r="DG117" s="561">
        <v>77.0</v>
      </c>
      <c r="DH117" s="561">
        <v>66.0</v>
      </c>
      <c r="DI117" s="561">
        <v>66.0</v>
      </c>
      <c r="DJ117" s="561">
        <v>48.0</v>
      </c>
      <c r="DK117" s="561">
        <v>45.0</v>
      </c>
      <c r="DL117" s="561">
        <v>119.0</v>
      </c>
      <c r="DM117" s="561">
        <v>73.0</v>
      </c>
      <c r="DN117" s="561">
        <v>61.0</v>
      </c>
      <c r="DO117" s="561">
        <v>53.0</v>
      </c>
      <c r="DP117" s="561">
        <v>109.0</v>
      </c>
      <c r="DQ117" s="561">
        <v>90.0</v>
      </c>
      <c r="DR117" s="561">
        <v>51.0</v>
      </c>
      <c r="DS117" s="10"/>
      <c r="DX117" s="530"/>
    </row>
    <row r="118" hidden="1">
      <c r="A118" s="521" t="s">
        <v>290</v>
      </c>
      <c r="B118" s="525"/>
      <c r="C118" s="525"/>
      <c r="D118" s="525"/>
      <c r="E118" s="525"/>
      <c r="F118" s="525"/>
      <c r="G118" s="525"/>
      <c r="H118" s="525"/>
      <c r="I118" s="525"/>
      <c r="J118" s="525"/>
      <c r="K118" s="525"/>
      <c r="L118" s="525"/>
      <c r="M118" s="525"/>
      <c r="N118" s="525"/>
      <c r="O118" s="525"/>
      <c r="P118" s="525"/>
      <c r="Q118" s="525"/>
      <c r="R118" s="525"/>
      <c r="S118" s="525"/>
      <c r="T118" s="525"/>
      <c r="U118" s="525"/>
      <c r="V118" s="525"/>
      <c r="W118" s="525"/>
      <c r="X118" s="525"/>
      <c r="Y118" s="525"/>
      <c r="Z118" s="525"/>
      <c r="AA118" s="525"/>
      <c r="AB118" s="525"/>
      <c r="AC118" s="525"/>
      <c r="AD118" s="525"/>
      <c r="AE118" s="525"/>
      <c r="AF118" s="525"/>
      <c r="AG118" s="525"/>
      <c r="AH118" s="525"/>
      <c r="AI118" s="525"/>
      <c r="AJ118" s="525"/>
      <c r="AK118" s="525"/>
      <c r="AL118" s="525"/>
      <c r="AM118" s="525"/>
      <c r="AN118" s="525"/>
      <c r="AO118" s="525"/>
      <c r="AP118" s="525"/>
      <c r="AQ118" s="525"/>
      <c r="AR118" s="525"/>
      <c r="AS118" s="525"/>
      <c r="AT118" s="525"/>
      <c r="AU118" s="525"/>
      <c r="AV118" s="525"/>
      <c r="AW118" s="525"/>
      <c r="AX118" s="525"/>
      <c r="AY118" s="525"/>
      <c r="AZ118" s="525"/>
      <c r="BA118" s="525"/>
      <c r="BB118" s="525"/>
      <c r="BC118" s="525"/>
      <c r="BD118" s="525"/>
      <c r="BE118" s="525"/>
      <c r="BF118" s="525"/>
      <c r="BG118" s="525"/>
      <c r="BH118" s="525"/>
      <c r="BI118" s="525"/>
      <c r="BJ118" s="525"/>
      <c r="BK118" s="512">
        <v>8.0</v>
      </c>
      <c r="BL118" s="512">
        <v>9.0</v>
      </c>
      <c r="BM118" s="512">
        <v>16.0</v>
      </c>
      <c r="BN118" s="512">
        <v>12.0</v>
      </c>
      <c r="BO118" s="512">
        <v>12.0</v>
      </c>
      <c r="BP118" s="512">
        <v>18.0</v>
      </c>
      <c r="BQ118" s="512">
        <v>20.0</v>
      </c>
      <c r="BR118" s="512">
        <v>6.0</v>
      </c>
      <c r="BS118" s="512">
        <v>18.0</v>
      </c>
      <c r="BT118" s="512">
        <v>20.0</v>
      </c>
      <c r="BU118" s="512">
        <v>24.0</v>
      </c>
      <c r="BV118" s="512">
        <v>14.0</v>
      </c>
      <c r="BW118" s="512">
        <v>32.0</v>
      </c>
      <c r="BX118" s="512">
        <v>25.0</v>
      </c>
      <c r="BY118" s="512">
        <v>22.0</v>
      </c>
      <c r="BZ118" s="512">
        <v>29.0</v>
      </c>
      <c r="CA118" s="512">
        <v>18.0</v>
      </c>
      <c r="CB118" s="512">
        <v>23.0</v>
      </c>
      <c r="CC118" s="512">
        <v>26.0</v>
      </c>
      <c r="CD118" s="512">
        <v>22.0</v>
      </c>
      <c r="CE118" s="512">
        <v>23.0</v>
      </c>
      <c r="CF118" s="512">
        <v>36.0</v>
      </c>
      <c r="CG118" s="512">
        <v>36.0</v>
      </c>
      <c r="CH118" s="512">
        <v>23.0</v>
      </c>
      <c r="CI118" s="512">
        <v>36.0</v>
      </c>
      <c r="CJ118" s="512">
        <v>37.0</v>
      </c>
      <c r="CK118" s="512">
        <v>20.0</v>
      </c>
      <c r="CL118" s="512">
        <v>36.0</v>
      </c>
      <c r="CM118" s="552">
        <f>SUM(BK118:CL118)/28</f>
        <v>22.17857143</v>
      </c>
      <c r="CN118" s="561">
        <v>29.0</v>
      </c>
      <c r="CO118" s="561">
        <v>28.0</v>
      </c>
      <c r="CP118" s="561">
        <v>17.0</v>
      </c>
      <c r="CQ118" s="561">
        <v>32.0</v>
      </c>
      <c r="CR118" s="561">
        <v>27.0</v>
      </c>
      <c r="CS118" s="561">
        <v>40.0</v>
      </c>
      <c r="CT118" s="561">
        <v>35.0</v>
      </c>
      <c r="CU118" s="561">
        <v>32.0</v>
      </c>
      <c r="CV118" s="561">
        <v>22.0</v>
      </c>
      <c r="CW118" s="561">
        <v>22.0</v>
      </c>
      <c r="CX118" s="561">
        <v>34.0</v>
      </c>
      <c r="CY118" s="561">
        <v>36.0</v>
      </c>
      <c r="CZ118" s="561">
        <v>26.0</v>
      </c>
      <c r="DA118" s="314"/>
      <c r="DB118" s="561">
        <v>30.0</v>
      </c>
      <c r="DC118" s="561">
        <v>27.0</v>
      </c>
      <c r="DD118" s="561">
        <v>47.0</v>
      </c>
      <c r="DE118" s="561">
        <v>37.0</v>
      </c>
      <c r="DF118" s="561">
        <v>22.0</v>
      </c>
      <c r="DG118" s="561">
        <v>34.0</v>
      </c>
      <c r="DH118" s="561">
        <v>30.0</v>
      </c>
      <c r="DI118" s="561">
        <v>23.0</v>
      </c>
      <c r="DJ118" s="561">
        <v>21.0</v>
      </c>
      <c r="DK118" s="561">
        <v>22.0</v>
      </c>
      <c r="DL118" s="561">
        <v>41.0</v>
      </c>
      <c r="DM118" s="561">
        <v>28.0</v>
      </c>
      <c r="DN118" s="561">
        <v>23.0</v>
      </c>
      <c r="DO118" s="561">
        <v>24.0</v>
      </c>
      <c r="DP118" s="561">
        <v>37.0</v>
      </c>
      <c r="DQ118" s="561">
        <v>28.0</v>
      </c>
      <c r="DR118" s="561">
        <v>23.0</v>
      </c>
      <c r="DS118" s="10"/>
      <c r="DX118" s="530"/>
    </row>
    <row r="119" hidden="1">
      <c r="A119" s="502" t="s">
        <v>291</v>
      </c>
      <c r="B119" s="525"/>
      <c r="C119" s="525"/>
      <c r="D119" s="525"/>
      <c r="E119" s="525"/>
      <c r="F119" s="525"/>
      <c r="G119" s="525"/>
      <c r="H119" s="525"/>
      <c r="I119" s="525"/>
      <c r="J119" s="525"/>
      <c r="K119" s="525"/>
      <c r="L119" s="525"/>
      <c r="M119" s="525"/>
      <c r="N119" s="525"/>
      <c r="O119" s="525"/>
      <c r="P119" s="525"/>
      <c r="Q119" s="525"/>
      <c r="R119" s="525"/>
      <c r="S119" s="525"/>
      <c r="T119" s="525"/>
      <c r="U119" s="525"/>
      <c r="V119" s="525"/>
      <c r="W119" s="525"/>
      <c r="X119" s="525"/>
      <c r="Y119" s="525"/>
      <c r="Z119" s="525"/>
      <c r="AA119" s="525"/>
      <c r="AB119" s="525"/>
      <c r="AC119" s="525"/>
      <c r="AD119" s="525"/>
      <c r="AE119" s="525"/>
      <c r="AF119" s="525"/>
      <c r="AG119" s="525"/>
      <c r="AH119" s="525"/>
      <c r="AI119" s="525"/>
      <c r="AJ119" s="525"/>
      <c r="AK119" s="525"/>
      <c r="AL119" s="525"/>
      <c r="AM119" s="525"/>
      <c r="AN119" s="525"/>
      <c r="AO119" s="525"/>
      <c r="AP119" s="525"/>
      <c r="AQ119" s="525"/>
      <c r="AR119" s="525"/>
      <c r="AS119" s="525"/>
      <c r="AT119" s="525"/>
      <c r="AU119" s="525"/>
      <c r="AV119" s="525"/>
      <c r="AW119" s="525"/>
      <c r="AX119" s="525"/>
      <c r="AY119" s="525"/>
      <c r="AZ119" s="525"/>
      <c r="BA119" s="525"/>
      <c r="BB119" s="525"/>
      <c r="BC119" s="525"/>
      <c r="BD119" s="525"/>
      <c r="BE119" s="525"/>
      <c r="BF119" s="525"/>
      <c r="BG119" s="525"/>
      <c r="BH119" s="525"/>
      <c r="BI119" s="525"/>
      <c r="BJ119" s="525"/>
      <c r="BK119" s="529">
        <v>10.85</v>
      </c>
      <c r="BL119" s="529">
        <v>8.12</v>
      </c>
      <c r="BM119" s="529">
        <v>8.91</v>
      </c>
      <c r="BN119" s="529">
        <v>12.38</v>
      </c>
      <c r="BO119" s="529">
        <v>10.65</v>
      </c>
      <c r="BP119" s="529">
        <v>10.65</v>
      </c>
      <c r="BQ119" s="529">
        <v>11.69</v>
      </c>
      <c r="BR119" s="529">
        <v>13.24</v>
      </c>
      <c r="BS119" s="529">
        <v>20.49</v>
      </c>
      <c r="BT119" s="529">
        <v>9.99</v>
      </c>
      <c r="BU119" s="529">
        <v>18.07</v>
      </c>
      <c r="BV119" s="529">
        <v>2.6</v>
      </c>
      <c r="BW119" s="529">
        <v>15.52</v>
      </c>
      <c r="BX119" s="529">
        <v>-84.66</v>
      </c>
      <c r="BY119" s="529">
        <v>-0.49</v>
      </c>
      <c r="BZ119" s="529">
        <v>29.94</v>
      </c>
      <c r="CA119" s="529">
        <v>10.04</v>
      </c>
      <c r="CB119" s="529">
        <v>12.42</v>
      </c>
      <c r="CC119" s="529">
        <v>-21.42</v>
      </c>
      <c r="CD119" s="529">
        <v>18.39</v>
      </c>
      <c r="CE119" s="529">
        <v>14.56</v>
      </c>
      <c r="CF119" s="529">
        <v>-79.95</v>
      </c>
      <c r="CG119" s="529">
        <v>34.0</v>
      </c>
      <c r="CH119" s="529">
        <v>39.31</v>
      </c>
      <c r="CI119" s="529">
        <v>25.66</v>
      </c>
      <c r="CJ119" s="529">
        <v>-74.91</v>
      </c>
      <c r="CK119" s="529">
        <v>-183.09</v>
      </c>
      <c r="CL119" s="529">
        <v>-114.25</v>
      </c>
      <c r="CM119" s="529"/>
      <c r="CN119" s="537">
        <v>47.07</v>
      </c>
      <c r="CO119" s="537">
        <v>65.12</v>
      </c>
      <c r="CP119" s="537">
        <v>22.56</v>
      </c>
      <c r="CQ119" s="537">
        <v>66.33</v>
      </c>
      <c r="CR119" s="537">
        <v>49.98</v>
      </c>
      <c r="CS119" s="537">
        <v>32.86</v>
      </c>
      <c r="CT119" s="537">
        <v>33.46</v>
      </c>
      <c r="CU119" s="537">
        <v>41.11</v>
      </c>
      <c r="CV119" s="512">
        <v>47.66</v>
      </c>
      <c r="CW119" s="537">
        <v>45.11</v>
      </c>
      <c r="CX119" s="537">
        <v>77.02</v>
      </c>
      <c r="CY119" s="537">
        <v>64.03</v>
      </c>
      <c r="CZ119" s="537">
        <v>47.32</v>
      </c>
      <c r="DA119" s="537">
        <v>54.83</v>
      </c>
      <c r="DB119" s="537">
        <v>59.29</v>
      </c>
      <c r="DC119" s="537">
        <v>68.68</v>
      </c>
      <c r="DD119" s="537">
        <v>46.09</v>
      </c>
      <c r="DE119" s="537">
        <v>37.54</v>
      </c>
      <c r="DF119" s="537">
        <v>30.69</v>
      </c>
      <c r="DG119" s="537">
        <v>36.27</v>
      </c>
      <c r="DH119" s="537">
        <v>42.58</v>
      </c>
      <c r="DI119" s="537">
        <v>38.27</v>
      </c>
      <c r="DJ119" s="537">
        <v>32.94</v>
      </c>
      <c r="DK119" s="537">
        <v>36.88</v>
      </c>
      <c r="DL119" s="537">
        <v>41.55</v>
      </c>
      <c r="DM119" s="537">
        <v>32.53</v>
      </c>
      <c r="DN119" s="537">
        <v>62.2</v>
      </c>
      <c r="DO119" s="537">
        <v>90.56</v>
      </c>
      <c r="DP119" s="537">
        <v>77.03</v>
      </c>
      <c r="DQ119" s="537">
        <v>89.48</v>
      </c>
      <c r="DR119" s="537">
        <v>72.25</v>
      </c>
      <c r="DS119" s="10"/>
      <c r="DX119" s="530"/>
    </row>
    <row r="120" hidden="1">
      <c r="A120" s="531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5"/>
      <c r="DE120" s="10"/>
      <c r="DF120" s="105"/>
      <c r="DG120" s="10"/>
      <c r="DH120" s="105"/>
      <c r="DI120" s="10"/>
      <c r="DJ120" s="10"/>
      <c r="DK120" s="10"/>
      <c r="DL120" s="10"/>
      <c r="DM120" s="10"/>
      <c r="DN120" s="10"/>
      <c r="DO120" s="10"/>
      <c r="DP120" s="105"/>
      <c r="DQ120" s="10"/>
      <c r="DR120" s="10"/>
      <c r="DS120" s="10"/>
      <c r="DX120" s="530"/>
    </row>
    <row r="121" hidden="1">
      <c r="A121" s="531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X121" s="530"/>
    </row>
    <row r="122" hidden="1">
      <c r="A122" s="500" t="s">
        <v>49</v>
      </c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X122" s="530"/>
    </row>
    <row r="123" hidden="1">
      <c r="A123" s="502" t="s">
        <v>288</v>
      </c>
      <c r="CN123" s="541">
        <v>45778.0</v>
      </c>
      <c r="CO123" s="541">
        <v>45779.0</v>
      </c>
      <c r="CP123" s="541">
        <v>45780.0</v>
      </c>
      <c r="CQ123" s="541">
        <v>45781.0</v>
      </c>
      <c r="CR123" s="541">
        <v>45782.0</v>
      </c>
      <c r="CS123" s="541">
        <v>45783.0</v>
      </c>
      <c r="CT123" s="541">
        <v>45784.0</v>
      </c>
      <c r="CU123" s="541">
        <v>45785.0</v>
      </c>
      <c r="CV123" s="541">
        <v>45786.0</v>
      </c>
      <c r="CW123" s="541">
        <v>45787.0</v>
      </c>
      <c r="CX123" s="541">
        <v>45788.0</v>
      </c>
      <c r="CY123" s="541">
        <v>45789.0</v>
      </c>
      <c r="CZ123" s="541">
        <v>45790.0</v>
      </c>
      <c r="DA123" s="541">
        <v>45791.0</v>
      </c>
      <c r="DB123" s="541">
        <v>45792.0</v>
      </c>
      <c r="DC123" s="541">
        <v>45793.0</v>
      </c>
      <c r="DD123" s="541">
        <v>45794.0</v>
      </c>
      <c r="DE123" s="541">
        <v>45795.0</v>
      </c>
      <c r="DF123" s="541">
        <v>45796.0</v>
      </c>
      <c r="DG123" s="541">
        <v>45797.0</v>
      </c>
      <c r="DH123" s="541">
        <v>45798.0</v>
      </c>
      <c r="DI123" s="541">
        <v>45799.0</v>
      </c>
      <c r="DJ123" s="541">
        <v>45800.0</v>
      </c>
      <c r="DK123" s="541">
        <v>45801.0</v>
      </c>
      <c r="DL123" s="541">
        <v>45802.0</v>
      </c>
      <c r="DM123" s="541">
        <v>45803.0</v>
      </c>
      <c r="DN123" s="541">
        <v>45804.0</v>
      </c>
      <c r="DO123" s="541">
        <v>45805.0</v>
      </c>
      <c r="DP123" s="541">
        <v>45806.0</v>
      </c>
      <c r="DQ123" s="541">
        <v>45807.0</v>
      </c>
      <c r="DR123" s="541">
        <v>45808.0</v>
      </c>
      <c r="DS123" s="10"/>
      <c r="DX123" s="530"/>
    </row>
    <row r="124" hidden="1">
      <c r="A124" s="502" t="s">
        <v>289</v>
      </c>
      <c r="CN124" s="561">
        <v>23.0</v>
      </c>
      <c r="CO124" s="561">
        <v>46.0</v>
      </c>
      <c r="CP124" s="561">
        <v>28.0</v>
      </c>
      <c r="CQ124" s="561">
        <v>31.0</v>
      </c>
      <c r="CR124" s="561">
        <v>26.0</v>
      </c>
      <c r="CS124" s="561">
        <v>71.0</v>
      </c>
      <c r="CT124" s="561">
        <v>36.0</v>
      </c>
      <c r="CU124" s="561">
        <v>53.0</v>
      </c>
      <c r="CV124" s="561">
        <v>41.0</v>
      </c>
      <c r="CW124" s="561">
        <v>47.0</v>
      </c>
      <c r="CX124" s="561">
        <v>87.0</v>
      </c>
      <c r="CY124" s="561">
        <v>63.0</v>
      </c>
      <c r="CZ124" s="561">
        <v>67.0</v>
      </c>
      <c r="DA124" s="561">
        <v>63.0</v>
      </c>
      <c r="DB124" s="561">
        <v>73.0</v>
      </c>
      <c r="DC124" s="561">
        <v>42.0</v>
      </c>
      <c r="DD124" s="561">
        <v>83.0</v>
      </c>
      <c r="DE124" s="561">
        <v>86.0</v>
      </c>
      <c r="DF124" s="561">
        <v>95.0</v>
      </c>
      <c r="DG124" s="561">
        <v>67.0</v>
      </c>
      <c r="DH124" s="561">
        <v>66.0</v>
      </c>
      <c r="DI124" s="561">
        <v>59.0</v>
      </c>
      <c r="DJ124" s="561">
        <v>86.0</v>
      </c>
      <c r="DK124" s="561">
        <v>63.0</v>
      </c>
      <c r="DL124" s="561">
        <v>86.0</v>
      </c>
      <c r="DM124" s="561">
        <v>65.0</v>
      </c>
      <c r="DN124" s="561">
        <v>79.0</v>
      </c>
      <c r="DO124" s="561">
        <v>72.0</v>
      </c>
      <c r="DP124" s="561">
        <v>97.0</v>
      </c>
      <c r="DQ124" s="561">
        <v>73.0</v>
      </c>
      <c r="DR124" s="561">
        <v>86.0</v>
      </c>
      <c r="DS124" s="10"/>
      <c r="DX124" s="530"/>
    </row>
    <row r="125" hidden="1">
      <c r="A125" s="521" t="s">
        <v>290</v>
      </c>
      <c r="CN125" s="561">
        <v>11.0</v>
      </c>
      <c r="CO125" s="561">
        <v>19.0</v>
      </c>
      <c r="CP125" s="561">
        <v>13.0</v>
      </c>
      <c r="CQ125" s="561">
        <v>17.0</v>
      </c>
      <c r="CR125" s="561">
        <v>13.0</v>
      </c>
      <c r="CS125" s="561">
        <v>25.0</v>
      </c>
      <c r="CT125" s="561">
        <v>18.0</v>
      </c>
      <c r="CU125" s="561">
        <v>26.0</v>
      </c>
      <c r="CV125" s="561">
        <v>13.0</v>
      </c>
      <c r="CW125" s="561">
        <v>15.0</v>
      </c>
      <c r="CX125" s="561">
        <v>35.0</v>
      </c>
      <c r="CY125" s="561">
        <v>26.0</v>
      </c>
      <c r="CZ125" s="561">
        <v>28.0</v>
      </c>
      <c r="DA125" s="561">
        <v>26.0</v>
      </c>
      <c r="DB125" s="561">
        <v>31.0</v>
      </c>
      <c r="DC125" s="561">
        <v>21.0</v>
      </c>
      <c r="DD125" s="561">
        <v>30.0</v>
      </c>
      <c r="DE125" s="561">
        <v>36.0</v>
      </c>
      <c r="DF125" s="561">
        <v>33.0</v>
      </c>
      <c r="DG125" s="561">
        <v>29.0</v>
      </c>
      <c r="DH125" s="561">
        <v>27.0</v>
      </c>
      <c r="DI125" s="561">
        <v>29.0</v>
      </c>
      <c r="DJ125" s="561">
        <v>43.0</v>
      </c>
      <c r="DK125" s="561">
        <v>26.0</v>
      </c>
      <c r="DL125" s="561">
        <v>29.0</v>
      </c>
      <c r="DM125" s="561">
        <v>28.0</v>
      </c>
      <c r="DN125" s="561">
        <v>28.0</v>
      </c>
      <c r="DO125" s="561">
        <v>32.0</v>
      </c>
      <c r="DP125" s="561">
        <v>33.0</v>
      </c>
      <c r="DQ125" s="561">
        <v>36.0</v>
      </c>
      <c r="DR125" s="561">
        <v>40.0</v>
      </c>
      <c r="DS125" s="10"/>
      <c r="DX125" s="530"/>
    </row>
    <row r="126" hidden="1">
      <c r="A126" s="502" t="s">
        <v>291</v>
      </c>
      <c r="CN126" s="537">
        <v>23.73</v>
      </c>
      <c r="CO126" s="537">
        <v>16.14</v>
      </c>
      <c r="CP126" s="537">
        <v>16.17</v>
      </c>
      <c r="CQ126" s="537">
        <v>59.1</v>
      </c>
      <c r="CR126" s="537">
        <v>14.54</v>
      </c>
      <c r="CS126" s="537">
        <v>24.08</v>
      </c>
      <c r="CT126" s="537">
        <v>44.06</v>
      </c>
      <c r="CU126" s="537">
        <v>43.86</v>
      </c>
      <c r="CV126" s="512">
        <v>34.59</v>
      </c>
      <c r="CW126" s="537">
        <v>40.17</v>
      </c>
      <c r="CX126" s="537">
        <v>-199.92</v>
      </c>
      <c r="CY126" s="537">
        <v>-70.34</v>
      </c>
      <c r="CZ126" s="537">
        <v>44.43</v>
      </c>
      <c r="DA126" s="537">
        <v>-46.29</v>
      </c>
      <c r="DB126" s="537">
        <v>-161.72</v>
      </c>
      <c r="DC126" s="537">
        <v>48.64</v>
      </c>
      <c r="DD126" s="537">
        <v>59.31</v>
      </c>
      <c r="DE126" s="537">
        <v>30.74</v>
      </c>
      <c r="DF126" s="537">
        <v>37.59</v>
      </c>
      <c r="DG126" s="537">
        <v>41.8</v>
      </c>
      <c r="DH126" s="537">
        <v>62.38</v>
      </c>
      <c r="DI126" s="537">
        <v>-165.1</v>
      </c>
      <c r="DJ126" s="537">
        <v>50.66</v>
      </c>
      <c r="DK126" s="537">
        <v>29.29</v>
      </c>
      <c r="DL126" s="537">
        <v>44.61</v>
      </c>
      <c r="DM126" s="537">
        <v>45.0</v>
      </c>
      <c r="DN126" s="537">
        <v>37.99</v>
      </c>
      <c r="DO126" s="537">
        <v>73.01</v>
      </c>
      <c r="DP126" s="537">
        <v>61.44</v>
      </c>
      <c r="DQ126" s="537">
        <v>71.75</v>
      </c>
      <c r="DR126" s="537">
        <v>47.52</v>
      </c>
      <c r="DS126" s="10"/>
      <c r="DX126" s="530"/>
    </row>
    <row r="127" hidden="1">
      <c r="A127" s="531"/>
      <c r="CP127" s="10"/>
      <c r="CQ127" s="10"/>
      <c r="CR127" s="10"/>
      <c r="CS127" s="10"/>
      <c r="CT127" s="10"/>
      <c r="CU127" s="10"/>
      <c r="CV127" s="10"/>
      <c r="CW127" s="105"/>
      <c r="CX127" s="10"/>
      <c r="CY127" s="10"/>
      <c r="CZ127" s="10"/>
      <c r="DA127" s="10"/>
      <c r="DB127" s="10"/>
      <c r="DC127" s="10"/>
      <c r="DD127" s="105"/>
      <c r="DE127" s="10"/>
      <c r="DF127" s="105"/>
      <c r="DG127" s="10"/>
      <c r="DH127" s="105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X127" s="530"/>
    </row>
    <row r="128" hidden="1">
      <c r="A128" s="531"/>
      <c r="DX128" s="530"/>
    </row>
    <row r="129" hidden="1">
      <c r="A129" s="551" t="s">
        <v>1</v>
      </c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  <c r="AT129" s="118"/>
      <c r="AU129" s="118"/>
      <c r="AV129" s="118"/>
      <c r="AW129" s="118"/>
      <c r="AX129" s="118"/>
      <c r="AY129" s="118"/>
      <c r="AZ129" s="118"/>
      <c r="BA129" s="118"/>
      <c r="BB129" s="118"/>
      <c r="BC129" s="118"/>
      <c r="BD129" s="118"/>
      <c r="BE129" s="118"/>
      <c r="BF129" s="118"/>
      <c r="BG129" s="118"/>
      <c r="BH129" s="118"/>
      <c r="BI129" s="118"/>
      <c r="BJ129" s="118"/>
      <c r="BK129" s="118"/>
      <c r="BL129" s="118"/>
      <c r="BM129" s="118"/>
      <c r="BN129" s="118"/>
      <c r="BO129" s="118"/>
      <c r="BP129" s="118"/>
      <c r="BQ129" s="118"/>
      <c r="BR129" s="118"/>
      <c r="BS129" s="118"/>
      <c r="BT129" s="118"/>
      <c r="BU129" s="118"/>
      <c r="BV129" s="118"/>
      <c r="BW129" s="118"/>
      <c r="BX129" s="118"/>
      <c r="BY129" s="118"/>
      <c r="BZ129" s="118"/>
      <c r="CA129" s="118"/>
      <c r="CB129" s="118"/>
      <c r="CC129" s="118"/>
      <c r="CD129" s="118"/>
      <c r="CE129" s="118"/>
      <c r="CF129" s="118"/>
      <c r="CG129" s="118"/>
      <c r="CH129" s="118"/>
      <c r="CI129" s="118"/>
      <c r="CJ129" s="118"/>
      <c r="CK129" s="118"/>
      <c r="CL129" s="118"/>
      <c r="CM129" s="118"/>
      <c r="CN129" s="118"/>
      <c r="CO129" s="118"/>
      <c r="CP129" s="118"/>
      <c r="CQ129" s="118"/>
      <c r="CR129" s="118"/>
      <c r="CS129" s="118"/>
      <c r="CT129" s="118"/>
      <c r="CU129" s="118"/>
      <c r="CV129" s="118"/>
      <c r="CW129" s="118"/>
      <c r="CX129" s="118"/>
      <c r="CY129" s="118"/>
      <c r="CZ129" s="118"/>
      <c r="DA129" s="118"/>
      <c r="DB129" s="118"/>
      <c r="DC129" s="118"/>
      <c r="DD129" s="118"/>
      <c r="DE129" s="118"/>
      <c r="DF129" s="118"/>
      <c r="DG129" s="118"/>
      <c r="DH129" s="118"/>
      <c r="DI129" s="118"/>
      <c r="DJ129" s="118"/>
      <c r="DK129" s="118"/>
      <c r="DL129" s="118"/>
      <c r="DM129" s="118"/>
      <c r="DN129" s="118"/>
      <c r="DO129" s="118"/>
      <c r="DP129" s="118"/>
      <c r="DQ129" s="118"/>
      <c r="DR129" s="118"/>
      <c r="DX129" s="530"/>
    </row>
    <row r="130" hidden="1">
      <c r="A130" s="500" t="s">
        <v>2</v>
      </c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118"/>
      <c r="BM130" s="118"/>
      <c r="BN130" s="118"/>
      <c r="BO130" s="118"/>
      <c r="BP130" s="118"/>
      <c r="BQ130" s="118"/>
      <c r="BR130" s="118"/>
      <c r="BS130" s="118"/>
      <c r="BT130" s="118"/>
      <c r="BU130" s="118"/>
      <c r="BV130" s="118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118"/>
      <c r="CO130" s="118"/>
      <c r="CP130" s="118"/>
      <c r="CQ130" s="118"/>
      <c r="CR130" s="118"/>
      <c r="CS130" s="118"/>
      <c r="CT130" s="118"/>
      <c r="CU130" s="118"/>
      <c r="CV130" s="118"/>
      <c r="CW130" s="118"/>
      <c r="CX130" s="118"/>
      <c r="CY130" s="118"/>
      <c r="CZ130" s="118"/>
      <c r="DA130" s="118"/>
      <c r="DB130" s="118"/>
      <c r="DC130" s="118"/>
      <c r="DD130" s="546"/>
      <c r="DE130" s="546"/>
      <c r="DF130" s="118"/>
      <c r="DG130" s="546"/>
      <c r="DH130" s="546"/>
      <c r="DI130" s="546"/>
      <c r="DJ130" s="546"/>
      <c r="DK130" s="546"/>
      <c r="DL130" s="546"/>
      <c r="DM130" s="546"/>
      <c r="DN130" s="546"/>
      <c r="DO130" s="546"/>
      <c r="DP130" s="546"/>
      <c r="DQ130" s="546"/>
      <c r="DR130" s="118"/>
      <c r="DV130" s="521"/>
      <c r="DW130" s="521"/>
      <c r="DX130" s="530"/>
    </row>
    <row r="131" hidden="1">
      <c r="A131" s="502" t="s">
        <v>288</v>
      </c>
      <c r="B131" s="525"/>
      <c r="C131" s="525"/>
      <c r="D131" s="525"/>
      <c r="E131" s="525"/>
      <c r="F131" s="525"/>
      <c r="G131" s="525"/>
      <c r="H131" s="525"/>
      <c r="I131" s="525"/>
      <c r="J131" s="525"/>
      <c r="K131" s="525"/>
      <c r="L131" s="525"/>
      <c r="M131" s="525"/>
      <c r="N131" s="525"/>
      <c r="O131" s="525"/>
      <c r="P131" s="525"/>
      <c r="Q131" s="525"/>
      <c r="R131" s="525"/>
      <c r="S131" s="525"/>
      <c r="T131" s="525"/>
      <c r="U131" s="525"/>
      <c r="V131" s="525"/>
      <c r="W131" s="525"/>
      <c r="X131" s="525"/>
      <c r="Y131" s="525"/>
      <c r="Z131" s="525"/>
      <c r="AA131" s="525"/>
      <c r="AB131" s="525"/>
      <c r="AC131" s="525"/>
      <c r="AD131" s="525"/>
      <c r="AE131" s="525"/>
      <c r="AF131" s="525"/>
      <c r="AG131" s="525"/>
      <c r="AH131" s="525"/>
      <c r="AI131" s="525"/>
      <c r="AJ131" s="525"/>
      <c r="AK131" s="525"/>
      <c r="AL131" s="525"/>
      <c r="AM131" s="525"/>
      <c r="AN131" s="525"/>
      <c r="AO131" s="525"/>
      <c r="AP131" s="525"/>
      <c r="AQ131" s="525"/>
      <c r="AR131" s="525"/>
      <c r="AS131" s="525"/>
      <c r="AT131" s="525"/>
      <c r="AU131" s="525"/>
      <c r="AV131" s="525"/>
      <c r="AW131" s="525"/>
      <c r="AX131" s="525"/>
      <c r="AY131" s="525"/>
      <c r="AZ131" s="525"/>
      <c r="BA131" s="525"/>
      <c r="BB131" s="525"/>
      <c r="BC131" s="525"/>
      <c r="BD131" s="525"/>
      <c r="BE131" s="525"/>
      <c r="BF131" s="525"/>
      <c r="BG131" s="525"/>
      <c r="BH131" s="525"/>
      <c r="BI131" s="525"/>
      <c r="BJ131" s="525"/>
      <c r="BK131" s="541">
        <v>45689.0</v>
      </c>
      <c r="BL131" s="541">
        <v>45690.0</v>
      </c>
      <c r="BM131" s="541">
        <v>45691.0</v>
      </c>
      <c r="BN131" s="541">
        <v>45692.0</v>
      </c>
      <c r="BO131" s="541">
        <v>45693.0</v>
      </c>
      <c r="BP131" s="541">
        <v>45694.0</v>
      </c>
      <c r="BQ131" s="541">
        <v>45695.0</v>
      </c>
      <c r="BR131" s="541">
        <v>45696.0</v>
      </c>
      <c r="BS131" s="541">
        <v>45697.0</v>
      </c>
      <c r="BT131" s="541">
        <v>45698.0</v>
      </c>
      <c r="BU131" s="541">
        <v>45699.0</v>
      </c>
      <c r="BV131" s="541">
        <v>45700.0</v>
      </c>
      <c r="BW131" s="541">
        <v>45701.0</v>
      </c>
      <c r="BX131" s="541">
        <v>45702.0</v>
      </c>
      <c r="BY131" s="541">
        <v>45703.0</v>
      </c>
      <c r="BZ131" s="541">
        <v>45704.0</v>
      </c>
      <c r="CA131" s="541">
        <v>45705.0</v>
      </c>
      <c r="CB131" s="541">
        <v>45706.0</v>
      </c>
      <c r="CC131" s="541">
        <v>45707.0</v>
      </c>
      <c r="CD131" s="541">
        <v>45708.0</v>
      </c>
      <c r="CE131" s="541">
        <v>45709.0</v>
      </c>
      <c r="CF131" s="541">
        <v>45710.0</v>
      </c>
      <c r="CG131" s="541">
        <v>45711.0</v>
      </c>
      <c r="CH131" s="541">
        <v>45712.0</v>
      </c>
      <c r="CI131" s="541">
        <v>45713.0</v>
      </c>
      <c r="CJ131" s="541">
        <v>45714.0</v>
      </c>
      <c r="CK131" s="541">
        <v>45715.0</v>
      </c>
      <c r="CL131" s="541">
        <v>45716.0</v>
      </c>
      <c r="CM131" s="541"/>
      <c r="CN131" s="541">
        <v>45809.0</v>
      </c>
      <c r="CO131" s="541">
        <v>45810.0</v>
      </c>
      <c r="CP131" s="541">
        <v>45811.0</v>
      </c>
      <c r="CQ131" s="541">
        <v>45812.0</v>
      </c>
      <c r="CR131" s="541">
        <v>45813.0</v>
      </c>
      <c r="CS131" s="541">
        <v>45814.0</v>
      </c>
      <c r="CT131" s="541">
        <v>45815.0</v>
      </c>
      <c r="CU131" s="541">
        <v>45816.0</v>
      </c>
      <c r="CV131" s="541">
        <v>45817.0</v>
      </c>
      <c r="CW131" s="541">
        <v>45818.0</v>
      </c>
      <c r="CX131" s="541">
        <v>45819.0</v>
      </c>
      <c r="CY131" s="541">
        <v>45820.0</v>
      </c>
      <c r="CZ131" s="541">
        <v>45821.0</v>
      </c>
      <c r="DA131" s="541">
        <v>45822.0</v>
      </c>
      <c r="DB131" s="541">
        <v>45823.0</v>
      </c>
      <c r="DC131" s="541">
        <v>45824.0</v>
      </c>
      <c r="DD131" s="541">
        <v>45825.0</v>
      </c>
      <c r="DE131" s="541">
        <v>45826.0</v>
      </c>
      <c r="DF131" s="570">
        <v>45827.0</v>
      </c>
      <c r="DG131" s="541">
        <v>45828.0</v>
      </c>
      <c r="DH131" s="541">
        <v>45829.0</v>
      </c>
      <c r="DI131" s="541">
        <v>45830.0</v>
      </c>
      <c r="DJ131" s="541">
        <v>45831.0</v>
      </c>
      <c r="DK131" s="541">
        <v>45832.0</v>
      </c>
      <c r="DL131" s="541">
        <v>45833.0</v>
      </c>
      <c r="DM131" s="541">
        <v>45834.0</v>
      </c>
      <c r="DN131" s="541">
        <v>45835.0</v>
      </c>
      <c r="DO131" s="541">
        <v>45836.0</v>
      </c>
      <c r="DP131" s="541">
        <v>45837.0</v>
      </c>
      <c r="DQ131" s="541">
        <v>45838.0</v>
      </c>
      <c r="DR131" s="541"/>
      <c r="DV131" s="531"/>
      <c r="DW131" s="531"/>
      <c r="DX131" s="530"/>
    </row>
    <row r="132" hidden="1">
      <c r="A132" s="502" t="s">
        <v>289</v>
      </c>
      <c r="B132" s="525"/>
      <c r="C132" s="525"/>
      <c r="D132" s="525"/>
      <c r="E132" s="525"/>
      <c r="F132" s="525"/>
      <c r="G132" s="525"/>
      <c r="H132" s="525"/>
      <c r="I132" s="525"/>
      <c r="J132" s="525"/>
      <c r="K132" s="525"/>
      <c r="L132" s="525"/>
      <c r="M132" s="525"/>
      <c r="N132" s="525"/>
      <c r="O132" s="525"/>
      <c r="P132" s="525"/>
      <c r="Q132" s="525"/>
      <c r="R132" s="525"/>
      <c r="S132" s="525"/>
      <c r="T132" s="525"/>
      <c r="U132" s="525"/>
      <c r="V132" s="525"/>
      <c r="W132" s="525"/>
      <c r="X132" s="525"/>
      <c r="Y132" s="525"/>
      <c r="Z132" s="525"/>
      <c r="AA132" s="525"/>
      <c r="AB132" s="525"/>
      <c r="AC132" s="525"/>
      <c r="AD132" s="525"/>
      <c r="AE132" s="525"/>
      <c r="AF132" s="525"/>
      <c r="AG132" s="525"/>
      <c r="AH132" s="525"/>
      <c r="AI132" s="525"/>
      <c r="AJ132" s="525"/>
      <c r="AK132" s="525"/>
      <c r="AL132" s="525"/>
      <c r="AM132" s="525"/>
      <c r="AN132" s="525"/>
      <c r="AO132" s="525"/>
      <c r="AP132" s="525"/>
      <c r="AQ132" s="525"/>
      <c r="AR132" s="525"/>
      <c r="AS132" s="525"/>
      <c r="AT132" s="525"/>
      <c r="AU132" s="525"/>
      <c r="AV132" s="525"/>
      <c r="AW132" s="525"/>
      <c r="AX132" s="525"/>
      <c r="AY132" s="525"/>
      <c r="AZ132" s="525"/>
      <c r="BA132" s="525"/>
      <c r="BB132" s="525"/>
      <c r="BC132" s="525"/>
      <c r="BD132" s="525"/>
      <c r="BE132" s="525"/>
      <c r="BF132" s="525"/>
      <c r="BG132" s="525"/>
      <c r="BH132" s="525"/>
      <c r="BI132" s="525"/>
      <c r="BJ132" s="525"/>
      <c r="BK132" s="512">
        <v>67.0</v>
      </c>
      <c r="BL132" s="512">
        <v>133.0</v>
      </c>
      <c r="BM132" s="525"/>
      <c r="BN132" s="512">
        <v>100.0</v>
      </c>
      <c r="BO132" s="512">
        <v>130.0</v>
      </c>
      <c r="BP132" s="512">
        <v>162.0</v>
      </c>
      <c r="BQ132" s="512">
        <v>219.0</v>
      </c>
      <c r="BR132" s="512">
        <v>120.0</v>
      </c>
      <c r="BS132" s="512">
        <v>198.0</v>
      </c>
      <c r="BT132" s="512">
        <v>128.0</v>
      </c>
      <c r="BU132" s="512">
        <v>214.0</v>
      </c>
      <c r="BV132" s="512">
        <v>159.0</v>
      </c>
      <c r="BW132" s="512">
        <v>159.0</v>
      </c>
      <c r="BX132" s="512">
        <v>148.0</v>
      </c>
      <c r="BY132" s="512">
        <v>141.0</v>
      </c>
      <c r="BZ132" s="512">
        <v>125.0</v>
      </c>
      <c r="CA132" s="512">
        <v>160.0</v>
      </c>
      <c r="CB132" s="512">
        <v>188.0</v>
      </c>
      <c r="CC132" s="512">
        <v>189.0</v>
      </c>
      <c r="CD132" s="512">
        <v>177.0</v>
      </c>
      <c r="CE132" s="512">
        <v>175.0</v>
      </c>
      <c r="CF132" s="512">
        <v>172.0</v>
      </c>
      <c r="CG132" s="512">
        <v>204.0</v>
      </c>
      <c r="CH132" s="512">
        <v>198.0</v>
      </c>
      <c r="CI132" s="512">
        <v>163.0</v>
      </c>
      <c r="CJ132" s="512">
        <v>177.0</v>
      </c>
      <c r="CK132" s="512">
        <v>156.0</v>
      </c>
      <c r="CL132" s="512">
        <v>177.0</v>
      </c>
      <c r="CM132" s="512"/>
      <c r="CN132" s="561">
        <v>145.0</v>
      </c>
      <c r="CO132" s="561">
        <v>149.0</v>
      </c>
      <c r="CP132" s="561">
        <v>145.0</v>
      </c>
      <c r="CQ132" s="561">
        <v>192.0</v>
      </c>
      <c r="CR132" s="561">
        <v>180.0</v>
      </c>
      <c r="CS132" s="561">
        <v>169.0</v>
      </c>
      <c r="CT132" s="561">
        <v>102.0</v>
      </c>
      <c r="CU132" s="561">
        <v>112.0</v>
      </c>
      <c r="CV132" s="561">
        <v>174.0</v>
      </c>
      <c r="CW132" s="561">
        <v>200.0</v>
      </c>
      <c r="CX132" s="561">
        <v>161.0</v>
      </c>
      <c r="CY132" s="561">
        <v>110.0</v>
      </c>
      <c r="CZ132" s="561">
        <v>157.0</v>
      </c>
      <c r="DA132" s="561">
        <v>171.0</v>
      </c>
      <c r="DB132" s="561">
        <v>164.0</v>
      </c>
      <c r="DC132" s="561">
        <v>213.0</v>
      </c>
      <c r="DD132" s="561">
        <v>149.0</v>
      </c>
      <c r="DE132" s="561">
        <v>175.0</v>
      </c>
      <c r="DF132" s="571">
        <v>165.0</v>
      </c>
      <c r="DG132" s="561">
        <v>218.0</v>
      </c>
      <c r="DH132" s="561">
        <v>188.0</v>
      </c>
      <c r="DI132" s="561">
        <v>228.0</v>
      </c>
      <c r="DJ132" s="561">
        <v>193.0</v>
      </c>
      <c r="DK132" s="561">
        <v>192.0</v>
      </c>
      <c r="DL132" s="561">
        <v>176.0</v>
      </c>
      <c r="DM132" s="561">
        <v>152.0</v>
      </c>
      <c r="DN132" s="561">
        <v>125.0</v>
      </c>
      <c r="DO132" s="561">
        <v>179.0</v>
      </c>
      <c r="DP132" s="561">
        <v>129.0</v>
      </c>
      <c r="DQ132" s="561">
        <v>167.0</v>
      </c>
      <c r="DR132" s="314"/>
      <c r="DV132" s="531"/>
      <c r="DW132" s="531"/>
      <c r="DX132" s="530"/>
    </row>
    <row r="133" hidden="1">
      <c r="A133" s="521" t="s">
        <v>290</v>
      </c>
      <c r="B133" s="525"/>
      <c r="C133" s="525"/>
      <c r="D133" s="525"/>
      <c r="E133" s="525"/>
      <c r="F133" s="525"/>
      <c r="G133" s="525"/>
      <c r="H133" s="525"/>
      <c r="I133" s="525"/>
      <c r="J133" s="525"/>
      <c r="K133" s="525"/>
      <c r="L133" s="525"/>
      <c r="M133" s="525"/>
      <c r="N133" s="525"/>
      <c r="O133" s="525"/>
      <c r="P133" s="525"/>
      <c r="Q133" s="525"/>
      <c r="R133" s="525"/>
      <c r="S133" s="525"/>
      <c r="T133" s="525"/>
      <c r="U133" s="525"/>
      <c r="V133" s="525"/>
      <c r="W133" s="525"/>
      <c r="X133" s="525"/>
      <c r="Y133" s="525"/>
      <c r="Z133" s="525"/>
      <c r="AA133" s="525"/>
      <c r="AB133" s="525"/>
      <c r="AC133" s="525"/>
      <c r="AD133" s="525"/>
      <c r="AE133" s="525"/>
      <c r="AF133" s="525"/>
      <c r="AG133" s="525"/>
      <c r="AH133" s="525"/>
      <c r="AI133" s="525"/>
      <c r="AJ133" s="525"/>
      <c r="AK133" s="525"/>
      <c r="AL133" s="525"/>
      <c r="AM133" s="525"/>
      <c r="AN133" s="525"/>
      <c r="AO133" s="525"/>
      <c r="AP133" s="525"/>
      <c r="AQ133" s="525"/>
      <c r="AR133" s="525"/>
      <c r="AS133" s="525"/>
      <c r="AT133" s="525"/>
      <c r="AU133" s="525"/>
      <c r="AV133" s="525"/>
      <c r="AW133" s="525"/>
      <c r="AX133" s="525"/>
      <c r="AY133" s="525"/>
      <c r="AZ133" s="525"/>
      <c r="BA133" s="525"/>
      <c r="BB133" s="525"/>
      <c r="BC133" s="525"/>
      <c r="BD133" s="525"/>
      <c r="BE133" s="525"/>
      <c r="BF133" s="525"/>
      <c r="BG133" s="525"/>
      <c r="BH133" s="525"/>
      <c r="BI133" s="525"/>
      <c r="BJ133" s="525"/>
      <c r="BK133" s="512">
        <v>36.0</v>
      </c>
      <c r="BL133" s="512">
        <v>53.0</v>
      </c>
      <c r="BM133" s="525"/>
      <c r="BN133" s="512">
        <v>40.0</v>
      </c>
      <c r="BO133" s="512">
        <v>50.0</v>
      </c>
      <c r="BP133" s="512">
        <v>56.0</v>
      </c>
      <c r="BQ133" s="512">
        <v>70.0</v>
      </c>
      <c r="BR133" s="512">
        <v>51.0</v>
      </c>
      <c r="BS133" s="512">
        <v>63.0</v>
      </c>
      <c r="BT133" s="512">
        <v>62.0</v>
      </c>
      <c r="BU133" s="512">
        <v>68.0</v>
      </c>
      <c r="BV133" s="512">
        <v>65.0</v>
      </c>
      <c r="BW133" s="512">
        <v>64.0</v>
      </c>
      <c r="BX133" s="512">
        <v>64.0</v>
      </c>
      <c r="BY133" s="512">
        <v>67.0</v>
      </c>
      <c r="BZ133" s="512">
        <v>56.0</v>
      </c>
      <c r="CA133" s="512">
        <v>65.0</v>
      </c>
      <c r="CB133" s="512">
        <v>68.0</v>
      </c>
      <c r="CC133" s="512">
        <v>72.0</v>
      </c>
      <c r="CD133" s="512">
        <v>67.0</v>
      </c>
      <c r="CE133" s="512">
        <v>72.0</v>
      </c>
      <c r="CF133" s="512">
        <v>72.0</v>
      </c>
      <c r="CG133" s="512">
        <v>81.0</v>
      </c>
      <c r="CH133" s="512">
        <v>81.0</v>
      </c>
      <c r="CI133" s="512">
        <v>67.0</v>
      </c>
      <c r="CJ133" s="512">
        <v>64.0</v>
      </c>
      <c r="CK133" s="512">
        <v>66.0</v>
      </c>
      <c r="CL133" s="512">
        <v>58.0</v>
      </c>
      <c r="CM133" s="552">
        <f>SUM(BK133:CL133)/28</f>
        <v>60.64285714</v>
      </c>
      <c r="CN133" s="561">
        <v>65.0</v>
      </c>
      <c r="CO133" s="561">
        <v>59.0</v>
      </c>
      <c r="CP133" s="561">
        <v>64.0</v>
      </c>
      <c r="CQ133" s="561">
        <v>77.0</v>
      </c>
      <c r="CR133" s="561">
        <v>68.0</v>
      </c>
      <c r="CS133" s="561">
        <v>69.0</v>
      </c>
      <c r="CT133" s="561">
        <v>60.0</v>
      </c>
      <c r="CU133" s="561">
        <v>51.0</v>
      </c>
      <c r="CV133" s="561">
        <v>70.0</v>
      </c>
      <c r="CW133" s="561">
        <v>81.0</v>
      </c>
      <c r="CX133" s="561">
        <v>67.0</v>
      </c>
      <c r="CY133" s="561">
        <v>46.0</v>
      </c>
      <c r="CZ133" s="561">
        <v>63.0</v>
      </c>
      <c r="DA133" s="561">
        <v>61.0</v>
      </c>
      <c r="DB133" s="561">
        <v>66.0</v>
      </c>
      <c r="DC133" s="561">
        <v>77.0</v>
      </c>
      <c r="DD133" s="561">
        <v>59.0</v>
      </c>
      <c r="DE133" s="561">
        <v>69.0</v>
      </c>
      <c r="DF133" s="571">
        <v>69.0</v>
      </c>
      <c r="DG133" s="561">
        <v>84.0</v>
      </c>
      <c r="DH133" s="561">
        <v>57.0</v>
      </c>
      <c r="DI133" s="561">
        <v>83.0</v>
      </c>
      <c r="DJ133" s="561">
        <v>87.0</v>
      </c>
      <c r="DK133" s="561">
        <v>77.0</v>
      </c>
      <c r="DL133" s="561">
        <v>66.0</v>
      </c>
      <c r="DM133" s="561">
        <v>63.0</v>
      </c>
      <c r="DN133" s="561">
        <v>59.0</v>
      </c>
      <c r="DO133" s="561">
        <v>63.0</v>
      </c>
      <c r="DP133" s="561">
        <v>56.0</v>
      </c>
      <c r="DQ133" s="561">
        <v>73.0</v>
      </c>
      <c r="DR133" s="314"/>
      <c r="DV133" s="531"/>
      <c r="DW133" s="531"/>
      <c r="DX133" s="530"/>
    </row>
    <row r="134" hidden="1">
      <c r="A134" s="553" t="s">
        <v>291</v>
      </c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  <c r="AI134" s="529"/>
      <c r="AJ134" s="529"/>
      <c r="AK134" s="529"/>
      <c r="AL134" s="529"/>
      <c r="AM134" s="529"/>
      <c r="AN134" s="529"/>
      <c r="AO134" s="529"/>
      <c r="AP134" s="529"/>
      <c r="AQ134" s="529"/>
      <c r="AR134" s="529"/>
      <c r="AS134" s="529"/>
      <c r="AT134" s="529"/>
      <c r="AU134" s="529"/>
      <c r="AV134" s="529"/>
      <c r="AW134" s="529"/>
      <c r="AX134" s="529"/>
      <c r="AY134" s="529"/>
      <c r="AZ134" s="529"/>
      <c r="BA134" s="529"/>
      <c r="BB134" s="529"/>
      <c r="BC134" s="529"/>
      <c r="BD134" s="529"/>
      <c r="BE134" s="529"/>
      <c r="BF134" s="529"/>
      <c r="BG134" s="529"/>
      <c r="BH134" s="529"/>
      <c r="BI134" s="529"/>
      <c r="BJ134" s="529"/>
      <c r="BK134" s="529">
        <v>22.22</v>
      </c>
      <c r="BL134" s="529">
        <v>34.11</v>
      </c>
      <c r="BM134" s="529">
        <v>-190.84</v>
      </c>
      <c r="BN134" s="529">
        <v>38.2</v>
      </c>
      <c r="BO134" s="529">
        <v>33.08</v>
      </c>
      <c r="BP134" s="529">
        <v>48.91</v>
      </c>
      <c r="BQ134" s="529">
        <v>44.55</v>
      </c>
      <c r="BR134" s="529">
        <v>30.32</v>
      </c>
      <c r="BS134" s="529">
        <v>-78.02</v>
      </c>
      <c r="BT134" s="529">
        <v>49.19</v>
      </c>
      <c r="BU134" s="529">
        <v>51.41</v>
      </c>
      <c r="BV134" s="529">
        <v>53.58</v>
      </c>
      <c r="BW134" s="529">
        <v>51.03</v>
      </c>
      <c r="BX134" s="529">
        <v>39.79</v>
      </c>
      <c r="BY134" s="529">
        <v>43.96</v>
      </c>
      <c r="BZ134" s="529">
        <v>43.84</v>
      </c>
      <c r="CA134" s="550">
        <v>45.98</v>
      </c>
      <c r="CB134" s="550">
        <v>40.67</v>
      </c>
      <c r="CC134" s="550">
        <v>47.82</v>
      </c>
      <c r="CD134" s="550">
        <v>63.99</v>
      </c>
      <c r="CE134" s="550">
        <v>-209.27</v>
      </c>
      <c r="CF134" s="550">
        <v>73.03</v>
      </c>
      <c r="CG134" s="550">
        <v>65.24</v>
      </c>
      <c r="CH134" s="550">
        <v>-52.31</v>
      </c>
      <c r="CI134" s="550">
        <v>55.56</v>
      </c>
      <c r="CJ134" s="550">
        <v>37.49</v>
      </c>
      <c r="CK134" s="550">
        <v>42.2</v>
      </c>
      <c r="CL134" s="537">
        <v>57.35</v>
      </c>
      <c r="CM134" s="554"/>
      <c r="CN134" s="537">
        <v>123.62</v>
      </c>
      <c r="CO134" s="537">
        <v>77.13</v>
      </c>
      <c r="CP134" s="537">
        <v>115.62</v>
      </c>
      <c r="CQ134" s="537">
        <v>82.06</v>
      </c>
      <c r="CR134" s="537">
        <v>103.53</v>
      </c>
      <c r="CS134" s="537">
        <v>89.31</v>
      </c>
      <c r="CT134" s="537">
        <v>98.82</v>
      </c>
      <c r="CU134" s="537">
        <v>95.66</v>
      </c>
      <c r="CV134" s="512">
        <v>66.5</v>
      </c>
      <c r="CW134" s="537">
        <v>99.0</v>
      </c>
      <c r="CX134" s="537">
        <v>85.2</v>
      </c>
      <c r="CY134" s="537">
        <v>61.6</v>
      </c>
      <c r="CZ134" s="537">
        <v>84.3</v>
      </c>
      <c r="DA134" s="537">
        <v>123.0</v>
      </c>
      <c r="DB134" s="537">
        <v>56.8</v>
      </c>
      <c r="DC134" s="537">
        <v>81.7</v>
      </c>
      <c r="DD134" s="537">
        <v>76.7</v>
      </c>
      <c r="DE134" s="537">
        <v>82.3</v>
      </c>
      <c r="DF134" s="572">
        <v>63.9</v>
      </c>
      <c r="DG134" s="537">
        <v>63.3</v>
      </c>
      <c r="DH134" s="537">
        <v>121.77</v>
      </c>
      <c r="DI134" s="537">
        <v>96.85</v>
      </c>
      <c r="DJ134" s="537">
        <v>66.39</v>
      </c>
      <c r="DK134" s="537">
        <v>34.03</v>
      </c>
      <c r="DL134" s="537">
        <v>67.53</v>
      </c>
      <c r="DM134" s="537">
        <v>84.99</v>
      </c>
      <c r="DN134" s="537">
        <v>43.85</v>
      </c>
      <c r="DO134" s="537">
        <v>62.88</v>
      </c>
      <c r="DP134" s="537">
        <v>40.66</v>
      </c>
      <c r="DQ134" s="537">
        <v>41.83</v>
      </c>
      <c r="DR134" s="537"/>
      <c r="DV134" s="531"/>
      <c r="DW134" s="531"/>
      <c r="DX134" s="530"/>
    </row>
    <row r="135" hidden="1">
      <c r="A135" s="531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/>
      <c r="AU135" s="118"/>
      <c r="AV135" s="118"/>
      <c r="AW135" s="118"/>
      <c r="AX135" s="118"/>
      <c r="AY135" s="118"/>
      <c r="AZ135" s="118"/>
      <c r="BA135" s="118"/>
      <c r="BB135" s="118"/>
      <c r="BC135" s="118"/>
      <c r="BD135" s="118"/>
      <c r="BE135" s="118"/>
      <c r="BF135" s="118"/>
      <c r="BG135" s="118"/>
      <c r="BH135" s="118"/>
      <c r="BI135" s="118"/>
      <c r="BJ135" s="118"/>
      <c r="BK135" s="118"/>
      <c r="BL135" s="118"/>
      <c r="BM135" s="118"/>
      <c r="BN135" s="118"/>
      <c r="BO135" s="118"/>
      <c r="BP135" s="118"/>
      <c r="BQ135" s="118"/>
      <c r="BR135" s="118"/>
      <c r="BS135" s="118"/>
      <c r="BT135" s="118"/>
      <c r="BU135" s="118"/>
      <c r="BV135" s="118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499"/>
      <c r="CN135" s="118"/>
      <c r="CO135" s="546"/>
      <c r="CP135" s="118"/>
      <c r="CQ135" s="118"/>
      <c r="CR135" s="546"/>
      <c r="CS135" s="118"/>
      <c r="CT135" s="118"/>
      <c r="CU135" s="546"/>
      <c r="CV135" s="118"/>
      <c r="CW135" s="118"/>
      <c r="CX135" s="118"/>
      <c r="CY135" s="118"/>
      <c r="CZ135" s="118"/>
      <c r="DA135" s="118"/>
      <c r="DB135" s="118"/>
      <c r="DC135" s="118"/>
      <c r="DD135" s="118"/>
      <c r="DE135" s="118"/>
      <c r="DF135" s="118"/>
      <c r="DG135" s="118"/>
      <c r="DH135" s="118"/>
      <c r="DI135" s="118"/>
      <c r="DJ135" s="118"/>
      <c r="DK135" s="118"/>
      <c r="DL135" s="118"/>
      <c r="DM135" s="118"/>
      <c r="DN135" s="118"/>
      <c r="DO135" s="118"/>
      <c r="DP135" s="118"/>
      <c r="DQ135" s="118"/>
      <c r="DR135" s="118"/>
      <c r="DV135" s="531"/>
      <c r="DW135" s="531"/>
      <c r="DX135" s="530"/>
    </row>
    <row r="136" hidden="1">
      <c r="A136" s="531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118"/>
      <c r="AV136" s="118"/>
      <c r="AW136" s="118"/>
      <c r="AX136" s="118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18"/>
      <c r="BJ136" s="118"/>
      <c r="BK136" s="118"/>
      <c r="BL136" s="118"/>
      <c r="BM136" s="118"/>
      <c r="BN136" s="118"/>
      <c r="BO136" s="118"/>
      <c r="BP136" s="118"/>
      <c r="BQ136" s="118"/>
      <c r="BR136" s="118"/>
      <c r="BS136" s="118"/>
      <c r="BT136" s="118"/>
      <c r="BU136" s="118"/>
      <c r="BV136" s="118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499"/>
      <c r="CN136" s="118"/>
      <c r="CO136" s="118"/>
      <c r="CP136" s="118"/>
      <c r="CQ136" s="118"/>
      <c r="CR136" s="118"/>
      <c r="CS136" s="118"/>
      <c r="CT136" s="118"/>
      <c r="CU136" s="118"/>
      <c r="CV136" s="118"/>
      <c r="CW136" s="118"/>
      <c r="CX136" s="118"/>
      <c r="CY136" s="118"/>
      <c r="CZ136" s="118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8"/>
      <c r="DL136" s="118"/>
      <c r="DM136" s="118"/>
      <c r="DN136" s="118"/>
      <c r="DO136" s="118"/>
      <c r="DP136" s="118"/>
      <c r="DQ136" s="118"/>
      <c r="DR136" s="118"/>
      <c r="DV136" s="531"/>
      <c r="DW136" s="531"/>
      <c r="DX136" s="530"/>
    </row>
    <row r="137" hidden="1">
      <c r="A137" s="500" t="s">
        <v>8</v>
      </c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  <c r="BR137" s="118"/>
      <c r="BS137" s="118"/>
      <c r="BT137" s="118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499"/>
      <c r="CN137" s="118"/>
      <c r="CO137" s="118"/>
      <c r="CP137" s="118"/>
      <c r="CQ137" s="118"/>
      <c r="CR137" s="118"/>
      <c r="CS137" s="118"/>
      <c r="CT137" s="118"/>
      <c r="CU137" s="118"/>
      <c r="CV137" s="118"/>
      <c r="CW137" s="118"/>
      <c r="CX137" s="118"/>
      <c r="CY137" s="118"/>
      <c r="CZ137" s="118"/>
      <c r="DA137" s="118"/>
      <c r="DB137" s="546"/>
      <c r="DC137" s="546"/>
      <c r="DD137" s="118"/>
      <c r="DE137" s="546"/>
      <c r="DF137" s="546"/>
      <c r="DG137" s="546"/>
      <c r="DH137" s="546"/>
      <c r="DI137" s="546"/>
      <c r="DJ137" s="546"/>
      <c r="DK137" s="546"/>
      <c r="DL137" s="546"/>
      <c r="DM137" s="546"/>
      <c r="DN137" s="546"/>
      <c r="DO137" s="546"/>
      <c r="DP137" s="546"/>
      <c r="DQ137" s="546"/>
      <c r="DR137" s="118"/>
      <c r="DV137" s="521"/>
      <c r="DW137" s="521"/>
      <c r="DX137" s="530"/>
    </row>
    <row r="138" hidden="1">
      <c r="A138" s="502" t="s">
        <v>288</v>
      </c>
      <c r="B138" s="525"/>
      <c r="C138" s="525"/>
      <c r="D138" s="525"/>
      <c r="E138" s="525"/>
      <c r="F138" s="525"/>
      <c r="G138" s="525"/>
      <c r="H138" s="525"/>
      <c r="I138" s="525"/>
      <c r="J138" s="525"/>
      <c r="K138" s="525"/>
      <c r="L138" s="525"/>
      <c r="M138" s="525"/>
      <c r="N138" s="525"/>
      <c r="O138" s="525"/>
      <c r="P138" s="525"/>
      <c r="Q138" s="525"/>
      <c r="R138" s="525"/>
      <c r="S138" s="525"/>
      <c r="T138" s="525"/>
      <c r="U138" s="525"/>
      <c r="V138" s="525"/>
      <c r="W138" s="525"/>
      <c r="X138" s="525"/>
      <c r="Y138" s="525"/>
      <c r="Z138" s="525"/>
      <c r="AA138" s="525"/>
      <c r="AB138" s="525"/>
      <c r="AC138" s="525"/>
      <c r="AD138" s="525"/>
      <c r="AE138" s="525"/>
      <c r="AF138" s="525"/>
      <c r="AG138" s="525"/>
      <c r="AH138" s="525"/>
      <c r="AI138" s="525"/>
      <c r="AJ138" s="525"/>
      <c r="AK138" s="525"/>
      <c r="AL138" s="525"/>
      <c r="AM138" s="525"/>
      <c r="AN138" s="525"/>
      <c r="AO138" s="525"/>
      <c r="AP138" s="525"/>
      <c r="AQ138" s="525"/>
      <c r="AR138" s="525"/>
      <c r="AS138" s="525"/>
      <c r="AT138" s="525"/>
      <c r="AU138" s="525"/>
      <c r="AV138" s="525"/>
      <c r="AW138" s="525"/>
      <c r="AX138" s="525"/>
      <c r="AY138" s="525"/>
      <c r="AZ138" s="525"/>
      <c r="BA138" s="525"/>
      <c r="BB138" s="525"/>
      <c r="BC138" s="525"/>
      <c r="BD138" s="525"/>
      <c r="BE138" s="525"/>
      <c r="BF138" s="525"/>
      <c r="BG138" s="525"/>
      <c r="BH138" s="525"/>
      <c r="BI138" s="525"/>
      <c r="BJ138" s="525"/>
      <c r="BK138" s="541">
        <v>45689.0</v>
      </c>
      <c r="BL138" s="503">
        <v>45690.0</v>
      </c>
      <c r="BM138" s="503">
        <v>45691.0</v>
      </c>
      <c r="BN138" s="541">
        <v>45692.0</v>
      </c>
      <c r="BO138" s="541">
        <v>45693.0</v>
      </c>
      <c r="BP138" s="541">
        <v>45694.0</v>
      </c>
      <c r="BQ138" s="541">
        <v>45695.0</v>
      </c>
      <c r="BR138" s="541">
        <v>45696.0</v>
      </c>
      <c r="BS138" s="541">
        <v>45697.0</v>
      </c>
      <c r="BT138" s="541">
        <v>45698.0</v>
      </c>
      <c r="BU138" s="541">
        <v>45699.0</v>
      </c>
      <c r="BV138" s="541">
        <v>45700.0</v>
      </c>
      <c r="BW138" s="541">
        <v>45701.0</v>
      </c>
      <c r="BX138" s="541">
        <v>45702.0</v>
      </c>
      <c r="BY138" s="541">
        <v>45703.0</v>
      </c>
      <c r="BZ138" s="541">
        <v>45704.0</v>
      </c>
      <c r="CA138" s="541">
        <v>45705.0</v>
      </c>
      <c r="CB138" s="541">
        <v>45706.0</v>
      </c>
      <c r="CC138" s="541">
        <v>45707.0</v>
      </c>
      <c r="CD138" s="541">
        <v>45708.0</v>
      </c>
      <c r="CE138" s="541">
        <v>45709.0</v>
      </c>
      <c r="CF138" s="541">
        <v>45710.0</v>
      </c>
      <c r="CG138" s="541">
        <v>45711.0</v>
      </c>
      <c r="CH138" s="541">
        <v>45712.0</v>
      </c>
      <c r="CI138" s="541">
        <v>45713.0</v>
      </c>
      <c r="CJ138" s="541">
        <v>45714.0</v>
      </c>
      <c r="CK138" s="541">
        <v>45715.0</v>
      </c>
      <c r="CL138" s="541">
        <v>45716.0</v>
      </c>
      <c r="CM138" s="552"/>
      <c r="CN138" s="541">
        <v>45809.0</v>
      </c>
      <c r="CO138" s="541">
        <v>45810.0</v>
      </c>
      <c r="CP138" s="541">
        <v>45811.0</v>
      </c>
      <c r="CQ138" s="541">
        <v>45812.0</v>
      </c>
      <c r="CR138" s="541">
        <v>45813.0</v>
      </c>
      <c r="CS138" s="541">
        <v>45814.0</v>
      </c>
      <c r="CT138" s="541">
        <v>45815.0</v>
      </c>
      <c r="CU138" s="541">
        <v>45816.0</v>
      </c>
      <c r="CV138" s="541">
        <v>45817.0</v>
      </c>
      <c r="CW138" s="541">
        <v>45818.0</v>
      </c>
      <c r="CX138" s="541">
        <v>45819.0</v>
      </c>
      <c r="CY138" s="541">
        <v>45820.0</v>
      </c>
      <c r="CZ138" s="541">
        <v>45821.0</v>
      </c>
      <c r="DA138" s="541">
        <v>45822.0</v>
      </c>
      <c r="DB138" s="541">
        <v>45823.0</v>
      </c>
      <c r="DC138" s="541">
        <v>45824.0</v>
      </c>
      <c r="DD138" s="570">
        <v>45825.0</v>
      </c>
      <c r="DE138" s="541">
        <v>45826.0</v>
      </c>
      <c r="DF138" s="541">
        <v>45827.0</v>
      </c>
      <c r="DG138" s="541">
        <v>45828.0</v>
      </c>
      <c r="DH138" s="541">
        <v>45829.0</v>
      </c>
      <c r="DI138" s="541">
        <v>45830.0</v>
      </c>
      <c r="DJ138" s="541">
        <v>45831.0</v>
      </c>
      <c r="DK138" s="541">
        <v>45832.0</v>
      </c>
      <c r="DL138" s="541">
        <v>45833.0</v>
      </c>
      <c r="DM138" s="541">
        <v>45834.0</v>
      </c>
      <c r="DN138" s="541">
        <v>45835.0</v>
      </c>
      <c r="DO138" s="541">
        <v>45836.0</v>
      </c>
      <c r="DP138" s="541">
        <v>45837.0</v>
      </c>
      <c r="DQ138" s="541">
        <v>45838.0</v>
      </c>
      <c r="DR138" s="541"/>
      <c r="DV138" s="531"/>
      <c r="DW138" s="531"/>
      <c r="DX138" s="530"/>
    </row>
    <row r="139" hidden="1">
      <c r="A139" s="502" t="s">
        <v>289</v>
      </c>
      <c r="B139" s="525"/>
      <c r="C139" s="525"/>
      <c r="D139" s="525"/>
      <c r="E139" s="525"/>
      <c r="F139" s="525"/>
      <c r="G139" s="525"/>
      <c r="H139" s="525"/>
      <c r="I139" s="525"/>
      <c r="J139" s="525"/>
      <c r="K139" s="525"/>
      <c r="L139" s="525"/>
      <c r="M139" s="525"/>
      <c r="N139" s="525"/>
      <c r="O139" s="525"/>
      <c r="P139" s="525"/>
      <c r="Q139" s="525"/>
      <c r="R139" s="525"/>
      <c r="S139" s="525"/>
      <c r="T139" s="525"/>
      <c r="U139" s="525"/>
      <c r="V139" s="525"/>
      <c r="W139" s="525"/>
      <c r="X139" s="525"/>
      <c r="Y139" s="525"/>
      <c r="Z139" s="525"/>
      <c r="AA139" s="525"/>
      <c r="AB139" s="525"/>
      <c r="AC139" s="525"/>
      <c r="AD139" s="525"/>
      <c r="AE139" s="525"/>
      <c r="AF139" s="525"/>
      <c r="AG139" s="525"/>
      <c r="AH139" s="525"/>
      <c r="AI139" s="525"/>
      <c r="AJ139" s="525"/>
      <c r="AK139" s="525"/>
      <c r="AL139" s="525"/>
      <c r="AM139" s="525"/>
      <c r="AN139" s="525"/>
      <c r="AO139" s="525"/>
      <c r="AP139" s="525"/>
      <c r="AQ139" s="525"/>
      <c r="AR139" s="525"/>
      <c r="AS139" s="525"/>
      <c r="AT139" s="525"/>
      <c r="AU139" s="525"/>
      <c r="AV139" s="525"/>
      <c r="AW139" s="525"/>
      <c r="AX139" s="525"/>
      <c r="AY139" s="525"/>
      <c r="AZ139" s="525"/>
      <c r="BA139" s="525"/>
      <c r="BB139" s="525"/>
      <c r="BC139" s="525"/>
      <c r="BD139" s="525"/>
      <c r="BE139" s="525"/>
      <c r="BF139" s="525"/>
      <c r="BG139" s="525"/>
      <c r="BH139" s="525"/>
      <c r="BI139" s="525"/>
      <c r="BJ139" s="525"/>
      <c r="BK139" s="525"/>
      <c r="BL139" s="518">
        <v>196.0</v>
      </c>
      <c r="BM139" s="518">
        <v>147.0</v>
      </c>
      <c r="BN139" s="525"/>
      <c r="BO139" s="525"/>
      <c r="BP139" s="512">
        <v>193.0</v>
      </c>
      <c r="BQ139" s="512">
        <v>202.0</v>
      </c>
      <c r="BR139" s="512">
        <v>239.0</v>
      </c>
      <c r="BS139" s="525"/>
      <c r="BT139" s="512">
        <v>181.0</v>
      </c>
      <c r="BU139" s="525"/>
      <c r="BV139" s="512">
        <v>292.0</v>
      </c>
      <c r="BW139" s="512">
        <v>258.0</v>
      </c>
      <c r="BX139" s="512">
        <v>267.0</v>
      </c>
      <c r="BY139" s="512">
        <v>214.0</v>
      </c>
      <c r="BZ139" s="512">
        <v>234.0</v>
      </c>
      <c r="CA139" s="512">
        <v>271.0</v>
      </c>
      <c r="CB139" s="512">
        <v>222.0</v>
      </c>
      <c r="CC139" s="512">
        <v>298.0</v>
      </c>
      <c r="CD139" s="512">
        <v>290.0</v>
      </c>
      <c r="CE139" s="512">
        <v>261.0</v>
      </c>
      <c r="CF139" s="512">
        <v>274.0</v>
      </c>
      <c r="CG139" s="512">
        <v>285.0</v>
      </c>
      <c r="CH139" s="512">
        <v>196.0</v>
      </c>
      <c r="CI139" s="512">
        <v>198.0</v>
      </c>
      <c r="CJ139" s="512">
        <v>274.0</v>
      </c>
      <c r="CK139" s="512">
        <v>197.0</v>
      </c>
      <c r="CL139" s="512">
        <v>246.0</v>
      </c>
      <c r="CM139" s="552"/>
      <c r="CN139" s="561">
        <v>270.0</v>
      </c>
      <c r="CO139" s="561">
        <v>263.0</v>
      </c>
      <c r="CP139" s="561">
        <v>232.0</v>
      </c>
      <c r="CQ139" s="561">
        <v>256.0</v>
      </c>
      <c r="CR139" s="561">
        <v>189.0</v>
      </c>
      <c r="CS139" s="561">
        <v>274.0</v>
      </c>
      <c r="CT139" s="561">
        <v>226.0</v>
      </c>
      <c r="CU139" s="561">
        <v>217.0</v>
      </c>
      <c r="CV139" s="561">
        <v>236.0</v>
      </c>
      <c r="CW139" s="561">
        <v>247.0</v>
      </c>
      <c r="CX139" s="561">
        <v>305.0</v>
      </c>
      <c r="CY139" s="561">
        <v>214.0</v>
      </c>
      <c r="CZ139" s="561">
        <v>187.0</v>
      </c>
      <c r="DA139" s="561">
        <v>236.0</v>
      </c>
      <c r="DB139" s="561">
        <v>251.0</v>
      </c>
      <c r="DC139" s="561">
        <v>289.0</v>
      </c>
      <c r="DD139" s="571">
        <v>230.0</v>
      </c>
      <c r="DE139" s="561">
        <v>247.0</v>
      </c>
      <c r="DF139" s="561">
        <v>240.0</v>
      </c>
      <c r="DG139" s="561">
        <v>252.0</v>
      </c>
      <c r="DH139" s="561">
        <v>260.0</v>
      </c>
      <c r="DI139" s="561">
        <v>224.0</v>
      </c>
      <c r="DJ139" s="561">
        <v>298.0</v>
      </c>
      <c r="DK139" s="561">
        <v>257.0</v>
      </c>
      <c r="DL139" s="561">
        <v>168.0</v>
      </c>
      <c r="DM139" s="561">
        <v>219.0</v>
      </c>
      <c r="DN139" s="561">
        <v>170.0</v>
      </c>
      <c r="DO139" s="561">
        <v>208.0</v>
      </c>
      <c r="DP139" s="561">
        <v>233.0</v>
      </c>
      <c r="DQ139" s="561">
        <v>183.0</v>
      </c>
      <c r="DR139" s="314"/>
      <c r="DV139" s="531"/>
      <c r="DW139" s="531"/>
      <c r="DX139" s="530"/>
    </row>
    <row r="140" hidden="1">
      <c r="A140" s="521" t="s">
        <v>290</v>
      </c>
      <c r="B140" s="525"/>
      <c r="C140" s="525"/>
      <c r="D140" s="525"/>
      <c r="E140" s="525"/>
      <c r="F140" s="525"/>
      <c r="G140" s="525"/>
      <c r="H140" s="525"/>
      <c r="I140" s="525"/>
      <c r="J140" s="525"/>
      <c r="K140" s="525"/>
      <c r="L140" s="525"/>
      <c r="M140" s="525"/>
      <c r="N140" s="525"/>
      <c r="O140" s="525"/>
      <c r="P140" s="525"/>
      <c r="Q140" s="525"/>
      <c r="R140" s="525"/>
      <c r="S140" s="525"/>
      <c r="T140" s="525"/>
      <c r="U140" s="525"/>
      <c r="V140" s="525"/>
      <c r="W140" s="525"/>
      <c r="X140" s="525"/>
      <c r="Y140" s="525"/>
      <c r="Z140" s="525"/>
      <c r="AA140" s="525"/>
      <c r="AB140" s="525"/>
      <c r="AC140" s="525"/>
      <c r="AD140" s="525"/>
      <c r="AE140" s="525"/>
      <c r="AF140" s="525"/>
      <c r="AG140" s="525"/>
      <c r="AH140" s="525"/>
      <c r="AI140" s="525"/>
      <c r="AJ140" s="525"/>
      <c r="AK140" s="525"/>
      <c r="AL140" s="525"/>
      <c r="AM140" s="525"/>
      <c r="AN140" s="525"/>
      <c r="AO140" s="525"/>
      <c r="AP140" s="525"/>
      <c r="AQ140" s="525"/>
      <c r="AR140" s="525"/>
      <c r="AS140" s="525"/>
      <c r="AT140" s="525"/>
      <c r="AU140" s="525"/>
      <c r="AV140" s="525"/>
      <c r="AW140" s="525"/>
      <c r="AX140" s="525"/>
      <c r="AY140" s="525"/>
      <c r="AZ140" s="525"/>
      <c r="BA140" s="525"/>
      <c r="BB140" s="525"/>
      <c r="BC140" s="525"/>
      <c r="BD140" s="525"/>
      <c r="BE140" s="525"/>
      <c r="BF140" s="525"/>
      <c r="BG140" s="525"/>
      <c r="BH140" s="525"/>
      <c r="BI140" s="525"/>
      <c r="BJ140" s="525"/>
      <c r="BK140" s="525"/>
      <c r="BL140" s="518">
        <v>82.0</v>
      </c>
      <c r="BM140" s="518">
        <v>67.0</v>
      </c>
      <c r="BN140" s="525"/>
      <c r="BO140" s="525"/>
      <c r="BP140" s="512">
        <v>71.0</v>
      </c>
      <c r="BQ140" s="512">
        <v>80.0</v>
      </c>
      <c r="BR140" s="512">
        <v>95.0</v>
      </c>
      <c r="BS140" s="525"/>
      <c r="BT140" s="512">
        <v>73.0</v>
      </c>
      <c r="BU140" s="525"/>
      <c r="BV140" s="512">
        <v>96.0</v>
      </c>
      <c r="BW140" s="512">
        <v>98.0</v>
      </c>
      <c r="BX140" s="512">
        <v>104.0</v>
      </c>
      <c r="BY140" s="512">
        <v>88.0</v>
      </c>
      <c r="BZ140" s="512">
        <v>86.0</v>
      </c>
      <c r="CA140" s="512">
        <v>101.0</v>
      </c>
      <c r="CB140" s="512">
        <v>88.0</v>
      </c>
      <c r="CC140" s="512">
        <v>106.0</v>
      </c>
      <c r="CD140" s="512">
        <v>103.0</v>
      </c>
      <c r="CE140" s="512">
        <v>89.0</v>
      </c>
      <c r="CF140" s="512">
        <v>119.0</v>
      </c>
      <c r="CG140" s="512">
        <v>116.0</v>
      </c>
      <c r="CH140" s="512">
        <v>86.0</v>
      </c>
      <c r="CI140" s="512">
        <v>89.0</v>
      </c>
      <c r="CJ140" s="512">
        <v>103.0</v>
      </c>
      <c r="CK140" s="512">
        <v>82.0</v>
      </c>
      <c r="CL140" s="512">
        <v>92.0</v>
      </c>
      <c r="CM140" s="552">
        <f>SUM(BK140:CL140)/22</f>
        <v>96.09090909</v>
      </c>
      <c r="CN140" s="561">
        <v>95.0</v>
      </c>
      <c r="CO140" s="561">
        <v>104.0</v>
      </c>
      <c r="CP140" s="561">
        <v>92.0</v>
      </c>
      <c r="CQ140" s="561">
        <v>99.0</v>
      </c>
      <c r="CR140" s="561">
        <v>92.0</v>
      </c>
      <c r="CS140" s="561">
        <v>106.0</v>
      </c>
      <c r="CT140" s="561">
        <v>87.0</v>
      </c>
      <c r="CU140" s="561">
        <v>94.0</v>
      </c>
      <c r="CV140" s="561">
        <v>90.0</v>
      </c>
      <c r="CW140" s="561">
        <v>93.0</v>
      </c>
      <c r="CX140" s="561">
        <v>103.0</v>
      </c>
      <c r="CY140" s="561">
        <v>83.0</v>
      </c>
      <c r="CZ140" s="561">
        <v>77.0</v>
      </c>
      <c r="DA140" s="561">
        <v>92.0</v>
      </c>
      <c r="DB140" s="561">
        <v>99.0</v>
      </c>
      <c r="DC140" s="561">
        <v>108.0</v>
      </c>
      <c r="DD140" s="571">
        <v>87.0</v>
      </c>
      <c r="DE140" s="561">
        <v>106.0</v>
      </c>
      <c r="DF140" s="561">
        <v>107.0</v>
      </c>
      <c r="DG140" s="561">
        <v>96.0</v>
      </c>
      <c r="DH140" s="561">
        <v>94.0</v>
      </c>
      <c r="DI140" s="561">
        <v>83.0</v>
      </c>
      <c r="DJ140" s="561">
        <v>111.0</v>
      </c>
      <c r="DK140" s="561">
        <v>99.0</v>
      </c>
      <c r="DL140" s="561">
        <v>75.0</v>
      </c>
      <c r="DM140" s="561">
        <v>107.0</v>
      </c>
      <c r="DN140" s="561">
        <v>75.0</v>
      </c>
      <c r="DO140" s="561">
        <v>91.0</v>
      </c>
      <c r="DP140" s="561">
        <v>94.0</v>
      </c>
      <c r="DQ140" s="561">
        <v>90.0</v>
      </c>
      <c r="DR140" s="314"/>
      <c r="DV140" s="531"/>
      <c r="DW140" s="531"/>
      <c r="DX140" s="530"/>
    </row>
    <row r="141" hidden="1">
      <c r="A141" s="502" t="s">
        <v>291</v>
      </c>
      <c r="B141" s="525"/>
      <c r="C141" s="525"/>
      <c r="D141" s="525"/>
      <c r="E141" s="525"/>
      <c r="F141" s="525"/>
      <c r="G141" s="525"/>
      <c r="H141" s="525"/>
      <c r="I141" s="525"/>
      <c r="J141" s="525"/>
      <c r="K141" s="525"/>
      <c r="L141" s="525"/>
      <c r="M141" s="525"/>
      <c r="N141" s="525"/>
      <c r="O141" s="525"/>
      <c r="P141" s="525"/>
      <c r="Q141" s="525"/>
      <c r="R141" s="525"/>
      <c r="S141" s="525"/>
      <c r="T141" s="525"/>
      <c r="U141" s="525"/>
      <c r="V141" s="525"/>
      <c r="W141" s="525"/>
      <c r="X141" s="525"/>
      <c r="Y141" s="525"/>
      <c r="Z141" s="525"/>
      <c r="AA141" s="525"/>
      <c r="AB141" s="525"/>
      <c r="AC141" s="525"/>
      <c r="AD141" s="525"/>
      <c r="AE141" s="525"/>
      <c r="AF141" s="525"/>
      <c r="AG141" s="525"/>
      <c r="AH141" s="525"/>
      <c r="AI141" s="525"/>
      <c r="AJ141" s="525"/>
      <c r="AK141" s="525"/>
      <c r="AL141" s="525"/>
      <c r="AM141" s="525"/>
      <c r="AN141" s="525"/>
      <c r="AO141" s="525"/>
      <c r="AP141" s="525"/>
      <c r="AQ141" s="525"/>
      <c r="AR141" s="525"/>
      <c r="AS141" s="525"/>
      <c r="AT141" s="525"/>
      <c r="AU141" s="525"/>
      <c r="AV141" s="525"/>
      <c r="AW141" s="525"/>
      <c r="AX141" s="525"/>
      <c r="AY141" s="525"/>
      <c r="AZ141" s="525"/>
      <c r="BA141" s="525"/>
      <c r="BB141" s="525"/>
      <c r="BC141" s="525"/>
      <c r="BD141" s="525"/>
      <c r="BE141" s="525"/>
      <c r="BF141" s="525"/>
      <c r="BG141" s="525"/>
      <c r="BH141" s="525"/>
      <c r="BI141" s="525"/>
      <c r="BJ141" s="525"/>
      <c r="BK141" s="529">
        <v>-167.68</v>
      </c>
      <c r="BL141" s="529">
        <v>-89.36</v>
      </c>
      <c r="BM141" s="529">
        <v>-26.1</v>
      </c>
      <c r="BN141" s="529">
        <v>-389.28</v>
      </c>
      <c r="BO141" s="529">
        <v>54.9</v>
      </c>
      <c r="BP141" s="529">
        <v>22.93</v>
      </c>
      <c r="BQ141" s="529">
        <v>-66.7</v>
      </c>
      <c r="BR141" s="529">
        <v>-203.56</v>
      </c>
      <c r="BS141" s="529">
        <v>-359.15</v>
      </c>
      <c r="BT141" s="529">
        <v>-10.32</v>
      </c>
      <c r="BU141" s="529">
        <v>-130.74</v>
      </c>
      <c r="BV141" s="529">
        <v>82.49</v>
      </c>
      <c r="BW141" s="529">
        <v>14.18</v>
      </c>
      <c r="BX141" s="529">
        <v>93.65</v>
      </c>
      <c r="BY141" s="529">
        <v>96.27</v>
      </c>
      <c r="BZ141" s="529">
        <v>-478.47</v>
      </c>
      <c r="CA141" s="529">
        <v>-2.11</v>
      </c>
      <c r="CB141" s="529">
        <v>81.53</v>
      </c>
      <c r="CC141" s="529">
        <v>-45.15</v>
      </c>
      <c r="CD141" s="529">
        <v>92.28</v>
      </c>
      <c r="CE141" s="529">
        <v>-294.99</v>
      </c>
      <c r="CF141" s="529">
        <v>121.62</v>
      </c>
      <c r="CG141" s="529">
        <v>109.56</v>
      </c>
      <c r="CH141" s="529">
        <v>-81.66</v>
      </c>
      <c r="CI141" s="529">
        <v>-103.42</v>
      </c>
      <c r="CJ141" s="529">
        <v>72.17</v>
      </c>
      <c r="CK141" s="529">
        <v>106.47</v>
      </c>
      <c r="CL141" s="512">
        <v>7.22</v>
      </c>
      <c r="CM141" s="525"/>
      <c r="CN141" s="537">
        <v>157.01</v>
      </c>
      <c r="CO141" s="537">
        <v>157.07</v>
      </c>
      <c r="CP141" s="537">
        <v>163.07</v>
      </c>
      <c r="CQ141" s="537">
        <v>-115.54</v>
      </c>
      <c r="CR141" s="537">
        <v>215.68</v>
      </c>
      <c r="CS141" s="537">
        <v>142.84</v>
      </c>
      <c r="CT141" s="537">
        <v>165.02</v>
      </c>
      <c r="CU141" s="537">
        <v>165.73</v>
      </c>
      <c r="CV141" s="512">
        <v>116.68</v>
      </c>
      <c r="CW141" s="537">
        <v>127.67</v>
      </c>
      <c r="CX141" s="537">
        <v>166.31</v>
      </c>
      <c r="CY141" s="537">
        <v>112.53</v>
      </c>
      <c r="CZ141" s="537">
        <v>134.77</v>
      </c>
      <c r="DA141" s="537">
        <v>179.21</v>
      </c>
      <c r="DB141" s="537">
        <v>114.37</v>
      </c>
      <c r="DC141" s="537">
        <v>139.37</v>
      </c>
      <c r="DD141" s="572">
        <v>138.34</v>
      </c>
      <c r="DE141" s="537">
        <v>106.81</v>
      </c>
      <c r="DF141" s="537">
        <v>92.84</v>
      </c>
      <c r="DG141" s="537">
        <v>-293.18</v>
      </c>
      <c r="DH141" s="537">
        <v>-380.28</v>
      </c>
      <c r="DI141" s="537">
        <v>166.92</v>
      </c>
      <c r="DJ141" s="537">
        <v>92.54</v>
      </c>
      <c r="DK141" s="537">
        <v>100.46</v>
      </c>
      <c r="DL141" s="537">
        <v>92.56</v>
      </c>
      <c r="DM141" s="537">
        <v>-79.88</v>
      </c>
      <c r="DN141" s="537">
        <v>100.04</v>
      </c>
      <c r="DO141" s="537">
        <v>118.57</v>
      </c>
      <c r="DP141" s="537">
        <v>71.81</v>
      </c>
      <c r="DQ141" s="537">
        <v>53.56</v>
      </c>
      <c r="DR141" s="537"/>
      <c r="DV141" s="531"/>
      <c r="DW141" s="531"/>
      <c r="DX141" s="530"/>
    </row>
    <row r="142" hidden="1">
      <c r="A142" s="531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18"/>
      <c r="AV142" s="118"/>
      <c r="AW142" s="118"/>
      <c r="AX142" s="118"/>
      <c r="AY142" s="118"/>
      <c r="AZ142" s="118"/>
      <c r="BA142" s="118"/>
      <c r="BB142" s="118"/>
      <c r="BC142" s="118"/>
      <c r="BD142" s="118"/>
      <c r="BE142" s="118"/>
      <c r="BF142" s="118"/>
      <c r="BG142" s="118"/>
      <c r="BH142" s="118"/>
      <c r="BI142" s="118"/>
      <c r="BJ142" s="118"/>
      <c r="BK142" s="118"/>
      <c r="BL142" s="118"/>
      <c r="BM142" s="118"/>
      <c r="BN142" s="118"/>
      <c r="BO142" s="118"/>
      <c r="BP142" s="118"/>
      <c r="BQ142" s="118"/>
      <c r="BR142" s="118"/>
      <c r="BS142" s="118"/>
      <c r="BT142" s="118"/>
      <c r="BU142" s="118"/>
      <c r="BV142" s="118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118"/>
      <c r="CO142" s="118"/>
      <c r="CP142" s="118"/>
      <c r="CQ142" s="118"/>
      <c r="CR142" s="118"/>
      <c r="CS142" s="118"/>
      <c r="CT142" s="118"/>
      <c r="CU142" s="118"/>
      <c r="CV142" s="118"/>
      <c r="CW142" s="118"/>
      <c r="CX142" s="118"/>
      <c r="CY142" s="118"/>
      <c r="CZ142" s="118"/>
      <c r="DA142" s="118"/>
      <c r="DB142" s="118"/>
      <c r="DC142" s="118"/>
      <c r="DD142" s="118"/>
      <c r="DE142" s="118"/>
      <c r="DF142" s="118"/>
      <c r="DG142" s="118"/>
      <c r="DH142" s="118"/>
      <c r="DI142" s="10"/>
      <c r="DJ142" s="118"/>
      <c r="DK142" s="118"/>
      <c r="DL142" s="118"/>
      <c r="DM142" s="118"/>
      <c r="DN142" s="118"/>
      <c r="DO142" s="118"/>
      <c r="DP142" s="118"/>
      <c r="DQ142" s="118"/>
      <c r="DR142" s="118"/>
      <c r="DV142" s="531"/>
      <c r="DW142" s="531"/>
      <c r="DX142" s="530"/>
    </row>
    <row r="143" hidden="1">
      <c r="A143" s="531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  <c r="AT143" s="118"/>
      <c r="AU143" s="118"/>
      <c r="AV143" s="118"/>
      <c r="AW143" s="118"/>
      <c r="AX143" s="118"/>
      <c r="AY143" s="118"/>
      <c r="AZ143" s="118"/>
      <c r="BA143" s="118"/>
      <c r="BB143" s="118"/>
      <c r="BC143" s="118"/>
      <c r="BD143" s="118"/>
      <c r="BE143" s="118"/>
      <c r="BF143" s="118"/>
      <c r="BG143" s="118"/>
      <c r="BH143" s="118"/>
      <c r="BI143" s="118"/>
      <c r="BJ143" s="118"/>
      <c r="BK143" s="118"/>
      <c r="BL143" s="118"/>
      <c r="BM143" s="118"/>
      <c r="BN143" s="118"/>
      <c r="BO143" s="118"/>
      <c r="BP143" s="118"/>
      <c r="BQ143" s="118"/>
      <c r="BR143" s="118"/>
      <c r="BS143" s="118"/>
      <c r="BT143" s="118"/>
      <c r="BU143" s="118"/>
      <c r="BV143" s="118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118"/>
      <c r="CO143" s="118"/>
      <c r="CP143" s="118"/>
      <c r="CQ143" s="118"/>
      <c r="CR143" s="118"/>
      <c r="CS143" s="118"/>
      <c r="CT143" s="118"/>
      <c r="CU143" s="118"/>
      <c r="CV143" s="118"/>
      <c r="CW143" s="118"/>
      <c r="CX143" s="118"/>
      <c r="CY143" s="118"/>
      <c r="CZ143" s="118"/>
      <c r="DA143" s="118"/>
      <c r="DB143" s="118"/>
      <c r="DC143" s="118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V143" s="531"/>
      <c r="DW143" s="531"/>
      <c r="DX143" s="530"/>
    </row>
    <row r="144" hidden="1">
      <c r="A144" s="500" t="s">
        <v>12</v>
      </c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18"/>
      <c r="AV144" s="118"/>
      <c r="AW144" s="118"/>
      <c r="AX144" s="118"/>
      <c r="AY144" s="118"/>
      <c r="AZ144" s="118"/>
      <c r="BA144" s="118"/>
      <c r="BB144" s="118"/>
      <c r="BC144" s="118"/>
      <c r="BD144" s="118"/>
      <c r="BE144" s="118"/>
      <c r="BF144" s="118"/>
      <c r="BG144" s="118"/>
      <c r="BH144" s="118"/>
      <c r="BI144" s="118"/>
      <c r="BJ144" s="118"/>
      <c r="BK144" s="118"/>
      <c r="BL144" s="118"/>
      <c r="BM144" s="118"/>
      <c r="BN144" s="118"/>
      <c r="BO144" s="118"/>
      <c r="BP144" s="118"/>
      <c r="BQ144" s="118"/>
      <c r="BR144" s="118"/>
      <c r="BS144" s="118"/>
      <c r="BT144" s="118"/>
      <c r="BU144" s="118"/>
      <c r="BV144" s="118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118"/>
      <c r="CO144" s="118"/>
      <c r="CP144" s="118"/>
      <c r="CQ144" s="118"/>
      <c r="CR144" s="118"/>
      <c r="CS144" s="118"/>
      <c r="CT144" s="118"/>
      <c r="CU144" s="118"/>
      <c r="CV144" s="118"/>
      <c r="CW144" s="118"/>
      <c r="CX144" s="118"/>
      <c r="CY144" s="118"/>
      <c r="CZ144" s="118"/>
      <c r="DA144" s="118"/>
      <c r="DB144" s="546"/>
      <c r="DC144" s="546"/>
      <c r="DD144" s="546"/>
      <c r="DE144" s="546"/>
      <c r="DF144" s="546"/>
      <c r="DG144" s="546"/>
      <c r="DH144" s="546"/>
      <c r="DI144" s="546"/>
      <c r="DJ144" s="546"/>
      <c r="DK144" s="546"/>
      <c r="DL144" s="546"/>
      <c r="DM144" s="546"/>
      <c r="DN144" s="546"/>
      <c r="DO144" s="546"/>
      <c r="DP144" s="546"/>
      <c r="DQ144" s="546"/>
      <c r="DR144" s="118"/>
      <c r="DV144" s="521"/>
      <c r="DW144" s="521"/>
      <c r="DX144" s="530"/>
    </row>
    <row r="145" hidden="1">
      <c r="A145" s="502" t="s">
        <v>288</v>
      </c>
      <c r="B145" s="525"/>
      <c r="C145" s="525"/>
      <c r="D145" s="525"/>
      <c r="E145" s="525"/>
      <c r="F145" s="525"/>
      <c r="G145" s="525"/>
      <c r="H145" s="525"/>
      <c r="I145" s="525"/>
      <c r="J145" s="525"/>
      <c r="K145" s="525"/>
      <c r="L145" s="525"/>
      <c r="M145" s="525"/>
      <c r="N145" s="525"/>
      <c r="O145" s="525"/>
      <c r="P145" s="525"/>
      <c r="Q145" s="525"/>
      <c r="R145" s="525"/>
      <c r="S145" s="525"/>
      <c r="T145" s="525"/>
      <c r="U145" s="525"/>
      <c r="V145" s="525"/>
      <c r="W145" s="525"/>
      <c r="X145" s="525"/>
      <c r="Y145" s="525"/>
      <c r="Z145" s="525"/>
      <c r="AA145" s="525"/>
      <c r="AB145" s="525"/>
      <c r="AC145" s="525"/>
      <c r="AD145" s="525"/>
      <c r="AE145" s="525"/>
      <c r="AF145" s="525"/>
      <c r="AG145" s="525"/>
      <c r="AH145" s="525"/>
      <c r="AI145" s="525"/>
      <c r="AJ145" s="525"/>
      <c r="AK145" s="525"/>
      <c r="AL145" s="525"/>
      <c r="AM145" s="525"/>
      <c r="AN145" s="525"/>
      <c r="AO145" s="525"/>
      <c r="AP145" s="525"/>
      <c r="AQ145" s="525"/>
      <c r="AR145" s="525"/>
      <c r="AS145" s="525"/>
      <c r="AT145" s="525"/>
      <c r="AU145" s="525"/>
      <c r="AV145" s="525"/>
      <c r="AW145" s="525"/>
      <c r="AX145" s="525"/>
      <c r="AY145" s="525"/>
      <c r="AZ145" s="525"/>
      <c r="BA145" s="525"/>
      <c r="BB145" s="525"/>
      <c r="BC145" s="525"/>
      <c r="BD145" s="525"/>
      <c r="BE145" s="525"/>
      <c r="BF145" s="525"/>
      <c r="BG145" s="525"/>
      <c r="BH145" s="525"/>
      <c r="BI145" s="525"/>
      <c r="BJ145" s="525"/>
      <c r="BK145" s="541">
        <v>45689.0</v>
      </c>
      <c r="BL145" s="541">
        <v>45690.0</v>
      </c>
      <c r="BM145" s="541">
        <v>45691.0</v>
      </c>
      <c r="BN145" s="541">
        <v>45692.0</v>
      </c>
      <c r="BO145" s="541">
        <v>45693.0</v>
      </c>
      <c r="BP145" s="541">
        <v>45694.0</v>
      </c>
      <c r="BQ145" s="541">
        <v>45695.0</v>
      </c>
      <c r="BR145" s="541">
        <v>45696.0</v>
      </c>
      <c r="BS145" s="541">
        <v>45697.0</v>
      </c>
      <c r="BT145" s="541">
        <v>45698.0</v>
      </c>
      <c r="BU145" s="541">
        <v>45699.0</v>
      </c>
      <c r="BV145" s="541">
        <v>45700.0</v>
      </c>
      <c r="BW145" s="541">
        <v>45701.0</v>
      </c>
      <c r="BX145" s="541">
        <v>45702.0</v>
      </c>
      <c r="BY145" s="541">
        <v>45703.0</v>
      </c>
      <c r="BZ145" s="541">
        <v>45704.0</v>
      </c>
      <c r="CA145" s="541">
        <v>45705.0</v>
      </c>
      <c r="CB145" s="541">
        <v>45706.0</v>
      </c>
      <c r="CC145" s="541">
        <v>45707.0</v>
      </c>
      <c r="CD145" s="541">
        <v>45708.0</v>
      </c>
      <c r="CE145" s="541">
        <v>45709.0</v>
      </c>
      <c r="CF145" s="541">
        <v>45710.0</v>
      </c>
      <c r="CG145" s="541">
        <v>45711.0</v>
      </c>
      <c r="CH145" s="541">
        <v>45712.0</v>
      </c>
      <c r="CI145" s="541">
        <v>45713.0</v>
      </c>
      <c r="CJ145" s="541">
        <v>45714.0</v>
      </c>
      <c r="CK145" s="541">
        <v>45715.0</v>
      </c>
      <c r="CL145" s="541">
        <v>45716.0</v>
      </c>
      <c r="CM145" s="563"/>
      <c r="CN145" s="541">
        <v>45809.0</v>
      </c>
      <c r="CO145" s="541">
        <v>45810.0</v>
      </c>
      <c r="CP145" s="541">
        <v>45811.0</v>
      </c>
      <c r="CQ145" s="541">
        <v>45812.0</v>
      </c>
      <c r="CR145" s="541">
        <v>45813.0</v>
      </c>
      <c r="CS145" s="541">
        <v>45814.0</v>
      </c>
      <c r="CT145" s="541">
        <v>45815.0</v>
      </c>
      <c r="CU145" s="541">
        <v>45816.0</v>
      </c>
      <c r="CV145" s="541">
        <v>45817.0</v>
      </c>
      <c r="CW145" s="541">
        <v>45818.0</v>
      </c>
      <c r="CX145" s="541">
        <v>45819.0</v>
      </c>
      <c r="CY145" s="541">
        <v>45820.0</v>
      </c>
      <c r="CZ145" s="541">
        <v>45821.0</v>
      </c>
      <c r="DA145" s="541">
        <v>45822.0</v>
      </c>
      <c r="DB145" s="541">
        <v>45823.0</v>
      </c>
      <c r="DC145" s="541">
        <v>45824.0</v>
      </c>
      <c r="DD145" s="541">
        <v>45825.0</v>
      </c>
      <c r="DE145" s="541">
        <v>45826.0</v>
      </c>
      <c r="DF145" s="541">
        <v>45827.0</v>
      </c>
      <c r="DG145" s="541">
        <v>45828.0</v>
      </c>
      <c r="DH145" s="541">
        <v>45829.0</v>
      </c>
      <c r="DI145" s="541">
        <v>45830.0</v>
      </c>
      <c r="DJ145" s="541">
        <v>45831.0</v>
      </c>
      <c r="DK145" s="541">
        <v>45832.0</v>
      </c>
      <c r="DL145" s="541">
        <v>45833.0</v>
      </c>
      <c r="DM145" s="541">
        <v>45834.0</v>
      </c>
      <c r="DN145" s="541">
        <v>45835.0</v>
      </c>
      <c r="DO145" s="541">
        <v>45836.0</v>
      </c>
      <c r="DP145" s="541">
        <v>45837.0</v>
      </c>
      <c r="DQ145" s="541">
        <v>45838.0</v>
      </c>
      <c r="DR145" s="541"/>
      <c r="DV145" s="531"/>
      <c r="DW145" s="531"/>
      <c r="DX145" s="530"/>
    </row>
    <row r="146" hidden="1">
      <c r="A146" s="502" t="s">
        <v>289</v>
      </c>
      <c r="B146" s="525"/>
      <c r="C146" s="525"/>
      <c r="D146" s="525"/>
      <c r="E146" s="525"/>
      <c r="F146" s="525"/>
      <c r="G146" s="525"/>
      <c r="H146" s="525"/>
      <c r="I146" s="525"/>
      <c r="J146" s="525"/>
      <c r="K146" s="525"/>
      <c r="L146" s="525"/>
      <c r="M146" s="525"/>
      <c r="N146" s="525"/>
      <c r="O146" s="525"/>
      <c r="P146" s="525"/>
      <c r="Q146" s="525"/>
      <c r="R146" s="525"/>
      <c r="S146" s="525"/>
      <c r="T146" s="525"/>
      <c r="U146" s="525"/>
      <c r="V146" s="525"/>
      <c r="W146" s="525"/>
      <c r="X146" s="525"/>
      <c r="Y146" s="525"/>
      <c r="Z146" s="525"/>
      <c r="AA146" s="525"/>
      <c r="AB146" s="525"/>
      <c r="AC146" s="525"/>
      <c r="AD146" s="525"/>
      <c r="AE146" s="525"/>
      <c r="AF146" s="525"/>
      <c r="AG146" s="525"/>
      <c r="AH146" s="525"/>
      <c r="AI146" s="525"/>
      <c r="AJ146" s="525"/>
      <c r="AK146" s="525"/>
      <c r="AL146" s="525"/>
      <c r="AM146" s="525"/>
      <c r="AN146" s="525"/>
      <c r="AO146" s="525"/>
      <c r="AP146" s="525"/>
      <c r="AQ146" s="525"/>
      <c r="AR146" s="525"/>
      <c r="AS146" s="525"/>
      <c r="AT146" s="525"/>
      <c r="AU146" s="525"/>
      <c r="AV146" s="525"/>
      <c r="AW146" s="525"/>
      <c r="AX146" s="525"/>
      <c r="AY146" s="525"/>
      <c r="AZ146" s="525"/>
      <c r="BA146" s="525"/>
      <c r="BB146" s="525"/>
      <c r="BC146" s="525"/>
      <c r="BD146" s="525"/>
      <c r="BE146" s="525"/>
      <c r="BF146" s="525"/>
      <c r="BG146" s="525"/>
      <c r="BH146" s="525"/>
      <c r="BI146" s="525"/>
      <c r="BJ146" s="525"/>
      <c r="BK146" s="512">
        <v>99.0</v>
      </c>
      <c r="BL146" s="512">
        <v>117.0</v>
      </c>
      <c r="BM146" s="512">
        <v>121.0</v>
      </c>
      <c r="BN146" s="512">
        <v>105.0</v>
      </c>
      <c r="BO146" s="512">
        <v>97.0</v>
      </c>
      <c r="BP146" s="512">
        <v>98.0</v>
      </c>
      <c r="BQ146" s="512">
        <v>110.0</v>
      </c>
      <c r="BR146" s="512">
        <v>141.0</v>
      </c>
      <c r="BS146" s="512">
        <v>157.0</v>
      </c>
      <c r="BT146" s="512">
        <v>98.0</v>
      </c>
      <c r="BU146" s="512">
        <v>130.0</v>
      </c>
      <c r="BV146" s="512">
        <v>130.0</v>
      </c>
      <c r="BW146" s="512">
        <v>153.0</v>
      </c>
      <c r="BX146" s="512">
        <v>131.0</v>
      </c>
      <c r="BY146" s="512">
        <v>126.0</v>
      </c>
      <c r="BZ146" s="512">
        <v>160.0</v>
      </c>
      <c r="CA146" s="512">
        <v>151.0</v>
      </c>
      <c r="CB146" s="512">
        <v>99.0</v>
      </c>
      <c r="CC146" s="512">
        <v>125.0</v>
      </c>
      <c r="CD146" s="512">
        <v>168.0</v>
      </c>
      <c r="CE146" s="512">
        <v>164.0</v>
      </c>
      <c r="CF146" s="512">
        <v>174.0</v>
      </c>
      <c r="CG146" s="512">
        <v>161.0</v>
      </c>
      <c r="CH146" s="512">
        <v>117.0</v>
      </c>
      <c r="CI146" s="512">
        <v>139.0</v>
      </c>
      <c r="CJ146" s="512">
        <v>131.0</v>
      </c>
      <c r="CK146" s="512">
        <v>98.0</v>
      </c>
      <c r="CL146" s="512">
        <v>196.0</v>
      </c>
      <c r="CM146" s="514"/>
      <c r="CN146" s="561">
        <v>145.0</v>
      </c>
      <c r="CO146" s="561">
        <v>115.0</v>
      </c>
      <c r="CP146" s="561">
        <v>153.0</v>
      </c>
      <c r="CQ146" s="561">
        <v>192.0</v>
      </c>
      <c r="CR146" s="561"/>
      <c r="CS146" s="561">
        <v>149.0</v>
      </c>
      <c r="CT146" s="561">
        <v>149.0</v>
      </c>
      <c r="CU146" s="561">
        <v>185.0</v>
      </c>
      <c r="CV146" s="561">
        <v>145.0</v>
      </c>
      <c r="CW146" s="561">
        <v>168.0</v>
      </c>
      <c r="CX146" s="561">
        <v>165.0</v>
      </c>
      <c r="CY146" s="561">
        <v>115.0</v>
      </c>
      <c r="CZ146" s="561">
        <v>145.0</v>
      </c>
      <c r="DA146" s="561">
        <v>203.0</v>
      </c>
      <c r="DB146" s="561">
        <v>131.0</v>
      </c>
      <c r="DC146" s="561">
        <v>147.0</v>
      </c>
      <c r="DD146" s="561">
        <v>124.0</v>
      </c>
      <c r="DE146" s="561">
        <v>243.0</v>
      </c>
      <c r="DF146" s="561">
        <v>196.0</v>
      </c>
      <c r="DG146" s="561">
        <v>153.0</v>
      </c>
      <c r="DH146" s="561">
        <v>183.0</v>
      </c>
      <c r="DI146" s="561">
        <v>203.0</v>
      </c>
      <c r="DJ146" s="561">
        <v>207.0</v>
      </c>
      <c r="DK146" s="561">
        <v>145.0</v>
      </c>
      <c r="DL146" s="561">
        <v>148.0</v>
      </c>
      <c r="DM146" s="561">
        <v>121.0</v>
      </c>
      <c r="DN146" s="561">
        <v>144.0</v>
      </c>
      <c r="DO146" s="561">
        <v>87.0</v>
      </c>
      <c r="DP146" s="561">
        <v>116.0</v>
      </c>
      <c r="DQ146" s="561">
        <v>147.0</v>
      </c>
      <c r="DR146" s="314"/>
      <c r="DV146" s="531"/>
      <c r="DW146" s="531"/>
      <c r="DX146" s="530"/>
    </row>
    <row r="147" hidden="1">
      <c r="A147" s="521" t="s">
        <v>290</v>
      </c>
      <c r="B147" s="525"/>
      <c r="C147" s="525"/>
      <c r="D147" s="525"/>
      <c r="E147" s="525"/>
      <c r="F147" s="525"/>
      <c r="G147" s="525"/>
      <c r="H147" s="525"/>
      <c r="I147" s="525"/>
      <c r="J147" s="525"/>
      <c r="K147" s="525"/>
      <c r="L147" s="525"/>
      <c r="M147" s="525"/>
      <c r="N147" s="525"/>
      <c r="O147" s="525"/>
      <c r="P147" s="525"/>
      <c r="Q147" s="525"/>
      <c r="R147" s="525"/>
      <c r="S147" s="525"/>
      <c r="T147" s="525"/>
      <c r="U147" s="525"/>
      <c r="V147" s="525"/>
      <c r="W147" s="525"/>
      <c r="X147" s="525"/>
      <c r="Y147" s="525"/>
      <c r="Z147" s="525"/>
      <c r="AA147" s="525"/>
      <c r="AB147" s="525"/>
      <c r="AC147" s="525"/>
      <c r="AD147" s="525"/>
      <c r="AE147" s="525"/>
      <c r="AF147" s="525"/>
      <c r="AG147" s="525"/>
      <c r="AH147" s="525"/>
      <c r="AI147" s="525"/>
      <c r="AJ147" s="525"/>
      <c r="AK147" s="525"/>
      <c r="AL147" s="525"/>
      <c r="AM147" s="525"/>
      <c r="AN147" s="525"/>
      <c r="AO147" s="525"/>
      <c r="AP147" s="525"/>
      <c r="AQ147" s="525"/>
      <c r="AR147" s="525"/>
      <c r="AS147" s="525"/>
      <c r="AT147" s="525"/>
      <c r="AU147" s="525"/>
      <c r="AV147" s="525"/>
      <c r="AW147" s="525"/>
      <c r="AX147" s="525"/>
      <c r="AY147" s="525"/>
      <c r="AZ147" s="525"/>
      <c r="BA147" s="525"/>
      <c r="BB147" s="525"/>
      <c r="BC147" s="525"/>
      <c r="BD147" s="525"/>
      <c r="BE147" s="525"/>
      <c r="BF147" s="525"/>
      <c r="BG147" s="525"/>
      <c r="BH147" s="525"/>
      <c r="BI147" s="525"/>
      <c r="BJ147" s="525"/>
      <c r="BK147" s="512">
        <v>44.0</v>
      </c>
      <c r="BL147" s="512">
        <v>55.0</v>
      </c>
      <c r="BM147" s="512">
        <v>47.0</v>
      </c>
      <c r="BN147" s="512">
        <v>39.0</v>
      </c>
      <c r="BO147" s="512">
        <v>54.0</v>
      </c>
      <c r="BP147" s="512">
        <v>46.0</v>
      </c>
      <c r="BQ147" s="512">
        <v>51.0</v>
      </c>
      <c r="BR147" s="512">
        <v>48.0</v>
      </c>
      <c r="BS147" s="512">
        <v>55.0</v>
      </c>
      <c r="BT147" s="512">
        <v>41.0</v>
      </c>
      <c r="BU147" s="512">
        <v>57.0</v>
      </c>
      <c r="BV147" s="512">
        <v>57.0</v>
      </c>
      <c r="BW147" s="512">
        <v>59.0</v>
      </c>
      <c r="BX147" s="512">
        <v>41.0</v>
      </c>
      <c r="BY147" s="512">
        <v>52.0</v>
      </c>
      <c r="BZ147" s="512">
        <v>61.0</v>
      </c>
      <c r="CA147" s="512">
        <v>52.0</v>
      </c>
      <c r="CB147" s="512">
        <v>38.0</v>
      </c>
      <c r="CC147" s="512">
        <v>53.0</v>
      </c>
      <c r="CD147" s="512">
        <v>77.0</v>
      </c>
      <c r="CE147" s="512">
        <v>59.0</v>
      </c>
      <c r="CF147" s="512">
        <v>70.0</v>
      </c>
      <c r="CG147" s="512">
        <v>77.0</v>
      </c>
      <c r="CH147" s="512">
        <v>47.0</v>
      </c>
      <c r="CI147" s="512">
        <v>51.0</v>
      </c>
      <c r="CJ147" s="512">
        <v>54.0</v>
      </c>
      <c r="CK147" s="512">
        <v>43.0</v>
      </c>
      <c r="CL147" s="512">
        <v>75.0</v>
      </c>
      <c r="CM147" s="566">
        <f>SUM(BK147:CL147)/28</f>
        <v>53.67857143</v>
      </c>
      <c r="CN147" s="561">
        <v>65.0</v>
      </c>
      <c r="CO147" s="561">
        <v>54.0</v>
      </c>
      <c r="CP147" s="561">
        <v>52.0</v>
      </c>
      <c r="CQ147" s="561">
        <v>63.0</v>
      </c>
      <c r="CR147" s="561">
        <v>82.0</v>
      </c>
      <c r="CS147" s="561">
        <v>64.0</v>
      </c>
      <c r="CT147" s="561">
        <v>55.0</v>
      </c>
      <c r="CU147" s="561">
        <v>57.0</v>
      </c>
      <c r="CV147" s="561">
        <v>59.0</v>
      </c>
      <c r="CW147" s="561">
        <v>74.0</v>
      </c>
      <c r="CX147" s="561">
        <v>64.0</v>
      </c>
      <c r="CY147" s="561">
        <v>57.0</v>
      </c>
      <c r="CZ147" s="561">
        <v>58.0</v>
      </c>
      <c r="DA147" s="561">
        <v>76.0</v>
      </c>
      <c r="DB147" s="561">
        <v>60.0</v>
      </c>
      <c r="DC147" s="561">
        <v>64.0</v>
      </c>
      <c r="DD147" s="561">
        <v>63.0</v>
      </c>
      <c r="DE147" s="561">
        <v>90.0</v>
      </c>
      <c r="DF147" s="561">
        <v>73.0</v>
      </c>
      <c r="DG147" s="561">
        <v>69.0</v>
      </c>
      <c r="DH147" s="561">
        <v>80.0</v>
      </c>
      <c r="DI147" s="561">
        <v>75.0</v>
      </c>
      <c r="DJ147" s="561">
        <v>92.0</v>
      </c>
      <c r="DK147" s="561">
        <v>61.0</v>
      </c>
      <c r="DL147" s="561">
        <v>52.0</v>
      </c>
      <c r="DM147" s="561">
        <v>55.0</v>
      </c>
      <c r="DN147" s="561">
        <v>64.0</v>
      </c>
      <c r="DO147" s="561">
        <v>45.0</v>
      </c>
      <c r="DP147" s="561">
        <v>63.0</v>
      </c>
      <c r="DQ147" s="561">
        <v>69.0</v>
      </c>
      <c r="DR147" s="314"/>
      <c r="DV147" s="531"/>
      <c r="DW147" s="531"/>
      <c r="DX147" s="530"/>
    </row>
    <row r="148" hidden="1">
      <c r="A148" s="553" t="s">
        <v>291</v>
      </c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  <c r="AI148" s="529"/>
      <c r="AJ148" s="529"/>
      <c r="AK148" s="529"/>
      <c r="AL148" s="529"/>
      <c r="AM148" s="529"/>
      <c r="AN148" s="529"/>
      <c r="AO148" s="529"/>
      <c r="AP148" s="529"/>
      <c r="AQ148" s="529"/>
      <c r="AR148" s="529"/>
      <c r="AS148" s="529"/>
      <c r="AT148" s="529"/>
      <c r="AU148" s="529"/>
      <c r="AV148" s="529"/>
      <c r="AW148" s="529"/>
      <c r="AX148" s="529"/>
      <c r="AY148" s="529"/>
      <c r="AZ148" s="529"/>
      <c r="BA148" s="529"/>
      <c r="BB148" s="529"/>
      <c r="BC148" s="529"/>
      <c r="BD148" s="529"/>
      <c r="BE148" s="529"/>
      <c r="BF148" s="529"/>
      <c r="BG148" s="529"/>
      <c r="BH148" s="529"/>
      <c r="BI148" s="529"/>
      <c r="BJ148" s="529"/>
      <c r="BK148" s="529">
        <v>-295.52</v>
      </c>
      <c r="BL148" s="529">
        <v>-42.77</v>
      </c>
      <c r="BM148" s="529">
        <v>24.22</v>
      </c>
      <c r="BN148" s="529">
        <v>-438.28</v>
      </c>
      <c r="BO148" s="529">
        <v>35.84</v>
      </c>
      <c r="BP148" s="529">
        <v>-15.94</v>
      </c>
      <c r="BQ148" s="529">
        <v>33.53</v>
      </c>
      <c r="BR148" s="529">
        <v>48.55</v>
      </c>
      <c r="BS148" s="529">
        <v>-179.22</v>
      </c>
      <c r="BT148" s="529">
        <v>-2.05</v>
      </c>
      <c r="BU148" s="529">
        <v>54.16</v>
      </c>
      <c r="BV148" s="529">
        <v>-203.07</v>
      </c>
      <c r="BW148" s="529">
        <v>53.0</v>
      </c>
      <c r="BX148" s="529">
        <v>35.32</v>
      </c>
      <c r="BY148" s="529">
        <v>52.07</v>
      </c>
      <c r="BZ148" s="529">
        <v>38.49</v>
      </c>
      <c r="CA148" s="529">
        <v>54.6</v>
      </c>
      <c r="CB148" s="529">
        <v>43.14</v>
      </c>
      <c r="CC148" s="529">
        <v>-87.46</v>
      </c>
      <c r="CD148" s="529">
        <v>47.24</v>
      </c>
      <c r="CE148" s="529">
        <v>-66.14</v>
      </c>
      <c r="CF148" s="529">
        <v>54.48</v>
      </c>
      <c r="CG148" s="529">
        <v>59.5</v>
      </c>
      <c r="CH148" s="529">
        <v>-90.39</v>
      </c>
      <c r="CI148" s="529">
        <v>50.36</v>
      </c>
      <c r="CJ148" s="529">
        <v>32.76</v>
      </c>
      <c r="CK148" s="529">
        <v>-310.39</v>
      </c>
      <c r="CL148" s="529">
        <v>-88.51</v>
      </c>
      <c r="CM148" s="529"/>
      <c r="CN148" s="537">
        <v>123.68</v>
      </c>
      <c r="CO148" s="537">
        <v>120.95</v>
      </c>
      <c r="CP148" s="537">
        <v>87.82</v>
      </c>
      <c r="CQ148" s="537">
        <v>154.79</v>
      </c>
      <c r="CR148" s="537">
        <v>117.8</v>
      </c>
      <c r="CS148" s="537">
        <v>127.05</v>
      </c>
      <c r="CT148" s="537">
        <v>70.02</v>
      </c>
      <c r="CU148" s="537">
        <v>79.75</v>
      </c>
      <c r="CV148" s="512">
        <v>-174.98</v>
      </c>
      <c r="CW148" s="537">
        <v>77.41</v>
      </c>
      <c r="CX148" s="537">
        <v>111.59</v>
      </c>
      <c r="CY148" s="537">
        <v>96.67</v>
      </c>
      <c r="CZ148" s="537">
        <v>131.86</v>
      </c>
      <c r="DA148" s="537">
        <v>77.59</v>
      </c>
      <c r="DB148" s="537">
        <v>102.51</v>
      </c>
      <c r="DC148" s="537">
        <v>110.27</v>
      </c>
      <c r="DD148" s="537">
        <v>114.2</v>
      </c>
      <c r="DE148" s="537">
        <v>67.92</v>
      </c>
      <c r="DF148" s="537">
        <v>102.68</v>
      </c>
      <c r="DG148" s="537">
        <v>151.5</v>
      </c>
      <c r="DH148" s="537">
        <v>87.42</v>
      </c>
      <c r="DI148" s="537">
        <v>123.13</v>
      </c>
      <c r="DJ148" s="537">
        <v>69.52</v>
      </c>
      <c r="DK148" s="537">
        <v>51.36</v>
      </c>
      <c r="DL148" s="537">
        <v>56.63</v>
      </c>
      <c r="DM148" s="537">
        <v>73.41</v>
      </c>
      <c r="DN148" s="537">
        <v>53.0</v>
      </c>
      <c r="DO148" s="537">
        <v>40.56</v>
      </c>
      <c r="DP148" s="537">
        <v>47.15</v>
      </c>
      <c r="DQ148" s="537">
        <v>87.25</v>
      </c>
      <c r="DR148" s="537"/>
      <c r="DV148" s="531"/>
      <c r="DW148" s="531"/>
      <c r="DX148" s="530"/>
    </row>
    <row r="149" hidden="1">
      <c r="A149" s="531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18"/>
      <c r="AV149" s="118"/>
      <c r="AW149" s="118"/>
      <c r="AX149" s="118"/>
      <c r="AY149" s="118"/>
      <c r="AZ149" s="118"/>
      <c r="BA149" s="118"/>
      <c r="BB149" s="118"/>
      <c r="BC149" s="118"/>
      <c r="BD149" s="118"/>
      <c r="BE149" s="118"/>
      <c r="BF149" s="118"/>
      <c r="BG149" s="118"/>
      <c r="BH149" s="118"/>
      <c r="BI149" s="118"/>
      <c r="BJ149" s="118"/>
      <c r="BK149" s="118"/>
      <c r="BL149" s="118"/>
      <c r="BM149" s="118"/>
      <c r="BN149" s="118"/>
      <c r="BO149" s="118"/>
      <c r="BP149" s="118"/>
      <c r="BQ149" s="118"/>
      <c r="BR149" s="118"/>
      <c r="BS149" s="118"/>
      <c r="BT149" s="118"/>
      <c r="BU149" s="118"/>
      <c r="BV149" s="118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118"/>
      <c r="CO149" s="546"/>
      <c r="CP149" s="118"/>
      <c r="CQ149" s="118"/>
      <c r="CR149" s="118"/>
      <c r="CS149" s="546"/>
      <c r="CT149" s="118"/>
      <c r="CU149" s="118"/>
      <c r="CV149" s="118"/>
      <c r="CW149" s="118"/>
      <c r="CX149" s="118"/>
      <c r="CY149" s="118"/>
      <c r="CZ149" s="118"/>
      <c r="DA149" s="118"/>
      <c r="DB149" s="118"/>
      <c r="DC149" s="118"/>
      <c r="DD149" s="118"/>
      <c r="DE149" s="118"/>
      <c r="DF149" s="118"/>
      <c r="DG149" s="118"/>
      <c r="DH149" s="118"/>
      <c r="DI149" s="118"/>
      <c r="DJ149" s="118"/>
      <c r="DK149" s="118"/>
      <c r="DL149" s="118"/>
      <c r="DM149" s="118"/>
      <c r="DN149" s="118"/>
      <c r="DO149" s="118"/>
      <c r="DP149" s="118"/>
      <c r="DQ149" s="118"/>
      <c r="DR149" s="118"/>
      <c r="DV149" s="531"/>
      <c r="DW149" s="531"/>
      <c r="DX149" s="530"/>
    </row>
    <row r="150" hidden="1">
      <c r="A150" s="531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18"/>
      <c r="AV150" s="118"/>
      <c r="AW150" s="118"/>
      <c r="AX150" s="118"/>
      <c r="AY150" s="118"/>
      <c r="AZ150" s="118"/>
      <c r="BA150" s="118"/>
      <c r="BB150" s="118"/>
      <c r="BC150" s="118"/>
      <c r="BD150" s="118"/>
      <c r="BE150" s="118"/>
      <c r="BF150" s="118"/>
      <c r="BG150" s="118"/>
      <c r="BH150" s="118"/>
      <c r="BI150" s="118"/>
      <c r="BJ150" s="118"/>
      <c r="BK150" s="118"/>
      <c r="BL150" s="118"/>
      <c r="BM150" s="118"/>
      <c r="BN150" s="118"/>
      <c r="BO150" s="118"/>
      <c r="BP150" s="118"/>
      <c r="BQ150" s="118"/>
      <c r="BR150" s="118"/>
      <c r="BS150" s="118"/>
      <c r="BT150" s="118"/>
      <c r="BU150" s="118"/>
      <c r="BV150" s="118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118"/>
      <c r="CO150" s="118"/>
      <c r="CP150" s="118"/>
      <c r="CQ150" s="118"/>
      <c r="CR150" s="118"/>
      <c r="CS150" s="118"/>
      <c r="CT150" s="118"/>
      <c r="CU150" s="118"/>
      <c r="CV150" s="118"/>
      <c r="CW150" s="118"/>
      <c r="CX150" s="118"/>
      <c r="CY150" s="118"/>
      <c r="CZ150" s="118"/>
      <c r="DA150" s="118"/>
      <c r="DB150" s="118"/>
      <c r="DC150" s="118"/>
      <c r="DD150" s="118"/>
      <c r="DE150" s="118"/>
      <c r="DF150" s="118"/>
      <c r="DG150" s="118"/>
      <c r="DH150" s="118"/>
      <c r="DI150" s="118"/>
      <c r="DJ150" s="118"/>
      <c r="DK150" s="118"/>
      <c r="DL150" s="118"/>
      <c r="DM150" s="118"/>
      <c r="DN150" s="118"/>
      <c r="DO150" s="118"/>
      <c r="DP150" s="118"/>
      <c r="DQ150" s="118"/>
      <c r="DR150" s="118"/>
      <c r="DV150" s="531"/>
      <c r="DW150" s="531"/>
      <c r="DX150" s="530"/>
    </row>
    <row r="151" hidden="1">
      <c r="A151" s="500" t="s">
        <v>295</v>
      </c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  <c r="AT151" s="118"/>
      <c r="AU151" s="118"/>
      <c r="AV151" s="118"/>
      <c r="AW151" s="118"/>
      <c r="AX151" s="118"/>
      <c r="AY151" s="118"/>
      <c r="AZ151" s="118"/>
      <c r="BA151" s="118"/>
      <c r="BB151" s="118"/>
      <c r="BC151" s="118"/>
      <c r="BD151" s="118"/>
      <c r="BE151" s="118"/>
      <c r="BF151" s="118"/>
      <c r="BG151" s="118"/>
      <c r="BH151" s="118"/>
      <c r="BI151" s="118"/>
      <c r="BJ151" s="118"/>
      <c r="BK151" s="118"/>
      <c r="BL151" s="118"/>
      <c r="BM151" s="118"/>
      <c r="BN151" s="118"/>
      <c r="BO151" s="118"/>
      <c r="BP151" s="118"/>
      <c r="BQ151" s="118"/>
      <c r="BR151" s="118"/>
      <c r="BS151" s="118"/>
      <c r="BT151" s="118"/>
      <c r="BU151" s="118"/>
      <c r="BV151" s="118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118"/>
      <c r="CO151" s="118"/>
      <c r="CP151" s="118"/>
      <c r="CQ151" s="118"/>
      <c r="CR151" s="118"/>
      <c r="CS151" s="118"/>
      <c r="CT151" s="118"/>
      <c r="CU151" s="118"/>
      <c r="CV151" s="118"/>
      <c r="CW151" s="118"/>
      <c r="CX151" s="118"/>
      <c r="CY151" s="118"/>
      <c r="CZ151" s="118"/>
      <c r="DA151" s="118"/>
      <c r="DB151" s="546"/>
      <c r="DC151" s="546"/>
      <c r="DD151" s="546"/>
      <c r="DE151" s="546"/>
      <c r="DF151" s="546"/>
      <c r="DG151" s="546"/>
      <c r="DH151" s="546"/>
      <c r="DI151" s="546"/>
      <c r="DJ151" s="546"/>
      <c r="DK151" s="546"/>
      <c r="DL151" s="546"/>
      <c r="DM151" s="546"/>
      <c r="DN151" s="546"/>
      <c r="DO151" s="546"/>
      <c r="DP151" s="546"/>
      <c r="DQ151" s="546"/>
      <c r="DR151" s="118"/>
      <c r="DV151" s="521"/>
      <c r="DW151" s="521"/>
      <c r="DX151" s="530"/>
    </row>
    <row r="152" hidden="1">
      <c r="A152" s="502" t="s">
        <v>288</v>
      </c>
      <c r="B152" s="525"/>
      <c r="C152" s="525"/>
      <c r="D152" s="525"/>
      <c r="E152" s="525"/>
      <c r="F152" s="525"/>
      <c r="G152" s="525"/>
      <c r="H152" s="525"/>
      <c r="I152" s="525"/>
      <c r="J152" s="525"/>
      <c r="K152" s="525"/>
      <c r="L152" s="525"/>
      <c r="M152" s="525"/>
      <c r="N152" s="525"/>
      <c r="O152" s="525"/>
      <c r="P152" s="525"/>
      <c r="Q152" s="525"/>
      <c r="R152" s="525"/>
      <c r="S152" s="525"/>
      <c r="T152" s="525"/>
      <c r="U152" s="525"/>
      <c r="V152" s="525"/>
      <c r="W152" s="525"/>
      <c r="X152" s="525"/>
      <c r="Y152" s="525"/>
      <c r="Z152" s="525"/>
      <c r="AA152" s="525"/>
      <c r="AB152" s="525"/>
      <c r="AC152" s="525"/>
      <c r="AD152" s="525"/>
      <c r="AE152" s="525"/>
      <c r="AF152" s="525"/>
      <c r="AG152" s="525"/>
      <c r="AH152" s="525"/>
      <c r="AI152" s="525"/>
      <c r="AJ152" s="525"/>
      <c r="AK152" s="525"/>
      <c r="AL152" s="525"/>
      <c r="AM152" s="525"/>
      <c r="AN152" s="525"/>
      <c r="AO152" s="525"/>
      <c r="AP152" s="525"/>
      <c r="AQ152" s="525"/>
      <c r="AR152" s="525"/>
      <c r="AS152" s="525"/>
      <c r="AT152" s="525"/>
      <c r="AU152" s="525"/>
      <c r="AV152" s="525"/>
      <c r="AW152" s="525"/>
      <c r="AX152" s="525"/>
      <c r="AY152" s="525"/>
      <c r="AZ152" s="525"/>
      <c r="BA152" s="525"/>
      <c r="BB152" s="525"/>
      <c r="BC152" s="525"/>
      <c r="BD152" s="525"/>
      <c r="BE152" s="525"/>
      <c r="BF152" s="525"/>
      <c r="BG152" s="525"/>
      <c r="BH152" s="525"/>
      <c r="BI152" s="525"/>
      <c r="BJ152" s="525"/>
      <c r="BK152" s="541">
        <v>45689.0</v>
      </c>
      <c r="BL152" s="541">
        <v>45690.0</v>
      </c>
      <c r="BM152" s="541">
        <v>45691.0</v>
      </c>
      <c r="BN152" s="541">
        <v>45692.0</v>
      </c>
      <c r="BO152" s="541">
        <v>45693.0</v>
      </c>
      <c r="BP152" s="541">
        <v>45694.0</v>
      </c>
      <c r="BQ152" s="541">
        <v>45695.0</v>
      </c>
      <c r="BR152" s="541">
        <v>45696.0</v>
      </c>
      <c r="BS152" s="541">
        <v>45697.0</v>
      </c>
      <c r="BT152" s="541">
        <v>45698.0</v>
      </c>
      <c r="BU152" s="541">
        <v>45699.0</v>
      </c>
      <c r="BV152" s="541">
        <v>45700.0</v>
      </c>
      <c r="BW152" s="541">
        <v>45701.0</v>
      </c>
      <c r="BX152" s="541">
        <v>45702.0</v>
      </c>
      <c r="BY152" s="541">
        <v>45703.0</v>
      </c>
      <c r="BZ152" s="541">
        <v>45704.0</v>
      </c>
      <c r="CA152" s="541">
        <v>45705.0</v>
      </c>
      <c r="CB152" s="541">
        <v>45706.0</v>
      </c>
      <c r="CC152" s="541">
        <v>45707.0</v>
      </c>
      <c r="CD152" s="541">
        <v>45708.0</v>
      </c>
      <c r="CE152" s="541">
        <v>45709.0</v>
      </c>
      <c r="CF152" s="541">
        <v>45710.0</v>
      </c>
      <c r="CG152" s="541">
        <v>45711.0</v>
      </c>
      <c r="CH152" s="541">
        <v>45712.0</v>
      </c>
      <c r="CI152" s="541">
        <v>45713.0</v>
      </c>
      <c r="CJ152" s="541">
        <v>45714.0</v>
      </c>
      <c r="CK152" s="541">
        <v>45715.0</v>
      </c>
      <c r="CL152" s="541">
        <v>45716.0</v>
      </c>
      <c r="CM152" s="541"/>
      <c r="CN152" s="541">
        <v>45809.0</v>
      </c>
      <c r="CO152" s="541">
        <v>45810.0</v>
      </c>
      <c r="CP152" s="541">
        <v>45811.0</v>
      </c>
      <c r="CQ152" s="541">
        <v>45812.0</v>
      </c>
      <c r="CR152" s="541">
        <v>45813.0</v>
      </c>
      <c r="CS152" s="541">
        <v>45814.0</v>
      </c>
      <c r="CT152" s="541">
        <v>45815.0</v>
      </c>
      <c r="CU152" s="541">
        <v>45816.0</v>
      </c>
      <c r="CV152" s="541">
        <v>45817.0</v>
      </c>
      <c r="CW152" s="541">
        <v>45818.0</v>
      </c>
      <c r="CX152" s="541">
        <v>45819.0</v>
      </c>
      <c r="CY152" s="541">
        <v>45820.0</v>
      </c>
      <c r="CZ152" s="541">
        <v>45821.0</v>
      </c>
      <c r="DA152" s="541">
        <v>45822.0</v>
      </c>
      <c r="DB152" s="541">
        <v>45823.0</v>
      </c>
      <c r="DC152" s="541">
        <v>45824.0</v>
      </c>
      <c r="DD152" s="541">
        <v>45825.0</v>
      </c>
      <c r="DE152" s="541">
        <v>45826.0</v>
      </c>
      <c r="DF152" s="541">
        <v>45827.0</v>
      </c>
      <c r="DG152" s="541">
        <v>45828.0</v>
      </c>
      <c r="DH152" s="541">
        <v>45829.0</v>
      </c>
      <c r="DI152" s="541">
        <v>45830.0</v>
      </c>
      <c r="DJ152" s="541">
        <v>45831.0</v>
      </c>
      <c r="DK152" s="541">
        <v>45832.0</v>
      </c>
      <c r="DL152" s="541">
        <v>45833.0</v>
      </c>
      <c r="DM152" s="541">
        <v>45834.0</v>
      </c>
      <c r="DN152" s="541">
        <v>45835.0</v>
      </c>
      <c r="DO152" s="541">
        <v>45836.0</v>
      </c>
      <c r="DP152" s="541">
        <v>45837.0</v>
      </c>
      <c r="DQ152" s="541">
        <v>45838.0</v>
      </c>
      <c r="DR152" s="541"/>
      <c r="DV152" s="531"/>
      <c r="DW152" s="531"/>
      <c r="DX152" s="530"/>
    </row>
    <row r="153" hidden="1">
      <c r="A153" s="502" t="s">
        <v>289</v>
      </c>
      <c r="B153" s="525"/>
      <c r="C153" s="525"/>
      <c r="D153" s="525"/>
      <c r="E153" s="525"/>
      <c r="F153" s="525"/>
      <c r="G153" s="525"/>
      <c r="H153" s="525"/>
      <c r="I153" s="525"/>
      <c r="J153" s="525"/>
      <c r="K153" s="525"/>
      <c r="L153" s="525"/>
      <c r="M153" s="525"/>
      <c r="N153" s="525"/>
      <c r="O153" s="525"/>
      <c r="P153" s="525"/>
      <c r="Q153" s="525"/>
      <c r="R153" s="525"/>
      <c r="S153" s="525"/>
      <c r="T153" s="525"/>
      <c r="U153" s="525"/>
      <c r="V153" s="525"/>
      <c r="W153" s="525"/>
      <c r="X153" s="525"/>
      <c r="Y153" s="525"/>
      <c r="Z153" s="525"/>
      <c r="AA153" s="525"/>
      <c r="AB153" s="525"/>
      <c r="AC153" s="525"/>
      <c r="AD153" s="525"/>
      <c r="AE153" s="525"/>
      <c r="AF153" s="525"/>
      <c r="AG153" s="525"/>
      <c r="AH153" s="525"/>
      <c r="AI153" s="525"/>
      <c r="AJ153" s="525"/>
      <c r="AK153" s="525"/>
      <c r="AL153" s="525"/>
      <c r="AM153" s="525"/>
      <c r="AN153" s="525"/>
      <c r="AO153" s="525"/>
      <c r="AP153" s="525"/>
      <c r="AQ153" s="525"/>
      <c r="AR153" s="525"/>
      <c r="AS153" s="525"/>
      <c r="AT153" s="525"/>
      <c r="AU153" s="525"/>
      <c r="AV153" s="525"/>
      <c r="AW153" s="525"/>
      <c r="AX153" s="525"/>
      <c r="AY153" s="525"/>
      <c r="AZ153" s="525"/>
      <c r="BA153" s="525"/>
      <c r="BB153" s="525"/>
      <c r="BC153" s="525"/>
      <c r="BD153" s="525"/>
      <c r="BE153" s="525"/>
      <c r="BF153" s="525"/>
      <c r="BG153" s="525"/>
      <c r="BH153" s="525"/>
      <c r="BI153" s="525"/>
      <c r="BJ153" s="525"/>
      <c r="BK153" s="512">
        <v>12.0</v>
      </c>
      <c r="BL153" s="512">
        <v>16.0</v>
      </c>
      <c r="BM153" s="512">
        <v>37.0</v>
      </c>
      <c r="BN153" s="512">
        <v>24.0</v>
      </c>
      <c r="BO153" s="512">
        <v>23.0</v>
      </c>
      <c r="BP153" s="512">
        <v>48.0</v>
      </c>
      <c r="BQ153" s="512">
        <v>38.0</v>
      </c>
      <c r="BR153" s="512">
        <v>13.0</v>
      </c>
      <c r="BS153" s="512">
        <v>61.0</v>
      </c>
      <c r="BT153" s="512">
        <v>50.0</v>
      </c>
      <c r="BU153" s="512">
        <v>68.0</v>
      </c>
      <c r="BV153" s="512">
        <v>29.0</v>
      </c>
      <c r="BW153" s="512">
        <v>91.0</v>
      </c>
      <c r="BX153" s="512">
        <v>62.0</v>
      </c>
      <c r="BY153" s="512">
        <v>63.0</v>
      </c>
      <c r="BZ153" s="512">
        <v>64.0</v>
      </c>
      <c r="CA153" s="512">
        <v>76.0</v>
      </c>
      <c r="CB153" s="512">
        <v>49.0</v>
      </c>
      <c r="CC153" s="512">
        <v>63.0</v>
      </c>
      <c r="CD153" s="512">
        <v>50.0</v>
      </c>
      <c r="CE153" s="512">
        <v>55.0</v>
      </c>
      <c r="CF153" s="512">
        <v>77.0</v>
      </c>
      <c r="CG153" s="512">
        <v>77.0</v>
      </c>
      <c r="CH153" s="512">
        <v>72.0</v>
      </c>
      <c r="CI153" s="512">
        <v>80.0</v>
      </c>
      <c r="CJ153" s="512">
        <v>89.0</v>
      </c>
      <c r="CK153" s="512">
        <v>64.0</v>
      </c>
      <c r="CL153" s="512">
        <v>82.0</v>
      </c>
      <c r="CM153" s="512"/>
      <c r="CN153" s="561">
        <v>120.0</v>
      </c>
      <c r="CO153" s="561">
        <v>42.0</v>
      </c>
      <c r="CP153" s="561">
        <v>89.0</v>
      </c>
      <c r="CQ153" s="561">
        <v>99.0</v>
      </c>
      <c r="CR153" s="561">
        <v>56.0</v>
      </c>
      <c r="CS153" s="561">
        <v>81.0</v>
      </c>
      <c r="CT153" s="561">
        <v>92.0</v>
      </c>
      <c r="CU153" s="561">
        <v>52.0</v>
      </c>
      <c r="CV153" s="561">
        <v>85.0</v>
      </c>
      <c r="CW153" s="561">
        <v>96.0</v>
      </c>
      <c r="CX153" s="561">
        <v>121.0</v>
      </c>
      <c r="CY153" s="561">
        <v>50.0</v>
      </c>
      <c r="CZ153" s="561">
        <v>64.0</v>
      </c>
      <c r="DA153" s="561">
        <v>56.0</v>
      </c>
      <c r="DB153" s="561">
        <v>65.0</v>
      </c>
      <c r="DC153" s="561">
        <v>87.0</v>
      </c>
      <c r="DD153" s="561">
        <v>131.0</v>
      </c>
      <c r="DE153" s="561">
        <v>75.0</v>
      </c>
      <c r="DF153" s="561">
        <v>88.0</v>
      </c>
      <c r="DG153" s="561">
        <v>90.0</v>
      </c>
      <c r="DH153" s="561">
        <v>118.0</v>
      </c>
      <c r="DI153" s="561">
        <v>97.0</v>
      </c>
      <c r="DJ153" s="561">
        <v>126.0</v>
      </c>
      <c r="DK153" s="561">
        <v>75.0</v>
      </c>
      <c r="DL153" s="561">
        <v>73.0</v>
      </c>
      <c r="DM153" s="561">
        <v>84.0</v>
      </c>
      <c r="DN153" s="561">
        <v>45.0</v>
      </c>
      <c r="DO153" s="561">
        <v>62.0</v>
      </c>
      <c r="DP153" s="561">
        <v>78.0</v>
      </c>
      <c r="DQ153" s="561">
        <v>80.0</v>
      </c>
      <c r="DR153" s="314"/>
      <c r="DV153" s="531"/>
      <c r="DW153" s="531"/>
      <c r="DX153" s="530"/>
    </row>
    <row r="154" hidden="1">
      <c r="A154" s="521" t="s">
        <v>290</v>
      </c>
      <c r="B154" s="525"/>
      <c r="C154" s="525"/>
      <c r="D154" s="525"/>
      <c r="E154" s="525"/>
      <c r="F154" s="525"/>
      <c r="G154" s="525"/>
      <c r="H154" s="525"/>
      <c r="I154" s="525"/>
      <c r="J154" s="525"/>
      <c r="K154" s="525"/>
      <c r="L154" s="525"/>
      <c r="M154" s="525"/>
      <c r="N154" s="525"/>
      <c r="O154" s="525"/>
      <c r="P154" s="525"/>
      <c r="Q154" s="525"/>
      <c r="R154" s="525"/>
      <c r="S154" s="525"/>
      <c r="T154" s="525"/>
      <c r="U154" s="525"/>
      <c r="V154" s="525"/>
      <c r="W154" s="525"/>
      <c r="X154" s="525"/>
      <c r="Y154" s="525"/>
      <c r="Z154" s="525"/>
      <c r="AA154" s="525"/>
      <c r="AB154" s="525"/>
      <c r="AC154" s="525"/>
      <c r="AD154" s="525"/>
      <c r="AE154" s="525"/>
      <c r="AF154" s="525"/>
      <c r="AG154" s="525"/>
      <c r="AH154" s="525"/>
      <c r="AI154" s="525"/>
      <c r="AJ154" s="525"/>
      <c r="AK154" s="525"/>
      <c r="AL154" s="525"/>
      <c r="AM154" s="525"/>
      <c r="AN154" s="525"/>
      <c r="AO154" s="525"/>
      <c r="AP154" s="525"/>
      <c r="AQ154" s="525"/>
      <c r="AR154" s="525"/>
      <c r="AS154" s="525"/>
      <c r="AT154" s="525"/>
      <c r="AU154" s="525"/>
      <c r="AV154" s="525"/>
      <c r="AW154" s="525"/>
      <c r="AX154" s="525"/>
      <c r="AY154" s="525"/>
      <c r="AZ154" s="525"/>
      <c r="BA154" s="525"/>
      <c r="BB154" s="525"/>
      <c r="BC154" s="525"/>
      <c r="BD154" s="525"/>
      <c r="BE154" s="525"/>
      <c r="BF154" s="525"/>
      <c r="BG154" s="525"/>
      <c r="BH154" s="525"/>
      <c r="BI154" s="525"/>
      <c r="BJ154" s="525"/>
      <c r="BK154" s="512">
        <v>8.0</v>
      </c>
      <c r="BL154" s="512">
        <v>9.0</v>
      </c>
      <c r="BM154" s="512">
        <v>16.0</v>
      </c>
      <c r="BN154" s="512">
        <v>12.0</v>
      </c>
      <c r="BO154" s="512">
        <v>12.0</v>
      </c>
      <c r="BP154" s="512">
        <v>18.0</v>
      </c>
      <c r="BQ154" s="512">
        <v>20.0</v>
      </c>
      <c r="BR154" s="512">
        <v>6.0</v>
      </c>
      <c r="BS154" s="512">
        <v>18.0</v>
      </c>
      <c r="BT154" s="512">
        <v>20.0</v>
      </c>
      <c r="BU154" s="512">
        <v>24.0</v>
      </c>
      <c r="BV154" s="512">
        <v>14.0</v>
      </c>
      <c r="BW154" s="512">
        <v>32.0</v>
      </c>
      <c r="BX154" s="512">
        <v>25.0</v>
      </c>
      <c r="BY154" s="512">
        <v>22.0</v>
      </c>
      <c r="BZ154" s="512">
        <v>29.0</v>
      </c>
      <c r="CA154" s="512">
        <v>18.0</v>
      </c>
      <c r="CB154" s="512">
        <v>23.0</v>
      </c>
      <c r="CC154" s="512">
        <v>26.0</v>
      </c>
      <c r="CD154" s="512">
        <v>22.0</v>
      </c>
      <c r="CE154" s="512">
        <v>23.0</v>
      </c>
      <c r="CF154" s="512">
        <v>36.0</v>
      </c>
      <c r="CG154" s="512">
        <v>36.0</v>
      </c>
      <c r="CH154" s="512">
        <v>23.0</v>
      </c>
      <c r="CI154" s="512">
        <v>36.0</v>
      </c>
      <c r="CJ154" s="512">
        <v>37.0</v>
      </c>
      <c r="CK154" s="512">
        <v>20.0</v>
      </c>
      <c r="CL154" s="512">
        <v>36.0</v>
      </c>
      <c r="CM154" s="552">
        <f>SUM(BK154:CL154)/28</f>
        <v>22.17857143</v>
      </c>
      <c r="CN154" s="561">
        <v>40.0</v>
      </c>
      <c r="CO154" s="561">
        <v>24.0</v>
      </c>
      <c r="CP154" s="561">
        <v>29.0</v>
      </c>
      <c r="CQ154" s="561">
        <v>26.0</v>
      </c>
      <c r="CR154" s="561">
        <v>24.0</v>
      </c>
      <c r="CS154" s="561">
        <v>26.0</v>
      </c>
      <c r="CT154" s="561">
        <v>33.0</v>
      </c>
      <c r="CU154" s="561">
        <v>18.0</v>
      </c>
      <c r="CV154" s="561">
        <v>35.0</v>
      </c>
      <c r="CW154" s="561">
        <v>31.0</v>
      </c>
      <c r="CX154" s="561">
        <v>35.0</v>
      </c>
      <c r="CY154" s="561">
        <v>23.0</v>
      </c>
      <c r="CZ154" s="561">
        <v>29.0</v>
      </c>
      <c r="DA154" s="561">
        <v>25.0</v>
      </c>
      <c r="DB154" s="561">
        <v>30.0</v>
      </c>
      <c r="DC154" s="561">
        <v>41.0</v>
      </c>
      <c r="DD154" s="561">
        <v>32.0</v>
      </c>
      <c r="DE154" s="561">
        <v>28.0</v>
      </c>
      <c r="DF154" s="561">
        <v>41.0</v>
      </c>
      <c r="DG154" s="561">
        <v>30.0</v>
      </c>
      <c r="DH154" s="561">
        <v>39.0</v>
      </c>
      <c r="DI154" s="561">
        <v>41.0</v>
      </c>
      <c r="DJ154" s="561">
        <v>50.0</v>
      </c>
      <c r="DK154" s="561">
        <v>31.0</v>
      </c>
      <c r="DL154" s="561">
        <v>33.0</v>
      </c>
      <c r="DM154" s="561">
        <v>33.0</v>
      </c>
      <c r="DN154" s="561">
        <v>25.0</v>
      </c>
      <c r="DO154" s="561">
        <v>24.0</v>
      </c>
      <c r="DP154" s="561">
        <v>37.0</v>
      </c>
      <c r="DQ154" s="561">
        <v>37.0</v>
      </c>
      <c r="DR154" s="314"/>
      <c r="DV154" s="521"/>
      <c r="DW154" s="531"/>
      <c r="DX154" s="530"/>
    </row>
    <row r="155" hidden="1">
      <c r="A155" s="502" t="s">
        <v>291</v>
      </c>
      <c r="B155" s="525"/>
      <c r="C155" s="525"/>
      <c r="D155" s="525"/>
      <c r="E155" s="525"/>
      <c r="F155" s="525"/>
      <c r="G155" s="525"/>
      <c r="H155" s="525"/>
      <c r="I155" s="525"/>
      <c r="J155" s="525"/>
      <c r="K155" s="525"/>
      <c r="L155" s="525"/>
      <c r="M155" s="525"/>
      <c r="N155" s="525"/>
      <c r="O155" s="525"/>
      <c r="P155" s="525"/>
      <c r="Q155" s="525"/>
      <c r="R155" s="525"/>
      <c r="S155" s="525"/>
      <c r="T155" s="525"/>
      <c r="U155" s="525"/>
      <c r="V155" s="525"/>
      <c r="W155" s="525"/>
      <c r="X155" s="525"/>
      <c r="Y155" s="525"/>
      <c r="Z155" s="525"/>
      <c r="AA155" s="525"/>
      <c r="AB155" s="525"/>
      <c r="AC155" s="525"/>
      <c r="AD155" s="525"/>
      <c r="AE155" s="525"/>
      <c r="AF155" s="525"/>
      <c r="AG155" s="525"/>
      <c r="AH155" s="525"/>
      <c r="AI155" s="525"/>
      <c r="AJ155" s="525"/>
      <c r="AK155" s="525"/>
      <c r="AL155" s="525"/>
      <c r="AM155" s="525"/>
      <c r="AN155" s="525"/>
      <c r="AO155" s="525"/>
      <c r="AP155" s="525"/>
      <c r="AQ155" s="525"/>
      <c r="AR155" s="525"/>
      <c r="AS155" s="525"/>
      <c r="AT155" s="525"/>
      <c r="AU155" s="525"/>
      <c r="AV155" s="525"/>
      <c r="AW155" s="525"/>
      <c r="AX155" s="525"/>
      <c r="AY155" s="525"/>
      <c r="AZ155" s="525"/>
      <c r="BA155" s="525"/>
      <c r="BB155" s="525"/>
      <c r="BC155" s="525"/>
      <c r="BD155" s="525"/>
      <c r="BE155" s="525"/>
      <c r="BF155" s="525"/>
      <c r="BG155" s="525"/>
      <c r="BH155" s="525"/>
      <c r="BI155" s="525"/>
      <c r="BJ155" s="525"/>
      <c r="BK155" s="529">
        <v>10.85</v>
      </c>
      <c r="BL155" s="529">
        <v>8.12</v>
      </c>
      <c r="BM155" s="529">
        <v>8.91</v>
      </c>
      <c r="BN155" s="529">
        <v>12.38</v>
      </c>
      <c r="BO155" s="529">
        <v>10.65</v>
      </c>
      <c r="BP155" s="529">
        <v>10.65</v>
      </c>
      <c r="BQ155" s="529">
        <v>11.69</v>
      </c>
      <c r="BR155" s="529">
        <v>13.24</v>
      </c>
      <c r="BS155" s="529">
        <v>20.49</v>
      </c>
      <c r="BT155" s="529">
        <v>9.99</v>
      </c>
      <c r="BU155" s="529">
        <v>18.07</v>
      </c>
      <c r="BV155" s="529">
        <v>2.6</v>
      </c>
      <c r="BW155" s="529">
        <v>15.52</v>
      </c>
      <c r="BX155" s="529">
        <v>-84.66</v>
      </c>
      <c r="BY155" s="529">
        <v>-0.49</v>
      </c>
      <c r="BZ155" s="529">
        <v>29.94</v>
      </c>
      <c r="CA155" s="529">
        <v>10.04</v>
      </c>
      <c r="CB155" s="529">
        <v>12.42</v>
      </c>
      <c r="CC155" s="529">
        <v>-21.42</v>
      </c>
      <c r="CD155" s="529">
        <v>18.39</v>
      </c>
      <c r="CE155" s="529">
        <v>14.56</v>
      </c>
      <c r="CF155" s="529">
        <v>-79.95</v>
      </c>
      <c r="CG155" s="529">
        <v>34.0</v>
      </c>
      <c r="CH155" s="529">
        <v>39.31</v>
      </c>
      <c r="CI155" s="529">
        <v>25.66</v>
      </c>
      <c r="CJ155" s="529">
        <v>-74.91</v>
      </c>
      <c r="CK155" s="529">
        <v>-183.09</v>
      </c>
      <c r="CL155" s="529">
        <v>-114.25</v>
      </c>
      <c r="CM155" s="529"/>
      <c r="CN155" s="537">
        <v>54.17</v>
      </c>
      <c r="CO155" s="537">
        <v>60.0</v>
      </c>
      <c r="CP155" s="537">
        <v>47.44</v>
      </c>
      <c r="CQ155" s="537">
        <v>89.53</v>
      </c>
      <c r="CR155" s="537">
        <v>51.81</v>
      </c>
      <c r="CS155" s="537">
        <v>94.47</v>
      </c>
      <c r="CT155" s="537">
        <v>30.72</v>
      </c>
      <c r="CU155" s="537">
        <v>73.43</v>
      </c>
      <c r="CV155" s="512">
        <v>23.89</v>
      </c>
      <c r="CW155" s="537">
        <v>35.71</v>
      </c>
      <c r="CX155" s="537">
        <v>43.72</v>
      </c>
      <c r="CY155" s="537">
        <v>23.94</v>
      </c>
      <c r="CZ155" s="537">
        <v>33.41</v>
      </c>
      <c r="DA155" s="537">
        <v>64.03</v>
      </c>
      <c r="DB155" s="537">
        <v>50.93</v>
      </c>
      <c r="DC155" s="537">
        <v>51.97</v>
      </c>
      <c r="DD155" s="537">
        <v>60.26</v>
      </c>
      <c r="DE155" s="537">
        <v>36.49</v>
      </c>
      <c r="DF155" s="537">
        <v>58.88</v>
      </c>
      <c r="DG155" s="537">
        <v>67.82</v>
      </c>
      <c r="DH155" s="537">
        <v>34.11</v>
      </c>
      <c r="DI155" s="537">
        <v>49.08</v>
      </c>
      <c r="DJ155" s="537">
        <v>-57.48</v>
      </c>
      <c r="DK155" s="537">
        <v>31.75</v>
      </c>
      <c r="DL155" s="537">
        <v>31.2</v>
      </c>
      <c r="DM155" s="537">
        <v>23.28</v>
      </c>
      <c r="DN155" s="537">
        <v>42.88</v>
      </c>
      <c r="DO155" s="537">
        <v>12.19</v>
      </c>
      <c r="DP155" s="537">
        <v>30.08</v>
      </c>
      <c r="DQ155" s="537">
        <v>27.46</v>
      </c>
      <c r="DR155" s="537"/>
      <c r="DV155" s="521"/>
      <c r="DW155" s="531"/>
      <c r="DX155" s="530"/>
    </row>
    <row r="156" hidden="1">
      <c r="A156" s="531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V156" s="531"/>
      <c r="DW156" s="531"/>
      <c r="DX156" s="530"/>
    </row>
    <row r="157" hidden="1">
      <c r="A157" s="500" t="s">
        <v>49</v>
      </c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546"/>
      <c r="DB157" s="546"/>
      <c r="DC157" s="105"/>
      <c r="DD157" s="105"/>
      <c r="DE157" s="546"/>
      <c r="DF157" s="546"/>
      <c r="DG157" s="105"/>
      <c r="DH157" s="105"/>
      <c r="DI157" s="105"/>
      <c r="DJ157" s="105"/>
      <c r="DK157" s="105"/>
      <c r="DL157" s="105"/>
      <c r="DM157" s="105"/>
      <c r="DN157" s="105"/>
      <c r="DO157" s="105"/>
      <c r="DP157" s="105"/>
      <c r="DQ157" s="105"/>
      <c r="DR157" s="10"/>
      <c r="DV157" s="521"/>
      <c r="DW157" s="521"/>
      <c r="DX157" s="530"/>
    </row>
    <row r="158" hidden="1">
      <c r="A158" s="502" t="s">
        <v>288</v>
      </c>
      <c r="CN158" s="541">
        <v>45809.0</v>
      </c>
      <c r="CO158" s="541">
        <v>45810.0</v>
      </c>
      <c r="CP158" s="541">
        <v>45811.0</v>
      </c>
      <c r="CQ158" s="541">
        <v>45812.0</v>
      </c>
      <c r="CR158" s="541">
        <v>45813.0</v>
      </c>
      <c r="CS158" s="541">
        <v>45814.0</v>
      </c>
      <c r="CT158" s="541">
        <v>45815.0</v>
      </c>
      <c r="CU158" s="541">
        <v>45816.0</v>
      </c>
      <c r="CV158" s="541">
        <v>45817.0</v>
      </c>
      <c r="CW158" s="541">
        <v>45818.0</v>
      </c>
      <c r="CX158" s="541">
        <v>45819.0</v>
      </c>
      <c r="CY158" s="541">
        <v>45820.0</v>
      </c>
      <c r="CZ158" s="541">
        <v>45821.0</v>
      </c>
      <c r="DA158" s="541">
        <v>45822.0</v>
      </c>
      <c r="DB158" s="541">
        <v>45823.0</v>
      </c>
      <c r="DC158" s="541">
        <v>45824.0</v>
      </c>
      <c r="DD158" s="541">
        <v>45825.0</v>
      </c>
      <c r="DE158" s="541">
        <v>45826.0</v>
      </c>
      <c r="DF158" s="541">
        <v>45827.0</v>
      </c>
      <c r="DG158" s="541">
        <v>45828.0</v>
      </c>
      <c r="DH158" s="541">
        <v>45829.0</v>
      </c>
      <c r="DI158" s="541">
        <v>45830.0</v>
      </c>
      <c r="DJ158" s="541">
        <v>45831.0</v>
      </c>
      <c r="DK158" s="541">
        <v>45832.0</v>
      </c>
      <c r="DL158" s="541">
        <v>45833.0</v>
      </c>
      <c r="DM158" s="541">
        <v>45834.0</v>
      </c>
      <c r="DN158" s="541">
        <v>45835.0</v>
      </c>
      <c r="DO158" s="541">
        <v>45836.0</v>
      </c>
      <c r="DP158" s="541">
        <v>45837.0</v>
      </c>
      <c r="DQ158" s="541">
        <v>45838.0</v>
      </c>
      <c r="DR158" s="541"/>
      <c r="DV158" s="531"/>
      <c r="DW158" s="531"/>
      <c r="DX158" s="530"/>
    </row>
    <row r="159" hidden="1">
      <c r="A159" s="502" t="s">
        <v>289</v>
      </c>
      <c r="CN159" s="561">
        <v>64.0</v>
      </c>
      <c r="CO159" s="561">
        <v>29.0</v>
      </c>
      <c r="CP159" s="561">
        <v>89.0</v>
      </c>
      <c r="CQ159" s="561">
        <v>97.0</v>
      </c>
      <c r="CR159" s="561">
        <v>65.0</v>
      </c>
      <c r="CS159" s="561">
        <v>99.0</v>
      </c>
      <c r="CT159" s="561">
        <v>42.0</v>
      </c>
      <c r="CU159" s="561">
        <v>94.0</v>
      </c>
      <c r="CV159" s="561">
        <v>67.0</v>
      </c>
      <c r="CW159" s="561">
        <v>120.0</v>
      </c>
      <c r="CX159" s="561">
        <v>96.0</v>
      </c>
      <c r="CY159" s="561">
        <v>51.0</v>
      </c>
      <c r="CZ159" s="561">
        <v>60.0</v>
      </c>
      <c r="DA159" s="561">
        <v>71.0</v>
      </c>
      <c r="DB159" s="561">
        <v>73.0</v>
      </c>
      <c r="DC159" s="561">
        <v>107.0</v>
      </c>
      <c r="DD159" s="561">
        <v>97.0</v>
      </c>
      <c r="DE159" s="561">
        <v>77.0</v>
      </c>
      <c r="DF159" s="561">
        <v>88.0</v>
      </c>
      <c r="DG159" s="561">
        <v>100.0</v>
      </c>
      <c r="DH159" s="561">
        <v>91.0</v>
      </c>
      <c r="DI159" s="561">
        <v>101.0</v>
      </c>
      <c r="DJ159" s="561">
        <v>85.0</v>
      </c>
      <c r="DK159" s="561">
        <v>89.0</v>
      </c>
      <c r="DL159" s="561">
        <v>44.0</v>
      </c>
      <c r="DM159" s="561">
        <v>109.0</v>
      </c>
      <c r="DN159" s="561">
        <v>74.0</v>
      </c>
      <c r="DO159" s="561">
        <v>67.0</v>
      </c>
      <c r="DP159" s="561">
        <v>89.0</v>
      </c>
      <c r="DQ159" s="561">
        <v>86.0</v>
      </c>
      <c r="DR159" s="314"/>
      <c r="DV159" s="531"/>
      <c r="DW159" s="531"/>
      <c r="DX159" s="530"/>
    </row>
    <row r="160" hidden="1">
      <c r="A160" s="521" t="s">
        <v>290</v>
      </c>
      <c r="CN160" s="561">
        <v>25.0</v>
      </c>
      <c r="CO160" s="561">
        <v>29.0</v>
      </c>
      <c r="CP160" s="561">
        <v>29.0</v>
      </c>
      <c r="CQ160" s="561">
        <v>36.0</v>
      </c>
      <c r="CR160" s="561">
        <v>30.0</v>
      </c>
      <c r="CS160" s="561">
        <v>38.0</v>
      </c>
      <c r="CT160" s="561">
        <v>23.0</v>
      </c>
      <c r="CU160" s="561">
        <v>30.0</v>
      </c>
      <c r="CV160" s="561">
        <v>30.0</v>
      </c>
      <c r="CW160" s="561">
        <v>37.0</v>
      </c>
      <c r="CX160" s="561">
        <v>35.0</v>
      </c>
      <c r="CY160" s="561">
        <v>25.0</v>
      </c>
      <c r="CZ160" s="561">
        <v>27.0</v>
      </c>
      <c r="DA160" s="561">
        <v>27.0</v>
      </c>
      <c r="DB160" s="561">
        <v>33.0</v>
      </c>
      <c r="DC160" s="561">
        <v>36.0</v>
      </c>
      <c r="DD160" s="561">
        <v>35.0</v>
      </c>
      <c r="DE160" s="561">
        <v>33.0</v>
      </c>
      <c r="DF160" s="561">
        <v>31.0</v>
      </c>
      <c r="DG160" s="561">
        <v>34.0</v>
      </c>
      <c r="DH160" s="561">
        <v>43.0</v>
      </c>
      <c r="DI160" s="561">
        <v>38.0</v>
      </c>
      <c r="DJ160" s="561">
        <v>37.0</v>
      </c>
      <c r="DK160" s="561">
        <v>37.0</v>
      </c>
      <c r="DL160" s="561">
        <v>25.0</v>
      </c>
      <c r="DM160" s="561">
        <v>50.0</v>
      </c>
      <c r="DN160" s="561">
        <v>31.0</v>
      </c>
      <c r="DO160" s="561">
        <v>27.0</v>
      </c>
      <c r="DP160" s="561">
        <v>33.0</v>
      </c>
      <c r="DQ160" s="561">
        <v>41.0</v>
      </c>
      <c r="DR160" s="314"/>
      <c r="DV160" s="531"/>
      <c r="DW160" s="531"/>
      <c r="DX160" s="530"/>
    </row>
    <row r="161" hidden="1">
      <c r="A161" s="502" t="s">
        <v>291</v>
      </c>
      <c r="CN161" s="537">
        <v>58.62</v>
      </c>
      <c r="CO161" s="537">
        <v>46.96</v>
      </c>
      <c r="CP161" s="537">
        <v>69.12</v>
      </c>
      <c r="CQ161" s="537">
        <v>65.77</v>
      </c>
      <c r="CR161" s="537">
        <v>0.0</v>
      </c>
      <c r="CS161" s="537">
        <f>-206.04-111.42</f>
        <v>-317.46</v>
      </c>
      <c r="CT161" s="537">
        <v>51.61</v>
      </c>
      <c r="CU161" s="537">
        <v>37.71</v>
      </c>
      <c r="CV161" s="512">
        <v>31.96</v>
      </c>
      <c r="CW161" s="537">
        <v>60.48</v>
      </c>
      <c r="CX161" s="537">
        <v>75.64</v>
      </c>
      <c r="CY161" s="537">
        <v>43.8</v>
      </c>
      <c r="CZ161" s="537">
        <v>61.18</v>
      </c>
      <c r="DA161" s="537">
        <v>75.08</v>
      </c>
      <c r="DB161" s="537">
        <v>72.47</v>
      </c>
      <c r="DC161" s="537">
        <v>-153.76</v>
      </c>
      <c r="DD161" s="537">
        <v>69.67</v>
      </c>
      <c r="DE161" s="537">
        <v>47.47</v>
      </c>
      <c r="DF161" s="537">
        <v>51.63</v>
      </c>
      <c r="DG161" s="537">
        <v>36.23</v>
      </c>
      <c r="DH161" s="537">
        <v>36.92</v>
      </c>
      <c r="DI161" s="537">
        <v>87.41</v>
      </c>
      <c r="DJ161" s="537">
        <v>23.46</v>
      </c>
      <c r="DK161" s="537">
        <v>25.88</v>
      </c>
      <c r="DL161" s="537">
        <v>38.64</v>
      </c>
      <c r="DM161" s="537">
        <v>43.68</v>
      </c>
      <c r="DN161" s="537">
        <v>21.31</v>
      </c>
      <c r="DO161" s="537">
        <v>40.72</v>
      </c>
      <c r="DP161" s="537">
        <v>31.3</v>
      </c>
      <c r="DQ161" s="537">
        <v>34.21</v>
      </c>
      <c r="DR161" s="537"/>
      <c r="DX161" s="530"/>
    </row>
    <row r="162" hidden="1">
      <c r="A162" s="531"/>
      <c r="CP162" s="10"/>
      <c r="CQ162" s="10"/>
      <c r="CR162" s="10"/>
      <c r="CS162" s="10"/>
      <c r="CT162" s="10"/>
      <c r="CU162" s="10"/>
      <c r="CV162" s="10"/>
      <c r="CW162" s="105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X162" s="530"/>
    </row>
    <row r="163" hidden="1">
      <c r="A163" s="573" t="s">
        <v>299</v>
      </c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X163" s="530"/>
    </row>
    <row r="164" hidden="1">
      <c r="A164" s="500" t="s">
        <v>2</v>
      </c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18"/>
      <c r="AV164" s="118"/>
      <c r="AW164" s="118"/>
      <c r="AX164" s="118"/>
      <c r="AY164" s="118"/>
      <c r="AZ164" s="118"/>
      <c r="BA164" s="118"/>
      <c r="BB164" s="118"/>
      <c r="BC164" s="118"/>
      <c r="BD164" s="118"/>
      <c r="BE164" s="118"/>
      <c r="BF164" s="118"/>
      <c r="BG164" s="118"/>
      <c r="BH164" s="118"/>
      <c r="BI164" s="118"/>
      <c r="BJ164" s="118"/>
      <c r="BK164" s="118"/>
      <c r="BL164" s="118"/>
      <c r="BM164" s="118"/>
      <c r="BN164" s="118"/>
      <c r="BO164" s="118"/>
      <c r="BP164" s="118"/>
      <c r="BQ164" s="118"/>
      <c r="BR164" s="118"/>
      <c r="BS164" s="118"/>
      <c r="BT164" s="118"/>
      <c r="BU164" s="118"/>
      <c r="BV164" s="118"/>
      <c r="BW164" s="118"/>
      <c r="BX164" s="118"/>
      <c r="BY164" s="118"/>
      <c r="BZ164" s="118"/>
      <c r="CA164" s="118"/>
      <c r="CB164" s="118"/>
      <c r="CC164" s="118"/>
      <c r="CD164" s="118"/>
      <c r="CE164" s="118"/>
      <c r="CF164" s="118"/>
      <c r="CG164" s="118"/>
      <c r="CH164" s="118"/>
      <c r="CI164" s="118"/>
      <c r="CJ164" s="118"/>
      <c r="CK164" s="118"/>
      <c r="CL164" s="118"/>
      <c r="CM164" s="118"/>
      <c r="CN164" s="546" t="s">
        <v>300</v>
      </c>
      <c r="CO164" s="546" t="s">
        <v>301</v>
      </c>
      <c r="CP164" s="546" t="s">
        <v>302</v>
      </c>
      <c r="CQ164" s="546" t="s">
        <v>302</v>
      </c>
      <c r="CR164" s="546" t="s">
        <v>300</v>
      </c>
      <c r="CS164" s="546" t="s">
        <v>300</v>
      </c>
      <c r="CT164" s="546" t="s">
        <v>302</v>
      </c>
      <c r="CU164" s="546" t="s">
        <v>302</v>
      </c>
      <c r="CV164" s="546" t="s">
        <v>300</v>
      </c>
      <c r="CW164" s="546" t="s">
        <v>300</v>
      </c>
      <c r="CX164" s="546" t="s">
        <v>302</v>
      </c>
      <c r="CY164" s="546" t="s">
        <v>302</v>
      </c>
      <c r="CZ164" s="546" t="s">
        <v>303</v>
      </c>
      <c r="DA164" s="546" t="s">
        <v>303</v>
      </c>
      <c r="DB164" s="546" t="s">
        <v>302</v>
      </c>
      <c r="DC164" s="546" t="s">
        <v>302</v>
      </c>
      <c r="DD164" s="546" t="s">
        <v>303</v>
      </c>
      <c r="DE164" s="546" t="s">
        <v>303</v>
      </c>
      <c r="DF164" s="546" t="s">
        <v>302</v>
      </c>
      <c r="DG164" s="546" t="s">
        <v>302</v>
      </c>
      <c r="DH164" s="546" t="s">
        <v>303</v>
      </c>
      <c r="DI164" s="546" t="s">
        <v>303</v>
      </c>
      <c r="DJ164" s="546" t="s">
        <v>302</v>
      </c>
      <c r="DK164" s="546" t="s">
        <v>302</v>
      </c>
      <c r="DL164" s="546" t="s">
        <v>303</v>
      </c>
      <c r="DM164" s="546" t="s">
        <v>303</v>
      </c>
      <c r="DN164" s="546" t="s">
        <v>302</v>
      </c>
      <c r="DO164" s="546" t="s">
        <v>302</v>
      </c>
      <c r="DP164" s="546" t="s">
        <v>304</v>
      </c>
      <c r="DQ164" s="546" t="s">
        <v>304</v>
      </c>
      <c r="DR164" s="546" t="s">
        <v>302</v>
      </c>
      <c r="DU164" s="520" t="s">
        <v>305</v>
      </c>
      <c r="DV164" s="520" t="s">
        <v>306</v>
      </c>
      <c r="DX164" s="530"/>
    </row>
    <row r="165" hidden="1">
      <c r="A165" s="502" t="s">
        <v>288</v>
      </c>
      <c r="B165" s="525"/>
      <c r="C165" s="525"/>
      <c r="D165" s="525"/>
      <c r="E165" s="525"/>
      <c r="F165" s="525"/>
      <c r="G165" s="525"/>
      <c r="H165" s="525"/>
      <c r="I165" s="525"/>
      <c r="J165" s="525"/>
      <c r="K165" s="525"/>
      <c r="L165" s="525"/>
      <c r="M165" s="525"/>
      <c r="N165" s="525"/>
      <c r="O165" s="525"/>
      <c r="P165" s="525"/>
      <c r="Q165" s="525"/>
      <c r="R165" s="525"/>
      <c r="S165" s="525"/>
      <c r="T165" s="525"/>
      <c r="U165" s="525"/>
      <c r="V165" s="525"/>
      <c r="W165" s="525"/>
      <c r="X165" s="525"/>
      <c r="Y165" s="525"/>
      <c r="Z165" s="525"/>
      <c r="AA165" s="525"/>
      <c r="AB165" s="525"/>
      <c r="AC165" s="525"/>
      <c r="AD165" s="525"/>
      <c r="AE165" s="525"/>
      <c r="AF165" s="525"/>
      <c r="AG165" s="525"/>
      <c r="AH165" s="525"/>
      <c r="AI165" s="525"/>
      <c r="AJ165" s="525"/>
      <c r="AK165" s="525"/>
      <c r="AL165" s="525"/>
      <c r="AM165" s="525"/>
      <c r="AN165" s="525"/>
      <c r="AO165" s="525"/>
      <c r="AP165" s="525"/>
      <c r="AQ165" s="525"/>
      <c r="AR165" s="525"/>
      <c r="AS165" s="525"/>
      <c r="AT165" s="525"/>
      <c r="AU165" s="525"/>
      <c r="AV165" s="525"/>
      <c r="AW165" s="525"/>
      <c r="AX165" s="525"/>
      <c r="AY165" s="525"/>
      <c r="AZ165" s="525"/>
      <c r="BA165" s="525"/>
      <c r="BB165" s="525"/>
      <c r="BC165" s="525"/>
      <c r="BD165" s="525"/>
      <c r="BE165" s="525"/>
      <c r="BF165" s="525"/>
      <c r="BG165" s="525"/>
      <c r="BH165" s="525"/>
      <c r="BI165" s="525"/>
      <c r="BJ165" s="525"/>
      <c r="BK165" s="541">
        <v>45689.0</v>
      </c>
      <c r="BL165" s="541">
        <v>45690.0</v>
      </c>
      <c r="BM165" s="541">
        <v>45691.0</v>
      </c>
      <c r="BN165" s="541">
        <v>45692.0</v>
      </c>
      <c r="BO165" s="541">
        <v>45693.0</v>
      </c>
      <c r="BP165" s="541">
        <v>45694.0</v>
      </c>
      <c r="BQ165" s="541">
        <v>45695.0</v>
      </c>
      <c r="BR165" s="541">
        <v>45696.0</v>
      </c>
      <c r="BS165" s="541">
        <v>45697.0</v>
      </c>
      <c r="BT165" s="541">
        <v>45698.0</v>
      </c>
      <c r="BU165" s="541">
        <v>45699.0</v>
      </c>
      <c r="BV165" s="541">
        <v>45700.0</v>
      </c>
      <c r="BW165" s="541">
        <v>45701.0</v>
      </c>
      <c r="BX165" s="541">
        <v>45702.0</v>
      </c>
      <c r="BY165" s="541">
        <v>45703.0</v>
      </c>
      <c r="BZ165" s="541">
        <v>45704.0</v>
      </c>
      <c r="CA165" s="541">
        <v>45705.0</v>
      </c>
      <c r="CB165" s="541">
        <v>45706.0</v>
      </c>
      <c r="CC165" s="541">
        <v>45707.0</v>
      </c>
      <c r="CD165" s="541">
        <v>45708.0</v>
      </c>
      <c r="CE165" s="541">
        <v>45709.0</v>
      </c>
      <c r="CF165" s="541">
        <v>45710.0</v>
      </c>
      <c r="CG165" s="541">
        <v>45711.0</v>
      </c>
      <c r="CH165" s="541">
        <v>45712.0</v>
      </c>
      <c r="CI165" s="541">
        <v>45713.0</v>
      </c>
      <c r="CJ165" s="541">
        <v>45714.0</v>
      </c>
      <c r="CK165" s="541">
        <v>45715.0</v>
      </c>
      <c r="CL165" s="541">
        <v>45716.0</v>
      </c>
      <c r="CM165" s="541"/>
      <c r="CN165" s="541">
        <v>45839.0</v>
      </c>
      <c r="CO165" s="541">
        <v>45840.0</v>
      </c>
      <c r="CP165" s="541">
        <v>45841.0</v>
      </c>
      <c r="CQ165" s="541">
        <v>45842.0</v>
      </c>
      <c r="CR165" s="541">
        <v>45843.0</v>
      </c>
      <c r="CS165" s="541">
        <v>45844.0</v>
      </c>
      <c r="CT165" s="541">
        <v>45845.0</v>
      </c>
      <c r="CU165" s="541">
        <v>45846.0</v>
      </c>
      <c r="CV165" s="541">
        <v>45847.0</v>
      </c>
      <c r="CW165" s="541">
        <v>45848.0</v>
      </c>
      <c r="CX165" s="541">
        <v>45849.0</v>
      </c>
      <c r="CY165" s="541">
        <v>45850.0</v>
      </c>
      <c r="CZ165" s="541">
        <v>45851.0</v>
      </c>
      <c r="DA165" s="541">
        <v>45852.0</v>
      </c>
      <c r="DB165" s="541">
        <v>45853.0</v>
      </c>
      <c r="DC165" s="541">
        <v>45854.0</v>
      </c>
      <c r="DD165" s="541">
        <v>45855.0</v>
      </c>
      <c r="DE165" s="541">
        <v>45856.0</v>
      </c>
      <c r="DF165" s="541">
        <v>45857.0</v>
      </c>
      <c r="DG165" s="541">
        <v>45858.0</v>
      </c>
      <c r="DH165" s="541">
        <v>45859.0</v>
      </c>
      <c r="DI165" s="541">
        <v>45860.0</v>
      </c>
      <c r="DJ165" s="541">
        <v>45861.0</v>
      </c>
      <c r="DK165" s="541">
        <v>45862.0</v>
      </c>
      <c r="DL165" s="541">
        <v>45863.0</v>
      </c>
      <c r="DM165" s="541">
        <v>45864.0</v>
      </c>
      <c r="DN165" s="541">
        <v>45865.0</v>
      </c>
      <c r="DO165" s="541">
        <v>45866.0</v>
      </c>
      <c r="DP165" s="541">
        <v>45867.0</v>
      </c>
      <c r="DQ165" s="541">
        <v>45868.0</v>
      </c>
      <c r="DR165" s="541">
        <v>45869.0</v>
      </c>
      <c r="DS165" s="520" t="s">
        <v>307</v>
      </c>
      <c r="DU165" s="574">
        <f>100*2</f>
        <v>200</v>
      </c>
      <c r="DV165" s="574">
        <f>DQ168+DP168</f>
        <v>67.75</v>
      </c>
      <c r="DX165" s="530"/>
    </row>
    <row r="166" hidden="1">
      <c r="A166" s="502" t="s">
        <v>289</v>
      </c>
      <c r="B166" s="525"/>
      <c r="C166" s="525"/>
      <c r="D166" s="525"/>
      <c r="E166" s="525"/>
      <c r="F166" s="525"/>
      <c r="G166" s="525"/>
      <c r="H166" s="525"/>
      <c r="I166" s="525"/>
      <c r="J166" s="525"/>
      <c r="K166" s="525"/>
      <c r="L166" s="525"/>
      <c r="M166" s="525"/>
      <c r="N166" s="525"/>
      <c r="O166" s="525"/>
      <c r="P166" s="525"/>
      <c r="Q166" s="525"/>
      <c r="R166" s="525"/>
      <c r="S166" s="525"/>
      <c r="T166" s="525"/>
      <c r="U166" s="525"/>
      <c r="V166" s="525"/>
      <c r="W166" s="525"/>
      <c r="X166" s="525"/>
      <c r="Y166" s="525"/>
      <c r="Z166" s="525"/>
      <c r="AA166" s="525"/>
      <c r="AB166" s="525"/>
      <c r="AC166" s="525"/>
      <c r="AD166" s="525"/>
      <c r="AE166" s="525"/>
      <c r="AF166" s="525"/>
      <c r="AG166" s="525"/>
      <c r="AH166" s="525"/>
      <c r="AI166" s="525"/>
      <c r="AJ166" s="525"/>
      <c r="AK166" s="525"/>
      <c r="AL166" s="525"/>
      <c r="AM166" s="525"/>
      <c r="AN166" s="525"/>
      <c r="AO166" s="525"/>
      <c r="AP166" s="525"/>
      <c r="AQ166" s="525"/>
      <c r="AR166" s="525"/>
      <c r="AS166" s="525"/>
      <c r="AT166" s="525"/>
      <c r="AU166" s="525"/>
      <c r="AV166" s="525"/>
      <c r="AW166" s="525"/>
      <c r="AX166" s="525"/>
      <c r="AY166" s="525"/>
      <c r="AZ166" s="525"/>
      <c r="BA166" s="525"/>
      <c r="BB166" s="525"/>
      <c r="BC166" s="525"/>
      <c r="BD166" s="525"/>
      <c r="BE166" s="525"/>
      <c r="BF166" s="525"/>
      <c r="BG166" s="525"/>
      <c r="BH166" s="525"/>
      <c r="BI166" s="525"/>
      <c r="BJ166" s="525"/>
      <c r="BK166" s="512">
        <v>67.0</v>
      </c>
      <c r="BL166" s="512">
        <v>133.0</v>
      </c>
      <c r="BM166" s="525"/>
      <c r="BN166" s="512">
        <v>100.0</v>
      </c>
      <c r="BO166" s="512">
        <v>130.0</v>
      </c>
      <c r="BP166" s="512">
        <v>162.0</v>
      </c>
      <c r="BQ166" s="512">
        <v>219.0</v>
      </c>
      <c r="BR166" s="512">
        <v>120.0</v>
      </c>
      <c r="BS166" s="512">
        <v>198.0</v>
      </c>
      <c r="BT166" s="512">
        <v>128.0</v>
      </c>
      <c r="BU166" s="512">
        <v>214.0</v>
      </c>
      <c r="BV166" s="512">
        <v>159.0</v>
      </c>
      <c r="BW166" s="512">
        <v>159.0</v>
      </c>
      <c r="BX166" s="512">
        <v>148.0</v>
      </c>
      <c r="BY166" s="512">
        <v>141.0</v>
      </c>
      <c r="BZ166" s="512">
        <v>125.0</v>
      </c>
      <c r="CA166" s="512">
        <v>160.0</v>
      </c>
      <c r="CB166" s="512">
        <v>188.0</v>
      </c>
      <c r="CC166" s="512">
        <v>189.0</v>
      </c>
      <c r="CD166" s="512">
        <v>177.0</v>
      </c>
      <c r="CE166" s="512">
        <v>175.0</v>
      </c>
      <c r="CF166" s="512">
        <v>172.0</v>
      </c>
      <c r="CG166" s="512">
        <v>204.0</v>
      </c>
      <c r="CH166" s="512">
        <v>198.0</v>
      </c>
      <c r="CI166" s="512">
        <v>163.0</v>
      </c>
      <c r="CJ166" s="512">
        <v>177.0</v>
      </c>
      <c r="CK166" s="512">
        <v>156.0</v>
      </c>
      <c r="CL166" s="512">
        <v>177.0</v>
      </c>
      <c r="CM166" s="512"/>
      <c r="CN166" s="561">
        <v>116.0</v>
      </c>
      <c r="CO166" s="561">
        <v>126.0</v>
      </c>
      <c r="CP166" s="561">
        <v>219.0</v>
      </c>
      <c r="CQ166" s="561">
        <v>136.0</v>
      </c>
      <c r="CR166" s="561">
        <v>96.0</v>
      </c>
      <c r="CS166" s="561">
        <v>125.0</v>
      </c>
      <c r="CT166" s="561">
        <v>136.0</v>
      </c>
      <c r="CU166" s="561">
        <v>142.0</v>
      </c>
      <c r="CV166" s="561">
        <v>105.0</v>
      </c>
      <c r="CW166" s="561">
        <v>129.0</v>
      </c>
      <c r="CX166" s="561">
        <v>137.0</v>
      </c>
      <c r="CY166" s="561">
        <v>121.0</v>
      </c>
      <c r="CZ166" s="561">
        <v>170.0</v>
      </c>
      <c r="DA166" s="561">
        <v>180.0</v>
      </c>
      <c r="DB166" s="561">
        <v>164.0</v>
      </c>
      <c r="DC166" s="561">
        <v>137.0</v>
      </c>
      <c r="DD166" s="561">
        <v>175.0</v>
      </c>
      <c r="DE166" s="561">
        <v>148.0</v>
      </c>
      <c r="DF166" s="561">
        <v>142.0</v>
      </c>
      <c r="DG166" s="561">
        <v>141.0</v>
      </c>
      <c r="DH166" s="561">
        <v>206.0</v>
      </c>
      <c r="DI166" s="561">
        <v>135.0</v>
      </c>
      <c r="DJ166" s="561">
        <v>221.0</v>
      </c>
      <c r="DK166" s="561">
        <v>190.0</v>
      </c>
      <c r="DL166" s="561">
        <v>130.0</v>
      </c>
      <c r="DM166" s="561">
        <v>169.0</v>
      </c>
      <c r="DN166" s="561">
        <v>139.0</v>
      </c>
      <c r="DO166" s="561">
        <v>172.0</v>
      </c>
      <c r="DP166" s="561">
        <v>146.0</v>
      </c>
      <c r="DQ166" s="561">
        <v>149.0</v>
      </c>
      <c r="DR166" s="561">
        <v>115.0</v>
      </c>
      <c r="DS166" s="520" t="s">
        <v>308</v>
      </c>
      <c r="DU166" s="574">
        <f>100*9</f>
        <v>900</v>
      </c>
      <c r="DV166" s="574">
        <f>DR168+DO168+DN168+DK168+DJ168+DG168+DF168+DC168</f>
        <v>354.57</v>
      </c>
      <c r="DX166" s="530"/>
    </row>
    <row r="167" hidden="1">
      <c r="A167" s="521" t="s">
        <v>290</v>
      </c>
      <c r="B167" s="525"/>
      <c r="C167" s="525"/>
      <c r="D167" s="525"/>
      <c r="E167" s="525"/>
      <c r="F167" s="525"/>
      <c r="G167" s="525"/>
      <c r="H167" s="525"/>
      <c r="I167" s="525"/>
      <c r="J167" s="525"/>
      <c r="K167" s="525"/>
      <c r="L167" s="525"/>
      <c r="M167" s="525"/>
      <c r="N167" s="525"/>
      <c r="O167" s="525"/>
      <c r="P167" s="525"/>
      <c r="Q167" s="525"/>
      <c r="R167" s="525"/>
      <c r="S167" s="525"/>
      <c r="T167" s="525"/>
      <c r="U167" s="525"/>
      <c r="V167" s="525"/>
      <c r="W167" s="525"/>
      <c r="X167" s="525"/>
      <c r="Y167" s="525"/>
      <c r="Z167" s="525"/>
      <c r="AA167" s="525"/>
      <c r="AB167" s="525"/>
      <c r="AC167" s="525"/>
      <c r="AD167" s="525"/>
      <c r="AE167" s="525"/>
      <c r="AF167" s="525"/>
      <c r="AG167" s="525"/>
      <c r="AH167" s="525"/>
      <c r="AI167" s="525"/>
      <c r="AJ167" s="525"/>
      <c r="AK167" s="525"/>
      <c r="AL167" s="525"/>
      <c r="AM167" s="525"/>
      <c r="AN167" s="525"/>
      <c r="AO167" s="525"/>
      <c r="AP167" s="525"/>
      <c r="AQ167" s="525"/>
      <c r="AR167" s="525"/>
      <c r="AS167" s="525"/>
      <c r="AT167" s="525"/>
      <c r="AU167" s="525"/>
      <c r="AV167" s="525"/>
      <c r="AW167" s="525"/>
      <c r="AX167" s="525"/>
      <c r="AY167" s="525"/>
      <c r="AZ167" s="525"/>
      <c r="BA167" s="525"/>
      <c r="BB167" s="525"/>
      <c r="BC167" s="525"/>
      <c r="BD167" s="525"/>
      <c r="BE167" s="525"/>
      <c r="BF167" s="525"/>
      <c r="BG167" s="525"/>
      <c r="BH167" s="525"/>
      <c r="BI167" s="525"/>
      <c r="BJ167" s="525"/>
      <c r="BK167" s="512">
        <v>36.0</v>
      </c>
      <c r="BL167" s="512">
        <v>53.0</v>
      </c>
      <c r="BM167" s="525"/>
      <c r="BN167" s="512">
        <v>40.0</v>
      </c>
      <c r="BO167" s="512">
        <v>50.0</v>
      </c>
      <c r="BP167" s="512">
        <v>56.0</v>
      </c>
      <c r="BQ167" s="512">
        <v>70.0</v>
      </c>
      <c r="BR167" s="512">
        <v>51.0</v>
      </c>
      <c r="BS167" s="512">
        <v>63.0</v>
      </c>
      <c r="BT167" s="512">
        <v>62.0</v>
      </c>
      <c r="BU167" s="512">
        <v>68.0</v>
      </c>
      <c r="BV167" s="512">
        <v>65.0</v>
      </c>
      <c r="BW167" s="512">
        <v>64.0</v>
      </c>
      <c r="BX167" s="512">
        <v>64.0</v>
      </c>
      <c r="BY167" s="512">
        <v>67.0</v>
      </c>
      <c r="BZ167" s="512">
        <v>56.0</v>
      </c>
      <c r="CA167" s="512">
        <v>65.0</v>
      </c>
      <c r="CB167" s="512">
        <v>68.0</v>
      </c>
      <c r="CC167" s="512">
        <v>72.0</v>
      </c>
      <c r="CD167" s="512">
        <v>67.0</v>
      </c>
      <c r="CE167" s="512">
        <v>72.0</v>
      </c>
      <c r="CF167" s="512">
        <v>72.0</v>
      </c>
      <c r="CG167" s="512">
        <v>81.0</v>
      </c>
      <c r="CH167" s="512">
        <v>81.0</v>
      </c>
      <c r="CI167" s="512">
        <v>67.0</v>
      </c>
      <c r="CJ167" s="512">
        <v>64.0</v>
      </c>
      <c r="CK167" s="512">
        <v>66.0</v>
      </c>
      <c r="CL167" s="512">
        <v>58.0</v>
      </c>
      <c r="CM167" s="552">
        <f>SUM(BK167:CL167)/28</f>
        <v>60.64285714</v>
      </c>
      <c r="CN167" s="561">
        <v>56.0</v>
      </c>
      <c r="CO167" s="561">
        <v>54.0</v>
      </c>
      <c r="CP167" s="561">
        <v>71.0</v>
      </c>
      <c r="CQ167" s="561">
        <v>60.0</v>
      </c>
      <c r="CR167" s="561">
        <v>45.0</v>
      </c>
      <c r="CS167" s="561">
        <v>62.0</v>
      </c>
      <c r="CT167" s="561">
        <v>63.0</v>
      </c>
      <c r="CU167" s="561">
        <v>56.0</v>
      </c>
      <c r="CV167" s="561">
        <v>46.0</v>
      </c>
      <c r="CW167" s="561">
        <v>54.0</v>
      </c>
      <c r="CX167" s="561">
        <v>57.0</v>
      </c>
      <c r="CY167" s="561">
        <v>57.0</v>
      </c>
      <c r="CZ167" s="561">
        <v>67.0</v>
      </c>
      <c r="DA167" s="561">
        <v>72.0</v>
      </c>
      <c r="DB167" s="561">
        <v>61.0</v>
      </c>
      <c r="DC167" s="561">
        <v>53.0</v>
      </c>
      <c r="DD167" s="561">
        <v>70.0</v>
      </c>
      <c r="DE167" s="561">
        <v>62.0</v>
      </c>
      <c r="DF167" s="561">
        <v>58.0</v>
      </c>
      <c r="DG167" s="561">
        <v>52.0</v>
      </c>
      <c r="DH167" s="561">
        <v>77.0</v>
      </c>
      <c r="DI167" s="561">
        <v>58.0</v>
      </c>
      <c r="DJ167" s="561">
        <v>75.0</v>
      </c>
      <c r="DK167" s="561">
        <v>64.0</v>
      </c>
      <c r="DL167" s="561">
        <v>49.0</v>
      </c>
      <c r="DM167" s="561">
        <v>56.0</v>
      </c>
      <c r="DN167" s="561">
        <v>63.0</v>
      </c>
      <c r="DO167" s="561">
        <v>69.0</v>
      </c>
      <c r="DP167" s="561">
        <v>60.0</v>
      </c>
      <c r="DQ167" s="561">
        <v>47.0</v>
      </c>
      <c r="DR167" s="561">
        <v>51.0</v>
      </c>
      <c r="DS167" s="520" t="s">
        <v>309</v>
      </c>
      <c r="DU167" s="574">
        <f>100*7</f>
        <v>700</v>
      </c>
      <c r="DV167" s="574">
        <f>DM168+DL168+DI168+DH168+DE168+DD168</f>
        <v>-201.5</v>
      </c>
      <c r="DX167" s="530"/>
    </row>
    <row r="168" hidden="1">
      <c r="A168" s="553" t="s">
        <v>291</v>
      </c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  <c r="AI168" s="529"/>
      <c r="AJ168" s="529"/>
      <c r="AK168" s="529"/>
      <c r="AL168" s="529"/>
      <c r="AM168" s="529"/>
      <c r="AN168" s="529"/>
      <c r="AO168" s="529"/>
      <c r="AP168" s="529"/>
      <c r="AQ168" s="529"/>
      <c r="AR168" s="529"/>
      <c r="AS168" s="529"/>
      <c r="AT168" s="529"/>
      <c r="AU168" s="529"/>
      <c r="AV168" s="529"/>
      <c r="AW168" s="529"/>
      <c r="AX168" s="529"/>
      <c r="AY168" s="529"/>
      <c r="AZ168" s="529"/>
      <c r="BA168" s="529"/>
      <c r="BB168" s="529"/>
      <c r="BC168" s="529"/>
      <c r="BD168" s="529"/>
      <c r="BE168" s="529"/>
      <c r="BF168" s="529"/>
      <c r="BG168" s="529"/>
      <c r="BH168" s="529"/>
      <c r="BI168" s="529"/>
      <c r="BJ168" s="529"/>
      <c r="BK168" s="529">
        <v>22.22</v>
      </c>
      <c r="BL168" s="529">
        <v>34.11</v>
      </c>
      <c r="BM168" s="529">
        <v>-190.84</v>
      </c>
      <c r="BN168" s="529">
        <v>38.2</v>
      </c>
      <c r="BO168" s="529">
        <v>33.08</v>
      </c>
      <c r="BP168" s="529">
        <v>48.91</v>
      </c>
      <c r="BQ168" s="529">
        <v>44.55</v>
      </c>
      <c r="BR168" s="529">
        <v>30.32</v>
      </c>
      <c r="BS168" s="529">
        <v>-78.02</v>
      </c>
      <c r="BT168" s="529">
        <v>49.19</v>
      </c>
      <c r="BU168" s="529">
        <v>51.41</v>
      </c>
      <c r="BV168" s="529">
        <v>53.58</v>
      </c>
      <c r="BW168" s="529">
        <v>51.03</v>
      </c>
      <c r="BX168" s="529">
        <v>39.79</v>
      </c>
      <c r="BY168" s="529">
        <v>43.96</v>
      </c>
      <c r="BZ168" s="529">
        <v>43.84</v>
      </c>
      <c r="CA168" s="550">
        <v>45.98</v>
      </c>
      <c r="CB168" s="550">
        <v>40.67</v>
      </c>
      <c r="CC168" s="550">
        <v>47.82</v>
      </c>
      <c r="CD168" s="550">
        <v>63.99</v>
      </c>
      <c r="CE168" s="550">
        <v>-209.27</v>
      </c>
      <c r="CF168" s="550">
        <v>73.03</v>
      </c>
      <c r="CG168" s="550">
        <v>65.24</v>
      </c>
      <c r="CH168" s="550">
        <v>-52.31</v>
      </c>
      <c r="CI168" s="550">
        <v>55.56</v>
      </c>
      <c r="CJ168" s="550">
        <v>37.49</v>
      </c>
      <c r="CK168" s="550">
        <v>42.2</v>
      </c>
      <c r="CL168" s="537">
        <v>57.35</v>
      </c>
      <c r="CM168" s="554"/>
      <c r="CN168" s="537">
        <v>36.36</v>
      </c>
      <c r="CO168" s="537">
        <v>46.3</v>
      </c>
      <c r="CP168" s="537">
        <v>51.61</v>
      </c>
      <c r="CQ168" s="537">
        <v>34.57</v>
      </c>
      <c r="CR168" s="537">
        <v>47.54</v>
      </c>
      <c r="CS168" s="537">
        <v>35.09</v>
      </c>
      <c r="CT168" s="537">
        <v>31.58</v>
      </c>
      <c r="CU168" s="537">
        <v>25.33</v>
      </c>
      <c r="CV168" s="512">
        <v>43.86</v>
      </c>
      <c r="CW168" s="537">
        <v>35.8</v>
      </c>
      <c r="CX168" s="537">
        <v>76.25</v>
      </c>
      <c r="CY168" s="537">
        <v>60.05</v>
      </c>
      <c r="CZ168" s="537">
        <v>-219.92</v>
      </c>
      <c r="DA168" s="537">
        <v>38.3</v>
      </c>
      <c r="DB168" s="537">
        <v>37.34</v>
      </c>
      <c r="DC168" s="537">
        <v>60.27</v>
      </c>
      <c r="DD168" s="537">
        <v>-327.94</v>
      </c>
      <c r="DE168" s="537">
        <v>65.64</v>
      </c>
      <c r="DF168" s="537">
        <v>65.64</v>
      </c>
      <c r="DG168" s="537">
        <v>47.56</v>
      </c>
      <c r="DH168" s="537">
        <v>56.82</v>
      </c>
      <c r="DI168" s="537">
        <v>-81.67</v>
      </c>
      <c r="DJ168" s="537">
        <v>51.4</v>
      </c>
      <c r="DK168" s="537">
        <v>38.7</v>
      </c>
      <c r="DL168" s="537">
        <v>38.04</v>
      </c>
      <c r="DM168" s="537">
        <v>47.61</v>
      </c>
      <c r="DN168" s="537">
        <v>39.81</v>
      </c>
      <c r="DO168" s="537">
        <v>28.31</v>
      </c>
      <c r="DP168" s="537">
        <v>39.78</v>
      </c>
      <c r="DQ168" s="537">
        <v>27.97</v>
      </c>
      <c r="DR168" s="537">
        <v>22.88</v>
      </c>
      <c r="DX168" s="530"/>
    </row>
    <row r="169" hidden="1">
      <c r="A169" s="531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118"/>
      <c r="AV169" s="118"/>
      <c r="AW169" s="118"/>
      <c r="AX169" s="118"/>
      <c r="AY169" s="118"/>
      <c r="AZ169" s="118"/>
      <c r="BA169" s="118"/>
      <c r="BB169" s="118"/>
      <c r="BC169" s="118"/>
      <c r="BD169" s="118"/>
      <c r="BE169" s="118"/>
      <c r="BF169" s="118"/>
      <c r="BG169" s="118"/>
      <c r="BH169" s="118"/>
      <c r="BI169" s="118"/>
      <c r="BJ169" s="118"/>
      <c r="BK169" s="118"/>
      <c r="BL169" s="118"/>
      <c r="BM169" s="118"/>
      <c r="BN169" s="118"/>
      <c r="BO169" s="118"/>
      <c r="BP169" s="118"/>
      <c r="BQ169" s="118"/>
      <c r="BR169" s="118"/>
      <c r="BS169" s="118"/>
      <c r="BT169" s="118"/>
      <c r="BU169" s="118"/>
      <c r="BV169" s="118"/>
      <c r="BW169" s="118"/>
      <c r="BX169" s="118"/>
      <c r="BY169" s="118"/>
      <c r="BZ169" s="118"/>
      <c r="CA169" s="118"/>
      <c r="CB169" s="118"/>
      <c r="CC169" s="118"/>
      <c r="CD169" s="118"/>
      <c r="CE169" s="118"/>
      <c r="CF169" s="118"/>
      <c r="CG169" s="118"/>
      <c r="CH169" s="118"/>
      <c r="CI169" s="118"/>
      <c r="CJ169" s="118"/>
      <c r="CK169" s="118"/>
      <c r="CL169" s="118"/>
      <c r="CM169" s="499"/>
      <c r="CN169" s="118"/>
      <c r="CO169" s="118"/>
      <c r="CP169" s="118"/>
      <c r="CQ169" s="118"/>
      <c r="CR169" s="118"/>
      <c r="CS169" s="118"/>
      <c r="CT169" s="118"/>
      <c r="CU169" s="118"/>
      <c r="CV169" s="118"/>
      <c r="CW169" s="118"/>
      <c r="CX169" s="118"/>
      <c r="CY169" s="118"/>
      <c r="CZ169" s="118"/>
      <c r="DA169" s="118"/>
      <c r="DB169" s="118"/>
      <c r="DC169" s="118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X169" s="530"/>
    </row>
    <row r="170" hidden="1">
      <c r="A170" s="500" t="s">
        <v>8</v>
      </c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18"/>
      <c r="AV170" s="118"/>
      <c r="AW170" s="118"/>
      <c r="AX170" s="118"/>
      <c r="AY170" s="118"/>
      <c r="AZ170" s="118"/>
      <c r="BA170" s="118"/>
      <c r="BB170" s="118"/>
      <c r="BC170" s="118"/>
      <c r="BD170" s="118"/>
      <c r="BE170" s="118"/>
      <c r="BF170" s="118"/>
      <c r="BG170" s="118"/>
      <c r="BH170" s="118"/>
      <c r="BI170" s="118"/>
      <c r="BJ170" s="118"/>
      <c r="BK170" s="118"/>
      <c r="BL170" s="118"/>
      <c r="BM170" s="118"/>
      <c r="BN170" s="118"/>
      <c r="BO170" s="118"/>
      <c r="BP170" s="118"/>
      <c r="BQ170" s="118"/>
      <c r="BR170" s="118"/>
      <c r="BS170" s="118"/>
      <c r="BT170" s="118"/>
      <c r="BU170" s="118"/>
      <c r="BV170" s="118"/>
      <c r="BW170" s="118"/>
      <c r="BX170" s="118"/>
      <c r="BY170" s="118"/>
      <c r="BZ170" s="118"/>
      <c r="CA170" s="118"/>
      <c r="CB170" s="118"/>
      <c r="CC170" s="118"/>
      <c r="CD170" s="118"/>
      <c r="CE170" s="118"/>
      <c r="CF170" s="118"/>
      <c r="CG170" s="118"/>
      <c r="CH170" s="118"/>
      <c r="CI170" s="118"/>
      <c r="CJ170" s="118"/>
      <c r="CK170" s="118"/>
      <c r="CL170" s="118"/>
      <c r="CM170" s="499"/>
      <c r="CN170" s="546" t="s">
        <v>310</v>
      </c>
      <c r="CO170" s="546" t="s">
        <v>310</v>
      </c>
      <c r="CP170" s="546" t="s">
        <v>311</v>
      </c>
      <c r="CQ170" s="546" t="s">
        <v>311</v>
      </c>
      <c r="CR170" s="546" t="s">
        <v>310</v>
      </c>
      <c r="CS170" s="546" t="s">
        <v>312</v>
      </c>
      <c r="CT170" s="546" t="s">
        <v>311</v>
      </c>
      <c r="CU170" s="546" t="s">
        <v>310</v>
      </c>
      <c r="CV170" s="546" t="s">
        <v>310</v>
      </c>
      <c r="CW170" s="546" t="s">
        <v>310</v>
      </c>
      <c r="CX170" s="546" t="s">
        <v>311</v>
      </c>
      <c r="CY170" s="546" t="s">
        <v>311</v>
      </c>
      <c r="CZ170" s="546" t="s">
        <v>310</v>
      </c>
      <c r="DA170" s="546" t="s">
        <v>310</v>
      </c>
      <c r="DB170" s="546" t="s">
        <v>313</v>
      </c>
      <c r="DC170" s="546" t="s">
        <v>311</v>
      </c>
      <c r="DD170" s="546" t="s">
        <v>310</v>
      </c>
      <c r="DE170" s="546" t="s">
        <v>311</v>
      </c>
      <c r="DF170" s="546" t="s">
        <v>311</v>
      </c>
      <c r="DG170" s="546" t="s">
        <v>311</v>
      </c>
      <c r="DH170" s="546" t="s">
        <v>310</v>
      </c>
      <c r="DI170" s="546" t="s">
        <v>310</v>
      </c>
      <c r="DJ170" s="546" t="s">
        <v>311</v>
      </c>
      <c r="DK170" s="546" t="s">
        <v>311</v>
      </c>
      <c r="DL170" s="546" t="s">
        <v>310</v>
      </c>
      <c r="DM170" s="546" t="s">
        <v>310</v>
      </c>
      <c r="DN170" s="546" t="s">
        <v>311</v>
      </c>
      <c r="DO170" s="546" t="s">
        <v>311</v>
      </c>
      <c r="DP170" s="546" t="s">
        <v>310</v>
      </c>
      <c r="DQ170" s="546" t="s">
        <v>310</v>
      </c>
      <c r="DR170" s="546" t="s">
        <v>311</v>
      </c>
      <c r="DU170" s="520" t="s">
        <v>305</v>
      </c>
      <c r="DV170" s="520" t="s">
        <v>306</v>
      </c>
      <c r="DX170" s="530"/>
    </row>
    <row r="171" hidden="1">
      <c r="A171" s="502" t="s">
        <v>288</v>
      </c>
      <c r="B171" s="525"/>
      <c r="C171" s="525"/>
      <c r="D171" s="525"/>
      <c r="E171" s="525"/>
      <c r="F171" s="525"/>
      <c r="G171" s="525"/>
      <c r="H171" s="525"/>
      <c r="I171" s="525"/>
      <c r="J171" s="525"/>
      <c r="K171" s="525"/>
      <c r="L171" s="525"/>
      <c r="M171" s="525"/>
      <c r="N171" s="525"/>
      <c r="O171" s="525"/>
      <c r="P171" s="525"/>
      <c r="Q171" s="525"/>
      <c r="R171" s="525"/>
      <c r="S171" s="525"/>
      <c r="T171" s="525"/>
      <c r="U171" s="525"/>
      <c r="V171" s="525"/>
      <c r="W171" s="525"/>
      <c r="X171" s="525"/>
      <c r="Y171" s="525"/>
      <c r="Z171" s="525"/>
      <c r="AA171" s="525"/>
      <c r="AB171" s="525"/>
      <c r="AC171" s="525"/>
      <c r="AD171" s="525"/>
      <c r="AE171" s="525"/>
      <c r="AF171" s="525"/>
      <c r="AG171" s="525"/>
      <c r="AH171" s="525"/>
      <c r="AI171" s="525"/>
      <c r="AJ171" s="525"/>
      <c r="AK171" s="525"/>
      <c r="AL171" s="525"/>
      <c r="AM171" s="525"/>
      <c r="AN171" s="525"/>
      <c r="AO171" s="525"/>
      <c r="AP171" s="525"/>
      <c r="AQ171" s="525"/>
      <c r="AR171" s="525"/>
      <c r="AS171" s="525"/>
      <c r="AT171" s="525"/>
      <c r="AU171" s="525"/>
      <c r="AV171" s="525"/>
      <c r="AW171" s="525"/>
      <c r="AX171" s="525"/>
      <c r="AY171" s="525"/>
      <c r="AZ171" s="525"/>
      <c r="BA171" s="525"/>
      <c r="BB171" s="525"/>
      <c r="BC171" s="525"/>
      <c r="BD171" s="525"/>
      <c r="BE171" s="525"/>
      <c r="BF171" s="525"/>
      <c r="BG171" s="525"/>
      <c r="BH171" s="525"/>
      <c r="BI171" s="525"/>
      <c r="BJ171" s="525"/>
      <c r="BK171" s="541">
        <v>45689.0</v>
      </c>
      <c r="BL171" s="503">
        <v>45690.0</v>
      </c>
      <c r="BM171" s="503">
        <v>45691.0</v>
      </c>
      <c r="BN171" s="541">
        <v>45692.0</v>
      </c>
      <c r="BO171" s="541">
        <v>45693.0</v>
      </c>
      <c r="BP171" s="541">
        <v>45694.0</v>
      </c>
      <c r="BQ171" s="541">
        <v>45695.0</v>
      </c>
      <c r="BR171" s="541">
        <v>45696.0</v>
      </c>
      <c r="BS171" s="541">
        <v>45697.0</v>
      </c>
      <c r="BT171" s="541">
        <v>45698.0</v>
      </c>
      <c r="BU171" s="541">
        <v>45699.0</v>
      </c>
      <c r="BV171" s="541">
        <v>45700.0</v>
      </c>
      <c r="BW171" s="541">
        <v>45701.0</v>
      </c>
      <c r="BX171" s="541">
        <v>45702.0</v>
      </c>
      <c r="BY171" s="541">
        <v>45703.0</v>
      </c>
      <c r="BZ171" s="541">
        <v>45704.0</v>
      </c>
      <c r="CA171" s="541">
        <v>45705.0</v>
      </c>
      <c r="CB171" s="541">
        <v>45706.0</v>
      </c>
      <c r="CC171" s="541">
        <v>45707.0</v>
      </c>
      <c r="CD171" s="541">
        <v>45708.0</v>
      </c>
      <c r="CE171" s="541">
        <v>45709.0</v>
      </c>
      <c r="CF171" s="541">
        <v>45710.0</v>
      </c>
      <c r="CG171" s="541">
        <v>45711.0</v>
      </c>
      <c r="CH171" s="541">
        <v>45712.0</v>
      </c>
      <c r="CI171" s="541">
        <v>45713.0</v>
      </c>
      <c r="CJ171" s="541">
        <v>45714.0</v>
      </c>
      <c r="CK171" s="541">
        <v>45715.0</v>
      </c>
      <c r="CL171" s="541">
        <v>45716.0</v>
      </c>
      <c r="CM171" s="552"/>
      <c r="CN171" s="541">
        <v>45839.0</v>
      </c>
      <c r="CO171" s="541">
        <v>45840.0</v>
      </c>
      <c r="CP171" s="541">
        <v>45841.0</v>
      </c>
      <c r="CQ171" s="541">
        <v>45842.0</v>
      </c>
      <c r="CR171" s="541">
        <v>45843.0</v>
      </c>
      <c r="CS171" s="541">
        <v>45844.0</v>
      </c>
      <c r="CT171" s="541">
        <v>45845.0</v>
      </c>
      <c r="CU171" s="541">
        <v>45846.0</v>
      </c>
      <c r="CV171" s="541">
        <v>45847.0</v>
      </c>
      <c r="CW171" s="541">
        <v>45848.0</v>
      </c>
      <c r="CX171" s="541">
        <v>45849.0</v>
      </c>
      <c r="CY171" s="541">
        <v>45850.0</v>
      </c>
      <c r="CZ171" s="541">
        <v>45851.0</v>
      </c>
      <c r="DA171" s="541">
        <v>45852.0</v>
      </c>
      <c r="DB171" s="541">
        <v>45853.0</v>
      </c>
      <c r="DC171" s="541">
        <v>45854.0</v>
      </c>
      <c r="DD171" s="541">
        <v>45855.0</v>
      </c>
      <c r="DE171" s="541">
        <v>45856.0</v>
      </c>
      <c r="DF171" s="541">
        <v>45857.0</v>
      </c>
      <c r="DG171" s="541">
        <v>45858.0</v>
      </c>
      <c r="DH171" s="541">
        <v>45859.0</v>
      </c>
      <c r="DI171" s="541">
        <v>45860.0</v>
      </c>
      <c r="DJ171" s="541">
        <v>45861.0</v>
      </c>
      <c r="DK171" s="541">
        <v>45862.0</v>
      </c>
      <c r="DL171" s="541">
        <v>45863.0</v>
      </c>
      <c r="DM171" s="541">
        <v>45864.0</v>
      </c>
      <c r="DN171" s="541">
        <v>45865.0</v>
      </c>
      <c r="DO171" s="541">
        <v>45866.0</v>
      </c>
      <c r="DP171" s="541">
        <v>45867.0</v>
      </c>
      <c r="DQ171" s="541">
        <v>45868.0</v>
      </c>
      <c r="DR171" s="541">
        <v>45869.0</v>
      </c>
      <c r="DS171" s="520" t="s">
        <v>314</v>
      </c>
      <c r="DU171" s="574">
        <f t="shared" ref="DU171:DU172" si="1">100*13</f>
        <v>1300</v>
      </c>
      <c r="DV171" s="574">
        <f>DQ174+DP174+DM174+DL174+DI174+DH174+DD174</f>
        <v>355.01</v>
      </c>
      <c r="DX171" s="530"/>
    </row>
    <row r="172" hidden="1">
      <c r="A172" s="502" t="s">
        <v>289</v>
      </c>
      <c r="B172" s="525"/>
      <c r="C172" s="525"/>
      <c r="D172" s="525"/>
      <c r="E172" s="525"/>
      <c r="F172" s="525"/>
      <c r="G172" s="525"/>
      <c r="H172" s="525"/>
      <c r="I172" s="525"/>
      <c r="J172" s="525"/>
      <c r="K172" s="525"/>
      <c r="L172" s="525"/>
      <c r="M172" s="525"/>
      <c r="N172" s="525"/>
      <c r="O172" s="525"/>
      <c r="P172" s="525"/>
      <c r="Q172" s="525"/>
      <c r="R172" s="525"/>
      <c r="S172" s="525"/>
      <c r="T172" s="525"/>
      <c r="U172" s="525"/>
      <c r="V172" s="525"/>
      <c r="W172" s="525"/>
      <c r="X172" s="525"/>
      <c r="Y172" s="525"/>
      <c r="Z172" s="525"/>
      <c r="AA172" s="525"/>
      <c r="AB172" s="525"/>
      <c r="AC172" s="525"/>
      <c r="AD172" s="525"/>
      <c r="AE172" s="525"/>
      <c r="AF172" s="525"/>
      <c r="AG172" s="525"/>
      <c r="AH172" s="525"/>
      <c r="AI172" s="525"/>
      <c r="AJ172" s="525"/>
      <c r="AK172" s="525"/>
      <c r="AL172" s="525"/>
      <c r="AM172" s="525"/>
      <c r="AN172" s="525"/>
      <c r="AO172" s="525"/>
      <c r="AP172" s="525"/>
      <c r="AQ172" s="525"/>
      <c r="AR172" s="525"/>
      <c r="AS172" s="525"/>
      <c r="AT172" s="525"/>
      <c r="AU172" s="525"/>
      <c r="AV172" s="525"/>
      <c r="AW172" s="525"/>
      <c r="AX172" s="525"/>
      <c r="AY172" s="525"/>
      <c r="AZ172" s="525"/>
      <c r="BA172" s="525"/>
      <c r="BB172" s="525"/>
      <c r="BC172" s="525"/>
      <c r="BD172" s="525"/>
      <c r="BE172" s="525"/>
      <c r="BF172" s="525"/>
      <c r="BG172" s="525"/>
      <c r="BH172" s="525"/>
      <c r="BI172" s="525"/>
      <c r="BJ172" s="525"/>
      <c r="BK172" s="525"/>
      <c r="BL172" s="518">
        <v>196.0</v>
      </c>
      <c r="BM172" s="518">
        <v>147.0</v>
      </c>
      <c r="BN172" s="525"/>
      <c r="BO172" s="525"/>
      <c r="BP172" s="512">
        <v>193.0</v>
      </c>
      <c r="BQ172" s="512">
        <v>202.0</v>
      </c>
      <c r="BR172" s="512">
        <v>239.0</v>
      </c>
      <c r="BS172" s="525"/>
      <c r="BT172" s="512">
        <v>181.0</v>
      </c>
      <c r="BU172" s="525"/>
      <c r="BV172" s="512">
        <v>292.0</v>
      </c>
      <c r="BW172" s="512">
        <v>258.0</v>
      </c>
      <c r="BX172" s="512">
        <v>267.0</v>
      </c>
      <c r="BY172" s="512">
        <v>214.0</v>
      </c>
      <c r="BZ172" s="512">
        <v>234.0</v>
      </c>
      <c r="CA172" s="512">
        <v>271.0</v>
      </c>
      <c r="CB172" s="512">
        <v>222.0</v>
      </c>
      <c r="CC172" s="512">
        <v>298.0</v>
      </c>
      <c r="CD172" s="512">
        <v>290.0</v>
      </c>
      <c r="CE172" s="512">
        <v>261.0</v>
      </c>
      <c r="CF172" s="512">
        <v>274.0</v>
      </c>
      <c r="CG172" s="512">
        <v>285.0</v>
      </c>
      <c r="CH172" s="512">
        <v>196.0</v>
      </c>
      <c r="CI172" s="512">
        <v>198.0</v>
      </c>
      <c r="CJ172" s="512">
        <v>274.0</v>
      </c>
      <c r="CK172" s="512">
        <v>197.0</v>
      </c>
      <c r="CL172" s="512">
        <v>246.0</v>
      </c>
      <c r="CM172" s="552"/>
      <c r="CN172" s="561">
        <v>127.0</v>
      </c>
      <c r="CO172" s="561">
        <v>209.0</v>
      </c>
      <c r="CP172" s="561">
        <v>227.0</v>
      </c>
      <c r="CQ172" s="561">
        <v>208.0</v>
      </c>
      <c r="CR172" s="561">
        <v>122.0</v>
      </c>
      <c r="CS172" s="561">
        <v>177.0</v>
      </c>
      <c r="CT172" s="561">
        <v>169.0</v>
      </c>
      <c r="CU172" s="561">
        <v>155.0</v>
      </c>
      <c r="CV172" s="561">
        <v>223.0</v>
      </c>
      <c r="CW172" s="561">
        <v>263.0</v>
      </c>
      <c r="CX172" s="561">
        <v>226.0</v>
      </c>
      <c r="CY172" s="561">
        <v>200.0</v>
      </c>
      <c r="CZ172" s="561">
        <v>178.0</v>
      </c>
      <c r="DA172" s="561">
        <v>261.0</v>
      </c>
      <c r="DB172" s="561">
        <v>247.0</v>
      </c>
      <c r="DC172" s="561">
        <v>213.0</v>
      </c>
      <c r="DD172" s="561">
        <v>106.0</v>
      </c>
      <c r="DE172" s="561">
        <v>183.0</v>
      </c>
      <c r="DF172" s="561">
        <v>240.0</v>
      </c>
      <c r="DG172" s="561">
        <v>166.0</v>
      </c>
      <c r="DH172" s="561">
        <v>281.0</v>
      </c>
      <c r="DI172" s="561">
        <v>175.0</v>
      </c>
      <c r="DJ172" s="561">
        <v>222.0</v>
      </c>
      <c r="DK172" s="561">
        <v>184.0</v>
      </c>
      <c r="DL172" s="561">
        <v>201.0</v>
      </c>
      <c r="DM172" s="561">
        <v>314.0</v>
      </c>
      <c r="DN172" s="561">
        <v>197.0</v>
      </c>
      <c r="DO172" s="561">
        <v>219.0</v>
      </c>
      <c r="DP172" s="561">
        <v>228.0</v>
      </c>
      <c r="DQ172" s="561">
        <v>216.0</v>
      </c>
      <c r="DR172" s="561">
        <v>163.0</v>
      </c>
      <c r="DS172" s="520" t="s">
        <v>315</v>
      </c>
      <c r="DU172" s="574">
        <f t="shared" si="1"/>
        <v>1300</v>
      </c>
      <c r="DV172" s="574">
        <f>DR174+DO174+DN174+DK174+DJ174+DF174+DG174+DE174+DC174</f>
        <v>-2023.59</v>
      </c>
      <c r="DX172" s="530"/>
    </row>
    <row r="173" hidden="1">
      <c r="A173" s="521" t="s">
        <v>290</v>
      </c>
      <c r="B173" s="525"/>
      <c r="C173" s="525"/>
      <c r="D173" s="525"/>
      <c r="E173" s="525"/>
      <c r="F173" s="525"/>
      <c r="G173" s="525"/>
      <c r="H173" s="525"/>
      <c r="I173" s="525"/>
      <c r="J173" s="525"/>
      <c r="K173" s="525"/>
      <c r="L173" s="525"/>
      <c r="M173" s="525"/>
      <c r="N173" s="525"/>
      <c r="O173" s="525"/>
      <c r="P173" s="525"/>
      <c r="Q173" s="525"/>
      <c r="R173" s="525"/>
      <c r="S173" s="525"/>
      <c r="T173" s="525"/>
      <c r="U173" s="525"/>
      <c r="V173" s="525"/>
      <c r="W173" s="525"/>
      <c r="X173" s="525"/>
      <c r="Y173" s="525"/>
      <c r="Z173" s="525"/>
      <c r="AA173" s="525"/>
      <c r="AB173" s="525"/>
      <c r="AC173" s="525"/>
      <c r="AD173" s="525"/>
      <c r="AE173" s="525"/>
      <c r="AF173" s="525"/>
      <c r="AG173" s="525"/>
      <c r="AH173" s="525"/>
      <c r="AI173" s="525"/>
      <c r="AJ173" s="525"/>
      <c r="AK173" s="525"/>
      <c r="AL173" s="525"/>
      <c r="AM173" s="525"/>
      <c r="AN173" s="525"/>
      <c r="AO173" s="525"/>
      <c r="AP173" s="525"/>
      <c r="AQ173" s="525"/>
      <c r="AR173" s="525"/>
      <c r="AS173" s="525"/>
      <c r="AT173" s="525"/>
      <c r="AU173" s="525"/>
      <c r="AV173" s="525"/>
      <c r="AW173" s="525"/>
      <c r="AX173" s="525"/>
      <c r="AY173" s="525"/>
      <c r="AZ173" s="525"/>
      <c r="BA173" s="525"/>
      <c r="BB173" s="525"/>
      <c r="BC173" s="525"/>
      <c r="BD173" s="525"/>
      <c r="BE173" s="525"/>
      <c r="BF173" s="525"/>
      <c r="BG173" s="525"/>
      <c r="BH173" s="525"/>
      <c r="BI173" s="525"/>
      <c r="BJ173" s="525"/>
      <c r="BK173" s="525"/>
      <c r="BL173" s="518">
        <v>82.0</v>
      </c>
      <c r="BM173" s="518">
        <v>67.0</v>
      </c>
      <c r="BN173" s="525"/>
      <c r="BO173" s="525"/>
      <c r="BP173" s="512">
        <v>71.0</v>
      </c>
      <c r="BQ173" s="512">
        <v>80.0</v>
      </c>
      <c r="BR173" s="512">
        <v>95.0</v>
      </c>
      <c r="BS173" s="525"/>
      <c r="BT173" s="512">
        <v>73.0</v>
      </c>
      <c r="BU173" s="525"/>
      <c r="BV173" s="512">
        <v>96.0</v>
      </c>
      <c r="BW173" s="512">
        <v>98.0</v>
      </c>
      <c r="BX173" s="512">
        <v>104.0</v>
      </c>
      <c r="BY173" s="512">
        <v>88.0</v>
      </c>
      <c r="BZ173" s="512">
        <v>86.0</v>
      </c>
      <c r="CA173" s="512">
        <v>101.0</v>
      </c>
      <c r="CB173" s="512">
        <v>88.0</v>
      </c>
      <c r="CC173" s="512">
        <v>106.0</v>
      </c>
      <c r="CD173" s="512">
        <v>103.0</v>
      </c>
      <c r="CE173" s="512">
        <v>89.0</v>
      </c>
      <c r="CF173" s="512">
        <v>119.0</v>
      </c>
      <c r="CG173" s="512">
        <v>116.0</v>
      </c>
      <c r="CH173" s="512">
        <v>86.0</v>
      </c>
      <c r="CI173" s="512">
        <v>89.0</v>
      </c>
      <c r="CJ173" s="512">
        <v>103.0</v>
      </c>
      <c r="CK173" s="512">
        <v>82.0</v>
      </c>
      <c r="CL173" s="512">
        <v>92.0</v>
      </c>
      <c r="CM173" s="552">
        <f>SUM(BK173:CL173)/22</f>
        <v>96.09090909</v>
      </c>
      <c r="CN173" s="561">
        <v>69.0</v>
      </c>
      <c r="CO173" s="561">
        <v>85.0</v>
      </c>
      <c r="CP173" s="561">
        <v>100.0</v>
      </c>
      <c r="CQ173" s="561">
        <v>81.0</v>
      </c>
      <c r="CR173" s="561">
        <v>52.0</v>
      </c>
      <c r="CS173" s="561">
        <v>64.0</v>
      </c>
      <c r="CT173" s="561">
        <v>78.0</v>
      </c>
      <c r="CU173" s="561">
        <v>73.0</v>
      </c>
      <c r="CV173" s="561">
        <v>94.0</v>
      </c>
      <c r="CW173" s="561">
        <v>83.0</v>
      </c>
      <c r="CX173" s="561">
        <v>82.0</v>
      </c>
      <c r="CY173" s="561">
        <v>85.0</v>
      </c>
      <c r="CZ173" s="561">
        <v>77.0</v>
      </c>
      <c r="DA173" s="561">
        <v>90.0</v>
      </c>
      <c r="DB173" s="561">
        <v>81.0</v>
      </c>
      <c r="DC173" s="561">
        <v>78.0</v>
      </c>
      <c r="DD173" s="561">
        <v>91.0</v>
      </c>
      <c r="DE173" s="561">
        <v>91.0</v>
      </c>
      <c r="DF173" s="561">
        <v>85.0</v>
      </c>
      <c r="DG173" s="561">
        <v>73.0</v>
      </c>
      <c r="DH173" s="561">
        <v>104.0</v>
      </c>
      <c r="DI173" s="561">
        <v>61.0</v>
      </c>
      <c r="DJ173" s="561">
        <v>88.0</v>
      </c>
      <c r="DK173" s="561">
        <v>87.0</v>
      </c>
      <c r="DL173" s="561">
        <v>94.0</v>
      </c>
      <c r="DM173" s="561">
        <v>62.0</v>
      </c>
      <c r="DN173" s="561">
        <v>84.0</v>
      </c>
      <c r="DO173" s="561">
        <v>82.0</v>
      </c>
      <c r="DP173" s="561">
        <v>92.0</v>
      </c>
      <c r="DQ173" s="561">
        <v>85.0</v>
      </c>
      <c r="DR173" s="561">
        <v>83.0</v>
      </c>
      <c r="DX173" s="530"/>
    </row>
    <row r="174" hidden="1">
      <c r="A174" s="502" t="s">
        <v>291</v>
      </c>
      <c r="B174" s="525"/>
      <c r="C174" s="525"/>
      <c r="D174" s="525"/>
      <c r="E174" s="525"/>
      <c r="F174" s="525"/>
      <c r="G174" s="525"/>
      <c r="H174" s="525"/>
      <c r="I174" s="525"/>
      <c r="J174" s="525"/>
      <c r="K174" s="525"/>
      <c r="L174" s="525"/>
      <c r="M174" s="525"/>
      <c r="N174" s="525"/>
      <c r="O174" s="525"/>
      <c r="P174" s="525"/>
      <c r="Q174" s="525"/>
      <c r="R174" s="525"/>
      <c r="S174" s="525"/>
      <c r="T174" s="525"/>
      <c r="U174" s="525"/>
      <c r="V174" s="525"/>
      <c r="W174" s="525"/>
      <c r="X174" s="525"/>
      <c r="Y174" s="525"/>
      <c r="Z174" s="525"/>
      <c r="AA174" s="525"/>
      <c r="AB174" s="525"/>
      <c r="AC174" s="525"/>
      <c r="AD174" s="525"/>
      <c r="AE174" s="525"/>
      <c r="AF174" s="525"/>
      <c r="AG174" s="525"/>
      <c r="AH174" s="525"/>
      <c r="AI174" s="525"/>
      <c r="AJ174" s="525"/>
      <c r="AK174" s="525"/>
      <c r="AL174" s="525"/>
      <c r="AM174" s="525"/>
      <c r="AN174" s="525"/>
      <c r="AO174" s="525"/>
      <c r="AP174" s="525"/>
      <c r="AQ174" s="525"/>
      <c r="AR174" s="525"/>
      <c r="AS174" s="525"/>
      <c r="AT174" s="525"/>
      <c r="AU174" s="525"/>
      <c r="AV174" s="525"/>
      <c r="AW174" s="525"/>
      <c r="AX174" s="525"/>
      <c r="AY174" s="525"/>
      <c r="AZ174" s="525"/>
      <c r="BA174" s="525"/>
      <c r="BB174" s="525"/>
      <c r="BC174" s="525"/>
      <c r="BD174" s="525"/>
      <c r="BE174" s="525"/>
      <c r="BF174" s="525"/>
      <c r="BG174" s="525"/>
      <c r="BH174" s="525"/>
      <c r="BI174" s="525"/>
      <c r="BJ174" s="525"/>
      <c r="BK174" s="529">
        <v>-167.68</v>
      </c>
      <c r="BL174" s="529">
        <v>-89.36</v>
      </c>
      <c r="BM174" s="529">
        <v>-26.1</v>
      </c>
      <c r="BN174" s="529">
        <v>-389.28</v>
      </c>
      <c r="BO174" s="529">
        <v>54.9</v>
      </c>
      <c r="BP174" s="529">
        <v>22.93</v>
      </c>
      <c r="BQ174" s="529">
        <v>-66.7</v>
      </c>
      <c r="BR174" s="529">
        <v>-203.56</v>
      </c>
      <c r="BS174" s="529">
        <v>-359.15</v>
      </c>
      <c r="BT174" s="529">
        <v>-10.32</v>
      </c>
      <c r="BU174" s="529">
        <v>-130.74</v>
      </c>
      <c r="BV174" s="529">
        <v>82.49</v>
      </c>
      <c r="BW174" s="529">
        <v>14.18</v>
      </c>
      <c r="BX174" s="529">
        <v>93.65</v>
      </c>
      <c r="BY174" s="529">
        <v>96.27</v>
      </c>
      <c r="BZ174" s="529">
        <v>-478.47</v>
      </c>
      <c r="CA174" s="529">
        <v>-2.11</v>
      </c>
      <c r="CB174" s="529">
        <v>81.53</v>
      </c>
      <c r="CC174" s="529">
        <v>-45.15</v>
      </c>
      <c r="CD174" s="529">
        <v>92.28</v>
      </c>
      <c r="CE174" s="529">
        <v>-294.99</v>
      </c>
      <c r="CF174" s="529">
        <v>121.62</v>
      </c>
      <c r="CG174" s="529">
        <v>109.56</v>
      </c>
      <c r="CH174" s="529">
        <v>-81.66</v>
      </c>
      <c r="CI174" s="529">
        <v>-103.42</v>
      </c>
      <c r="CJ174" s="529">
        <v>72.17</v>
      </c>
      <c r="CK174" s="529">
        <v>106.47</v>
      </c>
      <c r="CL174" s="512">
        <v>7.22</v>
      </c>
      <c r="CM174" s="525"/>
      <c r="CN174" s="537">
        <v>68.87</v>
      </c>
      <c r="CO174" s="537">
        <v>68.75</v>
      </c>
      <c r="CP174" s="537">
        <v>-314.66</v>
      </c>
      <c r="CQ174" s="537">
        <v>49.11</v>
      </c>
      <c r="CR174" s="537">
        <v>-98.99</v>
      </c>
      <c r="CS174" s="537">
        <v>-275.07</v>
      </c>
      <c r="CT174" s="537">
        <v>50.72</v>
      </c>
      <c r="CU174" s="537">
        <v>78.22</v>
      </c>
      <c r="CV174" s="512">
        <v>52.83</v>
      </c>
      <c r="CW174" s="537">
        <v>55.34</v>
      </c>
      <c r="CX174" s="537">
        <v>-358.47</v>
      </c>
      <c r="CY174" s="537">
        <v>-134.19</v>
      </c>
      <c r="CZ174" s="537">
        <v>103.05</v>
      </c>
      <c r="DA174" s="537">
        <v>56.21</v>
      </c>
      <c r="DB174" s="537">
        <v>77.19</v>
      </c>
      <c r="DC174" s="537">
        <v>75.05</v>
      </c>
      <c r="DD174" s="537">
        <v>-93.62</v>
      </c>
      <c r="DE174" s="537">
        <v>-359.1</v>
      </c>
      <c r="DF174" s="537">
        <v>-433.02</v>
      </c>
      <c r="DG174" s="537">
        <v>-250.26</v>
      </c>
      <c r="DH174" s="537">
        <v>73.68</v>
      </c>
      <c r="DI174" s="537">
        <v>65.32</v>
      </c>
      <c r="DJ174" s="537">
        <v>-230.31</v>
      </c>
      <c r="DK174" s="537">
        <v>-53.76</v>
      </c>
      <c r="DL174" s="537">
        <v>72.83</v>
      </c>
      <c r="DM174" s="537">
        <v>88.96</v>
      </c>
      <c r="DN174" s="537">
        <v>-475.24</v>
      </c>
      <c r="DO174" s="537">
        <v>-342.55</v>
      </c>
      <c r="DP174" s="537">
        <v>74.15</v>
      </c>
      <c r="DQ174" s="537">
        <v>73.69</v>
      </c>
      <c r="DR174" s="537">
        <v>45.6</v>
      </c>
      <c r="DX174" s="530"/>
    </row>
    <row r="175" hidden="1">
      <c r="A175" s="531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18"/>
      <c r="AV175" s="118"/>
      <c r="AW175" s="118"/>
      <c r="AX175" s="118"/>
      <c r="AY175" s="118"/>
      <c r="AZ175" s="118"/>
      <c r="BA175" s="118"/>
      <c r="BB175" s="118"/>
      <c r="BC175" s="118"/>
      <c r="BD175" s="118"/>
      <c r="BE175" s="118"/>
      <c r="BF175" s="118"/>
      <c r="BG175" s="118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8"/>
      <c r="BR175" s="118"/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118"/>
      <c r="CO175" s="118"/>
      <c r="CP175" s="118"/>
      <c r="CQ175" s="118"/>
      <c r="CR175" s="118"/>
      <c r="CS175" s="575"/>
      <c r="CT175" s="118"/>
      <c r="CU175" s="118"/>
      <c r="CV175" s="118"/>
      <c r="CW175" s="118"/>
      <c r="CX175" s="118"/>
      <c r="CY175" s="118"/>
      <c r="CZ175" s="118"/>
      <c r="DA175" s="118"/>
      <c r="DB175" s="118"/>
      <c r="DC175" s="118"/>
      <c r="DD175" s="118"/>
      <c r="DE175" s="118"/>
      <c r="DF175" s="118"/>
      <c r="DG175" s="118"/>
      <c r="DH175" s="118"/>
      <c r="DI175" s="10"/>
      <c r="DJ175" s="118"/>
      <c r="DK175" s="118"/>
      <c r="DL175" s="118"/>
      <c r="DM175" s="118"/>
      <c r="DN175" s="118"/>
      <c r="DO175" s="118"/>
      <c r="DP175" s="118"/>
      <c r="DQ175" s="118"/>
      <c r="DR175" s="118"/>
      <c r="DX175" s="530"/>
    </row>
    <row r="176" hidden="1">
      <c r="A176" s="531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  <c r="AU176" s="118"/>
      <c r="AV176" s="118"/>
      <c r="AW176" s="118"/>
      <c r="AX176" s="118"/>
      <c r="AY176" s="118"/>
      <c r="AZ176" s="118"/>
      <c r="BA176" s="118"/>
      <c r="BB176" s="118"/>
      <c r="BC176" s="118"/>
      <c r="BD176" s="118"/>
      <c r="BE176" s="118"/>
      <c r="BF176" s="118"/>
      <c r="BG176" s="118"/>
      <c r="BH176" s="118"/>
      <c r="BI176" s="118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8"/>
      <c r="BV176" s="118"/>
      <c r="BW176" s="118"/>
      <c r="BX176" s="118"/>
      <c r="BY176" s="118"/>
      <c r="BZ176" s="118"/>
      <c r="CA176" s="118"/>
      <c r="CB176" s="118"/>
      <c r="CC176" s="118"/>
      <c r="CD176" s="118"/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118"/>
      <c r="CO176" s="118"/>
      <c r="CP176" s="118"/>
      <c r="CQ176" s="118"/>
      <c r="CR176" s="118"/>
      <c r="CS176" s="118"/>
      <c r="CT176" s="118"/>
      <c r="CU176" s="118"/>
      <c r="CV176" s="118"/>
      <c r="CW176" s="118"/>
      <c r="CX176" s="118"/>
      <c r="CY176" s="118"/>
      <c r="CZ176" s="118"/>
      <c r="DA176" s="118"/>
      <c r="DB176" s="118"/>
      <c r="DC176" s="118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X176" s="530"/>
    </row>
    <row r="177" hidden="1">
      <c r="A177" s="500" t="s">
        <v>12</v>
      </c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18"/>
      <c r="AV177" s="118"/>
      <c r="AW177" s="118"/>
      <c r="AX177" s="118"/>
      <c r="AY177" s="118"/>
      <c r="AZ177" s="118"/>
      <c r="BA177" s="118"/>
      <c r="BB177" s="118"/>
      <c r="BC177" s="118"/>
      <c r="BD177" s="118"/>
      <c r="BE177" s="118"/>
      <c r="BF177" s="118"/>
      <c r="BG177" s="118"/>
      <c r="BH177" s="118"/>
      <c r="BI177" s="118"/>
      <c r="BJ177" s="118"/>
      <c r="BK177" s="118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546" t="s">
        <v>316</v>
      </c>
      <c r="CO177" s="546" t="s">
        <v>317</v>
      </c>
      <c r="CP177" s="546" t="s">
        <v>318</v>
      </c>
      <c r="CQ177" s="546" t="s">
        <v>318</v>
      </c>
      <c r="CR177" s="546" t="s">
        <v>303</v>
      </c>
      <c r="CS177" s="546" t="s">
        <v>303</v>
      </c>
      <c r="CT177" s="546" t="s">
        <v>303</v>
      </c>
      <c r="CU177" s="546" t="s">
        <v>318</v>
      </c>
      <c r="CV177" s="546" t="s">
        <v>303</v>
      </c>
      <c r="CW177" s="546" t="s">
        <v>303</v>
      </c>
      <c r="CX177" s="546" t="s">
        <v>319</v>
      </c>
      <c r="CY177" s="546" t="s">
        <v>303</v>
      </c>
      <c r="CZ177" s="546" t="s">
        <v>303</v>
      </c>
      <c r="DA177" s="546" t="s">
        <v>303</v>
      </c>
      <c r="DB177" s="546" t="s">
        <v>303</v>
      </c>
      <c r="DC177" s="546" t="s">
        <v>318</v>
      </c>
      <c r="DD177" s="546" t="s">
        <v>303</v>
      </c>
      <c r="DE177" s="546" t="s">
        <v>303</v>
      </c>
      <c r="DF177" s="546" t="s">
        <v>303</v>
      </c>
      <c r="DG177" s="546" t="s">
        <v>318</v>
      </c>
      <c r="DH177" s="546" t="s">
        <v>303</v>
      </c>
      <c r="DI177" s="546" t="s">
        <v>303</v>
      </c>
      <c r="DJ177" s="546" t="s">
        <v>303</v>
      </c>
      <c r="DK177" s="546" t="s">
        <v>318</v>
      </c>
      <c r="DL177" s="546" t="s">
        <v>303</v>
      </c>
      <c r="DM177" s="546" t="s">
        <v>303</v>
      </c>
      <c r="DN177" s="546" t="s">
        <v>303</v>
      </c>
      <c r="DO177" s="546" t="s">
        <v>319</v>
      </c>
      <c r="DP177" s="546" t="s">
        <v>303</v>
      </c>
      <c r="DQ177" s="546" t="s">
        <v>303</v>
      </c>
      <c r="DR177" s="546" t="s">
        <v>303</v>
      </c>
      <c r="DU177" s="520" t="s">
        <v>305</v>
      </c>
      <c r="DV177" s="520" t="s">
        <v>306</v>
      </c>
      <c r="DX177" s="530"/>
    </row>
    <row r="178" hidden="1">
      <c r="A178" s="502" t="s">
        <v>288</v>
      </c>
      <c r="B178" s="525"/>
      <c r="C178" s="525"/>
      <c r="D178" s="525"/>
      <c r="E178" s="525"/>
      <c r="F178" s="525"/>
      <c r="G178" s="525"/>
      <c r="H178" s="525"/>
      <c r="I178" s="525"/>
      <c r="J178" s="525"/>
      <c r="K178" s="525"/>
      <c r="L178" s="525"/>
      <c r="M178" s="525"/>
      <c r="N178" s="525"/>
      <c r="O178" s="525"/>
      <c r="P178" s="525"/>
      <c r="Q178" s="525"/>
      <c r="R178" s="525"/>
      <c r="S178" s="525"/>
      <c r="T178" s="525"/>
      <c r="U178" s="525"/>
      <c r="V178" s="525"/>
      <c r="W178" s="525"/>
      <c r="X178" s="525"/>
      <c r="Y178" s="525"/>
      <c r="Z178" s="525"/>
      <c r="AA178" s="525"/>
      <c r="AB178" s="525"/>
      <c r="AC178" s="525"/>
      <c r="AD178" s="525"/>
      <c r="AE178" s="525"/>
      <c r="AF178" s="525"/>
      <c r="AG178" s="525"/>
      <c r="AH178" s="525"/>
      <c r="AI178" s="525"/>
      <c r="AJ178" s="525"/>
      <c r="AK178" s="525"/>
      <c r="AL178" s="525"/>
      <c r="AM178" s="525"/>
      <c r="AN178" s="525"/>
      <c r="AO178" s="525"/>
      <c r="AP178" s="525"/>
      <c r="AQ178" s="525"/>
      <c r="AR178" s="525"/>
      <c r="AS178" s="525"/>
      <c r="AT178" s="525"/>
      <c r="AU178" s="525"/>
      <c r="AV178" s="525"/>
      <c r="AW178" s="525"/>
      <c r="AX178" s="525"/>
      <c r="AY178" s="525"/>
      <c r="AZ178" s="525"/>
      <c r="BA178" s="525"/>
      <c r="BB178" s="525"/>
      <c r="BC178" s="525"/>
      <c r="BD178" s="525"/>
      <c r="BE178" s="525"/>
      <c r="BF178" s="525"/>
      <c r="BG178" s="525"/>
      <c r="BH178" s="525"/>
      <c r="BI178" s="525"/>
      <c r="BJ178" s="525"/>
      <c r="BK178" s="541">
        <v>45689.0</v>
      </c>
      <c r="BL178" s="541">
        <v>45690.0</v>
      </c>
      <c r="BM178" s="541">
        <v>45691.0</v>
      </c>
      <c r="BN178" s="541">
        <v>45692.0</v>
      </c>
      <c r="BO178" s="541">
        <v>45693.0</v>
      </c>
      <c r="BP178" s="541">
        <v>45694.0</v>
      </c>
      <c r="BQ178" s="541">
        <v>45695.0</v>
      </c>
      <c r="BR178" s="541">
        <v>45696.0</v>
      </c>
      <c r="BS178" s="541">
        <v>45697.0</v>
      </c>
      <c r="BT178" s="541">
        <v>45698.0</v>
      </c>
      <c r="BU178" s="541">
        <v>45699.0</v>
      </c>
      <c r="BV178" s="541">
        <v>45700.0</v>
      </c>
      <c r="BW178" s="541">
        <v>45701.0</v>
      </c>
      <c r="BX178" s="541">
        <v>45702.0</v>
      </c>
      <c r="BY178" s="541">
        <v>45703.0</v>
      </c>
      <c r="BZ178" s="541">
        <v>45704.0</v>
      </c>
      <c r="CA178" s="541">
        <v>45705.0</v>
      </c>
      <c r="CB178" s="541">
        <v>45706.0</v>
      </c>
      <c r="CC178" s="541">
        <v>45707.0</v>
      </c>
      <c r="CD178" s="541">
        <v>45708.0</v>
      </c>
      <c r="CE178" s="541">
        <v>45709.0</v>
      </c>
      <c r="CF178" s="541">
        <v>45710.0</v>
      </c>
      <c r="CG178" s="541">
        <v>45711.0</v>
      </c>
      <c r="CH178" s="541">
        <v>45712.0</v>
      </c>
      <c r="CI178" s="541">
        <v>45713.0</v>
      </c>
      <c r="CJ178" s="541">
        <v>45714.0</v>
      </c>
      <c r="CK178" s="541">
        <v>45715.0</v>
      </c>
      <c r="CL178" s="541">
        <v>45716.0</v>
      </c>
      <c r="CM178" s="563"/>
      <c r="CN178" s="541">
        <v>45839.0</v>
      </c>
      <c r="CO178" s="541">
        <v>45840.0</v>
      </c>
      <c r="CP178" s="541">
        <v>45841.0</v>
      </c>
      <c r="CQ178" s="541">
        <v>45842.0</v>
      </c>
      <c r="CR178" s="541">
        <v>45843.0</v>
      </c>
      <c r="CS178" s="541">
        <v>45844.0</v>
      </c>
      <c r="CT178" s="541">
        <v>45845.0</v>
      </c>
      <c r="CU178" s="541">
        <v>45846.0</v>
      </c>
      <c r="CV178" s="541">
        <v>45847.0</v>
      </c>
      <c r="CW178" s="541">
        <v>45848.0</v>
      </c>
      <c r="CX178" s="541">
        <v>45849.0</v>
      </c>
      <c r="CY178" s="541">
        <v>45850.0</v>
      </c>
      <c r="CZ178" s="541">
        <v>45851.0</v>
      </c>
      <c r="DA178" s="541">
        <v>45852.0</v>
      </c>
      <c r="DB178" s="541">
        <v>45853.0</v>
      </c>
      <c r="DC178" s="541">
        <v>45854.0</v>
      </c>
      <c r="DD178" s="541">
        <v>45855.0</v>
      </c>
      <c r="DE178" s="541">
        <v>45856.0</v>
      </c>
      <c r="DF178" s="541">
        <v>45857.0</v>
      </c>
      <c r="DG178" s="541">
        <v>45858.0</v>
      </c>
      <c r="DH178" s="541">
        <v>45859.0</v>
      </c>
      <c r="DI178" s="541">
        <v>45860.0</v>
      </c>
      <c r="DJ178" s="541">
        <v>45861.0</v>
      </c>
      <c r="DK178" s="541">
        <v>45862.0</v>
      </c>
      <c r="DL178" s="541">
        <v>45863.0</v>
      </c>
      <c r="DM178" s="541">
        <v>45864.0</v>
      </c>
      <c r="DN178" s="541">
        <v>45865.0</v>
      </c>
      <c r="DO178" s="541">
        <v>45866.0</v>
      </c>
      <c r="DP178" s="541">
        <v>45867.0</v>
      </c>
      <c r="DQ178" s="541">
        <v>45868.0</v>
      </c>
      <c r="DR178" s="541">
        <v>45869.0</v>
      </c>
      <c r="DS178" s="520" t="s">
        <v>318</v>
      </c>
      <c r="DU178" s="574">
        <f>100*3</f>
        <v>300</v>
      </c>
      <c r="DV178" s="574">
        <f>DK181+DG181+DC181</f>
        <v>153.3</v>
      </c>
      <c r="DX178" s="530"/>
    </row>
    <row r="179" hidden="1">
      <c r="A179" s="502" t="s">
        <v>289</v>
      </c>
      <c r="B179" s="525"/>
      <c r="C179" s="525"/>
      <c r="D179" s="525"/>
      <c r="E179" s="525"/>
      <c r="F179" s="525"/>
      <c r="G179" s="525"/>
      <c r="H179" s="525"/>
      <c r="I179" s="525"/>
      <c r="J179" s="525"/>
      <c r="K179" s="525"/>
      <c r="L179" s="525"/>
      <c r="M179" s="525"/>
      <c r="N179" s="525"/>
      <c r="O179" s="525"/>
      <c r="P179" s="525"/>
      <c r="Q179" s="525"/>
      <c r="R179" s="525"/>
      <c r="S179" s="525"/>
      <c r="T179" s="525"/>
      <c r="U179" s="525"/>
      <c r="V179" s="525"/>
      <c r="W179" s="525"/>
      <c r="X179" s="525"/>
      <c r="Y179" s="525"/>
      <c r="Z179" s="525"/>
      <c r="AA179" s="525"/>
      <c r="AB179" s="525"/>
      <c r="AC179" s="525"/>
      <c r="AD179" s="525"/>
      <c r="AE179" s="525"/>
      <c r="AF179" s="525"/>
      <c r="AG179" s="525"/>
      <c r="AH179" s="525"/>
      <c r="AI179" s="525"/>
      <c r="AJ179" s="525"/>
      <c r="AK179" s="525"/>
      <c r="AL179" s="525"/>
      <c r="AM179" s="525"/>
      <c r="AN179" s="525"/>
      <c r="AO179" s="525"/>
      <c r="AP179" s="525"/>
      <c r="AQ179" s="525"/>
      <c r="AR179" s="525"/>
      <c r="AS179" s="525"/>
      <c r="AT179" s="525"/>
      <c r="AU179" s="525"/>
      <c r="AV179" s="525"/>
      <c r="AW179" s="525"/>
      <c r="AX179" s="525"/>
      <c r="AY179" s="525"/>
      <c r="AZ179" s="525"/>
      <c r="BA179" s="525"/>
      <c r="BB179" s="525"/>
      <c r="BC179" s="525"/>
      <c r="BD179" s="525"/>
      <c r="BE179" s="525"/>
      <c r="BF179" s="525"/>
      <c r="BG179" s="525"/>
      <c r="BH179" s="525"/>
      <c r="BI179" s="525"/>
      <c r="BJ179" s="525"/>
      <c r="BK179" s="512">
        <v>99.0</v>
      </c>
      <c r="BL179" s="512">
        <v>117.0</v>
      </c>
      <c r="BM179" s="512">
        <v>121.0</v>
      </c>
      <c r="BN179" s="512">
        <v>105.0</v>
      </c>
      <c r="BO179" s="512">
        <v>97.0</v>
      </c>
      <c r="BP179" s="512">
        <v>98.0</v>
      </c>
      <c r="BQ179" s="512">
        <v>110.0</v>
      </c>
      <c r="BR179" s="512">
        <v>141.0</v>
      </c>
      <c r="BS179" s="512">
        <v>157.0</v>
      </c>
      <c r="BT179" s="512">
        <v>98.0</v>
      </c>
      <c r="BU179" s="512">
        <v>130.0</v>
      </c>
      <c r="BV179" s="512">
        <v>130.0</v>
      </c>
      <c r="BW179" s="512">
        <v>153.0</v>
      </c>
      <c r="BX179" s="512">
        <v>131.0</v>
      </c>
      <c r="BY179" s="512">
        <v>126.0</v>
      </c>
      <c r="BZ179" s="512">
        <v>160.0</v>
      </c>
      <c r="CA179" s="512">
        <v>151.0</v>
      </c>
      <c r="CB179" s="512">
        <v>99.0</v>
      </c>
      <c r="CC179" s="512">
        <v>125.0</v>
      </c>
      <c r="CD179" s="512">
        <v>168.0</v>
      </c>
      <c r="CE179" s="512">
        <v>164.0</v>
      </c>
      <c r="CF179" s="512">
        <v>174.0</v>
      </c>
      <c r="CG179" s="512">
        <v>161.0</v>
      </c>
      <c r="CH179" s="512">
        <v>117.0</v>
      </c>
      <c r="CI179" s="512">
        <v>139.0</v>
      </c>
      <c r="CJ179" s="512">
        <v>131.0</v>
      </c>
      <c r="CK179" s="512">
        <v>98.0</v>
      </c>
      <c r="CL179" s="512">
        <v>196.0</v>
      </c>
      <c r="CM179" s="514"/>
      <c r="CN179" s="561">
        <v>160.0</v>
      </c>
      <c r="CO179" s="561">
        <v>137.0</v>
      </c>
      <c r="CP179" s="561">
        <v>137.0</v>
      </c>
      <c r="CQ179" s="561">
        <v>107.0</v>
      </c>
      <c r="CR179" s="561">
        <v>122.0</v>
      </c>
      <c r="CS179" s="561">
        <v>162.0</v>
      </c>
      <c r="CT179" s="561">
        <v>131.0</v>
      </c>
      <c r="CU179" s="561">
        <v>118.0</v>
      </c>
      <c r="CV179" s="561">
        <v>173.0</v>
      </c>
      <c r="CW179" s="561">
        <v>120.0</v>
      </c>
      <c r="CX179" s="561">
        <v>129.0</v>
      </c>
      <c r="CY179" s="561">
        <v>102.0</v>
      </c>
      <c r="CZ179" s="561">
        <v>123.0</v>
      </c>
      <c r="DA179" s="561">
        <v>130.0</v>
      </c>
      <c r="DB179" s="561">
        <v>157.0</v>
      </c>
      <c r="DC179" s="561">
        <v>187.0</v>
      </c>
      <c r="DD179" s="561">
        <v>132.0</v>
      </c>
      <c r="DE179" s="561">
        <v>105.0</v>
      </c>
      <c r="DF179" s="561">
        <v>120.0</v>
      </c>
      <c r="DG179" s="561">
        <v>124.0</v>
      </c>
      <c r="DH179" s="561">
        <v>147.0</v>
      </c>
      <c r="DI179" s="561">
        <v>138.0</v>
      </c>
      <c r="DJ179" s="561">
        <v>135.0</v>
      </c>
      <c r="DK179" s="561">
        <v>185.0</v>
      </c>
      <c r="DL179" s="561">
        <v>133.0</v>
      </c>
      <c r="DM179" s="561">
        <v>92.0</v>
      </c>
      <c r="DN179" s="561">
        <v>120.0</v>
      </c>
      <c r="DO179" s="561">
        <v>149.0</v>
      </c>
      <c r="DP179" s="561">
        <v>138.0</v>
      </c>
      <c r="DQ179" s="561">
        <v>126.0</v>
      </c>
      <c r="DR179" s="561">
        <v>136.0</v>
      </c>
      <c r="DS179" s="520" t="s">
        <v>319</v>
      </c>
      <c r="DU179" s="574">
        <f>100</f>
        <v>100</v>
      </c>
      <c r="DV179" s="574">
        <f>DO181</f>
        <v>25.96</v>
      </c>
      <c r="DX179" s="530"/>
    </row>
    <row r="180" hidden="1">
      <c r="A180" s="521" t="s">
        <v>290</v>
      </c>
      <c r="B180" s="525"/>
      <c r="C180" s="525"/>
      <c r="D180" s="525"/>
      <c r="E180" s="525"/>
      <c r="F180" s="525"/>
      <c r="G180" s="525"/>
      <c r="H180" s="525"/>
      <c r="I180" s="525"/>
      <c r="J180" s="525"/>
      <c r="K180" s="525"/>
      <c r="L180" s="525"/>
      <c r="M180" s="525"/>
      <c r="N180" s="525"/>
      <c r="O180" s="525"/>
      <c r="P180" s="525"/>
      <c r="Q180" s="525"/>
      <c r="R180" s="525"/>
      <c r="S180" s="525"/>
      <c r="T180" s="525"/>
      <c r="U180" s="525"/>
      <c r="V180" s="525"/>
      <c r="W180" s="525"/>
      <c r="X180" s="525"/>
      <c r="Y180" s="525"/>
      <c r="Z180" s="525"/>
      <c r="AA180" s="525"/>
      <c r="AB180" s="525"/>
      <c r="AC180" s="525"/>
      <c r="AD180" s="525"/>
      <c r="AE180" s="525"/>
      <c r="AF180" s="525"/>
      <c r="AG180" s="525"/>
      <c r="AH180" s="525"/>
      <c r="AI180" s="525"/>
      <c r="AJ180" s="525"/>
      <c r="AK180" s="525"/>
      <c r="AL180" s="525"/>
      <c r="AM180" s="525"/>
      <c r="AN180" s="525"/>
      <c r="AO180" s="525"/>
      <c r="AP180" s="525"/>
      <c r="AQ180" s="525"/>
      <c r="AR180" s="525"/>
      <c r="AS180" s="525"/>
      <c r="AT180" s="525"/>
      <c r="AU180" s="525"/>
      <c r="AV180" s="525"/>
      <c r="AW180" s="525"/>
      <c r="AX180" s="525"/>
      <c r="AY180" s="525"/>
      <c r="AZ180" s="525"/>
      <c r="BA180" s="525"/>
      <c r="BB180" s="525"/>
      <c r="BC180" s="525"/>
      <c r="BD180" s="525"/>
      <c r="BE180" s="525"/>
      <c r="BF180" s="525"/>
      <c r="BG180" s="525"/>
      <c r="BH180" s="525"/>
      <c r="BI180" s="525"/>
      <c r="BJ180" s="525"/>
      <c r="BK180" s="512">
        <v>44.0</v>
      </c>
      <c r="BL180" s="512">
        <v>55.0</v>
      </c>
      <c r="BM180" s="512">
        <v>47.0</v>
      </c>
      <c r="BN180" s="512">
        <v>39.0</v>
      </c>
      <c r="BO180" s="512">
        <v>54.0</v>
      </c>
      <c r="BP180" s="512">
        <v>46.0</v>
      </c>
      <c r="BQ180" s="512">
        <v>51.0</v>
      </c>
      <c r="BR180" s="512">
        <v>48.0</v>
      </c>
      <c r="BS180" s="512">
        <v>55.0</v>
      </c>
      <c r="BT180" s="512">
        <v>41.0</v>
      </c>
      <c r="BU180" s="512">
        <v>57.0</v>
      </c>
      <c r="BV180" s="512">
        <v>57.0</v>
      </c>
      <c r="BW180" s="512">
        <v>59.0</v>
      </c>
      <c r="BX180" s="512">
        <v>41.0</v>
      </c>
      <c r="BY180" s="512">
        <v>52.0</v>
      </c>
      <c r="BZ180" s="512">
        <v>61.0</v>
      </c>
      <c r="CA180" s="512">
        <v>52.0</v>
      </c>
      <c r="CB180" s="512">
        <v>38.0</v>
      </c>
      <c r="CC180" s="512">
        <v>53.0</v>
      </c>
      <c r="CD180" s="512">
        <v>77.0</v>
      </c>
      <c r="CE180" s="512">
        <v>59.0</v>
      </c>
      <c r="CF180" s="512">
        <v>70.0</v>
      </c>
      <c r="CG180" s="512">
        <v>77.0</v>
      </c>
      <c r="CH180" s="512">
        <v>47.0</v>
      </c>
      <c r="CI180" s="512">
        <v>51.0</v>
      </c>
      <c r="CJ180" s="512">
        <v>54.0</v>
      </c>
      <c r="CK180" s="512">
        <v>43.0</v>
      </c>
      <c r="CL180" s="512">
        <v>75.0</v>
      </c>
      <c r="CM180" s="566">
        <f>SUM(BK180:CL180)/28</f>
        <v>53.67857143</v>
      </c>
      <c r="CN180" s="561">
        <v>53.0</v>
      </c>
      <c r="CO180" s="561">
        <v>51.0</v>
      </c>
      <c r="CP180" s="561">
        <v>59.0</v>
      </c>
      <c r="CQ180" s="561">
        <v>40.0</v>
      </c>
      <c r="CR180" s="561">
        <v>61.0</v>
      </c>
      <c r="CS180" s="561">
        <v>55.0</v>
      </c>
      <c r="CT180" s="561">
        <v>61.0</v>
      </c>
      <c r="CU180" s="561">
        <v>54.0</v>
      </c>
      <c r="CV180" s="561">
        <v>66.0</v>
      </c>
      <c r="CW180" s="561">
        <v>56.0</v>
      </c>
      <c r="CX180" s="561">
        <v>59.0</v>
      </c>
      <c r="CY180" s="561">
        <v>45.0</v>
      </c>
      <c r="CZ180" s="561">
        <v>63.0</v>
      </c>
      <c r="DA180" s="561">
        <v>61.0</v>
      </c>
      <c r="DB180" s="561">
        <v>71.0</v>
      </c>
      <c r="DC180" s="561">
        <v>59.0</v>
      </c>
      <c r="DD180" s="561">
        <v>59.0</v>
      </c>
      <c r="DE180" s="561">
        <v>48.0</v>
      </c>
      <c r="DF180" s="561">
        <v>47.0</v>
      </c>
      <c r="DG180" s="561">
        <v>59.0</v>
      </c>
      <c r="DH180" s="561">
        <v>64.0</v>
      </c>
      <c r="DI180" s="561">
        <v>54.0</v>
      </c>
      <c r="DJ180" s="561">
        <v>58.0</v>
      </c>
      <c r="DK180" s="561">
        <v>70.0</v>
      </c>
      <c r="DL180" s="561">
        <v>57.0</v>
      </c>
      <c r="DM180" s="561">
        <v>41.0</v>
      </c>
      <c r="DN180" s="561">
        <v>60.0</v>
      </c>
      <c r="DO180" s="561">
        <v>59.0</v>
      </c>
      <c r="DP180" s="561">
        <v>56.0</v>
      </c>
      <c r="DQ180" s="561">
        <v>48.0</v>
      </c>
      <c r="DR180" s="561">
        <v>59.0</v>
      </c>
      <c r="DS180" s="520" t="s">
        <v>320</v>
      </c>
      <c r="DU180" s="574">
        <f>100*11</f>
        <v>1100</v>
      </c>
      <c r="DV180" s="574">
        <f>DR181+DQ181+DP181+DN181+DM181+DL181+DJ181+DH181+DI181+DF181+DE181+DD181</f>
        <v>596.24</v>
      </c>
      <c r="DX180" s="530"/>
    </row>
    <row r="181" hidden="1">
      <c r="A181" s="502" t="s">
        <v>291</v>
      </c>
      <c r="B181" s="537"/>
      <c r="C181" s="537"/>
      <c r="D181" s="537"/>
      <c r="E181" s="537"/>
      <c r="F181" s="537"/>
      <c r="G181" s="537"/>
      <c r="H181" s="537"/>
      <c r="I181" s="537"/>
      <c r="J181" s="537"/>
      <c r="K181" s="537"/>
      <c r="L181" s="537"/>
      <c r="M181" s="537"/>
      <c r="N181" s="537"/>
      <c r="O181" s="537"/>
      <c r="P181" s="537"/>
      <c r="Q181" s="537"/>
      <c r="R181" s="537"/>
      <c r="S181" s="537"/>
      <c r="T181" s="537"/>
      <c r="U181" s="537"/>
      <c r="V181" s="537"/>
      <c r="W181" s="537"/>
      <c r="X181" s="537"/>
      <c r="Y181" s="537"/>
      <c r="Z181" s="537"/>
      <c r="AA181" s="537"/>
      <c r="AB181" s="537"/>
      <c r="AC181" s="537"/>
      <c r="AD181" s="537"/>
      <c r="AE181" s="537"/>
      <c r="AF181" s="537"/>
      <c r="AG181" s="537"/>
      <c r="AH181" s="537"/>
      <c r="AI181" s="537"/>
      <c r="AJ181" s="537"/>
      <c r="AK181" s="537"/>
      <c r="AL181" s="537"/>
      <c r="AM181" s="537"/>
      <c r="AN181" s="537"/>
      <c r="AO181" s="537"/>
      <c r="AP181" s="537"/>
      <c r="AQ181" s="537"/>
      <c r="AR181" s="537"/>
      <c r="AS181" s="537"/>
      <c r="AT181" s="537"/>
      <c r="AU181" s="537"/>
      <c r="AV181" s="537"/>
      <c r="AW181" s="537"/>
      <c r="AX181" s="537"/>
      <c r="AY181" s="537"/>
      <c r="AZ181" s="537"/>
      <c r="BA181" s="537"/>
      <c r="BB181" s="537"/>
      <c r="BC181" s="537"/>
      <c r="BD181" s="537"/>
      <c r="BE181" s="537"/>
      <c r="BF181" s="537"/>
      <c r="BG181" s="537"/>
      <c r="BH181" s="537"/>
      <c r="BI181" s="537"/>
      <c r="BJ181" s="537"/>
      <c r="BK181" s="537">
        <v>-295.52</v>
      </c>
      <c r="BL181" s="537">
        <v>-42.77</v>
      </c>
      <c r="BM181" s="537">
        <v>24.22</v>
      </c>
      <c r="BN181" s="537">
        <v>-438.28</v>
      </c>
      <c r="BO181" s="537">
        <v>35.84</v>
      </c>
      <c r="BP181" s="537">
        <v>-15.94</v>
      </c>
      <c r="BQ181" s="537">
        <v>33.53</v>
      </c>
      <c r="BR181" s="537">
        <v>48.55</v>
      </c>
      <c r="BS181" s="537">
        <v>-179.22</v>
      </c>
      <c r="BT181" s="537">
        <v>-2.05</v>
      </c>
      <c r="BU181" s="537">
        <v>54.16</v>
      </c>
      <c r="BV181" s="537">
        <v>-203.07</v>
      </c>
      <c r="BW181" s="537">
        <v>53.0</v>
      </c>
      <c r="BX181" s="537">
        <v>35.32</v>
      </c>
      <c r="BY181" s="537">
        <v>52.07</v>
      </c>
      <c r="BZ181" s="537">
        <v>38.49</v>
      </c>
      <c r="CA181" s="537">
        <v>54.6</v>
      </c>
      <c r="CB181" s="537">
        <v>43.14</v>
      </c>
      <c r="CC181" s="537">
        <v>-87.46</v>
      </c>
      <c r="CD181" s="537">
        <v>47.24</v>
      </c>
      <c r="CE181" s="537">
        <v>-66.14</v>
      </c>
      <c r="CF181" s="537">
        <v>54.48</v>
      </c>
      <c r="CG181" s="537">
        <v>59.5</v>
      </c>
      <c r="CH181" s="537">
        <v>-90.39</v>
      </c>
      <c r="CI181" s="537">
        <v>50.36</v>
      </c>
      <c r="CJ181" s="537">
        <v>32.76</v>
      </c>
      <c r="CK181" s="537">
        <v>-310.39</v>
      </c>
      <c r="CL181" s="537">
        <v>-88.51</v>
      </c>
      <c r="CM181" s="537"/>
      <c r="CN181" s="537">
        <v>34.85</v>
      </c>
      <c r="CO181" s="537">
        <v>65.08</v>
      </c>
      <c r="CP181" s="537">
        <v>65.09</v>
      </c>
      <c r="CQ181" s="537">
        <v>37.66</v>
      </c>
      <c r="CR181" s="537">
        <v>39.82</v>
      </c>
      <c r="CS181" s="537">
        <v>52.31</v>
      </c>
      <c r="CT181" s="537">
        <v>24.38</v>
      </c>
      <c r="CU181" s="537">
        <v>47.03</v>
      </c>
      <c r="CV181" s="512">
        <v>49.11</v>
      </c>
      <c r="CW181" s="537">
        <v>32.65</v>
      </c>
      <c r="CX181" s="537">
        <v>47.2</v>
      </c>
      <c r="CY181" s="537">
        <v>76.36</v>
      </c>
      <c r="CZ181" s="537">
        <v>65.3</v>
      </c>
      <c r="DA181" s="537">
        <v>55.31</v>
      </c>
      <c r="DB181" s="537">
        <v>48.08</v>
      </c>
      <c r="DC181" s="537">
        <v>60.42</v>
      </c>
      <c r="DD181" s="537">
        <v>55.79</v>
      </c>
      <c r="DE181" s="537">
        <v>44.6</v>
      </c>
      <c r="DF181" s="537">
        <v>49.19</v>
      </c>
      <c r="DG181" s="537">
        <v>37.83</v>
      </c>
      <c r="DH181" s="537">
        <v>67.37</v>
      </c>
      <c r="DI181" s="537">
        <v>44.61</v>
      </c>
      <c r="DJ181" s="537">
        <v>36.6</v>
      </c>
      <c r="DK181" s="537">
        <v>55.05</v>
      </c>
      <c r="DL181" s="537">
        <v>37.95</v>
      </c>
      <c r="DM181" s="537">
        <v>76.51</v>
      </c>
      <c r="DN181" s="537">
        <v>43.16</v>
      </c>
      <c r="DO181" s="537">
        <v>25.96</v>
      </c>
      <c r="DP181" s="537">
        <v>48.26</v>
      </c>
      <c r="DQ181" s="537">
        <v>42.08</v>
      </c>
      <c r="DR181" s="537">
        <v>50.12</v>
      </c>
      <c r="DX181" s="530"/>
    </row>
    <row r="182" hidden="1">
      <c r="A182" s="531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/>
      <c r="BT182" s="118"/>
      <c r="BU182" s="118"/>
      <c r="BV182" s="118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118">
        <f t="shared" ref="CN182:CO182" si="2">CN181/2</f>
        <v>17.425</v>
      </c>
      <c r="CO182" s="546">
        <f t="shared" si="2"/>
        <v>32.54</v>
      </c>
      <c r="CP182" s="118"/>
      <c r="CQ182" s="118"/>
      <c r="CR182" s="118"/>
      <c r="CS182" s="546"/>
      <c r="CT182" s="118"/>
      <c r="CU182" s="118"/>
      <c r="CV182" s="118"/>
      <c r="CW182" s="118"/>
      <c r="CX182" s="118"/>
      <c r="CY182" s="118"/>
      <c r="CZ182" s="118"/>
      <c r="DA182" s="118"/>
      <c r="DB182" s="118"/>
      <c r="DC182" s="118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X182" s="530"/>
    </row>
    <row r="183" hidden="1">
      <c r="A183" s="500" t="s">
        <v>295</v>
      </c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  <c r="AT183" s="118"/>
      <c r="AU183" s="118"/>
      <c r="AV183" s="118"/>
      <c r="AW183" s="118"/>
      <c r="AX183" s="118"/>
      <c r="AY183" s="118"/>
      <c r="AZ183" s="118"/>
      <c r="BA183" s="118"/>
      <c r="BB183" s="118"/>
      <c r="BC183" s="118"/>
      <c r="BD183" s="118"/>
      <c r="BE183" s="118"/>
      <c r="BF183" s="118"/>
      <c r="BG183" s="118"/>
      <c r="BH183" s="118"/>
      <c r="BI183" s="118"/>
      <c r="BJ183" s="118"/>
      <c r="BK183" s="118"/>
      <c r="BL183" s="118"/>
      <c r="BM183" s="118"/>
      <c r="BN183" s="118"/>
      <c r="BO183" s="118"/>
      <c r="BP183" s="118"/>
      <c r="BQ183" s="118"/>
      <c r="BR183" s="118"/>
      <c r="BS183" s="118"/>
      <c r="BT183" s="118"/>
      <c r="BU183" s="118"/>
      <c r="BV183" s="118"/>
      <c r="BW183" s="118"/>
      <c r="BX183" s="118"/>
      <c r="BY183" s="118"/>
      <c r="BZ183" s="118"/>
      <c r="CA183" s="118"/>
      <c r="CB183" s="118"/>
      <c r="CC183" s="118"/>
      <c r="CD183" s="118"/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546" t="s">
        <v>321</v>
      </c>
      <c r="CO183" s="546" t="s">
        <v>321</v>
      </c>
      <c r="CP183" s="546" t="s">
        <v>322</v>
      </c>
      <c r="CQ183" s="546" t="s">
        <v>322</v>
      </c>
      <c r="CR183" s="546" t="s">
        <v>321</v>
      </c>
      <c r="CS183" s="546" t="s">
        <v>321</v>
      </c>
      <c r="CT183" s="546" t="s">
        <v>322</v>
      </c>
      <c r="CU183" s="546" t="s">
        <v>322</v>
      </c>
      <c r="CV183" s="546" t="s">
        <v>321</v>
      </c>
      <c r="CW183" s="546" t="s">
        <v>321</v>
      </c>
      <c r="CX183" s="546" t="s">
        <v>322</v>
      </c>
      <c r="CY183" s="546" t="s">
        <v>318</v>
      </c>
      <c r="CZ183" s="546" t="s">
        <v>321</v>
      </c>
      <c r="DA183" s="546" t="s">
        <v>321</v>
      </c>
      <c r="DB183" s="546" t="s">
        <v>322</v>
      </c>
      <c r="DC183" s="546" t="s">
        <v>322</v>
      </c>
      <c r="DD183" s="546" t="s">
        <v>321</v>
      </c>
      <c r="DE183" s="546" t="s">
        <v>321</v>
      </c>
      <c r="DF183" s="546" t="s">
        <v>322</v>
      </c>
      <c r="DG183" s="546" t="s">
        <v>322</v>
      </c>
      <c r="DH183" s="546" t="s">
        <v>321</v>
      </c>
      <c r="DI183" s="546" t="s">
        <v>323</v>
      </c>
      <c r="DJ183" s="546" t="s">
        <v>322</v>
      </c>
      <c r="DK183" s="546" t="s">
        <v>322</v>
      </c>
      <c r="DL183" s="546" t="s">
        <v>321</v>
      </c>
      <c r="DM183" s="546" t="s">
        <v>321</v>
      </c>
      <c r="DN183" s="546" t="s">
        <v>322</v>
      </c>
      <c r="DO183" s="546" t="s">
        <v>318</v>
      </c>
      <c r="DP183" s="546" t="s">
        <v>321</v>
      </c>
      <c r="DQ183" s="546" t="s">
        <v>321</v>
      </c>
      <c r="DR183" s="546" t="s">
        <v>322</v>
      </c>
      <c r="DU183" s="520" t="s">
        <v>305</v>
      </c>
      <c r="DV183" s="520" t="s">
        <v>306</v>
      </c>
      <c r="DX183" s="530"/>
    </row>
    <row r="184" hidden="1">
      <c r="A184" s="502" t="s">
        <v>288</v>
      </c>
      <c r="B184" s="525"/>
      <c r="C184" s="525"/>
      <c r="D184" s="525"/>
      <c r="E184" s="525"/>
      <c r="F184" s="525"/>
      <c r="G184" s="525"/>
      <c r="H184" s="525"/>
      <c r="I184" s="525"/>
      <c r="J184" s="525"/>
      <c r="K184" s="525"/>
      <c r="L184" s="525"/>
      <c r="M184" s="525"/>
      <c r="N184" s="525"/>
      <c r="O184" s="525"/>
      <c r="P184" s="525"/>
      <c r="Q184" s="525"/>
      <c r="R184" s="525"/>
      <c r="S184" s="525"/>
      <c r="T184" s="525"/>
      <c r="U184" s="525"/>
      <c r="V184" s="525"/>
      <c r="W184" s="525"/>
      <c r="X184" s="525"/>
      <c r="Y184" s="525"/>
      <c r="Z184" s="525"/>
      <c r="AA184" s="525"/>
      <c r="AB184" s="525"/>
      <c r="AC184" s="525"/>
      <c r="AD184" s="525"/>
      <c r="AE184" s="525"/>
      <c r="AF184" s="525"/>
      <c r="AG184" s="525"/>
      <c r="AH184" s="525"/>
      <c r="AI184" s="525"/>
      <c r="AJ184" s="525"/>
      <c r="AK184" s="525"/>
      <c r="AL184" s="525"/>
      <c r="AM184" s="525"/>
      <c r="AN184" s="525"/>
      <c r="AO184" s="525"/>
      <c r="AP184" s="525"/>
      <c r="AQ184" s="525"/>
      <c r="AR184" s="525"/>
      <c r="AS184" s="525"/>
      <c r="AT184" s="525"/>
      <c r="AU184" s="525"/>
      <c r="AV184" s="525"/>
      <c r="AW184" s="525"/>
      <c r="AX184" s="525"/>
      <c r="AY184" s="525"/>
      <c r="AZ184" s="525"/>
      <c r="BA184" s="525"/>
      <c r="BB184" s="525"/>
      <c r="BC184" s="525"/>
      <c r="BD184" s="525"/>
      <c r="BE184" s="525"/>
      <c r="BF184" s="525"/>
      <c r="BG184" s="525"/>
      <c r="BH184" s="525"/>
      <c r="BI184" s="525"/>
      <c r="BJ184" s="525"/>
      <c r="BK184" s="541">
        <v>45689.0</v>
      </c>
      <c r="BL184" s="541">
        <v>45690.0</v>
      </c>
      <c r="BM184" s="541">
        <v>45691.0</v>
      </c>
      <c r="BN184" s="541">
        <v>45692.0</v>
      </c>
      <c r="BO184" s="541">
        <v>45693.0</v>
      </c>
      <c r="BP184" s="541">
        <v>45694.0</v>
      </c>
      <c r="BQ184" s="541">
        <v>45695.0</v>
      </c>
      <c r="BR184" s="541">
        <v>45696.0</v>
      </c>
      <c r="BS184" s="541">
        <v>45697.0</v>
      </c>
      <c r="BT184" s="541">
        <v>45698.0</v>
      </c>
      <c r="BU184" s="541">
        <v>45699.0</v>
      </c>
      <c r="BV184" s="541">
        <v>45700.0</v>
      </c>
      <c r="BW184" s="541">
        <v>45701.0</v>
      </c>
      <c r="BX184" s="541">
        <v>45702.0</v>
      </c>
      <c r="BY184" s="541">
        <v>45703.0</v>
      </c>
      <c r="BZ184" s="541">
        <v>45704.0</v>
      </c>
      <c r="CA184" s="541">
        <v>45705.0</v>
      </c>
      <c r="CB184" s="541">
        <v>45706.0</v>
      </c>
      <c r="CC184" s="541">
        <v>45707.0</v>
      </c>
      <c r="CD184" s="541">
        <v>45708.0</v>
      </c>
      <c r="CE184" s="541">
        <v>45709.0</v>
      </c>
      <c r="CF184" s="541">
        <v>45710.0</v>
      </c>
      <c r="CG184" s="541">
        <v>45711.0</v>
      </c>
      <c r="CH184" s="541">
        <v>45712.0</v>
      </c>
      <c r="CI184" s="541">
        <v>45713.0</v>
      </c>
      <c r="CJ184" s="541">
        <v>45714.0</v>
      </c>
      <c r="CK184" s="541">
        <v>45715.0</v>
      </c>
      <c r="CL184" s="541">
        <v>45716.0</v>
      </c>
      <c r="CM184" s="541"/>
      <c r="CN184" s="541">
        <v>45839.0</v>
      </c>
      <c r="CO184" s="541">
        <v>45840.0</v>
      </c>
      <c r="CP184" s="541">
        <v>45841.0</v>
      </c>
      <c r="CQ184" s="541">
        <v>45842.0</v>
      </c>
      <c r="CR184" s="541">
        <v>45843.0</v>
      </c>
      <c r="CS184" s="541">
        <v>45844.0</v>
      </c>
      <c r="CT184" s="541">
        <v>45845.0</v>
      </c>
      <c r="CU184" s="541">
        <v>45846.0</v>
      </c>
      <c r="CV184" s="541">
        <v>45847.0</v>
      </c>
      <c r="CW184" s="541">
        <v>45848.0</v>
      </c>
      <c r="CX184" s="541">
        <v>45849.0</v>
      </c>
      <c r="CY184" s="541">
        <v>45850.0</v>
      </c>
      <c r="CZ184" s="541">
        <v>45851.0</v>
      </c>
      <c r="DA184" s="541">
        <v>45852.0</v>
      </c>
      <c r="DB184" s="541">
        <v>45853.0</v>
      </c>
      <c r="DC184" s="541">
        <v>45854.0</v>
      </c>
      <c r="DD184" s="541">
        <v>45855.0</v>
      </c>
      <c r="DE184" s="541">
        <v>45856.0</v>
      </c>
      <c r="DF184" s="541">
        <v>45857.0</v>
      </c>
      <c r="DG184" s="541">
        <v>45858.0</v>
      </c>
      <c r="DH184" s="541">
        <v>45859.0</v>
      </c>
      <c r="DI184" s="541">
        <v>45860.0</v>
      </c>
      <c r="DJ184" s="541">
        <v>45861.0</v>
      </c>
      <c r="DK184" s="541">
        <v>45862.0</v>
      </c>
      <c r="DL184" s="541">
        <v>45863.0</v>
      </c>
      <c r="DM184" s="541">
        <v>45864.0</v>
      </c>
      <c r="DN184" s="541">
        <v>45865.0</v>
      </c>
      <c r="DO184" s="541">
        <v>45866.0</v>
      </c>
      <c r="DP184" s="541">
        <v>45867.0</v>
      </c>
      <c r="DQ184" s="541">
        <v>45868.0</v>
      </c>
      <c r="DR184" s="541">
        <v>45869.0</v>
      </c>
      <c r="DS184" s="520" t="s">
        <v>322</v>
      </c>
      <c r="DU184" s="574">
        <f>100</f>
        <v>100</v>
      </c>
      <c r="DV184" s="574">
        <f>DR187+DN187+DK187+DJ187+DG187+DF187+DC187+11.09</f>
        <v>209.18</v>
      </c>
      <c r="DX184" s="530"/>
    </row>
    <row r="185" hidden="1">
      <c r="A185" s="502" t="s">
        <v>289</v>
      </c>
      <c r="B185" s="525"/>
      <c r="C185" s="525"/>
      <c r="D185" s="525"/>
      <c r="E185" s="525"/>
      <c r="F185" s="525"/>
      <c r="G185" s="525"/>
      <c r="H185" s="525"/>
      <c r="I185" s="525"/>
      <c r="J185" s="525"/>
      <c r="K185" s="525"/>
      <c r="L185" s="525"/>
      <c r="M185" s="525"/>
      <c r="N185" s="525"/>
      <c r="O185" s="525"/>
      <c r="P185" s="525"/>
      <c r="Q185" s="525"/>
      <c r="R185" s="525"/>
      <c r="S185" s="525"/>
      <c r="T185" s="525"/>
      <c r="U185" s="525"/>
      <c r="V185" s="525"/>
      <c r="W185" s="525"/>
      <c r="X185" s="525"/>
      <c r="Y185" s="525"/>
      <c r="Z185" s="525"/>
      <c r="AA185" s="525"/>
      <c r="AB185" s="525"/>
      <c r="AC185" s="525"/>
      <c r="AD185" s="525"/>
      <c r="AE185" s="525"/>
      <c r="AF185" s="525"/>
      <c r="AG185" s="525"/>
      <c r="AH185" s="525"/>
      <c r="AI185" s="525"/>
      <c r="AJ185" s="525"/>
      <c r="AK185" s="525"/>
      <c r="AL185" s="525"/>
      <c r="AM185" s="525"/>
      <c r="AN185" s="525"/>
      <c r="AO185" s="525"/>
      <c r="AP185" s="525"/>
      <c r="AQ185" s="525"/>
      <c r="AR185" s="525"/>
      <c r="AS185" s="525"/>
      <c r="AT185" s="525"/>
      <c r="AU185" s="525"/>
      <c r="AV185" s="525"/>
      <c r="AW185" s="525"/>
      <c r="AX185" s="525"/>
      <c r="AY185" s="525"/>
      <c r="AZ185" s="525"/>
      <c r="BA185" s="525"/>
      <c r="BB185" s="525"/>
      <c r="BC185" s="525"/>
      <c r="BD185" s="525"/>
      <c r="BE185" s="525"/>
      <c r="BF185" s="525"/>
      <c r="BG185" s="525"/>
      <c r="BH185" s="525"/>
      <c r="BI185" s="525"/>
      <c r="BJ185" s="525"/>
      <c r="BK185" s="512">
        <v>12.0</v>
      </c>
      <c r="BL185" s="512">
        <v>16.0</v>
      </c>
      <c r="BM185" s="512">
        <v>37.0</v>
      </c>
      <c r="BN185" s="512">
        <v>24.0</v>
      </c>
      <c r="BO185" s="512">
        <v>23.0</v>
      </c>
      <c r="BP185" s="512">
        <v>48.0</v>
      </c>
      <c r="BQ185" s="512">
        <v>38.0</v>
      </c>
      <c r="BR185" s="512">
        <v>13.0</v>
      </c>
      <c r="BS185" s="512">
        <v>61.0</v>
      </c>
      <c r="BT185" s="512">
        <v>50.0</v>
      </c>
      <c r="BU185" s="512">
        <v>68.0</v>
      </c>
      <c r="BV185" s="512">
        <v>29.0</v>
      </c>
      <c r="BW185" s="512">
        <v>91.0</v>
      </c>
      <c r="BX185" s="512">
        <v>62.0</v>
      </c>
      <c r="BY185" s="512">
        <v>63.0</v>
      </c>
      <c r="BZ185" s="512">
        <v>64.0</v>
      </c>
      <c r="CA185" s="512">
        <v>76.0</v>
      </c>
      <c r="CB185" s="512">
        <v>49.0</v>
      </c>
      <c r="CC185" s="512">
        <v>63.0</v>
      </c>
      <c r="CD185" s="512">
        <v>50.0</v>
      </c>
      <c r="CE185" s="512">
        <v>55.0</v>
      </c>
      <c r="CF185" s="512">
        <v>77.0</v>
      </c>
      <c r="CG185" s="512">
        <v>77.0</v>
      </c>
      <c r="CH185" s="512">
        <v>72.0</v>
      </c>
      <c r="CI185" s="512">
        <v>80.0</v>
      </c>
      <c r="CJ185" s="512">
        <v>89.0</v>
      </c>
      <c r="CK185" s="512">
        <v>64.0</v>
      </c>
      <c r="CL185" s="512">
        <v>82.0</v>
      </c>
      <c r="CM185" s="512"/>
      <c r="CN185" s="561">
        <v>59.0</v>
      </c>
      <c r="CO185" s="561">
        <v>40.0</v>
      </c>
      <c r="CP185" s="561">
        <v>163.0</v>
      </c>
      <c r="CQ185" s="561">
        <v>72.0</v>
      </c>
      <c r="CR185" s="561">
        <v>63.0</v>
      </c>
      <c r="CS185" s="561">
        <v>86.0</v>
      </c>
      <c r="CT185" s="561">
        <v>72.0</v>
      </c>
      <c r="CU185" s="561">
        <v>57.0</v>
      </c>
      <c r="CV185" s="561">
        <v>81.0</v>
      </c>
      <c r="CW185" s="561">
        <v>61.0</v>
      </c>
      <c r="CX185" s="561">
        <v>69.0</v>
      </c>
      <c r="CY185" s="561">
        <v>55.0</v>
      </c>
      <c r="CZ185" s="561">
        <v>61.0</v>
      </c>
      <c r="DA185" s="561">
        <v>103.0</v>
      </c>
      <c r="DB185" s="561">
        <v>88.0</v>
      </c>
      <c r="DC185" s="561">
        <v>79.0</v>
      </c>
      <c r="DD185" s="561">
        <v>119.0</v>
      </c>
      <c r="DE185" s="561">
        <v>76.0</v>
      </c>
      <c r="DF185" s="561">
        <v>68.0</v>
      </c>
      <c r="DG185" s="561">
        <v>66.0</v>
      </c>
      <c r="DH185" s="561">
        <v>80.0</v>
      </c>
      <c r="DI185" s="561">
        <v>80.0</v>
      </c>
      <c r="DJ185" s="561">
        <v>53.0</v>
      </c>
      <c r="DK185" s="561">
        <v>107.0</v>
      </c>
      <c r="DL185" s="561">
        <v>40.0</v>
      </c>
      <c r="DM185" s="561">
        <v>35.0</v>
      </c>
      <c r="DN185" s="561">
        <v>91.0</v>
      </c>
      <c r="DO185" s="561">
        <v>69.0</v>
      </c>
      <c r="DP185" s="561">
        <v>81.0</v>
      </c>
      <c r="DQ185" s="561">
        <v>93.0</v>
      </c>
      <c r="DR185" s="561">
        <v>49.0</v>
      </c>
      <c r="DS185" s="520" t="s">
        <v>321</v>
      </c>
      <c r="DU185" s="520">
        <v>0.0</v>
      </c>
      <c r="DV185" s="574">
        <f>11.09+DD187+DE187+DH187+DL187+DM187+DP187+DQ187</f>
        <v>-122.83</v>
      </c>
      <c r="DX185" s="530"/>
    </row>
    <row r="186" hidden="1">
      <c r="A186" s="521" t="s">
        <v>290</v>
      </c>
      <c r="B186" s="525"/>
      <c r="C186" s="525"/>
      <c r="D186" s="525"/>
      <c r="E186" s="525"/>
      <c r="F186" s="525"/>
      <c r="G186" s="525"/>
      <c r="H186" s="525"/>
      <c r="I186" s="525"/>
      <c r="J186" s="525"/>
      <c r="K186" s="525"/>
      <c r="L186" s="525"/>
      <c r="M186" s="525"/>
      <c r="N186" s="525"/>
      <c r="O186" s="525"/>
      <c r="P186" s="525"/>
      <c r="Q186" s="525"/>
      <c r="R186" s="525"/>
      <c r="S186" s="525"/>
      <c r="T186" s="525"/>
      <c r="U186" s="525"/>
      <c r="V186" s="525"/>
      <c r="W186" s="525"/>
      <c r="X186" s="525"/>
      <c r="Y186" s="525"/>
      <c r="Z186" s="525"/>
      <c r="AA186" s="525"/>
      <c r="AB186" s="525"/>
      <c r="AC186" s="525"/>
      <c r="AD186" s="525"/>
      <c r="AE186" s="525"/>
      <c r="AF186" s="525"/>
      <c r="AG186" s="525"/>
      <c r="AH186" s="525"/>
      <c r="AI186" s="525"/>
      <c r="AJ186" s="525"/>
      <c r="AK186" s="525"/>
      <c r="AL186" s="525"/>
      <c r="AM186" s="525"/>
      <c r="AN186" s="525"/>
      <c r="AO186" s="525"/>
      <c r="AP186" s="525"/>
      <c r="AQ186" s="525"/>
      <c r="AR186" s="525"/>
      <c r="AS186" s="525"/>
      <c r="AT186" s="525"/>
      <c r="AU186" s="525"/>
      <c r="AV186" s="525"/>
      <c r="AW186" s="525"/>
      <c r="AX186" s="525"/>
      <c r="AY186" s="525"/>
      <c r="AZ186" s="525"/>
      <c r="BA186" s="525"/>
      <c r="BB186" s="525"/>
      <c r="BC186" s="525"/>
      <c r="BD186" s="525"/>
      <c r="BE186" s="525"/>
      <c r="BF186" s="525"/>
      <c r="BG186" s="525"/>
      <c r="BH186" s="525"/>
      <c r="BI186" s="525"/>
      <c r="BJ186" s="525"/>
      <c r="BK186" s="512">
        <v>8.0</v>
      </c>
      <c r="BL186" s="512">
        <v>9.0</v>
      </c>
      <c r="BM186" s="512">
        <v>16.0</v>
      </c>
      <c r="BN186" s="512">
        <v>12.0</v>
      </c>
      <c r="BO186" s="512">
        <v>12.0</v>
      </c>
      <c r="BP186" s="512">
        <v>18.0</v>
      </c>
      <c r="BQ186" s="512">
        <v>20.0</v>
      </c>
      <c r="BR186" s="512">
        <v>6.0</v>
      </c>
      <c r="BS186" s="512">
        <v>18.0</v>
      </c>
      <c r="BT186" s="512">
        <v>20.0</v>
      </c>
      <c r="BU186" s="512">
        <v>24.0</v>
      </c>
      <c r="BV186" s="512">
        <v>14.0</v>
      </c>
      <c r="BW186" s="512">
        <v>32.0</v>
      </c>
      <c r="BX186" s="512">
        <v>25.0</v>
      </c>
      <c r="BY186" s="512">
        <v>22.0</v>
      </c>
      <c r="BZ186" s="512">
        <v>29.0</v>
      </c>
      <c r="CA186" s="512">
        <v>18.0</v>
      </c>
      <c r="CB186" s="512">
        <v>23.0</v>
      </c>
      <c r="CC186" s="512">
        <v>26.0</v>
      </c>
      <c r="CD186" s="512">
        <v>22.0</v>
      </c>
      <c r="CE186" s="512">
        <v>23.0</v>
      </c>
      <c r="CF186" s="512">
        <v>36.0</v>
      </c>
      <c r="CG186" s="512">
        <v>36.0</v>
      </c>
      <c r="CH186" s="512">
        <v>23.0</v>
      </c>
      <c r="CI186" s="512">
        <v>36.0</v>
      </c>
      <c r="CJ186" s="512">
        <v>37.0</v>
      </c>
      <c r="CK186" s="512">
        <v>20.0</v>
      </c>
      <c r="CL186" s="512">
        <v>36.0</v>
      </c>
      <c r="CM186" s="552">
        <f>SUM(BK186:CL186)/28</f>
        <v>22.17857143</v>
      </c>
      <c r="CN186" s="561">
        <v>27.0</v>
      </c>
      <c r="CO186" s="561">
        <v>20.0</v>
      </c>
      <c r="CP186" s="561">
        <v>45.0</v>
      </c>
      <c r="CQ186" s="561">
        <v>32.0</v>
      </c>
      <c r="CR186" s="561">
        <v>26.0</v>
      </c>
      <c r="CS186" s="561">
        <v>38.0</v>
      </c>
      <c r="CT186" s="561">
        <v>34.0</v>
      </c>
      <c r="CU186" s="561">
        <v>25.0</v>
      </c>
      <c r="CV186" s="561">
        <v>27.0</v>
      </c>
      <c r="CW186" s="561">
        <v>29.0</v>
      </c>
      <c r="CX186" s="561">
        <v>31.0</v>
      </c>
      <c r="CY186" s="561">
        <v>21.0</v>
      </c>
      <c r="CZ186" s="561">
        <v>29.0</v>
      </c>
      <c r="DA186" s="561">
        <v>40.0</v>
      </c>
      <c r="DB186" s="561">
        <v>28.0</v>
      </c>
      <c r="DC186" s="561">
        <v>33.0</v>
      </c>
      <c r="DD186" s="561">
        <v>34.0</v>
      </c>
      <c r="DE186" s="561">
        <v>29.0</v>
      </c>
      <c r="DF186" s="561">
        <v>28.0</v>
      </c>
      <c r="DG186" s="561">
        <v>31.0</v>
      </c>
      <c r="DH186" s="561">
        <v>32.0</v>
      </c>
      <c r="DI186" s="561">
        <v>33.0</v>
      </c>
      <c r="DJ186" s="561">
        <v>23.0</v>
      </c>
      <c r="DK186" s="561">
        <v>38.0</v>
      </c>
      <c r="DL186" s="561">
        <v>22.0</v>
      </c>
      <c r="DM186" s="561">
        <v>16.0</v>
      </c>
      <c r="DN186" s="561">
        <v>28.0</v>
      </c>
      <c r="DO186" s="561">
        <v>26.0</v>
      </c>
      <c r="DP186" s="561">
        <v>37.0</v>
      </c>
      <c r="DQ186" s="561">
        <v>33.0</v>
      </c>
      <c r="DR186" s="561">
        <v>24.0</v>
      </c>
      <c r="DS186" s="520" t="s">
        <v>318</v>
      </c>
      <c r="DU186" s="520">
        <v>0.0</v>
      </c>
      <c r="DV186" s="574">
        <f>DO187</f>
        <v>15.56</v>
      </c>
      <c r="DX186" s="530"/>
    </row>
    <row r="187" hidden="1">
      <c r="A187" s="502" t="s">
        <v>291</v>
      </c>
      <c r="B187" s="525"/>
      <c r="C187" s="525"/>
      <c r="D187" s="525"/>
      <c r="E187" s="525"/>
      <c r="F187" s="525"/>
      <c r="G187" s="525"/>
      <c r="H187" s="525"/>
      <c r="I187" s="525"/>
      <c r="J187" s="525"/>
      <c r="K187" s="525"/>
      <c r="L187" s="525"/>
      <c r="M187" s="525"/>
      <c r="N187" s="525"/>
      <c r="O187" s="525"/>
      <c r="P187" s="525"/>
      <c r="Q187" s="525"/>
      <c r="R187" s="525"/>
      <c r="S187" s="525"/>
      <c r="T187" s="525"/>
      <c r="U187" s="525"/>
      <c r="V187" s="525"/>
      <c r="W187" s="525"/>
      <c r="X187" s="525"/>
      <c r="Y187" s="525"/>
      <c r="Z187" s="525"/>
      <c r="AA187" s="525"/>
      <c r="AB187" s="525"/>
      <c r="AC187" s="525"/>
      <c r="AD187" s="525"/>
      <c r="AE187" s="525"/>
      <c r="AF187" s="525"/>
      <c r="AG187" s="525"/>
      <c r="AH187" s="525"/>
      <c r="AI187" s="525"/>
      <c r="AJ187" s="525"/>
      <c r="AK187" s="525"/>
      <c r="AL187" s="525"/>
      <c r="AM187" s="525"/>
      <c r="AN187" s="525"/>
      <c r="AO187" s="525"/>
      <c r="AP187" s="525"/>
      <c r="AQ187" s="525"/>
      <c r="AR187" s="525"/>
      <c r="AS187" s="525"/>
      <c r="AT187" s="525"/>
      <c r="AU187" s="525"/>
      <c r="AV187" s="525"/>
      <c r="AW187" s="525"/>
      <c r="AX187" s="525"/>
      <c r="AY187" s="525"/>
      <c r="AZ187" s="525"/>
      <c r="BA187" s="525"/>
      <c r="BB187" s="525"/>
      <c r="BC187" s="525"/>
      <c r="BD187" s="525"/>
      <c r="BE187" s="525"/>
      <c r="BF187" s="525"/>
      <c r="BG187" s="525"/>
      <c r="BH187" s="525"/>
      <c r="BI187" s="525"/>
      <c r="BJ187" s="525"/>
      <c r="BK187" s="529">
        <v>10.85</v>
      </c>
      <c r="BL187" s="529">
        <v>8.12</v>
      </c>
      <c r="BM187" s="529">
        <v>8.91</v>
      </c>
      <c r="BN187" s="529">
        <v>12.38</v>
      </c>
      <c r="BO187" s="529">
        <v>10.65</v>
      </c>
      <c r="BP187" s="529">
        <v>10.65</v>
      </c>
      <c r="BQ187" s="529">
        <v>11.69</v>
      </c>
      <c r="BR187" s="529">
        <v>13.24</v>
      </c>
      <c r="BS187" s="529">
        <v>20.49</v>
      </c>
      <c r="BT187" s="529">
        <v>9.99</v>
      </c>
      <c r="BU187" s="529">
        <v>18.07</v>
      </c>
      <c r="BV187" s="529">
        <v>2.6</v>
      </c>
      <c r="BW187" s="529">
        <v>15.52</v>
      </c>
      <c r="BX187" s="529">
        <v>-84.66</v>
      </c>
      <c r="BY187" s="529">
        <v>-0.49</v>
      </c>
      <c r="BZ187" s="529">
        <v>29.94</v>
      </c>
      <c r="CA187" s="529">
        <v>10.04</v>
      </c>
      <c r="CB187" s="529">
        <v>12.42</v>
      </c>
      <c r="CC187" s="529">
        <v>-21.42</v>
      </c>
      <c r="CD187" s="529">
        <v>18.39</v>
      </c>
      <c r="CE187" s="529">
        <v>14.56</v>
      </c>
      <c r="CF187" s="529">
        <v>-79.95</v>
      </c>
      <c r="CG187" s="529">
        <v>34.0</v>
      </c>
      <c r="CH187" s="529">
        <v>39.31</v>
      </c>
      <c r="CI187" s="529">
        <v>25.66</v>
      </c>
      <c r="CJ187" s="529">
        <v>-74.91</v>
      </c>
      <c r="CK187" s="529">
        <v>-183.09</v>
      </c>
      <c r="CL187" s="529">
        <v>-114.25</v>
      </c>
      <c r="CM187" s="529"/>
      <c r="CN187" s="537">
        <v>22.68</v>
      </c>
      <c r="CO187" s="537">
        <v>22.16</v>
      </c>
      <c r="CP187" s="537">
        <v>43.01</v>
      </c>
      <c r="CQ187" s="537">
        <v>16.92</v>
      </c>
      <c r="CR187" s="537">
        <v>14.13</v>
      </c>
      <c r="CS187" s="537">
        <v>33.92</v>
      </c>
      <c r="CT187" s="537">
        <v>32.86</v>
      </c>
      <c r="CU187" s="537">
        <v>20.92</v>
      </c>
      <c r="CV187" s="512">
        <v>25.23</v>
      </c>
      <c r="CW187" s="537">
        <v>23.35</v>
      </c>
      <c r="CX187" s="537">
        <v>37.79</v>
      </c>
      <c r="CY187" s="537">
        <v>31.7</v>
      </c>
      <c r="CZ187" s="537">
        <v>36.6</v>
      </c>
      <c r="DA187" s="537">
        <v>27.92</v>
      </c>
      <c r="DB187" s="537">
        <v>21.44</v>
      </c>
      <c r="DC187" s="537">
        <v>23.13</v>
      </c>
      <c r="DD187" s="537">
        <v>26.3</v>
      </c>
      <c r="DE187" s="537">
        <v>36.91</v>
      </c>
      <c r="DF187" s="537">
        <v>31.71</v>
      </c>
      <c r="DG187" s="537">
        <v>47.15</v>
      </c>
      <c r="DH187" s="537">
        <v>25.63</v>
      </c>
      <c r="DI187" s="537">
        <v>22.18</v>
      </c>
      <c r="DJ187" s="537">
        <v>28.87</v>
      </c>
      <c r="DK187" s="537">
        <v>22.76</v>
      </c>
      <c r="DL187" s="537">
        <v>-179.31</v>
      </c>
      <c r="DM187" s="537">
        <v>-100.6</v>
      </c>
      <c r="DN187" s="537">
        <v>22.39</v>
      </c>
      <c r="DO187" s="537">
        <v>15.56</v>
      </c>
      <c r="DP187" s="537">
        <v>32.66</v>
      </c>
      <c r="DQ187" s="537">
        <v>24.49</v>
      </c>
      <c r="DR187" s="537">
        <v>22.08</v>
      </c>
      <c r="DX187" s="530"/>
    </row>
    <row r="188" hidden="1">
      <c r="A188" s="531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X188" s="530"/>
    </row>
    <row r="189" hidden="1">
      <c r="A189" s="531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5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5"/>
      <c r="DL189" s="10"/>
      <c r="DM189" s="10"/>
      <c r="DN189" s="10"/>
      <c r="DO189" s="10"/>
      <c r="DP189" s="10"/>
      <c r="DQ189" s="10"/>
      <c r="DR189" s="10"/>
      <c r="DX189" s="530"/>
    </row>
    <row r="190" hidden="1">
      <c r="A190" s="500" t="s">
        <v>49</v>
      </c>
      <c r="CN190" s="105" t="s">
        <v>107</v>
      </c>
      <c r="CO190" s="105" t="s">
        <v>324</v>
      </c>
      <c r="CP190" s="105" t="s">
        <v>324</v>
      </c>
      <c r="CQ190" s="105" t="s">
        <v>107</v>
      </c>
      <c r="CR190" s="105" t="s">
        <v>107</v>
      </c>
      <c r="CS190" s="105" t="s">
        <v>324</v>
      </c>
      <c r="CT190" s="105" t="s">
        <v>324</v>
      </c>
      <c r="CU190" s="105" t="s">
        <v>107</v>
      </c>
      <c r="CV190" s="105" t="s">
        <v>107</v>
      </c>
      <c r="CW190" s="105" t="s">
        <v>324</v>
      </c>
      <c r="CX190" s="105" t="s">
        <v>324</v>
      </c>
      <c r="CY190" s="105" t="s">
        <v>107</v>
      </c>
      <c r="CZ190" s="105" t="s">
        <v>107</v>
      </c>
      <c r="DA190" s="105" t="s">
        <v>324</v>
      </c>
      <c r="DB190" s="105" t="s">
        <v>324</v>
      </c>
      <c r="DC190" s="105" t="s">
        <v>107</v>
      </c>
      <c r="DD190" s="105" t="s">
        <v>107</v>
      </c>
      <c r="DE190" s="105" t="s">
        <v>324</v>
      </c>
      <c r="DF190" s="105" t="s">
        <v>324</v>
      </c>
      <c r="DG190" s="105" t="s">
        <v>107</v>
      </c>
      <c r="DH190" s="105" t="s">
        <v>107</v>
      </c>
      <c r="DI190" s="105" t="s">
        <v>324</v>
      </c>
      <c r="DJ190" s="105" t="s">
        <v>324</v>
      </c>
      <c r="DK190" s="105" t="s">
        <v>324</v>
      </c>
      <c r="DL190" s="105" t="s">
        <v>325</v>
      </c>
      <c r="DM190" s="105" t="s">
        <v>325</v>
      </c>
      <c r="DN190" s="105" t="s">
        <v>303</v>
      </c>
      <c r="DO190" s="105" t="s">
        <v>303</v>
      </c>
      <c r="DP190" s="105" t="s">
        <v>326</v>
      </c>
      <c r="DQ190" s="105" t="s">
        <v>300</v>
      </c>
      <c r="DR190" s="105" t="s">
        <v>303</v>
      </c>
      <c r="DU190" s="520" t="s">
        <v>305</v>
      </c>
      <c r="DV190" s="520" t="s">
        <v>306</v>
      </c>
      <c r="DX190" s="530"/>
    </row>
    <row r="191" hidden="1">
      <c r="A191" s="502" t="s">
        <v>288</v>
      </c>
      <c r="CN191" s="541">
        <v>45839.0</v>
      </c>
      <c r="CO191" s="541">
        <v>45840.0</v>
      </c>
      <c r="CP191" s="541">
        <v>45841.0</v>
      </c>
      <c r="CQ191" s="541">
        <v>45842.0</v>
      </c>
      <c r="CR191" s="541">
        <v>45843.0</v>
      </c>
      <c r="CS191" s="541">
        <v>45844.0</v>
      </c>
      <c r="CT191" s="541">
        <v>45845.0</v>
      </c>
      <c r="CU191" s="541">
        <v>45846.0</v>
      </c>
      <c r="CV191" s="541">
        <v>45847.0</v>
      </c>
      <c r="CW191" s="541">
        <v>45848.0</v>
      </c>
      <c r="CX191" s="541">
        <v>45849.0</v>
      </c>
      <c r="CY191" s="541">
        <v>45850.0</v>
      </c>
      <c r="CZ191" s="541">
        <v>45851.0</v>
      </c>
      <c r="DA191" s="541">
        <v>45852.0</v>
      </c>
      <c r="DB191" s="541">
        <v>45853.0</v>
      </c>
      <c r="DC191" s="541">
        <v>45854.0</v>
      </c>
      <c r="DD191" s="541">
        <v>45855.0</v>
      </c>
      <c r="DE191" s="541">
        <v>45856.0</v>
      </c>
      <c r="DF191" s="541">
        <v>45857.0</v>
      </c>
      <c r="DG191" s="541">
        <v>45858.0</v>
      </c>
      <c r="DH191" s="541">
        <v>45859.0</v>
      </c>
      <c r="DI191" s="541">
        <v>45860.0</v>
      </c>
      <c r="DJ191" s="541">
        <v>45861.0</v>
      </c>
      <c r="DK191" s="541">
        <v>45862.0</v>
      </c>
      <c r="DL191" s="541">
        <v>45863.0</v>
      </c>
      <c r="DM191" s="541">
        <v>45864.0</v>
      </c>
      <c r="DN191" s="541">
        <v>45865.0</v>
      </c>
      <c r="DO191" s="541">
        <v>45866.0</v>
      </c>
      <c r="DP191" s="541">
        <v>45867.0</v>
      </c>
      <c r="DQ191" s="541">
        <v>45868.0</v>
      </c>
      <c r="DR191" s="541">
        <v>45869.0</v>
      </c>
      <c r="DS191" s="520" t="s">
        <v>327</v>
      </c>
      <c r="DU191" s="574">
        <f>100</f>
        <v>100</v>
      </c>
      <c r="DV191" s="574">
        <f>DE194+DF194+DI194+DJ194+DK194+DL194+DM194</f>
        <v>-228.84</v>
      </c>
      <c r="DX191" s="530"/>
    </row>
    <row r="192" hidden="1">
      <c r="A192" s="502" t="s">
        <v>289</v>
      </c>
      <c r="CN192" s="561">
        <v>87.0</v>
      </c>
      <c r="CO192" s="561">
        <v>67.0</v>
      </c>
      <c r="CP192" s="561">
        <v>163.0</v>
      </c>
      <c r="CQ192" s="561">
        <v>71.0</v>
      </c>
      <c r="CR192" s="561">
        <v>46.0</v>
      </c>
      <c r="CS192" s="561">
        <v>97.0</v>
      </c>
      <c r="CT192" s="561">
        <v>69.0</v>
      </c>
      <c r="CU192" s="561">
        <v>71.0</v>
      </c>
      <c r="CV192" s="561">
        <v>72.0</v>
      </c>
      <c r="CW192" s="561">
        <v>105.0</v>
      </c>
      <c r="CX192" s="561">
        <v>102.0</v>
      </c>
      <c r="CY192" s="561">
        <v>102.0</v>
      </c>
      <c r="CZ192" s="561">
        <v>102.0</v>
      </c>
      <c r="DA192" s="561">
        <v>70.0</v>
      </c>
      <c r="DB192" s="561">
        <v>91.0</v>
      </c>
      <c r="DC192" s="561">
        <v>108.0</v>
      </c>
      <c r="DD192" s="561">
        <v>88.0</v>
      </c>
      <c r="DE192" s="561">
        <v>118.0</v>
      </c>
      <c r="DF192" s="561">
        <v>98.0</v>
      </c>
      <c r="DG192" s="561">
        <v>86.0</v>
      </c>
      <c r="DH192" s="561">
        <v>93.0</v>
      </c>
      <c r="DI192" s="561">
        <v>91.0</v>
      </c>
      <c r="DJ192" s="561">
        <v>62.0</v>
      </c>
      <c r="DK192" s="561">
        <v>99.0</v>
      </c>
      <c r="DL192" s="561"/>
      <c r="DM192" s="561">
        <v>60.0</v>
      </c>
      <c r="DN192" s="561">
        <v>100.0</v>
      </c>
      <c r="DO192" s="561">
        <v>120.0</v>
      </c>
      <c r="DP192" s="561">
        <v>100.0</v>
      </c>
      <c r="DQ192" s="561">
        <v>79.0</v>
      </c>
      <c r="DR192" s="561">
        <v>100.0</v>
      </c>
      <c r="DS192" s="520" t="s">
        <v>328</v>
      </c>
      <c r="DU192" s="520">
        <v>100.0</v>
      </c>
      <c r="DV192" s="574">
        <f>DC194+DD194+DG194+DH194</f>
        <v>144.6</v>
      </c>
      <c r="DX192" s="530"/>
    </row>
    <row r="193" hidden="1">
      <c r="A193" s="521" t="s">
        <v>290</v>
      </c>
      <c r="CN193" s="561">
        <v>35.0</v>
      </c>
      <c r="CO193" s="561">
        <v>35.0</v>
      </c>
      <c r="CP193" s="561">
        <v>45.0</v>
      </c>
      <c r="CQ193" s="561">
        <v>32.0</v>
      </c>
      <c r="CR193" s="561">
        <v>27.0</v>
      </c>
      <c r="CS193" s="561">
        <v>29.0</v>
      </c>
      <c r="CT193" s="561">
        <v>38.0</v>
      </c>
      <c r="CU193" s="561">
        <v>31.0</v>
      </c>
      <c r="CV193" s="561">
        <v>28.0</v>
      </c>
      <c r="CW193" s="561">
        <v>40.0</v>
      </c>
      <c r="CX193" s="561">
        <v>37.0</v>
      </c>
      <c r="CY193" s="561">
        <v>30.0</v>
      </c>
      <c r="CZ193" s="561">
        <v>36.0</v>
      </c>
      <c r="DA193" s="561">
        <v>33.0</v>
      </c>
      <c r="DB193" s="561">
        <v>36.0</v>
      </c>
      <c r="DC193" s="561">
        <v>42.0</v>
      </c>
      <c r="DD193" s="561">
        <v>33.0</v>
      </c>
      <c r="DE193" s="561">
        <v>41.0</v>
      </c>
      <c r="DF193" s="561">
        <v>31.0</v>
      </c>
      <c r="DG193" s="561">
        <v>38.0</v>
      </c>
      <c r="DH193" s="561">
        <v>36.0</v>
      </c>
      <c r="DI193" s="561">
        <v>40.0</v>
      </c>
      <c r="DJ193" s="561">
        <v>28.0</v>
      </c>
      <c r="DK193" s="561">
        <v>42.0</v>
      </c>
      <c r="DL193" s="561"/>
      <c r="DM193" s="561">
        <v>29.0</v>
      </c>
      <c r="DN193" s="561">
        <v>36.0</v>
      </c>
      <c r="DO193" s="561">
        <v>40.0</v>
      </c>
      <c r="DP193" s="561">
        <v>40.0</v>
      </c>
      <c r="DQ193" s="561">
        <v>30.0</v>
      </c>
      <c r="DR193" s="561">
        <v>43.0</v>
      </c>
      <c r="DS193" s="520" t="s">
        <v>315</v>
      </c>
      <c r="DU193" s="520">
        <v>0.0</v>
      </c>
      <c r="DV193" s="574">
        <f>DQ194</f>
        <v>25.66</v>
      </c>
      <c r="DX193" s="530"/>
    </row>
    <row r="194" hidden="1">
      <c r="A194" s="502" t="s">
        <v>291</v>
      </c>
      <c r="CN194" s="537">
        <v>31.62</v>
      </c>
      <c r="CO194" s="537">
        <v>36.44</v>
      </c>
      <c r="CP194" s="537">
        <v>-120.57</v>
      </c>
      <c r="CQ194" s="537">
        <v>-44.03</v>
      </c>
      <c r="CR194" s="537">
        <v>34.49</v>
      </c>
      <c r="CS194" s="537">
        <v>32.98</v>
      </c>
      <c r="CT194" s="537">
        <v>22.48</v>
      </c>
      <c r="CU194" s="537">
        <v>25.91</v>
      </c>
      <c r="CV194" s="512">
        <v>30.06</v>
      </c>
      <c r="CW194" s="537">
        <v>26.92</v>
      </c>
      <c r="CX194" s="537">
        <v>47.72</v>
      </c>
      <c r="CY194" s="537">
        <v>29.01</v>
      </c>
      <c r="CZ194" s="537">
        <v>32.17</v>
      </c>
      <c r="DA194" s="513">
        <v>21.15</v>
      </c>
      <c r="DB194" s="537">
        <v>29.46</v>
      </c>
      <c r="DC194" s="537">
        <v>28.16</v>
      </c>
      <c r="DD194" s="537">
        <v>48.89</v>
      </c>
      <c r="DE194" s="537">
        <v>44.58</v>
      </c>
      <c r="DF194" s="537">
        <v>35.27</v>
      </c>
      <c r="DG194" s="537">
        <v>26.58</v>
      </c>
      <c r="DH194" s="537">
        <v>40.97</v>
      </c>
      <c r="DI194" s="537">
        <v>-129.25</v>
      </c>
      <c r="DJ194" s="537">
        <v>21.09</v>
      </c>
      <c r="DK194" s="537">
        <v>25.4</v>
      </c>
      <c r="DL194" s="537">
        <v>-105.54</v>
      </c>
      <c r="DM194" s="537">
        <v>-120.39</v>
      </c>
      <c r="DN194" s="537">
        <v>37.12</v>
      </c>
      <c r="DO194" s="537"/>
      <c r="DP194" s="537">
        <v>-136.88</v>
      </c>
      <c r="DQ194" s="537">
        <v>25.66</v>
      </c>
      <c r="DR194" s="537"/>
      <c r="DS194" s="520" t="s">
        <v>309</v>
      </c>
      <c r="DU194" s="574">
        <f>100*3</f>
        <v>300</v>
      </c>
      <c r="DV194" s="574">
        <f>DR194+DO194+DN194</f>
        <v>37.12</v>
      </c>
      <c r="DX194" s="530"/>
    </row>
    <row r="195" hidden="1">
      <c r="A195" s="531"/>
      <c r="DS195" s="520" t="s">
        <v>326</v>
      </c>
      <c r="DU195" s="520">
        <v>100.0</v>
      </c>
      <c r="DV195" s="574">
        <f>DP194</f>
        <v>-136.88</v>
      </c>
      <c r="DX195" s="530"/>
    </row>
    <row r="196" hidden="1">
      <c r="A196" s="531"/>
      <c r="DX196" s="530"/>
    </row>
    <row r="197" hidden="1">
      <c r="A197" s="573" t="s">
        <v>329</v>
      </c>
      <c r="DX197" s="530"/>
    </row>
    <row r="198" hidden="1">
      <c r="A198" s="500" t="s">
        <v>2</v>
      </c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18"/>
      <c r="AV198" s="118"/>
      <c r="AW198" s="118"/>
      <c r="AX198" s="118"/>
      <c r="AY198" s="118"/>
      <c r="AZ198" s="118"/>
      <c r="BA198" s="118"/>
      <c r="BB198" s="118"/>
      <c r="BC198" s="118"/>
      <c r="BD198" s="118"/>
      <c r="BE198" s="118"/>
      <c r="BF198" s="118"/>
      <c r="BG198" s="118"/>
      <c r="BH198" s="118"/>
      <c r="BI198" s="118"/>
      <c r="BJ198" s="118"/>
      <c r="BK198" s="118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546" t="s">
        <v>302</v>
      </c>
      <c r="CO198" s="546" t="s">
        <v>303</v>
      </c>
      <c r="CP198" s="546" t="s">
        <v>303</v>
      </c>
      <c r="CQ198" s="546" t="s">
        <v>302</v>
      </c>
      <c r="CR198" s="546" t="s">
        <v>302</v>
      </c>
      <c r="CS198" s="546" t="s">
        <v>303</v>
      </c>
      <c r="CT198" s="546" t="s">
        <v>303</v>
      </c>
      <c r="CU198" s="546" t="s">
        <v>302</v>
      </c>
      <c r="CV198" s="546" t="s">
        <v>330</v>
      </c>
      <c r="CW198" s="546" t="s">
        <v>303</v>
      </c>
      <c r="CX198" s="546" t="s">
        <v>303</v>
      </c>
      <c r="CY198" s="546" t="s">
        <v>302</v>
      </c>
      <c r="CZ198" s="546" t="s">
        <v>302</v>
      </c>
      <c r="DA198" s="546" t="s">
        <v>303</v>
      </c>
      <c r="DB198" s="546" t="s">
        <v>303</v>
      </c>
      <c r="DC198" s="546" t="s">
        <v>65</v>
      </c>
      <c r="DD198" s="546" t="s">
        <v>302</v>
      </c>
      <c r="DE198" s="546" t="s">
        <v>303</v>
      </c>
      <c r="DF198" s="546" t="s">
        <v>303</v>
      </c>
      <c r="DG198" s="546" t="s">
        <v>302</v>
      </c>
      <c r="DH198" s="546" t="s">
        <v>302</v>
      </c>
      <c r="DI198" s="546" t="s">
        <v>331</v>
      </c>
      <c r="DJ198" s="546" t="s">
        <v>303</v>
      </c>
      <c r="DK198" s="546" t="s">
        <v>302</v>
      </c>
      <c r="DL198" s="546" t="s">
        <v>302</v>
      </c>
      <c r="DM198" s="546" t="s">
        <v>303</v>
      </c>
      <c r="DN198" s="546" t="s">
        <v>303</v>
      </c>
      <c r="DO198" s="546" t="s">
        <v>302</v>
      </c>
      <c r="DP198" s="546" t="s">
        <v>302</v>
      </c>
      <c r="DQ198" s="546" t="s">
        <v>303</v>
      </c>
      <c r="DR198" s="546" t="s">
        <v>303</v>
      </c>
      <c r="DT198" s="520" t="s">
        <v>306</v>
      </c>
      <c r="DU198" s="520" t="s">
        <v>332</v>
      </c>
      <c r="DX198" s="530"/>
    </row>
    <row r="199" hidden="1">
      <c r="A199" s="502" t="s">
        <v>288</v>
      </c>
      <c r="B199" s="525"/>
      <c r="C199" s="525"/>
      <c r="D199" s="525"/>
      <c r="E199" s="525"/>
      <c r="F199" s="525"/>
      <c r="G199" s="525"/>
      <c r="H199" s="525"/>
      <c r="I199" s="525"/>
      <c r="J199" s="525"/>
      <c r="K199" s="525"/>
      <c r="L199" s="525"/>
      <c r="M199" s="525"/>
      <c r="N199" s="525"/>
      <c r="O199" s="525"/>
      <c r="P199" s="525"/>
      <c r="Q199" s="525"/>
      <c r="R199" s="525"/>
      <c r="S199" s="525"/>
      <c r="T199" s="525"/>
      <c r="U199" s="525"/>
      <c r="V199" s="525"/>
      <c r="W199" s="525"/>
      <c r="X199" s="525"/>
      <c r="Y199" s="525"/>
      <c r="Z199" s="525"/>
      <c r="AA199" s="525"/>
      <c r="AB199" s="525"/>
      <c r="AC199" s="525"/>
      <c r="AD199" s="525"/>
      <c r="AE199" s="525"/>
      <c r="AF199" s="525"/>
      <c r="AG199" s="525"/>
      <c r="AH199" s="525"/>
      <c r="AI199" s="525"/>
      <c r="AJ199" s="525"/>
      <c r="AK199" s="525"/>
      <c r="AL199" s="525"/>
      <c r="AM199" s="525"/>
      <c r="AN199" s="525"/>
      <c r="AO199" s="525"/>
      <c r="AP199" s="525"/>
      <c r="AQ199" s="525"/>
      <c r="AR199" s="525"/>
      <c r="AS199" s="525"/>
      <c r="AT199" s="525"/>
      <c r="AU199" s="525"/>
      <c r="AV199" s="525"/>
      <c r="AW199" s="525"/>
      <c r="AX199" s="525"/>
      <c r="AY199" s="525"/>
      <c r="AZ199" s="525"/>
      <c r="BA199" s="525"/>
      <c r="BB199" s="525"/>
      <c r="BC199" s="525"/>
      <c r="BD199" s="525"/>
      <c r="BE199" s="525"/>
      <c r="BF199" s="525"/>
      <c r="BG199" s="525"/>
      <c r="BH199" s="525"/>
      <c r="BI199" s="525"/>
      <c r="BJ199" s="525"/>
      <c r="BK199" s="541">
        <v>45689.0</v>
      </c>
      <c r="BL199" s="541">
        <v>45690.0</v>
      </c>
      <c r="BM199" s="541">
        <v>45691.0</v>
      </c>
      <c r="BN199" s="541">
        <v>45692.0</v>
      </c>
      <c r="BO199" s="541">
        <v>45693.0</v>
      </c>
      <c r="BP199" s="541">
        <v>45694.0</v>
      </c>
      <c r="BQ199" s="541">
        <v>45695.0</v>
      </c>
      <c r="BR199" s="541">
        <v>45696.0</v>
      </c>
      <c r="BS199" s="541">
        <v>45697.0</v>
      </c>
      <c r="BT199" s="541">
        <v>45698.0</v>
      </c>
      <c r="BU199" s="541">
        <v>45699.0</v>
      </c>
      <c r="BV199" s="541">
        <v>45700.0</v>
      </c>
      <c r="BW199" s="541">
        <v>45701.0</v>
      </c>
      <c r="BX199" s="541">
        <v>45702.0</v>
      </c>
      <c r="BY199" s="541">
        <v>45703.0</v>
      </c>
      <c r="BZ199" s="541">
        <v>45704.0</v>
      </c>
      <c r="CA199" s="541">
        <v>45705.0</v>
      </c>
      <c r="CB199" s="541">
        <v>45706.0</v>
      </c>
      <c r="CC199" s="541">
        <v>45707.0</v>
      </c>
      <c r="CD199" s="541">
        <v>45708.0</v>
      </c>
      <c r="CE199" s="541">
        <v>45709.0</v>
      </c>
      <c r="CF199" s="541">
        <v>45710.0</v>
      </c>
      <c r="CG199" s="541">
        <v>45711.0</v>
      </c>
      <c r="CH199" s="541">
        <v>45712.0</v>
      </c>
      <c r="CI199" s="541">
        <v>45713.0</v>
      </c>
      <c r="CJ199" s="541">
        <v>45714.0</v>
      </c>
      <c r="CK199" s="541">
        <v>45715.0</v>
      </c>
      <c r="CL199" s="541">
        <v>45716.0</v>
      </c>
      <c r="CM199" s="541"/>
      <c r="CN199" s="541">
        <v>45870.0</v>
      </c>
      <c r="CO199" s="541">
        <v>45871.0</v>
      </c>
      <c r="CP199" s="541">
        <v>45872.0</v>
      </c>
      <c r="CQ199" s="541">
        <v>45873.0</v>
      </c>
      <c r="CR199" s="541">
        <v>45874.0</v>
      </c>
      <c r="CS199" s="541">
        <v>45875.0</v>
      </c>
      <c r="CT199" s="541">
        <v>45876.0</v>
      </c>
      <c r="CU199" s="541">
        <v>45877.0</v>
      </c>
      <c r="CV199" s="541">
        <v>45878.0</v>
      </c>
      <c r="CW199" s="541">
        <v>45879.0</v>
      </c>
      <c r="CX199" s="541">
        <v>45880.0</v>
      </c>
      <c r="CY199" s="541">
        <v>45881.0</v>
      </c>
      <c r="CZ199" s="541">
        <v>45882.0</v>
      </c>
      <c r="DA199" s="541">
        <v>45883.0</v>
      </c>
      <c r="DB199" s="541">
        <v>45884.0</v>
      </c>
      <c r="DC199" s="541">
        <v>45885.0</v>
      </c>
      <c r="DD199" s="541">
        <v>45886.0</v>
      </c>
      <c r="DE199" s="541">
        <v>45887.0</v>
      </c>
      <c r="DF199" s="541">
        <v>45888.0</v>
      </c>
      <c r="DG199" s="541">
        <v>45889.0</v>
      </c>
      <c r="DH199" s="541">
        <v>45890.0</v>
      </c>
      <c r="DI199" s="541">
        <v>45891.0</v>
      </c>
      <c r="DJ199" s="541">
        <v>45892.0</v>
      </c>
      <c r="DK199" s="541">
        <v>45893.0</v>
      </c>
      <c r="DL199" s="541">
        <v>45894.0</v>
      </c>
      <c r="DM199" s="541">
        <v>45895.0</v>
      </c>
      <c r="DN199" s="541">
        <v>45896.0</v>
      </c>
      <c r="DO199" s="541">
        <v>45897.0</v>
      </c>
      <c r="DP199" s="541">
        <v>45898.0</v>
      </c>
      <c r="DQ199" s="541">
        <v>45899.0</v>
      </c>
      <c r="DR199" s="541">
        <v>45900.0</v>
      </c>
      <c r="DS199" s="520" t="s">
        <v>308</v>
      </c>
      <c r="DT199" s="574">
        <f>DD202+DG202+DH202+DK202+DL202+DO202+DP202</f>
        <v>503.44</v>
      </c>
      <c r="DU199" s="574">
        <f>100*9</f>
        <v>900</v>
      </c>
      <c r="DX199" s="530"/>
    </row>
    <row r="200" hidden="1">
      <c r="A200" s="502" t="s">
        <v>289</v>
      </c>
      <c r="B200" s="525"/>
      <c r="C200" s="525"/>
      <c r="D200" s="525"/>
      <c r="E200" s="525"/>
      <c r="F200" s="525"/>
      <c r="G200" s="525"/>
      <c r="H200" s="525"/>
      <c r="I200" s="525"/>
      <c r="J200" s="525"/>
      <c r="K200" s="525"/>
      <c r="L200" s="525"/>
      <c r="M200" s="525"/>
      <c r="N200" s="525"/>
      <c r="O200" s="525"/>
      <c r="P200" s="525"/>
      <c r="Q200" s="525"/>
      <c r="R200" s="525"/>
      <c r="S200" s="525"/>
      <c r="T200" s="525"/>
      <c r="U200" s="525"/>
      <c r="V200" s="525"/>
      <c r="W200" s="525"/>
      <c r="X200" s="525"/>
      <c r="Y200" s="525"/>
      <c r="Z200" s="525"/>
      <c r="AA200" s="525"/>
      <c r="AB200" s="525"/>
      <c r="AC200" s="525"/>
      <c r="AD200" s="525"/>
      <c r="AE200" s="525"/>
      <c r="AF200" s="525"/>
      <c r="AG200" s="525"/>
      <c r="AH200" s="525"/>
      <c r="AI200" s="525"/>
      <c r="AJ200" s="525"/>
      <c r="AK200" s="525"/>
      <c r="AL200" s="525"/>
      <c r="AM200" s="525"/>
      <c r="AN200" s="525"/>
      <c r="AO200" s="525"/>
      <c r="AP200" s="525"/>
      <c r="AQ200" s="525"/>
      <c r="AR200" s="525"/>
      <c r="AS200" s="525"/>
      <c r="AT200" s="525"/>
      <c r="AU200" s="525"/>
      <c r="AV200" s="525"/>
      <c r="AW200" s="525"/>
      <c r="AX200" s="525"/>
      <c r="AY200" s="525"/>
      <c r="AZ200" s="525"/>
      <c r="BA200" s="525"/>
      <c r="BB200" s="525"/>
      <c r="BC200" s="525"/>
      <c r="BD200" s="525"/>
      <c r="BE200" s="525"/>
      <c r="BF200" s="525"/>
      <c r="BG200" s="525"/>
      <c r="BH200" s="525"/>
      <c r="BI200" s="525"/>
      <c r="BJ200" s="525"/>
      <c r="BK200" s="512">
        <v>67.0</v>
      </c>
      <c r="BL200" s="512">
        <v>133.0</v>
      </c>
      <c r="BM200" s="525"/>
      <c r="BN200" s="512">
        <v>100.0</v>
      </c>
      <c r="BO200" s="512">
        <v>130.0</v>
      </c>
      <c r="BP200" s="512">
        <v>162.0</v>
      </c>
      <c r="BQ200" s="512">
        <v>219.0</v>
      </c>
      <c r="BR200" s="512">
        <v>120.0</v>
      </c>
      <c r="BS200" s="512">
        <v>198.0</v>
      </c>
      <c r="BT200" s="512">
        <v>128.0</v>
      </c>
      <c r="BU200" s="512">
        <v>214.0</v>
      </c>
      <c r="BV200" s="512">
        <v>159.0</v>
      </c>
      <c r="BW200" s="512">
        <v>159.0</v>
      </c>
      <c r="BX200" s="512">
        <v>148.0</v>
      </c>
      <c r="BY200" s="512">
        <v>141.0</v>
      </c>
      <c r="BZ200" s="512">
        <v>125.0</v>
      </c>
      <c r="CA200" s="512">
        <v>160.0</v>
      </c>
      <c r="CB200" s="512">
        <v>188.0</v>
      </c>
      <c r="CC200" s="512">
        <v>189.0</v>
      </c>
      <c r="CD200" s="512">
        <v>177.0</v>
      </c>
      <c r="CE200" s="512">
        <v>175.0</v>
      </c>
      <c r="CF200" s="512">
        <v>172.0</v>
      </c>
      <c r="CG200" s="512">
        <v>204.0</v>
      </c>
      <c r="CH200" s="512">
        <v>198.0</v>
      </c>
      <c r="CI200" s="512">
        <v>163.0</v>
      </c>
      <c r="CJ200" s="512">
        <v>177.0</v>
      </c>
      <c r="CK200" s="512">
        <v>156.0</v>
      </c>
      <c r="CL200" s="512">
        <v>177.0</v>
      </c>
      <c r="CM200" s="512"/>
      <c r="CN200" s="561">
        <v>145.0</v>
      </c>
      <c r="CO200" s="561">
        <v>101.0</v>
      </c>
      <c r="CP200" s="561">
        <v>104.0</v>
      </c>
      <c r="CQ200" s="561">
        <v>108.0</v>
      </c>
      <c r="CR200" s="561">
        <v>128.0</v>
      </c>
      <c r="CS200" s="561">
        <v>115.0</v>
      </c>
      <c r="CT200" s="561">
        <v>129.0</v>
      </c>
      <c r="CU200" s="561">
        <v>170.0</v>
      </c>
      <c r="CV200" s="561">
        <v>63.0</v>
      </c>
      <c r="CW200" s="561">
        <v>148.0</v>
      </c>
      <c r="CX200" s="561">
        <v>134.0</v>
      </c>
      <c r="CY200" s="561">
        <v>171.0</v>
      </c>
      <c r="CZ200" s="561">
        <v>163.0</v>
      </c>
      <c r="DA200" s="561">
        <v>152.0</v>
      </c>
      <c r="DB200" s="561">
        <v>222.0</v>
      </c>
      <c r="DC200" s="561">
        <v>112.0</v>
      </c>
      <c r="DD200" s="561">
        <v>240.0</v>
      </c>
      <c r="DE200" s="561">
        <v>126.0</v>
      </c>
      <c r="DF200" s="561">
        <v>159.0</v>
      </c>
      <c r="DG200" s="561">
        <v>154.0</v>
      </c>
      <c r="DH200" s="561">
        <v>211.0</v>
      </c>
      <c r="DI200" s="561">
        <v>187.0</v>
      </c>
      <c r="DJ200" s="561">
        <v>186.0</v>
      </c>
      <c r="DK200" s="561">
        <v>182.0</v>
      </c>
      <c r="DL200" s="561">
        <v>187.0</v>
      </c>
      <c r="DM200" s="561">
        <v>129.0</v>
      </c>
      <c r="DN200" s="561">
        <v>115.0</v>
      </c>
      <c r="DO200" s="561">
        <v>147.0</v>
      </c>
      <c r="DP200" s="561">
        <v>142.0</v>
      </c>
      <c r="DQ200" s="561">
        <v>138.0</v>
      </c>
      <c r="DR200" s="561">
        <v>140.0</v>
      </c>
      <c r="DS200" s="520" t="s">
        <v>307</v>
      </c>
      <c r="DT200" s="574">
        <f>DE202+DF202+DJ202+DM202+DN202+DQ202+DR202</f>
        <v>337.32</v>
      </c>
      <c r="DU200" s="574">
        <f>100*7</f>
        <v>700</v>
      </c>
      <c r="DX200" s="530"/>
    </row>
    <row r="201" hidden="1">
      <c r="A201" s="521" t="s">
        <v>333</v>
      </c>
      <c r="B201" s="525"/>
      <c r="C201" s="525"/>
      <c r="D201" s="525"/>
      <c r="E201" s="525"/>
      <c r="F201" s="525"/>
      <c r="G201" s="525"/>
      <c r="H201" s="525"/>
      <c r="I201" s="525"/>
      <c r="J201" s="525"/>
      <c r="K201" s="525"/>
      <c r="L201" s="525"/>
      <c r="M201" s="525"/>
      <c r="N201" s="525"/>
      <c r="O201" s="525"/>
      <c r="P201" s="525"/>
      <c r="Q201" s="525"/>
      <c r="R201" s="525"/>
      <c r="S201" s="525"/>
      <c r="T201" s="525"/>
      <c r="U201" s="525"/>
      <c r="V201" s="525"/>
      <c r="W201" s="525"/>
      <c r="X201" s="525"/>
      <c r="Y201" s="525"/>
      <c r="Z201" s="525"/>
      <c r="AA201" s="525"/>
      <c r="AB201" s="525"/>
      <c r="AC201" s="525"/>
      <c r="AD201" s="525"/>
      <c r="AE201" s="525"/>
      <c r="AF201" s="525"/>
      <c r="AG201" s="525"/>
      <c r="AH201" s="525"/>
      <c r="AI201" s="525"/>
      <c r="AJ201" s="525"/>
      <c r="AK201" s="525"/>
      <c r="AL201" s="525"/>
      <c r="AM201" s="525"/>
      <c r="AN201" s="525"/>
      <c r="AO201" s="525"/>
      <c r="AP201" s="525"/>
      <c r="AQ201" s="525"/>
      <c r="AR201" s="525"/>
      <c r="AS201" s="525"/>
      <c r="AT201" s="525"/>
      <c r="AU201" s="525"/>
      <c r="AV201" s="525"/>
      <c r="AW201" s="525"/>
      <c r="AX201" s="525"/>
      <c r="AY201" s="525"/>
      <c r="AZ201" s="525"/>
      <c r="BA201" s="525"/>
      <c r="BB201" s="525"/>
      <c r="BC201" s="525"/>
      <c r="BD201" s="525"/>
      <c r="BE201" s="525"/>
      <c r="BF201" s="525"/>
      <c r="BG201" s="525"/>
      <c r="BH201" s="525"/>
      <c r="BI201" s="525"/>
      <c r="BJ201" s="525"/>
      <c r="BK201" s="512">
        <v>36.0</v>
      </c>
      <c r="BL201" s="512">
        <v>53.0</v>
      </c>
      <c r="BM201" s="525"/>
      <c r="BN201" s="512">
        <v>40.0</v>
      </c>
      <c r="BO201" s="512">
        <v>50.0</v>
      </c>
      <c r="BP201" s="512">
        <v>56.0</v>
      </c>
      <c r="BQ201" s="512">
        <v>70.0</v>
      </c>
      <c r="BR201" s="512">
        <v>51.0</v>
      </c>
      <c r="BS201" s="512">
        <v>63.0</v>
      </c>
      <c r="BT201" s="512">
        <v>62.0</v>
      </c>
      <c r="BU201" s="512">
        <v>68.0</v>
      </c>
      <c r="BV201" s="512">
        <v>65.0</v>
      </c>
      <c r="BW201" s="512">
        <v>64.0</v>
      </c>
      <c r="BX201" s="512">
        <v>64.0</v>
      </c>
      <c r="BY201" s="512">
        <v>67.0</v>
      </c>
      <c r="BZ201" s="512">
        <v>56.0</v>
      </c>
      <c r="CA201" s="512">
        <v>65.0</v>
      </c>
      <c r="CB201" s="512">
        <v>68.0</v>
      </c>
      <c r="CC201" s="512">
        <v>72.0</v>
      </c>
      <c r="CD201" s="512">
        <v>67.0</v>
      </c>
      <c r="CE201" s="512">
        <v>72.0</v>
      </c>
      <c r="CF201" s="512">
        <v>72.0</v>
      </c>
      <c r="CG201" s="512">
        <v>81.0</v>
      </c>
      <c r="CH201" s="512">
        <v>81.0</v>
      </c>
      <c r="CI201" s="512">
        <v>67.0</v>
      </c>
      <c r="CJ201" s="512">
        <v>64.0</v>
      </c>
      <c r="CK201" s="512">
        <v>66.0</v>
      </c>
      <c r="CL201" s="512">
        <v>58.0</v>
      </c>
      <c r="CM201" s="552">
        <f>SUM(BK201:CL201)/28</f>
        <v>60.64285714</v>
      </c>
      <c r="CN201" s="561">
        <v>50.0</v>
      </c>
      <c r="CO201" s="561">
        <v>44.0</v>
      </c>
      <c r="CP201" s="561">
        <v>45.0</v>
      </c>
      <c r="CQ201" s="561">
        <v>42.0</v>
      </c>
      <c r="CR201" s="561">
        <v>49.0</v>
      </c>
      <c r="CS201" s="561">
        <v>53.0</v>
      </c>
      <c r="CT201" s="561">
        <v>54.0</v>
      </c>
      <c r="CU201" s="561">
        <v>61.0</v>
      </c>
      <c r="CV201" s="561">
        <v>32.0</v>
      </c>
      <c r="CW201" s="561">
        <v>59.0</v>
      </c>
      <c r="CX201" s="561">
        <v>57.0</v>
      </c>
      <c r="CY201" s="561">
        <v>64.0</v>
      </c>
      <c r="CZ201" s="561">
        <v>65.0</v>
      </c>
      <c r="DA201" s="561">
        <v>59.0</v>
      </c>
      <c r="DB201" s="561">
        <v>72.0</v>
      </c>
      <c r="DC201" s="561">
        <v>43.0</v>
      </c>
      <c r="DD201" s="561">
        <v>74.0</v>
      </c>
      <c r="DE201" s="561">
        <v>59.0</v>
      </c>
      <c r="DF201" s="561">
        <v>70.0</v>
      </c>
      <c r="DG201" s="561">
        <v>52.0</v>
      </c>
      <c r="DH201" s="561">
        <v>67.0</v>
      </c>
      <c r="DI201" s="561">
        <v>67.0</v>
      </c>
      <c r="DJ201" s="561">
        <v>70.0</v>
      </c>
      <c r="DK201" s="561">
        <v>69.0</v>
      </c>
      <c r="DL201" s="561">
        <v>67.0</v>
      </c>
      <c r="DM201" s="561">
        <v>53.0</v>
      </c>
      <c r="DN201" s="561">
        <v>53.0</v>
      </c>
      <c r="DO201" s="561">
        <v>64.0</v>
      </c>
      <c r="DP201" s="561">
        <v>58.0</v>
      </c>
      <c r="DQ201" s="561">
        <v>46.0</v>
      </c>
      <c r="DR201" s="561">
        <v>66.0</v>
      </c>
      <c r="DS201" s="520" t="s">
        <v>334</v>
      </c>
      <c r="DT201" s="574">
        <f>DC202</f>
        <v>87.46</v>
      </c>
      <c r="DU201" s="574">
        <f>100</f>
        <v>100</v>
      </c>
      <c r="DW201" s="576"/>
      <c r="DX201" s="530"/>
    </row>
    <row r="202" hidden="1">
      <c r="A202" s="553" t="s">
        <v>291</v>
      </c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  <c r="AI202" s="529"/>
      <c r="AJ202" s="529"/>
      <c r="AK202" s="529"/>
      <c r="AL202" s="529"/>
      <c r="AM202" s="529"/>
      <c r="AN202" s="529"/>
      <c r="AO202" s="529"/>
      <c r="AP202" s="529"/>
      <c r="AQ202" s="529"/>
      <c r="AR202" s="529"/>
      <c r="AS202" s="529"/>
      <c r="AT202" s="529"/>
      <c r="AU202" s="529"/>
      <c r="AV202" s="529"/>
      <c r="AW202" s="529"/>
      <c r="AX202" s="529"/>
      <c r="AY202" s="529"/>
      <c r="AZ202" s="529"/>
      <c r="BA202" s="529"/>
      <c r="BB202" s="529"/>
      <c r="BC202" s="529"/>
      <c r="BD202" s="529"/>
      <c r="BE202" s="529"/>
      <c r="BF202" s="529"/>
      <c r="BG202" s="529"/>
      <c r="BH202" s="529"/>
      <c r="BI202" s="529"/>
      <c r="BJ202" s="529"/>
      <c r="BK202" s="529">
        <v>22.22</v>
      </c>
      <c r="BL202" s="529">
        <v>34.11</v>
      </c>
      <c r="BM202" s="529">
        <v>-190.84</v>
      </c>
      <c r="BN202" s="529">
        <v>38.2</v>
      </c>
      <c r="BO202" s="529">
        <v>33.08</v>
      </c>
      <c r="BP202" s="529">
        <v>48.91</v>
      </c>
      <c r="BQ202" s="529">
        <v>44.55</v>
      </c>
      <c r="BR202" s="529">
        <v>30.32</v>
      </c>
      <c r="BS202" s="529">
        <v>-78.02</v>
      </c>
      <c r="BT202" s="529">
        <v>49.19</v>
      </c>
      <c r="BU202" s="529">
        <v>51.41</v>
      </c>
      <c r="BV202" s="529">
        <v>53.58</v>
      </c>
      <c r="BW202" s="529">
        <v>51.03</v>
      </c>
      <c r="BX202" s="529">
        <v>39.79</v>
      </c>
      <c r="BY202" s="529">
        <v>43.96</v>
      </c>
      <c r="BZ202" s="529">
        <v>43.84</v>
      </c>
      <c r="CA202" s="550">
        <v>45.98</v>
      </c>
      <c r="CB202" s="550">
        <v>40.67</v>
      </c>
      <c r="CC202" s="550">
        <v>47.82</v>
      </c>
      <c r="CD202" s="550">
        <v>63.99</v>
      </c>
      <c r="CE202" s="550">
        <v>-209.27</v>
      </c>
      <c r="CF202" s="550">
        <v>73.03</v>
      </c>
      <c r="CG202" s="550">
        <v>65.24</v>
      </c>
      <c r="CH202" s="550">
        <v>-52.31</v>
      </c>
      <c r="CI202" s="550">
        <v>55.56</v>
      </c>
      <c r="CJ202" s="550">
        <v>37.49</v>
      </c>
      <c r="CK202" s="550">
        <v>42.2</v>
      </c>
      <c r="CL202" s="537">
        <v>57.35</v>
      </c>
      <c r="CM202" s="554"/>
      <c r="CN202" s="537">
        <v>27.61</v>
      </c>
      <c r="CO202" s="537">
        <v>43.67</v>
      </c>
      <c r="CP202" s="537">
        <v>37.29</v>
      </c>
      <c r="CQ202" s="537">
        <v>28.77</v>
      </c>
      <c r="CR202" s="537">
        <v>41.71</v>
      </c>
      <c r="CS202" s="537">
        <v>40.37</v>
      </c>
      <c r="CT202" s="537">
        <v>41.58</v>
      </c>
      <c r="CU202" s="537">
        <v>32.08</v>
      </c>
      <c r="CV202" s="512">
        <v>22.12</v>
      </c>
      <c r="CW202" s="537">
        <v>43.28</v>
      </c>
      <c r="CX202" s="537">
        <v>50.55</v>
      </c>
      <c r="CY202" s="537">
        <v>55.76</v>
      </c>
      <c r="CZ202" s="537">
        <v>52.49</v>
      </c>
      <c r="DA202" s="537">
        <v>77.19</v>
      </c>
      <c r="DB202" s="537">
        <v>46.37</v>
      </c>
      <c r="DC202" s="537">
        <v>87.46</v>
      </c>
      <c r="DD202" s="537">
        <v>70.0</v>
      </c>
      <c r="DE202" s="537">
        <v>40.2</v>
      </c>
      <c r="DF202" s="537">
        <v>61.49</v>
      </c>
      <c r="DG202" s="537">
        <v>59.5</v>
      </c>
      <c r="DH202" s="537">
        <v>85.56</v>
      </c>
      <c r="DI202" s="537">
        <v>-64.96</v>
      </c>
      <c r="DJ202" s="537">
        <v>49.39</v>
      </c>
      <c r="DK202" s="537">
        <v>81.37</v>
      </c>
      <c r="DL202" s="537">
        <v>44.98</v>
      </c>
      <c r="DM202" s="537">
        <v>55.12</v>
      </c>
      <c r="DN202" s="537">
        <v>39.58</v>
      </c>
      <c r="DO202" s="537">
        <v>67.47</v>
      </c>
      <c r="DP202" s="537">
        <v>94.56</v>
      </c>
      <c r="DQ202" s="537">
        <v>48.36</v>
      </c>
      <c r="DR202" s="537">
        <v>43.18</v>
      </c>
      <c r="DS202" s="520" t="s">
        <v>335</v>
      </c>
      <c r="DT202" s="574">
        <f>DI202</f>
        <v>-64.96</v>
      </c>
      <c r="DU202" s="520">
        <v>100.0</v>
      </c>
      <c r="DX202" s="530"/>
    </row>
    <row r="203" hidden="1">
      <c r="A203" s="531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18"/>
      <c r="AV203" s="118"/>
      <c r="AW203" s="118"/>
      <c r="AX203" s="118"/>
      <c r="AY203" s="118"/>
      <c r="AZ203" s="118"/>
      <c r="BA203" s="118"/>
      <c r="BB203" s="118"/>
      <c r="BC203" s="118"/>
      <c r="BD203" s="118"/>
      <c r="BE203" s="118"/>
      <c r="BF203" s="118"/>
      <c r="BG203" s="118"/>
      <c r="BH203" s="118"/>
      <c r="BI203" s="118"/>
      <c r="BJ203" s="118"/>
      <c r="BK203" s="118"/>
      <c r="BL203" s="118"/>
      <c r="BM203" s="118"/>
      <c r="BN203" s="118"/>
      <c r="BO203" s="118"/>
      <c r="BP203" s="118"/>
      <c r="BQ203" s="118"/>
      <c r="BR203" s="118"/>
      <c r="BS203" s="118"/>
      <c r="BT203" s="118"/>
      <c r="BU203" s="118"/>
      <c r="BV203" s="118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499"/>
      <c r="CN203" s="118"/>
      <c r="CO203" s="546"/>
      <c r="CP203" s="118"/>
      <c r="CQ203" s="118"/>
      <c r="CR203" s="546"/>
      <c r="CS203" s="118"/>
      <c r="CT203" s="118"/>
      <c r="CU203" s="546"/>
      <c r="CV203" s="118"/>
      <c r="CW203" s="118"/>
      <c r="CX203" s="118"/>
      <c r="CY203" s="118"/>
      <c r="CZ203" s="118"/>
      <c r="DA203" s="118"/>
      <c r="DB203" s="118"/>
      <c r="DC203" s="118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X203" s="530"/>
    </row>
    <row r="204" hidden="1">
      <c r="A204" s="531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18"/>
      <c r="AV204" s="118"/>
      <c r="AW204" s="118"/>
      <c r="AX204" s="118"/>
      <c r="AY204" s="118"/>
      <c r="AZ204" s="118"/>
      <c r="BA204" s="118"/>
      <c r="BB204" s="118"/>
      <c r="BC204" s="118"/>
      <c r="BD204" s="118"/>
      <c r="BE204" s="118"/>
      <c r="BF204" s="118"/>
      <c r="BG204" s="118"/>
      <c r="BH204" s="118"/>
      <c r="BI204" s="118"/>
      <c r="BJ204" s="118"/>
      <c r="BK204" s="118"/>
      <c r="BL204" s="118"/>
      <c r="BM204" s="118"/>
      <c r="BN204" s="118"/>
      <c r="BO204" s="118"/>
      <c r="BP204" s="118"/>
      <c r="BQ204" s="118"/>
      <c r="BR204" s="118"/>
      <c r="BS204" s="118"/>
      <c r="BT204" s="118"/>
      <c r="BU204" s="118"/>
      <c r="BV204" s="118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499"/>
      <c r="CN204" s="118"/>
      <c r="CO204" s="118"/>
      <c r="CP204" s="118"/>
      <c r="CQ204" s="118"/>
      <c r="CR204" s="118"/>
      <c r="CS204" s="118"/>
      <c r="CT204" s="118"/>
      <c r="CU204" s="118"/>
      <c r="CV204" s="118"/>
      <c r="CW204" s="118"/>
      <c r="CX204" s="118"/>
      <c r="CY204" s="118"/>
      <c r="CZ204" s="118"/>
      <c r="DA204" s="118"/>
      <c r="DB204" s="118"/>
      <c r="DC204" s="118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X204" s="530"/>
    </row>
    <row r="205" hidden="1">
      <c r="A205" s="500" t="s">
        <v>8</v>
      </c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18"/>
      <c r="AV205" s="118"/>
      <c r="AW205" s="118"/>
      <c r="AX205" s="118"/>
      <c r="AY205" s="118"/>
      <c r="AZ205" s="118"/>
      <c r="BA205" s="118"/>
      <c r="BB205" s="118"/>
      <c r="BC205" s="118"/>
      <c r="BD205" s="118"/>
      <c r="BE205" s="118"/>
      <c r="BF205" s="118"/>
      <c r="BG205" s="118"/>
      <c r="BH205" s="118"/>
      <c r="BI205" s="118"/>
      <c r="BJ205" s="118"/>
      <c r="BK205" s="118"/>
      <c r="BL205" s="118"/>
      <c r="BM205" s="118"/>
      <c r="BN205" s="118"/>
      <c r="BO205" s="118"/>
      <c r="BP205" s="118"/>
      <c r="BQ205" s="118"/>
      <c r="BR205" s="118"/>
      <c r="BS205" s="118"/>
      <c r="BT205" s="118"/>
      <c r="BU205" s="118"/>
      <c r="BV205" s="118"/>
      <c r="BW205" s="118"/>
      <c r="BX205" s="118"/>
      <c r="BY205" s="118"/>
      <c r="BZ205" s="118"/>
      <c r="CA205" s="118"/>
      <c r="CB205" s="118"/>
      <c r="CC205" s="118"/>
      <c r="CD205" s="118"/>
      <c r="CE205" s="118"/>
      <c r="CF205" s="118"/>
      <c r="CG205" s="118"/>
      <c r="CH205" s="118"/>
      <c r="CI205" s="118"/>
      <c r="CJ205" s="118"/>
      <c r="CK205" s="118"/>
      <c r="CL205" s="118"/>
      <c r="CM205" s="499"/>
      <c r="CN205" s="546" t="s">
        <v>331</v>
      </c>
      <c r="CO205" s="546" t="s">
        <v>310</v>
      </c>
      <c r="CP205" s="546" t="s">
        <v>310</v>
      </c>
      <c r="CQ205" s="546" t="s">
        <v>310</v>
      </c>
      <c r="CR205" s="546" t="s">
        <v>310</v>
      </c>
      <c r="CS205" s="546" t="s">
        <v>310</v>
      </c>
      <c r="CT205" s="546" t="s">
        <v>310</v>
      </c>
      <c r="CU205" s="546" t="s">
        <v>336</v>
      </c>
      <c r="CV205" s="546" t="s">
        <v>336</v>
      </c>
      <c r="CW205" s="546" t="s">
        <v>310</v>
      </c>
      <c r="CX205" s="546" t="s">
        <v>336</v>
      </c>
      <c r="CY205" s="546" t="s">
        <v>336</v>
      </c>
      <c r="CZ205" s="546" t="s">
        <v>303</v>
      </c>
      <c r="DA205" s="546" t="s">
        <v>303</v>
      </c>
      <c r="DB205" s="546" t="s">
        <v>336</v>
      </c>
      <c r="DC205" s="546" t="s">
        <v>336</v>
      </c>
      <c r="DD205" s="546" t="s">
        <v>303</v>
      </c>
      <c r="DE205" s="546" t="s">
        <v>303</v>
      </c>
      <c r="DF205" s="546" t="s">
        <v>336</v>
      </c>
      <c r="DG205" s="546" t="s">
        <v>336</v>
      </c>
      <c r="DH205" s="546" t="s">
        <v>303</v>
      </c>
      <c r="DI205" s="546" t="s">
        <v>303</v>
      </c>
      <c r="DJ205" s="546" t="s">
        <v>336</v>
      </c>
      <c r="DK205" s="546" t="s">
        <v>336</v>
      </c>
      <c r="DL205" s="546" t="s">
        <v>303</v>
      </c>
      <c r="DM205" s="546" t="s">
        <v>303</v>
      </c>
      <c r="DN205" s="546" t="s">
        <v>336</v>
      </c>
      <c r="DO205" s="546" t="s">
        <v>336</v>
      </c>
      <c r="DP205" s="546" t="s">
        <v>303</v>
      </c>
      <c r="DQ205" s="546" t="s">
        <v>303</v>
      </c>
      <c r="DR205" s="546" t="s">
        <v>336</v>
      </c>
      <c r="DT205" s="520" t="s">
        <v>306</v>
      </c>
      <c r="DU205" s="520" t="s">
        <v>332</v>
      </c>
      <c r="DX205" s="530"/>
    </row>
    <row r="206" hidden="1">
      <c r="A206" s="502" t="s">
        <v>288</v>
      </c>
      <c r="B206" s="525"/>
      <c r="C206" s="525"/>
      <c r="D206" s="525"/>
      <c r="E206" s="525"/>
      <c r="F206" s="525"/>
      <c r="G206" s="525"/>
      <c r="H206" s="525"/>
      <c r="I206" s="525"/>
      <c r="J206" s="525"/>
      <c r="K206" s="525"/>
      <c r="L206" s="525"/>
      <c r="M206" s="525"/>
      <c r="N206" s="525"/>
      <c r="O206" s="525"/>
      <c r="P206" s="525"/>
      <c r="Q206" s="525"/>
      <c r="R206" s="525"/>
      <c r="S206" s="525"/>
      <c r="T206" s="525"/>
      <c r="U206" s="525"/>
      <c r="V206" s="525"/>
      <c r="W206" s="525"/>
      <c r="X206" s="525"/>
      <c r="Y206" s="525"/>
      <c r="Z206" s="525"/>
      <c r="AA206" s="525"/>
      <c r="AB206" s="525"/>
      <c r="AC206" s="525"/>
      <c r="AD206" s="525"/>
      <c r="AE206" s="525"/>
      <c r="AF206" s="525"/>
      <c r="AG206" s="525"/>
      <c r="AH206" s="525"/>
      <c r="AI206" s="525"/>
      <c r="AJ206" s="525"/>
      <c r="AK206" s="525"/>
      <c r="AL206" s="525"/>
      <c r="AM206" s="525"/>
      <c r="AN206" s="525"/>
      <c r="AO206" s="525"/>
      <c r="AP206" s="525"/>
      <c r="AQ206" s="525"/>
      <c r="AR206" s="525"/>
      <c r="AS206" s="525"/>
      <c r="AT206" s="525"/>
      <c r="AU206" s="525"/>
      <c r="AV206" s="525"/>
      <c r="AW206" s="525"/>
      <c r="AX206" s="525"/>
      <c r="AY206" s="525"/>
      <c r="AZ206" s="525"/>
      <c r="BA206" s="525"/>
      <c r="BB206" s="525"/>
      <c r="BC206" s="525"/>
      <c r="BD206" s="525"/>
      <c r="BE206" s="525"/>
      <c r="BF206" s="525"/>
      <c r="BG206" s="525"/>
      <c r="BH206" s="525"/>
      <c r="BI206" s="525"/>
      <c r="BJ206" s="525"/>
      <c r="BK206" s="541">
        <v>45689.0</v>
      </c>
      <c r="BL206" s="503">
        <v>45690.0</v>
      </c>
      <c r="BM206" s="503">
        <v>45691.0</v>
      </c>
      <c r="BN206" s="541">
        <v>45692.0</v>
      </c>
      <c r="BO206" s="541">
        <v>45693.0</v>
      </c>
      <c r="BP206" s="541">
        <v>45694.0</v>
      </c>
      <c r="BQ206" s="541">
        <v>45695.0</v>
      </c>
      <c r="BR206" s="541">
        <v>45696.0</v>
      </c>
      <c r="BS206" s="541">
        <v>45697.0</v>
      </c>
      <c r="BT206" s="541">
        <v>45698.0</v>
      </c>
      <c r="BU206" s="541">
        <v>45699.0</v>
      </c>
      <c r="BV206" s="541">
        <v>45700.0</v>
      </c>
      <c r="BW206" s="541">
        <v>45701.0</v>
      </c>
      <c r="BX206" s="541">
        <v>45702.0</v>
      </c>
      <c r="BY206" s="541">
        <v>45703.0</v>
      </c>
      <c r="BZ206" s="541">
        <v>45704.0</v>
      </c>
      <c r="CA206" s="541">
        <v>45705.0</v>
      </c>
      <c r="CB206" s="541">
        <v>45706.0</v>
      </c>
      <c r="CC206" s="541">
        <v>45707.0</v>
      </c>
      <c r="CD206" s="541">
        <v>45708.0</v>
      </c>
      <c r="CE206" s="541">
        <v>45709.0</v>
      </c>
      <c r="CF206" s="541">
        <v>45710.0</v>
      </c>
      <c r="CG206" s="541">
        <v>45711.0</v>
      </c>
      <c r="CH206" s="541">
        <v>45712.0</v>
      </c>
      <c r="CI206" s="541">
        <v>45713.0</v>
      </c>
      <c r="CJ206" s="541">
        <v>45714.0</v>
      </c>
      <c r="CK206" s="541">
        <v>45715.0</v>
      </c>
      <c r="CL206" s="541">
        <v>45716.0</v>
      </c>
      <c r="CM206" s="552"/>
      <c r="CN206" s="541">
        <v>45870.0</v>
      </c>
      <c r="CO206" s="541">
        <v>45871.0</v>
      </c>
      <c r="CP206" s="541">
        <v>45872.0</v>
      </c>
      <c r="CQ206" s="541">
        <v>45873.0</v>
      </c>
      <c r="CR206" s="541">
        <v>45874.0</v>
      </c>
      <c r="CS206" s="541">
        <v>45875.0</v>
      </c>
      <c r="CT206" s="541">
        <v>45876.0</v>
      </c>
      <c r="CU206" s="541">
        <v>45877.0</v>
      </c>
      <c r="CV206" s="541">
        <v>45878.0</v>
      </c>
      <c r="CW206" s="541">
        <v>45879.0</v>
      </c>
      <c r="CX206" s="541">
        <v>45880.0</v>
      </c>
      <c r="CY206" s="541">
        <v>45881.0</v>
      </c>
      <c r="CZ206" s="541">
        <v>45882.0</v>
      </c>
      <c r="DA206" s="541">
        <v>45883.0</v>
      </c>
      <c r="DB206" s="541">
        <v>45884.0</v>
      </c>
      <c r="DC206" s="541">
        <v>45885.0</v>
      </c>
      <c r="DD206" s="541">
        <v>45886.0</v>
      </c>
      <c r="DE206" s="541">
        <v>45887.0</v>
      </c>
      <c r="DF206" s="541">
        <v>45888.0</v>
      </c>
      <c r="DG206" s="541">
        <v>45889.0</v>
      </c>
      <c r="DH206" s="541">
        <v>45890.0</v>
      </c>
      <c r="DI206" s="541">
        <v>45891.0</v>
      </c>
      <c r="DJ206" s="541">
        <v>45892.0</v>
      </c>
      <c r="DK206" s="541">
        <v>45893.0</v>
      </c>
      <c r="DL206" s="541">
        <v>45894.0</v>
      </c>
      <c r="DM206" s="541">
        <v>45895.0</v>
      </c>
      <c r="DN206" s="541">
        <v>45896.0</v>
      </c>
      <c r="DO206" s="541">
        <v>45897.0</v>
      </c>
      <c r="DP206" s="541">
        <v>45898.0</v>
      </c>
      <c r="DQ206" s="541">
        <v>45899.0</v>
      </c>
      <c r="DR206" s="541">
        <v>45900.0</v>
      </c>
      <c r="DS206" s="520" t="s">
        <v>337</v>
      </c>
      <c r="DT206" s="574">
        <f>DC209+DF209+DG209+DJ209+DK209+DN209+DO209+DR209</f>
        <v>873.12</v>
      </c>
      <c r="DU206" s="574">
        <f t="shared" ref="DU206:DU207" si="3">100*14</f>
        <v>1400</v>
      </c>
      <c r="DX206" s="530"/>
    </row>
    <row r="207" hidden="1">
      <c r="A207" s="502" t="s">
        <v>289</v>
      </c>
      <c r="B207" s="525"/>
      <c r="C207" s="525"/>
      <c r="D207" s="525"/>
      <c r="E207" s="525"/>
      <c r="F207" s="525"/>
      <c r="G207" s="525"/>
      <c r="H207" s="525"/>
      <c r="I207" s="525"/>
      <c r="J207" s="525"/>
      <c r="K207" s="525"/>
      <c r="L207" s="525"/>
      <c r="M207" s="525"/>
      <c r="N207" s="525"/>
      <c r="O207" s="525"/>
      <c r="P207" s="525"/>
      <c r="Q207" s="525"/>
      <c r="R207" s="525"/>
      <c r="S207" s="525"/>
      <c r="T207" s="525"/>
      <c r="U207" s="525"/>
      <c r="V207" s="525"/>
      <c r="W207" s="525"/>
      <c r="X207" s="525"/>
      <c r="Y207" s="525"/>
      <c r="Z207" s="525"/>
      <c r="AA207" s="525"/>
      <c r="AB207" s="525"/>
      <c r="AC207" s="525"/>
      <c r="AD207" s="525"/>
      <c r="AE207" s="525"/>
      <c r="AF207" s="525"/>
      <c r="AG207" s="525"/>
      <c r="AH207" s="525"/>
      <c r="AI207" s="525"/>
      <c r="AJ207" s="525"/>
      <c r="AK207" s="525"/>
      <c r="AL207" s="525"/>
      <c r="AM207" s="525"/>
      <c r="AN207" s="525"/>
      <c r="AO207" s="525"/>
      <c r="AP207" s="525"/>
      <c r="AQ207" s="525"/>
      <c r="AR207" s="525"/>
      <c r="AS207" s="525"/>
      <c r="AT207" s="525"/>
      <c r="AU207" s="525"/>
      <c r="AV207" s="525"/>
      <c r="AW207" s="525"/>
      <c r="AX207" s="525"/>
      <c r="AY207" s="525"/>
      <c r="AZ207" s="525"/>
      <c r="BA207" s="525"/>
      <c r="BB207" s="525"/>
      <c r="BC207" s="525"/>
      <c r="BD207" s="525"/>
      <c r="BE207" s="525"/>
      <c r="BF207" s="525"/>
      <c r="BG207" s="525"/>
      <c r="BH207" s="525"/>
      <c r="BI207" s="525"/>
      <c r="BJ207" s="525"/>
      <c r="BK207" s="525"/>
      <c r="BL207" s="518">
        <v>196.0</v>
      </c>
      <c r="BM207" s="518">
        <v>147.0</v>
      </c>
      <c r="BN207" s="525"/>
      <c r="BO207" s="525"/>
      <c r="BP207" s="512">
        <v>193.0</v>
      </c>
      <c r="BQ207" s="512">
        <v>202.0</v>
      </c>
      <c r="BR207" s="512">
        <v>239.0</v>
      </c>
      <c r="BS207" s="525"/>
      <c r="BT207" s="512">
        <v>181.0</v>
      </c>
      <c r="BU207" s="525"/>
      <c r="BV207" s="512">
        <v>292.0</v>
      </c>
      <c r="BW207" s="512">
        <v>258.0</v>
      </c>
      <c r="BX207" s="512">
        <v>267.0</v>
      </c>
      <c r="BY207" s="512">
        <v>214.0</v>
      </c>
      <c r="BZ207" s="512">
        <v>234.0</v>
      </c>
      <c r="CA207" s="512">
        <v>271.0</v>
      </c>
      <c r="CB207" s="512">
        <v>222.0</v>
      </c>
      <c r="CC207" s="512">
        <v>298.0</v>
      </c>
      <c r="CD207" s="512">
        <v>290.0</v>
      </c>
      <c r="CE207" s="512">
        <v>261.0</v>
      </c>
      <c r="CF207" s="512">
        <v>274.0</v>
      </c>
      <c r="CG207" s="512">
        <v>285.0</v>
      </c>
      <c r="CH207" s="512">
        <v>196.0</v>
      </c>
      <c r="CI207" s="512">
        <v>198.0</v>
      </c>
      <c r="CJ207" s="512">
        <v>274.0</v>
      </c>
      <c r="CK207" s="512">
        <v>197.0</v>
      </c>
      <c r="CL207" s="512">
        <v>246.0</v>
      </c>
      <c r="CM207" s="552"/>
      <c r="CN207" s="561">
        <v>158.0</v>
      </c>
      <c r="CO207" s="561">
        <v>155.0</v>
      </c>
      <c r="CP207" s="561">
        <v>170.0</v>
      </c>
      <c r="CQ207" s="561">
        <v>169.0</v>
      </c>
      <c r="CR207" s="561">
        <v>194.0</v>
      </c>
      <c r="CS207" s="561">
        <v>243.0</v>
      </c>
      <c r="CT207" s="561">
        <v>171.0</v>
      </c>
      <c r="CU207" s="561">
        <v>169.0</v>
      </c>
      <c r="CV207" s="561">
        <v>123.0</v>
      </c>
      <c r="CW207" s="561">
        <v>183.0</v>
      </c>
      <c r="CX207" s="561">
        <v>204.0</v>
      </c>
      <c r="CY207" s="561">
        <v>221.0</v>
      </c>
      <c r="CZ207" s="561">
        <v>236.0</v>
      </c>
      <c r="DA207" s="561">
        <v>228.0</v>
      </c>
      <c r="DB207" s="561">
        <v>199.0</v>
      </c>
      <c r="DC207" s="561">
        <v>141.0</v>
      </c>
      <c r="DD207" s="561">
        <v>198.0</v>
      </c>
      <c r="DE207" s="561">
        <v>230.0</v>
      </c>
      <c r="DF207" s="561">
        <v>205.0</v>
      </c>
      <c r="DG207" s="561">
        <v>208.0</v>
      </c>
      <c r="DH207" s="561">
        <v>277.0</v>
      </c>
      <c r="DI207" s="561">
        <v>243.0</v>
      </c>
      <c r="DJ207" s="561">
        <v>190.0</v>
      </c>
      <c r="DK207" s="561">
        <v>274.0</v>
      </c>
      <c r="DL207" s="561">
        <v>262.0</v>
      </c>
      <c r="DM207" s="561">
        <v>204.0</v>
      </c>
      <c r="DN207" s="561">
        <v>273.0</v>
      </c>
      <c r="DO207" s="561">
        <v>203.0</v>
      </c>
      <c r="DP207" s="561">
        <v>157.0</v>
      </c>
      <c r="DQ207" s="561">
        <v>220.0</v>
      </c>
      <c r="DR207" s="561">
        <v>249.0</v>
      </c>
      <c r="DS207" s="520" t="s">
        <v>338</v>
      </c>
      <c r="DT207" s="574">
        <f>DD209+DE209+DH209+DI209+DL209+DM209+DP209+DQ209</f>
        <v>-319.28</v>
      </c>
      <c r="DU207" s="574">
        <f t="shared" si="3"/>
        <v>1400</v>
      </c>
      <c r="DX207" s="530"/>
    </row>
    <row r="208" hidden="1">
      <c r="A208" s="521" t="s">
        <v>290</v>
      </c>
      <c r="B208" s="525"/>
      <c r="C208" s="525"/>
      <c r="D208" s="525"/>
      <c r="E208" s="525"/>
      <c r="F208" s="525"/>
      <c r="G208" s="525"/>
      <c r="H208" s="525"/>
      <c r="I208" s="525"/>
      <c r="J208" s="525"/>
      <c r="K208" s="525"/>
      <c r="L208" s="525"/>
      <c r="M208" s="525"/>
      <c r="N208" s="525"/>
      <c r="O208" s="525"/>
      <c r="P208" s="525"/>
      <c r="Q208" s="525"/>
      <c r="R208" s="525"/>
      <c r="S208" s="525"/>
      <c r="T208" s="525"/>
      <c r="U208" s="525"/>
      <c r="V208" s="525"/>
      <c r="W208" s="525"/>
      <c r="X208" s="525"/>
      <c r="Y208" s="525"/>
      <c r="Z208" s="525"/>
      <c r="AA208" s="525"/>
      <c r="AB208" s="525"/>
      <c r="AC208" s="525"/>
      <c r="AD208" s="525"/>
      <c r="AE208" s="525"/>
      <c r="AF208" s="525"/>
      <c r="AG208" s="525"/>
      <c r="AH208" s="525"/>
      <c r="AI208" s="525"/>
      <c r="AJ208" s="525"/>
      <c r="AK208" s="525"/>
      <c r="AL208" s="525"/>
      <c r="AM208" s="525"/>
      <c r="AN208" s="525"/>
      <c r="AO208" s="525"/>
      <c r="AP208" s="525"/>
      <c r="AQ208" s="525"/>
      <c r="AR208" s="525"/>
      <c r="AS208" s="525"/>
      <c r="AT208" s="525"/>
      <c r="AU208" s="525"/>
      <c r="AV208" s="525"/>
      <c r="AW208" s="525"/>
      <c r="AX208" s="525"/>
      <c r="AY208" s="525"/>
      <c r="AZ208" s="525"/>
      <c r="BA208" s="525"/>
      <c r="BB208" s="525"/>
      <c r="BC208" s="525"/>
      <c r="BD208" s="525"/>
      <c r="BE208" s="525"/>
      <c r="BF208" s="525"/>
      <c r="BG208" s="525"/>
      <c r="BH208" s="525"/>
      <c r="BI208" s="525"/>
      <c r="BJ208" s="525"/>
      <c r="BK208" s="525"/>
      <c r="BL208" s="518">
        <v>82.0</v>
      </c>
      <c r="BM208" s="518">
        <v>67.0</v>
      </c>
      <c r="BN208" s="525"/>
      <c r="BO208" s="525"/>
      <c r="BP208" s="512">
        <v>71.0</v>
      </c>
      <c r="BQ208" s="512">
        <v>80.0</v>
      </c>
      <c r="BR208" s="512">
        <v>95.0</v>
      </c>
      <c r="BS208" s="525"/>
      <c r="BT208" s="512">
        <v>73.0</v>
      </c>
      <c r="BU208" s="525"/>
      <c r="BV208" s="512">
        <v>96.0</v>
      </c>
      <c r="BW208" s="512">
        <v>98.0</v>
      </c>
      <c r="BX208" s="512">
        <v>104.0</v>
      </c>
      <c r="BY208" s="512">
        <v>88.0</v>
      </c>
      <c r="BZ208" s="512">
        <v>86.0</v>
      </c>
      <c r="CA208" s="512">
        <v>101.0</v>
      </c>
      <c r="CB208" s="512">
        <v>88.0</v>
      </c>
      <c r="CC208" s="512">
        <v>106.0</v>
      </c>
      <c r="CD208" s="512">
        <v>103.0</v>
      </c>
      <c r="CE208" s="512">
        <v>89.0</v>
      </c>
      <c r="CF208" s="512">
        <v>119.0</v>
      </c>
      <c r="CG208" s="512">
        <v>116.0</v>
      </c>
      <c r="CH208" s="512">
        <v>86.0</v>
      </c>
      <c r="CI208" s="512">
        <v>89.0</v>
      </c>
      <c r="CJ208" s="512">
        <v>103.0</v>
      </c>
      <c r="CK208" s="512">
        <v>82.0</v>
      </c>
      <c r="CL208" s="512">
        <v>92.0</v>
      </c>
      <c r="CM208" s="552">
        <f>SUM(BK208:CL208)/22</f>
        <v>96.09090909</v>
      </c>
      <c r="CN208" s="561">
        <v>68.0</v>
      </c>
      <c r="CO208" s="561">
        <v>71.0</v>
      </c>
      <c r="CP208" s="561">
        <v>65.0</v>
      </c>
      <c r="CQ208" s="561">
        <v>62.0</v>
      </c>
      <c r="CR208" s="561">
        <v>80.0</v>
      </c>
      <c r="CS208" s="561">
        <v>76.0</v>
      </c>
      <c r="CT208" s="561">
        <v>67.0</v>
      </c>
      <c r="CU208" s="561">
        <v>58.0</v>
      </c>
      <c r="CV208" s="561">
        <v>54.0</v>
      </c>
      <c r="CW208" s="561">
        <v>64.0</v>
      </c>
      <c r="CX208" s="561">
        <v>75.0</v>
      </c>
      <c r="CY208" s="561">
        <v>87.0</v>
      </c>
      <c r="CZ208" s="561">
        <v>91.0</v>
      </c>
      <c r="DA208" s="561">
        <v>89.0</v>
      </c>
      <c r="DB208" s="561">
        <v>75.0</v>
      </c>
      <c r="DC208" s="561">
        <v>54.0</v>
      </c>
      <c r="DD208" s="561">
        <v>72.0</v>
      </c>
      <c r="DE208" s="561">
        <v>78.0</v>
      </c>
      <c r="DF208" s="561">
        <v>81.0</v>
      </c>
      <c r="DG208" s="561">
        <v>82.0</v>
      </c>
      <c r="DH208" s="561">
        <v>96.0</v>
      </c>
      <c r="DI208" s="561">
        <v>93.0</v>
      </c>
      <c r="DJ208" s="561">
        <v>76.0</v>
      </c>
      <c r="DK208" s="561">
        <v>90.0</v>
      </c>
      <c r="DL208" s="561">
        <v>98.0</v>
      </c>
      <c r="DM208" s="561">
        <v>80.0</v>
      </c>
      <c r="DN208" s="561">
        <v>95.0</v>
      </c>
      <c r="DO208" s="561">
        <v>78.0</v>
      </c>
      <c r="DP208" s="561">
        <v>66.0</v>
      </c>
      <c r="DQ208" s="561">
        <v>78.0</v>
      </c>
      <c r="DR208" s="561">
        <v>99.0</v>
      </c>
      <c r="DX208" s="530"/>
    </row>
    <row r="209" hidden="1">
      <c r="A209" s="502" t="s">
        <v>291</v>
      </c>
      <c r="B209" s="525"/>
      <c r="C209" s="525"/>
      <c r="D209" s="525"/>
      <c r="E209" s="525"/>
      <c r="F209" s="525"/>
      <c r="G209" s="525"/>
      <c r="H209" s="525"/>
      <c r="I209" s="525"/>
      <c r="J209" s="525"/>
      <c r="K209" s="525"/>
      <c r="L209" s="525"/>
      <c r="M209" s="525"/>
      <c r="N209" s="525"/>
      <c r="O209" s="525"/>
      <c r="P209" s="525"/>
      <c r="Q209" s="525"/>
      <c r="R209" s="525"/>
      <c r="S209" s="525"/>
      <c r="T209" s="525"/>
      <c r="U209" s="525"/>
      <c r="V209" s="525"/>
      <c r="W209" s="525"/>
      <c r="X209" s="525"/>
      <c r="Y209" s="525"/>
      <c r="Z209" s="525"/>
      <c r="AA209" s="525"/>
      <c r="AB209" s="525"/>
      <c r="AC209" s="525"/>
      <c r="AD209" s="525"/>
      <c r="AE209" s="525"/>
      <c r="AF209" s="525"/>
      <c r="AG209" s="525"/>
      <c r="AH209" s="525"/>
      <c r="AI209" s="525"/>
      <c r="AJ209" s="525"/>
      <c r="AK209" s="525"/>
      <c r="AL209" s="525"/>
      <c r="AM209" s="525"/>
      <c r="AN209" s="525"/>
      <c r="AO209" s="525"/>
      <c r="AP209" s="525"/>
      <c r="AQ209" s="525"/>
      <c r="AR209" s="525"/>
      <c r="AS209" s="525"/>
      <c r="AT209" s="525"/>
      <c r="AU209" s="525"/>
      <c r="AV209" s="525"/>
      <c r="AW209" s="525"/>
      <c r="AX209" s="525"/>
      <c r="AY209" s="525"/>
      <c r="AZ209" s="525"/>
      <c r="BA209" s="525"/>
      <c r="BB209" s="525"/>
      <c r="BC209" s="525"/>
      <c r="BD209" s="525"/>
      <c r="BE209" s="525"/>
      <c r="BF209" s="525"/>
      <c r="BG209" s="525"/>
      <c r="BH209" s="525"/>
      <c r="BI209" s="525"/>
      <c r="BJ209" s="525"/>
      <c r="BK209" s="529">
        <v>-167.68</v>
      </c>
      <c r="BL209" s="529">
        <v>-89.36</v>
      </c>
      <c r="BM209" s="529">
        <v>-26.1</v>
      </c>
      <c r="BN209" s="529">
        <v>-389.28</v>
      </c>
      <c r="BO209" s="529">
        <v>54.9</v>
      </c>
      <c r="BP209" s="529">
        <v>22.93</v>
      </c>
      <c r="BQ209" s="529">
        <v>-66.7</v>
      </c>
      <c r="BR209" s="529">
        <v>-203.56</v>
      </c>
      <c r="BS209" s="529">
        <v>-359.15</v>
      </c>
      <c r="BT209" s="529">
        <v>-10.32</v>
      </c>
      <c r="BU209" s="529">
        <v>-130.74</v>
      </c>
      <c r="BV209" s="529">
        <v>82.49</v>
      </c>
      <c r="BW209" s="529">
        <v>14.18</v>
      </c>
      <c r="BX209" s="529">
        <v>93.65</v>
      </c>
      <c r="BY209" s="529">
        <v>96.27</v>
      </c>
      <c r="BZ209" s="529">
        <v>-478.47</v>
      </c>
      <c r="CA209" s="529">
        <v>-2.11</v>
      </c>
      <c r="CB209" s="529">
        <v>81.53</v>
      </c>
      <c r="CC209" s="529">
        <v>-45.15</v>
      </c>
      <c r="CD209" s="529">
        <v>92.28</v>
      </c>
      <c r="CE209" s="529">
        <v>-294.99</v>
      </c>
      <c r="CF209" s="529">
        <v>121.62</v>
      </c>
      <c r="CG209" s="529">
        <v>109.56</v>
      </c>
      <c r="CH209" s="529">
        <v>-81.66</v>
      </c>
      <c r="CI209" s="529">
        <v>-103.42</v>
      </c>
      <c r="CJ209" s="529">
        <v>72.17</v>
      </c>
      <c r="CK209" s="529">
        <v>106.47</v>
      </c>
      <c r="CL209" s="512">
        <v>7.22</v>
      </c>
      <c r="CM209" s="525"/>
      <c r="CN209" s="537">
        <v>65.04</v>
      </c>
      <c r="CO209" s="537">
        <v>81.36</v>
      </c>
      <c r="CP209" s="537">
        <v>47.79</v>
      </c>
      <c r="CQ209" s="537">
        <v>50.92</v>
      </c>
      <c r="CR209" s="537">
        <v>68.03</v>
      </c>
      <c r="CS209" s="537">
        <v>36.57</v>
      </c>
      <c r="CT209" s="537">
        <v>64.57</v>
      </c>
      <c r="CU209" s="537">
        <v>48.78</v>
      </c>
      <c r="CV209" s="512">
        <v>37.54</v>
      </c>
      <c r="CW209" s="537">
        <v>-325.52</v>
      </c>
      <c r="CX209" s="537">
        <v>93.37</v>
      </c>
      <c r="CY209" s="537">
        <v>60.21</v>
      </c>
      <c r="CZ209" s="537">
        <v>79.92</v>
      </c>
      <c r="DA209" s="537">
        <v>-237.59</v>
      </c>
      <c r="DB209" s="537">
        <v>73.17</v>
      </c>
      <c r="DC209" s="537">
        <v>116.6</v>
      </c>
      <c r="DD209" s="537">
        <v>119.72</v>
      </c>
      <c r="DE209" s="537">
        <v>55.33</v>
      </c>
      <c r="DF209" s="537">
        <v>99.44</v>
      </c>
      <c r="DG209" s="537">
        <v>84.33</v>
      </c>
      <c r="DH209" s="537">
        <v>-353.03</v>
      </c>
      <c r="DI209" s="537">
        <v>124.42</v>
      </c>
      <c r="DJ209" s="537">
        <v>79.81</v>
      </c>
      <c r="DK209" s="537">
        <v>148.22</v>
      </c>
      <c r="DL209" s="537">
        <v>78.39</v>
      </c>
      <c r="DM209" s="537">
        <v>-70.55</v>
      </c>
      <c r="DN209" s="537">
        <v>80.48</v>
      </c>
      <c r="DO209" s="537">
        <v>74.3</v>
      </c>
      <c r="DP209" s="537">
        <v>71.05</v>
      </c>
      <c r="DQ209" s="537">
        <v>-344.61</v>
      </c>
      <c r="DR209" s="537">
        <v>189.94</v>
      </c>
      <c r="DX209" s="530"/>
    </row>
    <row r="210" hidden="1">
      <c r="A210" s="531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  <c r="AT210" s="118"/>
      <c r="AU210" s="118"/>
      <c r="AV210" s="118"/>
      <c r="AW210" s="118"/>
      <c r="AX210" s="118"/>
      <c r="AY210" s="118"/>
      <c r="AZ210" s="118"/>
      <c r="BA210" s="118"/>
      <c r="BB210" s="118"/>
      <c r="BC210" s="118"/>
      <c r="BD210" s="118"/>
      <c r="BE210" s="118"/>
      <c r="BF210" s="118"/>
      <c r="BG210" s="118"/>
      <c r="BH210" s="118"/>
      <c r="BI210" s="118"/>
      <c r="BJ210" s="118"/>
      <c r="BK210" s="118"/>
      <c r="BL210" s="118"/>
      <c r="BM210" s="118"/>
      <c r="BN210" s="118"/>
      <c r="BO210" s="118"/>
      <c r="BP210" s="118"/>
      <c r="BQ210" s="118"/>
      <c r="BR210" s="118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18"/>
      <c r="CE210" s="118"/>
      <c r="CF210" s="118"/>
      <c r="CG210" s="118"/>
      <c r="CH210" s="118"/>
      <c r="CI210" s="118"/>
      <c r="CJ210" s="118"/>
      <c r="CK210" s="118"/>
      <c r="CL210" s="118"/>
      <c r="CM210" s="118"/>
      <c r="CN210" s="118"/>
      <c r="CO210" s="118"/>
      <c r="CP210" s="118"/>
      <c r="CQ210" s="118"/>
      <c r="CR210" s="118"/>
      <c r="CS210" s="577"/>
      <c r="CT210" s="118"/>
      <c r="CU210" s="118"/>
      <c r="CV210" s="118"/>
      <c r="CW210" s="118"/>
      <c r="CX210" s="118"/>
      <c r="CY210" s="118"/>
      <c r="CZ210" s="118"/>
      <c r="DA210" s="118"/>
      <c r="DB210" s="118"/>
      <c r="DC210" s="118"/>
      <c r="DD210" s="118"/>
      <c r="DE210" s="118"/>
      <c r="DF210" s="118"/>
      <c r="DG210" s="118"/>
      <c r="DH210" s="118"/>
      <c r="DI210" s="10"/>
      <c r="DJ210" s="118"/>
      <c r="DK210" s="118"/>
      <c r="DL210" s="118"/>
      <c r="DM210" s="118"/>
      <c r="DN210" s="118"/>
      <c r="DO210" s="118"/>
      <c r="DP210" s="118"/>
      <c r="DQ210" s="118"/>
      <c r="DR210" s="118"/>
      <c r="DX210" s="530"/>
    </row>
    <row r="211" hidden="1">
      <c r="A211" s="531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  <c r="AT211" s="118"/>
      <c r="AU211" s="118"/>
      <c r="AV211" s="118"/>
      <c r="AW211" s="118"/>
      <c r="AX211" s="118"/>
      <c r="AY211" s="118"/>
      <c r="AZ211" s="118"/>
      <c r="BA211" s="118"/>
      <c r="BB211" s="118"/>
      <c r="BC211" s="118"/>
      <c r="BD211" s="118"/>
      <c r="BE211" s="118"/>
      <c r="BF211" s="118"/>
      <c r="BG211" s="118"/>
      <c r="BH211" s="118"/>
      <c r="BI211" s="118"/>
      <c r="BJ211" s="118"/>
      <c r="BK211" s="118"/>
      <c r="BL211" s="118"/>
      <c r="BM211" s="118"/>
      <c r="BN211" s="118"/>
      <c r="BO211" s="118"/>
      <c r="BP211" s="118"/>
      <c r="BQ211" s="118"/>
      <c r="BR211" s="118"/>
      <c r="BS211" s="118"/>
      <c r="BT211" s="118"/>
      <c r="BU211" s="118"/>
      <c r="BV211" s="118"/>
      <c r="BW211" s="118"/>
      <c r="BX211" s="118"/>
      <c r="BY211" s="118"/>
      <c r="BZ211" s="118"/>
      <c r="CA211" s="118"/>
      <c r="CB211" s="118"/>
      <c r="CC211" s="118"/>
      <c r="CD211" s="118"/>
      <c r="CE211" s="118"/>
      <c r="CF211" s="118"/>
      <c r="CG211" s="118"/>
      <c r="CH211" s="118"/>
      <c r="CI211" s="118"/>
      <c r="CJ211" s="118"/>
      <c r="CK211" s="118"/>
      <c r="CL211" s="118"/>
      <c r="CM211" s="118"/>
      <c r="CN211" s="118"/>
      <c r="CO211" s="118"/>
      <c r="CP211" s="118"/>
      <c r="CQ211" s="118"/>
      <c r="CR211" s="118"/>
      <c r="CS211" s="118"/>
      <c r="CT211" s="118"/>
      <c r="CU211" s="118"/>
      <c r="CV211" s="118"/>
      <c r="CW211" s="118"/>
      <c r="CX211" s="118"/>
      <c r="CY211" s="118"/>
      <c r="CZ211" s="118"/>
      <c r="DA211" s="118"/>
      <c r="DB211" s="118"/>
      <c r="DC211" s="118"/>
      <c r="DD211" s="118"/>
      <c r="DE211" s="118"/>
      <c r="DF211" s="118"/>
      <c r="DG211" s="118"/>
      <c r="DH211" s="118"/>
      <c r="DI211" s="118"/>
      <c r="DJ211" s="118"/>
      <c r="DK211" s="118"/>
      <c r="DL211" s="118"/>
      <c r="DM211" s="118"/>
      <c r="DN211" s="118"/>
      <c r="DO211" s="118"/>
      <c r="DP211" s="118"/>
      <c r="DQ211" s="118"/>
      <c r="DR211" s="118"/>
      <c r="DX211" s="530"/>
    </row>
    <row r="212" hidden="1">
      <c r="A212" s="500" t="s">
        <v>12</v>
      </c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  <c r="AT212" s="118"/>
      <c r="AU212" s="118"/>
      <c r="AV212" s="118"/>
      <c r="AW212" s="118"/>
      <c r="AX212" s="118"/>
      <c r="AY212" s="118"/>
      <c r="AZ212" s="118"/>
      <c r="BA212" s="118"/>
      <c r="BB212" s="118"/>
      <c r="BC212" s="118"/>
      <c r="BD212" s="118"/>
      <c r="BE212" s="118"/>
      <c r="BF212" s="118"/>
      <c r="BG212" s="118"/>
      <c r="BH212" s="118"/>
      <c r="BI212" s="118"/>
      <c r="BJ212" s="118"/>
      <c r="BK212" s="118"/>
      <c r="BL212" s="118"/>
      <c r="BM212" s="118"/>
      <c r="BN212" s="118"/>
      <c r="BO212" s="118"/>
      <c r="BP212" s="118"/>
      <c r="BQ212" s="118"/>
      <c r="BR212" s="118"/>
      <c r="BS212" s="118"/>
      <c r="BT212" s="118"/>
      <c r="BU212" s="118"/>
      <c r="BV212" s="118"/>
      <c r="BW212" s="118"/>
      <c r="BX212" s="118"/>
      <c r="BY212" s="118"/>
      <c r="BZ212" s="118"/>
      <c r="CA212" s="118"/>
      <c r="CB212" s="118"/>
      <c r="CC212" s="118"/>
      <c r="CD212" s="118"/>
      <c r="CE212" s="118"/>
      <c r="CF212" s="118"/>
      <c r="CG212" s="118"/>
      <c r="CH212" s="118"/>
      <c r="CI212" s="118"/>
      <c r="CJ212" s="118"/>
      <c r="CK212" s="118"/>
      <c r="CL212" s="118"/>
      <c r="CM212" s="118"/>
      <c r="CN212" s="546" t="s">
        <v>318</v>
      </c>
      <c r="CO212" s="546" t="s">
        <v>303</v>
      </c>
      <c r="CP212" s="546" t="s">
        <v>303</v>
      </c>
      <c r="CQ212" s="546" t="s">
        <v>303</v>
      </c>
      <c r="CR212" s="546" t="s">
        <v>318</v>
      </c>
      <c r="CS212" s="546" t="s">
        <v>303</v>
      </c>
      <c r="CT212" s="546" t="s">
        <v>303</v>
      </c>
      <c r="CU212" s="546" t="s">
        <v>303</v>
      </c>
      <c r="CV212" s="546" t="s">
        <v>331</v>
      </c>
      <c r="CW212" s="546" t="s">
        <v>303</v>
      </c>
      <c r="CX212" s="546" t="s">
        <v>303</v>
      </c>
      <c r="CY212" s="546" t="s">
        <v>303</v>
      </c>
      <c r="CZ212" s="546" t="s">
        <v>318</v>
      </c>
      <c r="DA212" s="546" t="s">
        <v>303</v>
      </c>
      <c r="DB212" s="546" t="s">
        <v>303</v>
      </c>
      <c r="DC212" s="546" t="s">
        <v>303</v>
      </c>
      <c r="DD212" s="546" t="s">
        <v>318</v>
      </c>
      <c r="DE212" s="546" t="s">
        <v>303</v>
      </c>
      <c r="DF212" s="546" t="s">
        <v>303</v>
      </c>
      <c r="DG212" s="546" t="s">
        <v>303</v>
      </c>
      <c r="DH212" s="546" t="s">
        <v>58</v>
      </c>
      <c r="DI212" s="546" t="s">
        <v>303</v>
      </c>
      <c r="DJ212" s="546" t="s">
        <v>303</v>
      </c>
      <c r="DK212" s="546" t="s">
        <v>303</v>
      </c>
      <c r="DL212" s="546" t="s">
        <v>319</v>
      </c>
      <c r="DM212" s="546" t="s">
        <v>303</v>
      </c>
      <c r="DN212" s="546" t="s">
        <v>303</v>
      </c>
      <c r="DO212" s="546" t="s">
        <v>303</v>
      </c>
      <c r="DP212" s="546" t="s">
        <v>319</v>
      </c>
      <c r="DQ212" s="546" t="s">
        <v>68</v>
      </c>
      <c r="DR212" s="546" t="s">
        <v>303</v>
      </c>
      <c r="DT212" s="520" t="s">
        <v>306</v>
      </c>
      <c r="DU212" s="520" t="s">
        <v>332</v>
      </c>
      <c r="DX212" s="530"/>
    </row>
    <row r="213" hidden="1">
      <c r="A213" s="502" t="s">
        <v>288</v>
      </c>
      <c r="B213" s="525"/>
      <c r="C213" s="525"/>
      <c r="D213" s="525"/>
      <c r="E213" s="525"/>
      <c r="F213" s="525"/>
      <c r="G213" s="525"/>
      <c r="H213" s="525"/>
      <c r="I213" s="525"/>
      <c r="J213" s="525"/>
      <c r="K213" s="525"/>
      <c r="L213" s="525"/>
      <c r="M213" s="525"/>
      <c r="N213" s="525"/>
      <c r="O213" s="525"/>
      <c r="P213" s="525"/>
      <c r="Q213" s="525"/>
      <c r="R213" s="525"/>
      <c r="S213" s="525"/>
      <c r="T213" s="525"/>
      <c r="U213" s="525"/>
      <c r="V213" s="525"/>
      <c r="W213" s="525"/>
      <c r="X213" s="525"/>
      <c r="Y213" s="525"/>
      <c r="Z213" s="525"/>
      <c r="AA213" s="525"/>
      <c r="AB213" s="525"/>
      <c r="AC213" s="525"/>
      <c r="AD213" s="525"/>
      <c r="AE213" s="525"/>
      <c r="AF213" s="525"/>
      <c r="AG213" s="525"/>
      <c r="AH213" s="525"/>
      <c r="AI213" s="525"/>
      <c r="AJ213" s="525"/>
      <c r="AK213" s="525"/>
      <c r="AL213" s="525"/>
      <c r="AM213" s="525"/>
      <c r="AN213" s="525"/>
      <c r="AO213" s="525"/>
      <c r="AP213" s="525"/>
      <c r="AQ213" s="525"/>
      <c r="AR213" s="525"/>
      <c r="AS213" s="525"/>
      <c r="AT213" s="525"/>
      <c r="AU213" s="525"/>
      <c r="AV213" s="525"/>
      <c r="AW213" s="525"/>
      <c r="AX213" s="525"/>
      <c r="AY213" s="525"/>
      <c r="AZ213" s="525"/>
      <c r="BA213" s="525"/>
      <c r="BB213" s="525"/>
      <c r="BC213" s="525"/>
      <c r="BD213" s="525"/>
      <c r="BE213" s="525"/>
      <c r="BF213" s="525"/>
      <c r="BG213" s="525"/>
      <c r="BH213" s="525"/>
      <c r="BI213" s="525"/>
      <c r="BJ213" s="525"/>
      <c r="BK213" s="541">
        <v>45689.0</v>
      </c>
      <c r="BL213" s="541">
        <v>45690.0</v>
      </c>
      <c r="BM213" s="541">
        <v>45691.0</v>
      </c>
      <c r="BN213" s="541">
        <v>45692.0</v>
      </c>
      <c r="BO213" s="541">
        <v>45693.0</v>
      </c>
      <c r="BP213" s="541">
        <v>45694.0</v>
      </c>
      <c r="BQ213" s="541">
        <v>45695.0</v>
      </c>
      <c r="BR213" s="541">
        <v>45696.0</v>
      </c>
      <c r="BS213" s="541">
        <v>45697.0</v>
      </c>
      <c r="BT213" s="541">
        <v>45698.0</v>
      </c>
      <c r="BU213" s="541">
        <v>45699.0</v>
      </c>
      <c r="BV213" s="541">
        <v>45700.0</v>
      </c>
      <c r="BW213" s="541">
        <v>45701.0</v>
      </c>
      <c r="BX213" s="541">
        <v>45702.0</v>
      </c>
      <c r="BY213" s="541">
        <v>45703.0</v>
      </c>
      <c r="BZ213" s="541">
        <v>45704.0</v>
      </c>
      <c r="CA213" s="541">
        <v>45705.0</v>
      </c>
      <c r="CB213" s="541">
        <v>45706.0</v>
      </c>
      <c r="CC213" s="541">
        <v>45707.0</v>
      </c>
      <c r="CD213" s="541">
        <v>45708.0</v>
      </c>
      <c r="CE213" s="541">
        <v>45709.0</v>
      </c>
      <c r="CF213" s="541">
        <v>45710.0</v>
      </c>
      <c r="CG213" s="541">
        <v>45711.0</v>
      </c>
      <c r="CH213" s="541">
        <v>45712.0</v>
      </c>
      <c r="CI213" s="541">
        <v>45713.0</v>
      </c>
      <c r="CJ213" s="541">
        <v>45714.0</v>
      </c>
      <c r="CK213" s="541">
        <v>45715.0</v>
      </c>
      <c r="CL213" s="541">
        <v>45716.0</v>
      </c>
      <c r="CM213" s="563"/>
      <c r="CN213" s="541">
        <v>45870.0</v>
      </c>
      <c r="CO213" s="541">
        <v>45871.0</v>
      </c>
      <c r="CP213" s="541">
        <v>45872.0</v>
      </c>
      <c r="CQ213" s="541">
        <v>45873.0</v>
      </c>
      <c r="CR213" s="541">
        <v>45874.0</v>
      </c>
      <c r="CS213" s="541">
        <v>45875.0</v>
      </c>
      <c r="CT213" s="541">
        <v>45876.0</v>
      </c>
      <c r="CU213" s="541">
        <v>45877.0</v>
      </c>
      <c r="CV213" s="541">
        <v>45878.0</v>
      </c>
      <c r="CW213" s="541">
        <v>45879.0</v>
      </c>
      <c r="CX213" s="541">
        <v>45880.0</v>
      </c>
      <c r="CY213" s="541">
        <v>45881.0</v>
      </c>
      <c r="CZ213" s="541">
        <v>45882.0</v>
      </c>
      <c r="DA213" s="541">
        <v>45883.0</v>
      </c>
      <c r="DB213" s="541">
        <v>45884.0</v>
      </c>
      <c r="DC213" s="541">
        <v>45885.0</v>
      </c>
      <c r="DD213" s="541">
        <v>45886.0</v>
      </c>
      <c r="DE213" s="541">
        <v>45887.0</v>
      </c>
      <c r="DF213" s="541">
        <v>45888.0</v>
      </c>
      <c r="DG213" s="541">
        <v>45889.0</v>
      </c>
      <c r="DH213" s="541">
        <v>45890.0</v>
      </c>
      <c r="DI213" s="541">
        <v>45891.0</v>
      </c>
      <c r="DJ213" s="541">
        <v>45892.0</v>
      </c>
      <c r="DK213" s="541">
        <v>45893.0</v>
      </c>
      <c r="DL213" s="541">
        <v>45894.0</v>
      </c>
      <c r="DM213" s="541">
        <v>45895.0</v>
      </c>
      <c r="DN213" s="541">
        <v>45896.0</v>
      </c>
      <c r="DO213" s="541">
        <v>45897.0</v>
      </c>
      <c r="DP213" s="541">
        <v>45898.0</v>
      </c>
      <c r="DQ213" s="541">
        <v>45899.0</v>
      </c>
      <c r="DR213" s="541">
        <v>45900.0</v>
      </c>
      <c r="DS213" s="520" t="s">
        <v>339</v>
      </c>
      <c r="DT213" s="574">
        <f>DD216</f>
        <v>68.65</v>
      </c>
      <c r="DU213" s="574">
        <f>100*1</f>
        <v>100</v>
      </c>
      <c r="DX213" s="530"/>
    </row>
    <row r="214" hidden="1">
      <c r="A214" s="502" t="s">
        <v>289</v>
      </c>
      <c r="B214" s="525"/>
      <c r="C214" s="525"/>
      <c r="D214" s="525"/>
      <c r="E214" s="525"/>
      <c r="F214" s="525"/>
      <c r="G214" s="525"/>
      <c r="H214" s="525"/>
      <c r="I214" s="525"/>
      <c r="J214" s="525"/>
      <c r="K214" s="525"/>
      <c r="L214" s="525"/>
      <c r="M214" s="525"/>
      <c r="N214" s="525"/>
      <c r="O214" s="525"/>
      <c r="P214" s="525"/>
      <c r="Q214" s="525"/>
      <c r="R214" s="525"/>
      <c r="S214" s="525"/>
      <c r="T214" s="525"/>
      <c r="U214" s="525"/>
      <c r="V214" s="525"/>
      <c r="W214" s="525"/>
      <c r="X214" s="525"/>
      <c r="Y214" s="525"/>
      <c r="Z214" s="525"/>
      <c r="AA214" s="525"/>
      <c r="AB214" s="525"/>
      <c r="AC214" s="525"/>
      <c r="AD214" s="525"/>
      <c r="AE214" s="525"/>
      <c r="AF214" s="525"/>
      <c r="AG214" s="525"/>
      <c r="AH214" s="525"/>
      <c r="AI214" s="525"/>
      <c r="AJ214" s="525"/>
      <c r="AK214" s="525"/>
      <c r="AL214" s="525"/>
      <c r="AM214" s="525"/>
      <c r="AN214" s="525"/>
      <c r="AO214" s="525"/>
      <c r="AP214" s="525"/>
      <c r="AQ214" s="525"/>
      <c r="AR214" s="525"/>
      <c r="AS214" s="525"/>
      <c r="AT214" s="525"/>
      <c r="AU214" s="525"/>
      <c r="AV214" s="525"/>
      <c r="AW214" s="525"/>
      <c r="AX214" s="525"/>
      <c r="AY214" s="525"/>
      <c r="AZ214" s="525"/>
      <c r="BA214" s="525"/>
      <c r="BB214" s="525"/>
      <c r="BC214" s="525"/>
      <c r="BD214" s="525"/>
      <c r="BE214" s="525"/>
      <c r="BF214" s="525"/>
      <c r="BG214" s="525"/>
      <c r="BH214" s="525"/>
      <c r="BI214" s="525"/>
      <c r="BJ214" s="525"/>
      <c r="BK214" s="512">
        <v>99.0</v>
      </c>
      <c r="BL214" s="512">
        <v>117.0</v>
      </c>
      <c r="BM214" s="512">
        <v>121.0</v>
      </c>
      <c r="BN214" s="512">
        <v>105.0</v>
      </c>
      <c r="BO214" s="512">
        <v>97.0</v>
      </c>
      <c r="BP214" s="512">
        <v>98.0</v>
      </c>
      <c r="BQ214" s="512">
        <v>110.0</v>
      </c>
      <c r="BR214" s="512">
        <v>141.0</v>
      </c>
      <c r="BS214" s="512">
        <v>157.0</v>
      </c>
      <c r="BT214" s="512">
        <v>98.0</v>
      </c>
      <c r="BU214" s="512">
        <v>130.0</v>
      </c>
      <c r="BV214" s="512">
        <v>130.0</v>
      </c>
      <c r="BW214" s="512">
        <v>153.0</v>
      </c>
      <c r="BX214" s="512">
        <v>131.0</v>
      </c>
      <c r="BY214" s="512">
        <v>126.0</v>
      </c>
      <c r="BZ214" s="512">
        <v>160.0</v>
      </c>
      <c r="CA214" s="512">
        <v>151.0</v>
      </c>
      <c r="CB214" s="512">
        <v>99.0</v>
      </c>
      <c r="CC214" s="512">
        <v>125.0</v>
      </c>
      <c r="CD214" s="512">
        <v>168.0</v>
      </c>
      <c r="CE214" s="512">
        <v>164.0</v>
      </c>
      <c r="CF214" s="512">
        <v>174.0</v>
      </c>
      <c r="CG214" s="512">
        <v>161.0</v>
      </c>
      <c r="CH214" s="512">
        <v>117.0</v>
      </c>
      <c r="CI214" s="512">
        <v>139.0</v>
      </c>
      <c r="CJ214" s="512">
        <v>131.0</v>
      </c>
      <c r="CK214" s="512">
        <v>98.0</v>
      </c>
      <c r="CL214" s="512">
        <v>196.0</v>
      </c>
      <c r="CM214" s="514"/>
      <c r="CN214" s="561">
        <v>133.0</v>
      </c>
      <c r="CO214" s="561">
        <v>132.0</v>
      </c>
      <c r="CP214" s="561">
        <v>145.0</v>
      </c>
      <c r="CQ214" s="561">
        <v>94.0</v>
      </c>
      <c r="CR214" s="561">
        <v>103.0</v>
      </c>
      <c r="CS214" s="561">
        <v>155.0</v>
      </c>
      <c r="CT214" s="561">
        <v>146.0</v>
      </c>
      <c r="CU214" s="561">
        <v>121.0</v>
      </c>
      <c r="CV214" s="561">
        <v>86.0</v>
      </c>
      <c r="CW214" s="561">
        <v>137.0</v>
      </c>
      <c r="CX214" s="561">
        <v>129.0</v>
      </c>
      <c r="CY214" s="561">
        <v>165.0</v>
      </c>
      <c r="CZ214" s="561">
        <v>163.0</v>
      </c>
      <c r="DA214" s="561">
        <v>208.0</v>
      </c>
      <c r="DB214" s="561">
        <v>178.0</v>
      </c>
      <c r="DC214" s="561">
        <v>145.0</v>
      </c>
      <c r="DD214" s="561">
        <v>146.0</v>
      </c>
      <c r="DE214" s="561">
        <v>128.0</v>
      </c>
      <c r="DF214" s="561">
        <v>171.0</v>
      </c>
      <c r="DG214" s="561">
        <v>161.0</v>
      </c>
      <c r="DH214" s="561">
        <v>131.0</v>
      </c>
      <c r="DI214" s="561">
        <v>153.0</v>
      </c>
      <c r="DJ214" s="561">
        <v>148.0</v>
      </c>
      <c r="DK214" s="561">
        <v>196.0</v>
      </c>
      <c r="DL214" s="561">
        <v>175.0</v>
      </c>
      <c r="DM214" s="561">
        <v>103.0</v>
      </c>
      <c r="DN214" s="561">
        <v>155.0</v>
      </c>
      <c r="DO214" s="561">
        <v>143.0</v>
      </c>
      <c r="DP214" s="561">
        <v>227.0</v>
      </c>
      <c r="DQ214" s="561">
        <v>121.0</v>
      </c>
      <c r="DR214" s="561">
        <v>218.0</v>
      </c>
      <c r="DS214" s="520" t="s">
        <v>320</v>
      </c>
      <c r="DT214" s="574">
        <f>DC216+DE216+DF216+DG216+DI216+DJ216+DK216+DM216+DN216+DO216+DR216</f>
        <v>1027.11</v>
      </c>
      <c r="DU214" s="574">
        <f>100*12</f>
        <v>1200</v>
      </c>
      <c r="DX214" s="530"/>
    </row>
    <row r="215" hidden="1">
      <c r="A215" s="521" t="s">
        <v>290</v>
      </c>
      <c r="B215" s="525"/>
      <c r="C215" s="525"/>
      <c r="D215" s="525"/>
      <c r="E215" s="525"/>
      <c r="F215" s="525"/>
      <c r="G215" s="525"/>
      <c r="H215" s="525"/>
      <c r="I215" s="525"/>
      <c r="J215" s="525"/>
      <c r="K215" s="525"/>
      <c r="L215" s="525"/>
      <c r="M215" s="525"/>
      <c r="N215" s="525"/>
      <c r="O215" s="525"/>
      <c r="P215" s="525"/>
      <c r="Q215" s="525"/>
      <c r="R215" s="525"/>
      <c r="S215" s="525"/>
      <c r="T215" s="525"/>
      <c r="U215" s="525"/>
      <c r="V215" s="525"/>
      <c r="W215" s="525"/>
      <c r="X215" s="525"/>
      <c r="Y215" s="525"/>
      <c r="Z215" s="525"/>
      <c r="AA215" s="525"/>
      <c r="AB215" s="525"/>
      <c r="AC215" s="525"/>
      <c r="AD215" s="525"/>
      <c r="AE215" s="525"/>
      <c r="AF215" s="525"/>
      <c r="AG215" s="525"/>
      <c r="AH215" s="525"/>
      <c r="AI215" s="525"/>
      <c r="AJ215" s="525"/>
      <c r="AK215" s="525"/>
      <c r="AL215" s="525"/>
      <c r="AM215" s="525"/>
      <c r="AN215" s="525"/>
      <c r="AO215" s="525"/>
      <c r="AP215" s="525"/>
      <c r="AQ215" s="525"/>
      <c r="AR215" s="525"/>
      <c r="AS215" s="525"/>
      <c r="AT215" s="525"/>
      <c r="AU215" s="525"/>
      <c r="AV215" s="525"/>
      <c r="AW215" s="525"/>
      <c r="AX215" s="525"/>
      <c r="AY215" s="525"/>
      <c r="AZ215" s="525"/>
      <c r="BA215" s="525"/>
      <c r="BB215" s="525"/>
      <c r="BC215" s="525"/>
      <c r="BD215" s="525"/>
      <c r="BE215" s="525"/>
      <c r="BF215" s="525"/>
      <c r="BG215" s="525"/>
      <c r="BH215" s="525"/>
      <c r="BI215" s="525"/>
      <c r="BJ215" s="525"/>
      <c r="BK215" s="512">
        <v>44.0</v>
      </c>
      <c r="BL215" s="512">
        <v>55.0</v>
      </c>
      <c r="BM215" s="512">
        <v>47.0</v>
      </c>
      <c r="BN215" s="512">
        <v>39.0</v>
      </c>
      <c r="BO215" s="512">
        <v>54.0</v>
      </c>
      <c r="BP215" s="512">
        <v>46.0</v>
      </c>
      <c r="BQ215" s="512">
        <v>51.0</v>
      </c>
      <c r="BR215" s="512">
        <v>48.0</v>
      </c>
      <c r="BS215" s="512">
        <v>55.0</v>
      </c>
      <c r="BT215" s="512">
        <v>41.0</v>
      </c>
      <c r="BU215" s="512">
        <v>57.0</v>
      </c>
      <c r="BV215" s="512">
        <v>57.0</v>
      </c>
      <c r="BW215" s="512">
        <v>59.0</v>
      </c>
      <c r="BX215" s="512">
        <v>41.0</v>
      </c>
      <c r="BY215" s="512">
        <v>52.0</v>
      </c>
      <c r="BZ215" s="512">
        <v>61.0</v>
      </c>
      <c r="CA215" s="512">
        <v>52.0</v>
      </c>
      <c r="CB215" s="512">
        <v>38.0</v>
      </c>
      <c r="CC215" s="512">
        <v>53.0</v>
      </c>
      <c r="CD215" s="512">
        <v>77.0</v>
      </c>
      <c r="CE215" s="512">
        <v>59.0</v>
      </c>
      <c r="CF215" s="512">
        <v>70.0</v>
      </c>
      <c r="CG215" s="512">
        <v>77.0</v>
      </c>
      <c r="CH215" s="512">
        <v>47.0</v>
      </c>
      <c r="CI215" s="512">
        <v>51.0</v>
      </c>
      <c r="CJ215" s="512">
        <v>54.0</v>
      </c>
      <c r="CK215" s="512">
        <v>43.0</v>
      </c>
      <c r="CL215" s="512">
        <v>75.0</v>
      </c>
      <c r="CM215" s="566">
        <f>SUM(BK215:CL215)/28</f>
        <v>53.67857143</v>
      </c>
      <c r="CN215" s="561">
        <v>55.0</v>
      </c>
      <c r="CO215" s="561">
        <v>53.0</v>
      </c>
      <c r="CP215" s="561">
        <v>60.0</v>
      </c>
      <c r="CQ215" s="561">
        <v>48.0</v>
      </c>
      <c r="CR215" s="561">
        <v>47.0</v>
      </c>
      <c r="CS215" s="561">
        <v>60.0</v>
      </c>
      <c r="CT215" s="561">
        <v>63.0</v>
      </c>
      <c r="CU215" s="561">
        <v>37.0</v>
      </c>
      <c r="CV215" s="561">
        <v>40.0</v>
      </c>
      <c r="CW215" s="561">
        <v>52.0</v>
      </c>
      <c r="CX215" s="561">
        <v>67.0</v>
      </c>
      <c r="CY215" s="561">
        <v>63.0</v>
      </c>
      <c r="CZ215" s="561">
        <v>66.0</v>
      </c>
      <c r="DA215" s="561">
        <v>67.0</v>
      </c>
      <c r="DB215" s="561">
        <v>63.0</v>
      </c>
      <c r="DC215" s="561">
        <v>46.0</v>
      </c>
      <c r="DD215" s="561">
        <v>44.0</v>
      </c>
      <c r="DE215" s="561">
        <v>58.0</v>
      </c>
      <c r="DF215" s="561">
        <v>72.0</v>
      </c>
      <c r="DG215" s="561">
        <v>68.0</v>
      </c>
      <c r="DH215" s="561">
        <v>62.0</v>
      </c>
      <c r="DI215" s="561">
        <v>47.0</v>
      </c>
      <c r="DJ215" s="561">
        <v>58.0</v>
      </c>
      <c r="DK215" s="561">
        <v>78.0</v>
      </c>
      <c r="DL215" s="561">
        <v>71.0</v>
      </c>
      <c r="DM215" s="561">
        <v>55.0</v>
      </c>
      <c r="DN215" s="561">
        <v>65.0</v>
      </c>
      <c r="DO215" s="561">
        <v>57.0</v>
      </c>
      <c r="DP215" s="561">
        <v>72.0</v>
      </c>
      <c r="DQ215" s="561">
        <v>45.0</v>
      </c>
      <c r="DR215" s="561">
        <v>72.0</v>
      </c>
      <c r="DS215" s="520" t="s">
        <v>340</v>
      </c>
      <c r="DT215" s="574">
        <f>DP216+DL216</f>
        <v>157.1</v>
      </c>
      <c r="DU215" s="574">
        <f>300</f>
        <v>300</v>
      </c>
      <c r="DW215" s="576"/>
      <c r="DX215" s="530"/>
    </row>
    <row r="216" hidden="1">
      <c r="A216" s="502" t="s">
        <v>291</v>
      </c>
      <c r="B216" s="537"/>
      <c r="C216" s="537"/>
      <c r="D216" s="537"/>
      <c r="E216" s="537"/>
      <c r="F216" s="537"/>
      <c r="G216" s="537"/>
      <c r="H216" s="537"/>
      <c r="I216" s="537"/>
      <c r="J216" s="537"/>
      <c r="K216" s="537"/>
      <c r="L216" s="537"/>
      <c r="M216" s="537"/>
      <c r="N216" s="537"/>
      <c r="O216" s="537"/>
      <c r="P216" s="537"/>
      <c r="Q216" s="537"/>
      <c r="R216" s="537"/>
      <c r="S216" s="537"/>
      <c r="T216" s="537"/>
      <c r="U216" s="537"/>
      <c r="V216" s="537"/>
      <c r="W216" s="537"/>
      <c r="X216" s="537"/>
      <c r="Y216" s="537"/>
      <c r="Z216" s="537"/>
      <c r="AA216" s="537"/>
      <c r="AB216" s="537"/>
      <c r="AC216" s="537"/>
      <c r="AD216" s="537"/>
      <c r="AE216" s="537"/>
      <c r="AF216" s="537"/>
      <c r="AG216" s="537"/>
      <c r="AH216" s="537"/>
      <c r="AI216" s="537"/>
      <c r="AJ216" s="537"/>
      <c r="AK216" s="537"/>
      <c r="AL216" s="537"/>
      <c r="AM216" s="537"/>
      <c r="AN216" s="537"/>
      <c r="AO216" s="537"/>
      <c r="AP216" s="537"/>
      <c r="AQ216" s="537"/>
      <c r="AR216" s="537"/>
      <c r="AS216" s="537"/>
      <c r="AT216" s="537"/>
      <c r="AU216" s="537"/>
      <c r="AV216" s="537"/>
      <c r="AW216" s="537"/>
      <c r="AX216" s="537"/>
      <c r="AY216" s="537"/>
      <c r="AZ216" s="537"/>
      <c r="BA216" s="537"/>
      <c r="BB216" s="537"/>
      <c r="BC216" s="537"/>
      <c r="BD216" s="537"/>
      <c r="BE216" s="537"/>
      <c r="BF216" s="537"/>
      <c r="BG216" s="537"/>
      <c r="BH216" s="537"/>
      <c r="BI216" s="537"/>
      <c r="BJ216" s="537"/>
      <c r="BK216" s="537">
        <v>-295.52</v>
      </c>
      <c r="BL216" s="537">
        <v>-42.77</v>
      </c>
      <c r="BM216" s="537">
        <v>24.22</v>
      </c>
      <c r="BN216" s="537">
        <v>-438.28</v>
      </c>
      <c r="BO216" s="537">
        <v>35.84</v>
      </c>
      <c r="BP216" s="537">
        <v>-15.94</v>
      </c>
      <c r="BQ216" s="537">
        <v>33.53</v>
      </c>
      <c r="BR216" s="537">
        <v>48.55</v>
      </c>
      <c r="BS216" s="537">
        <v>-179.22</v>
      </c>
      <c r="BT216" s="537">
        <v>-2.05</v>
      </c>
      <c r="BU216" s="537">
        <v>54.16</v>
      </c>
      <c r="BV216" s="537">
        <v>-203.07</v>
      </c>
      <c r="BW216" s="537">
        <v>53.0</v>
      </c>
      <c r="BX216" s="537">
        <v>35.32</v>
      </c>
      <c r="BY216" s="537">
        <v>52.07</v>
      </c>
      <c r="BZ216" s="537">
        <v>38.49</v>
      </c>
      <c r="CA216" s="537">
        <v>54.6</v>
      </c>
      <c r="CB216" s="537">
        <v>43.14</v>
      </c>
      <c r="CC216" s="537">
        <v>-87.46</v>
      </c>
      <c r="CD216" s="537">
        <v>47.24</v>
      </c>
      <c r="CE216" s="537">
        <v>-66.14</v>
      </c>
      <c r="CF216" s="537">
        <v>54.48</v>
      </c>
      <c r="CG216" s="537">
        <v>59.5</v>
      </c>
      <c r="CH216" s="537">
        <v>-90.39</v>
      </c>
      <c r="CI216" s="537">
        <v>50.36</v>
      </c>
      <c r="CJ216" s="537">
        <v>32.76</v>
      </c>
      <c r="CK216" s="537">
        <v>-310.39</v>
      </c>
      <c r="CL216" s="537">
        <v>-88.51</v>
      </c>
      <c r="CM216" s="537"/>
      <c r="CN216" s="537">
        <v>68.88</v>
      </c>
      <c r="CO216" s="537">
        <v>58.48</v>
      </c>
      <c r="CP216" s="537">
        <v>61.52</v>
      </c>
      <c r="CQ216" s="537">
        <v>27.03</v>
      </c>
      <c r="CR216" s="537">
        <v>49.71</v>
      </c>
      <c r="CS216" s="537">
        <v>54.15</v>
      </c>
      <c r="CT216" s="537">
        <v>40.15</v>
      </c>
      <c r="CU216" s="537">
        <v>44.3</v>
      </c>
      <c r="CV216" s="512">
        <v>24.08</v>
      </c>
      <c r="CW216" s="537">
        <v>48.21</v>
      </c>
      <c r="CX216" s="537">
        <v>64.48</v>
      </c>
      <c r="CY216" s="537">
        <v>88.0</v>
      </c>
      <c r="CZ216" s="537">
        <v>69.25</v>
      </c>
      <c r="DA216" s="537">
        <v>64.27</v>
      </c>
      <c r="DB216" s="537">
        <v>51.96</v>
      </c>
      <c r="DC216" s="537">
        <v>50.86</v>
      </c>
      <c r="DD216" s="537">
        <v>68.65</v>
      </c>
      <c r="DE216" s="537">
        <v>90.21</v>
      </c>
      <c r="DF216" s="537">
        <v>53.18</v>
      </c>
      <c r="DG216" s="537">
        <v>71.87</v>
      </c>
      <c r="DH216" s="537">
        <v>105.56</v>
      </c>
      <c r="DI216" s="537">
        <v>64.07</v>
      </c>
      <c r="DJ216" s="537">
        <v>106.23</v>
      </c>
      <c r="DK216" s="537">
        <v>109.91</v>
      </c>
      <c r="DL216" s="537">
        <v>91.47</v>
      </c>
      <c r="DM216" s="537">
        <v>69.53</v>
      </c>
      <c r="DN216" s="537">
        <v>69.96</v>
      </c>
      <c r="DO216" s="537">
        <v>102.9</v>
      </c>
      <c r="DP216" s="537">
        <v>65.63</v>
      </c>
      <c r="DQ216" s="537">
        <v>-439.64</v>
      </c>
      <c r="DR216" s="537">
        <v>238.39</v>
      </c>
      <c r="DS216" s="520" t="s">
        <v>307</v>
      </c>
      <c r="DT216" s="574">
        <f>DH216</f>
        <v>105.56</v>
      </c>
      <c r="DU216" s="520">
        <v>100.0</v>
      </c>
      <c r="DX216" s="530"/>
    </row>
    <row r="217" hidden="1">
      <c r="A217" s="531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  <c r="AT217" s="118"/>
      <c r="AU217" s="118"/>
      <c r="AV217" s="118"/>
      <c r="AW217" s="118"/>
      <c r="AX217" s="118"/>
      <c r="AY217" s="118"/>
      <c r="AZ217" s="118"/>
      <c r="BA217" s="118"/>
      <c r="BB217" s="118"/>
      <c r="BC217" s="118"/>
      <c r="BD217" s="118"/>
      <c r="BE217" s="118"/>
      <c r="BF217" s="118"/>
      <c r="BG217" s="118"/>
      <c r="BH217" s="118"/>
      <c r="BI217" s="118"/>
      <c r="BJ217" s="118"/>
      <c r="BK217" s="118"/>
      <c r="BL217" s="118"/>
      <c r="BM217" s="118"/>
      <c r="BN217" s="118"/>
      <c r="BO217" s="118"/>
      <c r="BP217" s="118"/>
      <c r="BQ217" s="118"/>
      <c r="BR217" s="118"/>
      <c r="BS217" s="118"/>
      <c r="BT217" s="118"/>
      <c r="BU217" s="118"/>
      <c r="BV217" s="118"/>
      <c r="BW217" s="118"/>
      <c r="BX217" s="118"/>
      <c r="BY217" s="118"/>
      <c r="BZ217" s="118"/>
      <c r="CA217" s="118"/>
      <c r="CB217" s="118"/>
      <c r="CC217" s="118"/>
      <c r="CD217" s="118"/>
      <c r="CE217" s="118"/>
      <c r="CF217" s="118"/>
      <c r="CG217" s="118"/>
      <c r="CH217" s="118"/>
      <c r="CI217" s="118"/>
      <c r="CJ217" s="118"/>
      <c r="CK217" s="118"/>
      <c r="CL217" s="118"/>
      <c r="CM217" s="118"/>
      <c r="CN217" s="118"/>
      <c r="CO217" s="546"/>
      <c r="CP217" s="118"/>
      <c r="CQ217" s="118"/>
      <c r="CR217" s="118"/>
      <c r="CS217" s="546"/>
      <c r="CT217" s="118"/>
      <c r="CU217" s="118"/>
      <c r="CV217" s="118"/>
      <c r="CW217" s="118"/>
      <c r="CX217" s="118"/>
      <c r="CY217" s="118"/>
      <c r="CZ217" s="118"/>
      <c r="DA217" s="118"/>
      <c r="DB217" s="118"/>
      <c r="DC217" s="118"/>
      <c r="DD217" s="118"/>
      <c r="DE217" s="118"/>
      <c r="DF217" s="118"/>
      <c r="DG217" s="118"/>
      <c r="DH217" s="118"/>
      <c r="DI217" s="118"/>
      <c r="DJ217" s="118"/>
      <c r="DK217" s="118"/>
      <c r="DL217" s="118"/>
      <c r="DM217" s="118"/>
      <c r="DN217" s="118"/>
      <c r="DO217" s="118"/>
      <c r="DP217" s="118"/>
      <c r="DQ217" s="118"/>
      <c r="DR217" s="118"/>
      <c r="DS217" s="520" t="s">
        <v>341</v>
      </c>
      <c r="DT217" s="574">
        <f>DQ216</f>
        <v>-439.64</v>
      </c>
      <c r="DU217" s="520">
        <v>100.0</v>
      </c>
      <c r="DX217" s="530"/>
    </row>
    <row r="218" hidden="1">
      <c r="A218" s="531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  <c r="AT218" s="118"/>
      <c r="AU218" s="118"/>
      <c r="AV218" s="118"/>
      <c r="AW218" s="118"/>
      <c r="AX218" s="118"/>
      <c r="AY218" s="118"/>
      <c r="AZ218" s="118"/>
      <c r="BA218" s="118"/>
      <c r="BB218" s="118"/>
      <c r="BC218" s="118"/>
      <c r="BD218" s="118"/>
      <c r="BE218" s="118"/>
      <c r="BF218" s="118"/>
      <c r="BG218" s="118"/>
      <c r="BH218" s="118"/>
      <c r="BI218" s="118"/>
      <c r="BJ218" s="118"/>
      <c r="BK218" s="118"/>
      <c r="BL218" s="118"/>
      <c r="BM218" s="118"/>
      <c r="BN218" s="118"/>
      <c r="BO218" s="118"/>
      <c r="BP218" s="118"/>
      <c r="BQ218" s="118"/>
      <c r="BR218" s="118"/>
      <c r="BS218" s="118"/>
      <c r="BT218" s="118"/>
      <c r="BU218" s="118"/>
      <c r="BV218" s="118"/>
      <c r="BW218" s="118"/>
      <c r="BX218" s="118"/>
      <c r="BY218" s="118"/>
      <c r="BZ218" s="118"/>
      <c r="CA218" s="118"/>
      <c r="CB218" s="118"/>
      <c r="CC218" s="118"/>
      <c r="CD218" s="118"/>
      <c r="CE218" s="118"/>
      <c r="CF218" s="118"/>
      <c r="CG218" s="118"/>
      <c r="CH218" s="118"/>
      <c r="CI218" s="118"/>
      <c r="CJ218" s="118"/>
      <c r="CK218" s="118"/>
      <c r="CL218" s="118"/>
      <c r="CM218" s="118"/>
      <c r="CN218" s="118"/>
      <c r="CO218" s="118"/>
      <c r="CP218" s="118"/>
      <c r="CQ218" s="118"/>
      <c r="CR218" s="118"/>
      <c r="CS218" s="118"/>
      <c r="CT218" s="118"/>
      <c r="CU218" s="118"/>
      <c r="CV218" s="118"/>
      <c r="CW218" s="118"/>
      <c r="CX218" s="118"/>
      <c r="CY218" s="118"/>
      <c r="CZ218" s="118"/>
      <c r="DA218" s="118"/>
      <c r="DB218" s="118"/>
      <c r="DC218" s="118"/>
      <c r="DD218" s="118"/>
      <c r="DE218" s="118"/>
      <c r="DF218" s="118"/>
      <c r="DG218" s="118"/>
      <c r="DH218" s="118"/>
      <c r="DI218" s="118"/>
      <c r="DJ218" s="118"/>
      <c r="DK218" s="118"/>
      <c r="DL218" s="118"/>
      <c r="DM218" s="118"/>
      <c r="DN218" s="118"/>
      <c r="DO218" s="118"/>
      <c r="DP218" s="118"/>
      <c r="DQ218" s="118"/>
      <c r="DR218" s="118"/>
      <c r="DX218" s="530"/>
    </row>
    <row r="219" hidden="1">
      <c r="A219" s="500" t="s">
        <v>295</v>
      </c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18"/>
      <c r="AV219" s="118"/>
      <c r="AW219" s="118"/>
      <c r="AX219" s="118"/>
      <c r="AY219" s="118"/>
      <c r="AZ219" s="118"/>
      <c r="BA219" s="118"/>
      <c r="BB219" s="118"/>
      <c r="BC219" s="118"/>
      <c r="BD219" s="118"/>
      <c r="BE219" s="118"/>
      <c r="BF219" s="118"/>
      <c r="BG219" s="118"/>
      <c r="BH219" s="118"/>
      <c r="BI219" s="118"/>
      <c r="BJ219" s="118"/>
      <c r="BK219" s="118"/>
      <c r="BL219" s="118"/>
      <c r="BM219" s="118"/>
      <c r="BN219" s="118"/>
      <c r="BO219" s="118"/>
      <c r="BP219" s="118"/>
      <c r="BQ219" s="118"/>
      <c r="BR219" s="118"/>
      <c r="BS219" s="118"/>
      <c r="BT219" s="118"/>
      <c r="BU219" s="118"/>
      <c r="BV219" s="118"/>
      <c r="BW219" s="118"/>
      <c r="BX219" s="118"/>
      <c r="BY219" s="118"/>
      <c r="BZ219" s="118"/>
      <c r="CA219" s="118"/>
      <c r="CB219" s="118"/>
      <c r="CC219" s="118"/>
      <c r="CD219" s="118"/>
      <c r="CE219" s="118"/>
      <c r="CF219" s="118"/>
      <c r="CG219" s="118"/>
      <c r="CH219" s="118"/>
      <c r="CI219" s="118"/>
      <c r="CJ219" s="118"/>
      <c r="CK219" s="118"/>
      <c r="CL219" s="118"/>
      <c r="CM219" s="118"/>
      <c r="CN219" s="546" t="s">
        <v>303</v>
      </c>
      <c r="CO219" s="546" t="s">
        <v>342</v>
      </c>
      <c r="CP219" s="546" t="s">
        <v>342</v>
      </c>
      <c r="CQ219" s="546" t="s">
        <v>343</v>
      </c>
      <c r="CR219" s="546" t="s">
        <v>303</v>
      </c>
      <c r="CS219" s="546" t="s">
        <v>342</v>
      </c>
      <c r="CT219" s="546" t="s">
        <v>342</v>
      </c>
      <c r="CU219" s="546" t="s">
        <v>318</v>
      </c>
      <c r="CV219" s="546" t="s">
        <v>342</v>
      </c>
      <c r="CW219" s="546" t="s">
        <v>342</v>
      </c>
      <c r="CX219" s="546" t="s">
        <v>342</v>
      </c>
      <c r="CY219" s="546" t="s">
        <v>51</v>
      </c>
      <c r="CZ219" s="546" t="s">
        <v>303</v>
      </c>
      <c r="DA219" s="546" t="s">
        <v>342</v>
      </c>
      <c r="DB219" s="546" t="s">
        <v>342</v>
      </c>
      <c r="DC219" s="546" t="s">
        <v>303</v>
      </c>
      <c r="DD219" s="546" t="s">
        <v>36</v>
      </c>
      <c r="DE219" s="546" t="s">
        <v>310</v>
      </c>
      <c r="DF219" s="546" t="s">
        <v>310</v>
      </c>
      <c r="DG219" s="546" t="s">
        <v>310</v>
      </c>
      <c r="DH219" s="546" t="s">
        <v>303</v>
      </c>
      <c r="DI219" s="546" t="s">
        <v>310</v>
      </c>
      <c r="DJ219" s="546" t="s">
        <v>310</v>
      </c>
      <c r="DK219" s="546" t="s">
        <v>310</v>
      </c>
      <c r="DL219" s="546" t="s">
        <v>336</v>
      </c>
      <c r="DM219" s="546" t="s">
        <v>310</v>
      </c>
      <c r="DN219" s="546" t="s">
        <v>310</v>
      </c>
      <c r="DO219" s="546" t="s">
        <v>336</v>
      </c>
      <c r="DP219" s="546" t="s">
        <v>310</v>
      </c>
      <c r="DQ219" s="546" t="s">
        <v>310</v>
      </c>
      <c r="DR219" s="546" t="s">
        <v>336</v>
      </c>
      <c r="DT219" s="520" t="s">
        <v>306</v>
      </c>
      <c r="DU219" s="520" t="s">
        <v>332</v>
      </c>
      <c r="DX219" s="530"/>
    </row>
    <row r="220" hidden="1">
      <c r="A220" s="502" t="s">
        <v>288</v>
      </c>
      <c r="B220" s="525"/>
      <c r="C220" s="525"/>
      <c r="D220" s="525"/>
      <c r="E220" s="525"/>
      <c r="F220" s="525"/>
      <c r="G220" s="525"/>
      <c r="H220" s="525"/>
      <c r="I220" s="525"/>
      <c r="J220" s="525"/>
      <c r="K220" s="525"/>
      <c r="L220" s="525"/>
      <c r="M220" s="525"/>
      <c r="N220" s="525"/>
      <c r="O220" s="525"/>
      <c r="P220" s="525"/>
      <c r="Q220" s="525"/>
      <c r="R220" s="525"/>
      <c r="S220" s="525"/>
      <c r="T220" s="525"/>
      <c r="U220" s="525"/>
      <c r="V220" s="525"/>
      <c r="W220" s="525"/>
      <c r="X220" s="525"/>
      <c r="Y220" s="525"/>
      <c r="Z220" s="525"/>
      <c r="AA220" s="525"/>
      <c r="AB220" s="525"/>
      <c r="AC220" s="525"/>
      <c r="AD220" s="525"/>
      <c r="AE220" s="525"/>
      <c r="AF220" s="525"/>
      <c r="AG220" s="525"/>
      <c r="AH220" s="525"/>
      <c r="AI220" s="525"/>
      <c r="AJ220" s="525"/>
      <c r="AK220" s="525"/>
      <c r="AL220" s="525"/>
      <c r="AM220" s="525"/>
      <c r="AN220" s="525"/>
      <c r="AO220" s="525"/>
      <c r="AP220" s="525"/>
      <c r="AQ220" s="525"/>
      <c r="AR220" s="525"/>
      <c r="AS220" s="525"/>
      <c r="AT220" s="525"/>
      <c r="AU220" s="525"/>
      <c r="AV220" s="525"/>
      <c r="AW220" s="525"/>
      <c r="AX220" s="525"/>
      <c r="AY220" s="525"/>
      <c r="AZ220" s="525"/>
      <c r="BA220" s="525"/>
      <c r="BB220" s="525"/>
      <c r="BC220" s="525"/>
      <c r="BD220" s="525"/>
      <c r="BE220" s="525"/>
      <c r="BF220" s="525"/>
      <c r="BG220" s="525"/>
      <c r="BH220" s="525"/>
      <c r="BI220" s="525"/>
      <c r="BJ220" s="525"/>
      <c r="BK220" s="541">
        <v>45689.0</v>
      </c>
      <c r="BL220" s="541">
        <v>45690.0</v>
      </c>
      <c r="BM220" s="541">
        <v>45691.0</v>
      </c>
      <c r="BN220" s="541">
        <v>45692.0</v>
      </c>
      <c r="BO220" s="541">
        <v>45693.0</v>
      </c>
      <c r="BP220" s="541">
        <v>45694.0</v>
      </c>
      <c r="BQ220" s="541">
        <v>45695.0</v>
      </c>
      <c r="BR220" s="541">
        <v>45696.0</v>
      </c>
      <c r="BS220" s="541">
        <v>45697.0</v>
      </c>
      <c r="BT220" s="541">
        <v>45698.0</v>
      </c>
      <c r="BU220" s="541">
        <v>45699.0</v>
      </c>
      <c r="BV220" s="541">
        <v>45700.0</v>
      </c>
      <c r="BW220" s="541">
        <v>45701.0</v>
      </c>
      <c r="BX220" s="541">
        <v>45702.0</v>
      </c>
      <c r="BY220" s="541">
        <v>45703.0</v>
      </c>
      <c r="BZ220" s="541">
        <v>45704.0</v>
      </c>
      <c r="CA220" s="541">
        <v>45705.0</v>
      </c>
      <c r="CB220" s="541">
        <v>45706.0</v>
      </c>
      <c r="CC220" s="541">
        <v>45707.0</v>
      </c>
      <c r="CD220" s="541">
        <v>45708.0</v>
      </c>
      <c r="CE220" s="541">
        <v>45709.0</v>
      </c>
      <c r="CF220" s="541">
        <v>45710.0</v>
      </c>
      <c r="CG220" s="541">
        <v>45711.0</v>
      </c>
      <c r="CH220" s="541">
        <v>45712.0</v>
      </c>
      <c r="CI220" s="541">
        <v>45713.0</v>
      </c>
      <c r="CJ220" s="541">
        <v>45714.0</v>
      </c>
      <c r="CK220" s="541">
        <v>45715.0</v>
      </c>
      <c r="CL220" s="541">
        <v>45716.0</v>
      </c>
      <c r="CM220" s="541"/>
      <c r="CN220" s="541">
        <v>45870.0</v>
      </c>
      <c r="CO220" s="541">
        <v>45871.0</v>
      </c>
      <c r="CP220" s="541">
        <v>45872.0</v>
      </c>
      <c r="CQ220" s="541">
        <v>45873.0</v>
      </c>
      <c r="CR220" s="541">
        <v>45874.0</v>
      </c>
      <c r="CS220" s="541">
        <v>45875.0</v>
      </c>
      <c r="CT220" s="541">
        <v>45876.0</v>
      </c>
      <c r="CU220" s="541">
        <v>45877.0</v>
      </c>
      <c r="CV220" s="541">
        <v>45878.0</v>
      </c>
      <c r="CW220" s="541">
        <v>45879.0</v>
      </c>
      <c r="CX220" s="541">
        <v>45880.0</v>
      </c>
      <c r="CY220" s="541">
        <v>45881.0</v>
      </c>
      <c r="CZ220" s="541">
        <v>45882.0</v>
      </c>
      <c r="DA220" s="541">
        <v>45883.0</v>
      </c>
      <c r="DB220" s="541">
        <v>45884.0</v>
      </c>
      <c r="DC220" s="541">
        <v>45885.0</v>
      </c>
      <c r="DD220" s="541">
        <v>45886.0</v>
      </c>
      <c r="DE220" s="541">
        <v>45887.0</v>
      </c>
      <c r="DF220" s="541">
        <v>45888.0</v>
      </c>
      <c r="DG220" s="541">
        <v>45889.0</v>
      </c>
      <c r="DH220" s="541">
        <v>45890.0</v>
      </c>
      <c r="DI220" s="541">
        <v>45891.0</v>
      </c>
      <c r="DJ220" s="541">
        <v>45892.0</v>
      </c>
      <c r="DK220" s="541">
        <v>45893.0</v>
      </c>
      <c r="DL220" s="541">
        <v>45894.0</v>
      </c>
      <c r="DM220" s="541">
        <v>45895.0</v>
      </c>
      <c r="DN220" s="541">
        <v>45896.0</v>
      </c>
      <c r="DO220" s="541">
        <v>45897.0</v>
      </c>
      <c r="DP220" s="541">
        <v>45898.0</v>
      </c>
      <c r="DQ220" s="541">
        <v>45899.0</v>
      </c>
      <c r="DR220" s="541">
        <v>45900.0</v>
      </c>
      <c r="DS220" s="520" t="s">
        <v>322</v>
      </c>
      <c r="DT220" s="574">
        <f>DC223+DH223</f>
        <v>91.58</v>
      </c>
      <c r="DU220" s="520">
        <v>100.0</v>
      </c>
      <c r="DX220" s="530"/>
    </row>
    <row r="221" hidden="1">
      <c r="A221" s="502" t="s">
        <v>289</v>
      </c>
      <c r="B221" s="525"/>
      <c r="C221" s="525"/>
      <c r="D221" s="525"/>
      <c r="E221" s="525"/>
      <c r="F221" s="525"/>
      <c r="G221" s="525"/>
      <c r="H221" s="525"/>
      <c r="I221" s="525"/>
      <c r="J221" s="525"/>
      <c r="K221" s="525"/>
      <c r="L221" s="525"/>
      <c r="M221" s="525"/>
      <c r="N221" s="525"/>
      <c r="O221" s="525"/>
      <c r="P221" s="525"/>
      <c r="Q221" s="525"/>
      <c r="R221" s="525"/>
      <c r="S221" s="525"/>
      <c r="T221" s="525"/>
      <c r="U221" s="525"/>
      <c r="V221" s="525"/>
      <c r="W221" s="525"/>
      <c r="X221" s="525"/>
      <c r="Y221" s="525"/>
      <c r="Z221" s="525"/>
      <c r="AA221" s="525"/>
      <c r="AB221" s="525"/>
      <c r="AC221" s="525"/>
      <c r="AD221" s="525"/>
      <c r="AE221" s="525"/>
      <c r="AF221" s="525"/>
      <c r="AG221" s="525"/>
      <c r="AH221" s="525"/>
      <c r="AI221" s="525"/>
      <c r="AJ221" s="525"/>
      <c r="AK221" s="525"/>
      <c r="AL221" s="525"/>
      <c r="AM221" s="525"/>
      <c r="AN221" s="525"/>
      <c r="AO221" s="525"/>
      <c r="AP221" s="525"/>
      <c r="AQ221" s="525"/>
      <c r="AR221" s="525"/>
      <c r="AS221" s="525"/>
      <c r="AT221" s="525"/>
      <c r="AU221" s="525"/>
      <c r="AV221" s="525"/>
      <c r="AW221" s="525"/>
      <c r="AX221" s="525"/>
      <c r="AY221" s="525"/>
      <c r="AZ221" s="525"/>
      <c r="BA221" s="525"/>
      <c r="BB221" s="525"/>
      <c r="BC221" s="525"/>
      <c r="BD221" s="525"/>
      <c r="BE221" s="525"/>
      <c r="BF221" s="525"/>
      <c r="BG221" s="525"/>
      <c r="BH221" s="525"/>
      <c r="BI221" s="525"/>
      <c r="BJ221" s="525"/>
      <c r="BK221" s="512">
        <v>12.0</v>
      </c>
      <c r="BL221" s="512">
        <v>16.0</v>
      </c>
      <c r="BM221" s="512">
        <v>37.0</v>
      </c>
      <c r="BN221" s="512">
        <v>24.0</v>
      </c>
      <c r="BO221" s="512">
        <v>23.0</v>
      </c>
      <c r="BP221" s="512">
        <v>48.0</v>
      </c>
      <c r="BQ221" s="512">
        <v>38.0</v>
      </c>
      <c r="BR221" s="512">
        <v>13.0</v>
      </c>
      <c r="BS221" s="512">
        <v>61.0</v>
      </c>
      <c r="BT221" s="512">
        <v>50.0</v>
      </c>
      <c r="BU221" s="512">
        <v>68.0</v>
      </c>
      <c r="BV221" s="512">
        <v>29.0</v>
      </c>
      <c r="BW221" s="512">
        <v>91.0</v>
      </c>
      <c r="BX221" s="512">
        <v>62.0</v>
      </c>
      <c r="BY221" s="512">
        <v>63.0</v>
      </c>
      <c r="BZ221" s="512">
        <v>64.0</v>
      </c>
      <c r="CA221" s="512">
        <v>76.0</v>
      </c>
      <c r="CB221" s="512">
        <v>49.0</v>
      </c>
      <c r="CC221" s="512">
        <v>63.0</v>
      </c>
      <c r="CD221" s="512">
        <v>50.0</v>
      </c>
      <c r="CE221" s="512">
        <v>55.0</v>
      </c>
      <c r="CF221" s="512">
        <v>77.0</v>
      </c>
      <c r="CG221" s="512">
        <v>77.0</v>
      </c>
      <c r="CH221" s="512">
        <v>72.0</v>
      </c>
      <c r="CI221" s="512">
        <v>80.0</v>
      </c>
      <c r="CJ221" s="512">
        <v>89.0</v>
      </c>
      <c r="CK221" s="512">
        <v>64.0</v>
      </c>
      <c r="CL221" s="512">
        <v>82.0</v>
      </c>
      <c r="CM221" s="512"/>
      <c r="CN221" s="561">
        <v>47.0</v>
      </c>
      <c r="CO221" s="561">
        <v>69.0</v>
      </c>
      <c r="CP221" s="561">
        <v>49.0</v>
      </c>
      <c r="CQ221" s="561">
        <v>51.0</v>
      </c>
      <c r="CR221" s="561">
        <v>51.0</v>
      </c>
      <c r="CS221" s="561">
        <v>88.0</v>
      </c>
      <c r="CT221" s="561">
        <v>61.0</v>
      </c>
      <c r="CU221" s="561">
        <v>53.0</v>
      </c>
      <c r="CV221" s="561">
        <v>60.0</v>
      </c>
      <c r="CW221" s="561">
        <v>54.0</v>
      </c>
      <c r="CX221" s="561">
        <v>92.0</v>
      </c>
      <c r="CY221" s="561">
        <v>89.0</v>
      </c>
      <c r="CZ221" s="561">
        <v>72.0</v>
      </c>
      <c r="DA221" s="561">
        <v>62.0</v>
      </c>
      <c r="DB221" s="561">
        <v>90.0</v>
      </c>
      <c r="DC221" s="561">
        <v>27.0</v>
      </c>
      <c r="DD221" s="561">
        <v>67.0</v>
      </c>
      <c r="DE221" s="561">
        <v>101.0</v>
      </c>
      <c r="DF221" s="561">
        <v>92.0</v>
      </c>
      <c r="DG221" s="561">
        <v>53.0</v>
      </c>
      <c r="DH221" s="561">
        <v>109.0</v>
      </c>
      <c r="DI221" s="561">
        <v>83.0</v>
      </c>
      <c r="DJ221" s="561">
        <v>78.0</v>
      </c>
      <c r="DK221" s="561"/>
      <c r="DL221" s="561">
        <v>96.0</v>
      </c>
      <c r="DM221" s="561">
        <v>90.0</v>
      </c>
      <c r="DN221" s="561">
        <v>62.0</v>
      </c>
      <c r="DO221" s="561">
        <v>86.0</v>
      </c>
      <c r="DP221" s="561">
        <v>116.0</v>
      </c>
      <c r="DQ221" s="561">
        <v>88.0</v>
      </c>
      <c r="DR221" s="561">
        <v>104.0</v>
      </c>
      <c r="DS221" s="520" t="s">
        <v>341</v>
      </c>
      <c r="DT221" s="574">
        <f>DR223+DO223+DL223</f>
        <v>-583.28</v>
      </c>
      <c r="DU221" s="574">
        <f>100*1</f>
        <v>100</v>
      </c>
      <c r="DX221" s="530"/>
    </row>
    <row r="222" hidden="1">
      <c r="A222" s="521" t="s">
        <v>290</v>
      </c>
      <c r="B222" s="525"/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5"/>
      <c r="N222" s="525"/>
      <c r="O222" s="525"/>
      <c r="P222" s="525"/>
      <c r="Q222" s="525"/>
      <c r="R222" s="525"/>
      <c r="S222" s="525"/>
      <c r="T222" s="525"/>
      <c r="U222" s="525"/>
      <c r="V222" s="525"/>
      <c r="W222" s="525"/>
      <c r="X222" s="525"/>
      <c r="Y222" s="525"/>
      <c r="Z222" s="525"/>
      <c r="AA222" s="525"/>
      <c r="AB222" s="525"/>
      <c r="AC222" s="525"/>
      <c r="AD222" s="525"/>
      <c r="AE222" s="525"/>
      <c r="AF222" s="525"/>
      <c r="AG222" s="525"/>
      <c r="AH222" s="525"/>
      <c r="AI222" s="525"/>
      <c r="AJ222" s="525"/>
      <c r="AK222" s="525"/>
      <c r="AL222" s="525"/>
      <c r="AM222" s="525"/>
      <c r="AN222" s="525"/>
      <c r="AO222" s="525"/>
      <c r="AP222" s="525"/>
      <c r="AQ222" s="525"/>
      <c r="AR222" s="525"/>
      <c r="AS222" s="525"/>
      <c r="AT222" s="525"/>
      <c r="AU222" s="525"/>
      <c r="AV222" s="525"/>
      <c r="AW222" s="525"/>
      <c r="AX222" s="525"/>
      <c r="AY222" s="525"/>
      <c r="AZ222" s="525"/>
      <c r="BA222" s="525"/>
      <c r="BB222" s="525"/>
      <c r="BC222" s="525"/>
      <c r="BD222" s="525"/>
      <c r="BE222" s="525"/>
      <c r="BF222" s="525"/>
      <c r="BG222" s="525"/>
      <c r="BH222" s="525"/>
      <c r="BI222" s="525"/>
      <c r="BJ222" s="525"/>
      <c r="BK222" s="512">
        <v>8.0</v>
      </c>
      <c r="BL222" s="512">
        <v>9.0</v>
      </c>
      <c r="BM222" s="512">
        <v>16.0</v>
      </c>
      <c r="BN222" s="512">
        <v>12.0</v>
      </c>
      <c r="BO222" s="512">
        <v>12.0</v>
      </c>
      <c r="BP222" s="512">
        <v>18.0</v>
      </c>
      <c r="BQ222" s="512">
        <v>20.0</v>
      </c>
      <c r="BR222" s="512">
        <v>6.0</v>
      </c>
      <c r="BS222" s="512">
        <v>18.0</v>
      </c>
      <c r="BT222" s="512">
        <v>20.0</v>
      </c>
      <c r="BU222" s="512">
        <v>24.0</v>
      </c>
      <c r="BV222" s="512">
        <v>14.0</v>
      </c>
      <c r="BW222" s="512">
        <v>32.0</v>
      </c>
      <c r="BX222" s="512">
        <v>25.0</v>
      </c>
      <c r="BY222" s="512">
        <v>22.0</v>
      </c>
      <c r="BZ222" s="512">
        <v>29.0</v>
      </c>
      <c r="CA222" s="512">
        <v>18.0</v>
      </c>
      <c r="CB222" s="512">
        <v>23.0</v>
      </c>
      <c r="CC222" s="512">
        <v>26.0</v>
      </c>
      <c r="CD222" s="512">
        <v>22.0</v>
      </c>
      <c r="CE222" s="512">
        <v>23.0</v>
      </c>
      <c r="CF222" s="512">
        <v>36.0</v>
      </c>
      <c r="CG222" s="512">
        <v>36.0</v>
      </c>
      <c r="CH222" s="512">
        <v>23.0</v>
      </c>
      <c r="CI222" s="512">
        <v>36.0</v>
      </c>
      <c r="CJ222" s="512">
        <v>37.0</v>
      </c>
      <c r="CK222" s="512">
        <v>20.0</v>
      </c>
      <c r="CL222" s="512">
        <v>36.0</v>
      </c>
      <c r="CM222" s="552">
        <f>SUM(BK222:CL222)/28</f>
        <v>22.17857143</v>
      </c>
      <c r="CN222" s="561">
        <v>20.0</v>
      </c>
      <c r="CO222" s="561">
        <v>34.0</v>
      </c>
      <c r="CP222" s="561">
        <v>22.0</v>
      </c>
      <c r="CQ222" s="561">
        <v>29.0</v>
      </c>
      <c r="CR222" s="561">
        <v>18.0</v>
      </c>
      <c r="CS222" s="561">
        <v>31.0</v>
      </c>
      <c r="CT222" s="561">
        <v>32.0</v>
      </c>
      <c r="CU222" s="561">
        <v>27.0</v>
      </c>
      <c r="CV222" s="561">
        <v>26.0</v>
      </c>
      <c r="CW222" s="561">
        <v>21.0</v>
      </c>
      <c r="CX222" s="561">
        <v>36.0</v>
      </c>
      <c r="CY222" s="561">
        <v>31.0</v>
      </c>
      <c r="CZ222" s="561">
        <v>32.0</v>
      </c>
      <c r="DA222" s="561">
        <v>30.0</v>
      </c>
      <c r="DB222" s="561">
        <v>35.0</v>
      </c>
      <c r="DC222" s="561">
        <v>14.0</v>
      </c>
      <c r="DD222" s="561">
        <v>32.0</v>
      </c>
      <c r="DE222" s="561">
        <v>33.0</v>
      </c>
      <c r="DF222" s="561">
        <v>30.0</v>
      </c>
      <c r="DG222" s="561">
        <v>22.0</v>
      </c>
      <c r="DH222" s="561">
        <v>44.0</v>
      </c>
      <c r="DI222" s="561">
        <v>30.0</v>
      </c>
      <c r="DJ222" s="561">
        <v>30.0</v>
      </c>
      <c r="DK222" s="561"/>
      <c r="DL222" s="561">
        <v>41.0</v>
      </c>
      <c r="DM222" s="561">
        <v>37.0</v>
      </c>
      <c r="DN222" s="561">
        <v>30.0</v>
      </c>
      <c r="DO222" s="561">
        <v>37.0</v>
      </c>
      <c r="DP222" s="561">
        <v>35.0</v>
      </c>
      <c r="DQ222" s="561">
        <v>28.0</v>
      </c>
      <c r="DR222" s="561">
        <v>37.0</v>
      </c>
      <c r="DS222" s="520" t="s">
        <v>334</v>
      </c>
      <c r="DT222" s="574">
        <f>DE223+DF223+DG223+DI223+DJ223+DK223+DM223+DN223+DP223+DQ223</f>
        <v>188.39</v>
      </c>
      <c r="DU222" s="574">
        <f>200</f>
        <v>200</v>
      </c>
      <c r="DW222" s="576"/>
      <c r="DX222" s="530"/>
    </row>
    <row r="223" hidden="1">
      <c r="A223" s="502" t="s">
        <v>291</v>
      </c>
      <c r="B223" s="525"/>
      <c r="C223" s="525"/>
      <c r="D223" s="525"/>
      <c r="E223" s="525"/>
      <c r="F223" s="525"/>
      <c r="G223" s="525"/>
      <c r="H223" s="525"/>
      <c r="I223" s="525"/>
      <c r="J223" s="525"/>
      <c r="K223" s="525"/>
      <c r="L223" s="525"/>
      <c r="M223" s="525"/>
      <c r="N223" s="525"/>
      <c r="O223" s="525"/>
      <c r="P223" s="525"/>
      <c r="Q223" s="525"/>
      <c r="R223" s="525"/>
      <c r="S223" s="525"/>
      <c r="T223" s="525"/>
      <c r="U223" s="525"/>
      <c r="V223" s="525"/>
      <c r="W223" s="525"/>
      <c r="X223" s="525"/>
      <c r="Y223" s="525"/>
      <c r="Z223" s="525"/>
      <c r="AA223" s="525"/>
      <c r="AB223" s="525"/>
      <c r="AC223" s="525"/>
      <c r="AD223" s="525"/>
      <c r="AE223" s="525"/>
      <c r="AF223" s="525"/>
      <c r="AG223" s="525"/>
      <c r="AH223" s="525"/>
      <c r="AI223" s="525"/>
      <c r="AJ223" s="525"/>
      <c r="AK223" s="525"/>
      <c r="AL223" s="525"/>
      <c r="AM223" s="525"/>
      <c r="AN223" s="525"/>
      <c r="AO223" s="525"/>
      <c r="AP223" s="525"/>
      <c r="AQ223" s="525"/>
      <c r="AR223" s="525"/>
      <c r="AS223" s="525"/>
      <c r="AT223" s="525"/>
      <c r="AU223" s="525"/>
      <c r="AV223" s="525"/>
      <c r="AW223" s="525"/>
      <c r="AX223" s="525"/>
      <c r="AY223" s="525"/>
      <c r="AZ223" s="525"/>
      <c r="BA223" s="525"/>
      <c r="BB223" s="525"/>
      <c r="BC223" s="525"/>
      <c r="BD223" s="525"/>
      <c r="BE223" s="525"/>
      <c r="BF223" s="525"/>
      <c r="BG223" s="525"/>
      <c r="BH223" s="525"/>
      <c r="BI223" s="525"/>
      <c r="BJ223" s="525"/>
      <c r="BK223" s="529">
        <v>10.85</v>
      </c>
      <c r="BL223" s="529">
        <v>8.12</v>
      </c>
      <c r="BM223" s="529">
        <v>8.91</v>
      </c>
      <c r="BN223" s="529">
        <v>12.38</v>
      </c>
      <c r="BO223" s="529">
        <v>10.65</v>
      </c>
      <c r="BP223" s="529">
        <v>10.65</v>
      </c>
      <c r="BQ223" s="529">
        <v>11.69</v>
      </c>
      <c r="BR223" s="529">
        <v>13.24</v>
      </c>
      <c r="BS223" s="529">
        <v>20.49</v>
      </c>
      <c r="BT223" s="529">
        <v>9.99</v>
      </c>
      <c r="BU223" s="529">
        <v>18.07</v>
      </c>
      <c r="BV223" s="529">
        <v>2.6</v>
      </c>
      <c r="BW223" s="529">
        <v>15.52</v>
      </c>
      <c r="BX223" s="529">
        <v>-84.66</v>
      </c>
      <c r="BY223" s="529">
        <v>-0.49</v>
      </c>
      <c r="BZ223" s="529">
        <v>29.94</v>
      </c>
      <c r="CA223" s="529">
        <v>10.04</v>
      </c>
      <c r="CB223" s="529">
        <v>12.42</v>
      </c>
      <c r="CC223" s="529">
        <v>-21.42</v>
      </c>
      <c r="CD223" s="529">
        <v>18.39</v>
      </c>
      <c r="CE223" s="529">
        <v>14.56</v>
      </c>
      <c r="CF223" s="529">
        <v>-79.95</v>
      </c>
      <c r="CG223" s="529">
        <v>34.0</v>
      </c>
      <c r="CH223" s="529">
        <v>39.31</v>
      </c>
      <c r="CI223" s="529">
        <v>25.66</v>
      </c>
      <c r="CJ223" s="529">
        <v>-74.91</v>
      </c>
      <c r="CK223" s="529">
        <v>-183.09</v>
      </c>
      <c r="CL223" s="529">
        <v>-114.25</v>
      </c>
      <c r="CM223" s="529"/>
      <c r="CN223" s="537">
        <v>18.59</v>
      </c>
      <c r="CO223" s="537">
        <v>14.47</v>
      </c>
      <c r="CP223" s="537">
        <v>21.25</v>
      </c>
      <c r="CQ223" s="537">
        <v>9.4</v>
      </c>
      <c r="CR223" s="537">
        <v>24.77</v>
      </c>
      <c r="CS223" s="537">
        <v>20.02</v>
      </c>
      <c r="CT223" s="537">
        <v>14.41</v>
      </c>
      <c r="CU223" s="537">
        <v>31.63</v>
      </c>
      <c r="CV223" s="512">
        <v>13.65</v>
      </c>
      <c r="CW223" s="537">
        <v>21.93</v>
      </c>
      <c r="CX223" s="537">
        <v>19.32</v>
      </c>
      <c r="CY223" s="537">
        <v>31.18</v>
      </c>
      <c r="CZ223" s="537">
        <v>-139.56</v>
      </c>
      <c r="DA223" s="537">
        <v>14.74</v>
      </c>
      <c r="DB223" s="537">
        <v>32.86</v>
      </c>
      <c r="DC223" s="537">
        <v>27.82</v>
      </c>
      <c r="DD223" s="537">
        <v>49.3</v>
      </c>
      <c r="DE223" s="537">
        <v>37.32</v>
      </c>
      <c r="DF223" s="537">
        <v>-134.31</v>
      </c>
      <c r="DG223" s="537">
        <v>35.9</v>
      </c>
      <c r="DH223" s="537">
        <v>63.76</v>
      </c>
      <c r="DI223" s="537">
        <v>29.39</v>
      </c>
      <c r="DJ223" s="537">
        <v>38.28</v>
      </c>
      <c r="DK223" s="537">
        <v>33.85</v>
      </c>
      <c r="DL223" s="537">
        <v>-198.19</v>
      </c>
      <c r="DM223" s="537">
        <v>37.36</v>
      </c>
      <c r="DN223" s="537">
        <v>34.2</v>
      </c>
      <c r="DO223" s="537">
        <v>54.9</v>
      </c>
      <c r="DP223" s="537">
        <v>22.69</v>
      </c>
      <c r="DQ223" s="537">
        <v>53.71</v>
      </c>
      <c r="DR223" s="537">
        <v>-439.99</v>
      </c>
      <c r="DS223" s="520" t="s">
        <v>314</v>
      </c>
      <c r="DT223" s="574">
        <f>DD223</f>
        <v>49.3</v>
      </c>
      <c r="DW223" s="578"/>
      <c r="DX223" s="530"/>
    </row>
    <row r="224" hidden="1">
      <c r="A224" s="531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W224" s="578"/>
      <c r="DX224" s="530"/>
    </row>
    <row r="225" hidden="1">
      <c r="A225" s="531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5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W225" s="578"/>
      <c r="DX225" s="530"/>
    </row>
    <row r="226" hidden="1">
      <c r="A226" s="500" t="s">
        <v>49</v>
      </c>
      <c r="CN226" s="105" t="s">
        <v>303</v>
      </c>
      <c r="CO226" s="105" t="s">
        <v>336</v>
      </c>
      <c r="CP226" s="105" t="s">
        <v>336</v>
      </c>
      <c r="CQ226" s="105" t="s">
        <v>303</v>
      </c>
      <c r="CR226" s="105" t="s">
        <v>303</v>
      </c>
      <c r="CS226" s="105" t="s">
        <v>344</v>
      </c>
      <c r="CT226" s="105" t="s">
        <v>344</v>
      </c>
      <c r="CU226" s="105" t="s">
        <v>303</v>
      </c>
      <c r="CV226" s="105" t="s">
        <v>303</v>
      </c>
      <c r="CW226" s="105" t="s">
        <v>344</v>
      </c>
      <c r="CX226" s="105" t="s">
        <v>344</v>
      </c>
      <c r="CY226" s="105" t="s">
        <v>344</v>
      </c>
      <c r="CZ226" s="105" t="s">
        <v>303</v>
      </c>
      <c r="DA226" s="105" t="s">
        <v>345</v>
      </c>
      <c r="DB226" s="105" t="s">
        <v>344</v>
      </c>
      <c r="DC226" s="105" t="s">
        <v>344</v>
      </c>
      <c r="DD226" s="105" t="s">
        <v>303</v>
      </c>
      <c r="DE226" s="105" t="s">
        <v>303</v>
      </c>
      <c r="DF226" s="105" t="s">
        <v>344</v>
      </c>
      <c r="DG226" s="105" t="s">
        <v>344</v>
      </c>
      <c r="DH226" s="105" t="s">
        <v>303</v>
      </c>
      <c r="DI226" s="105" t="s">
        <v>303</v>
      </c>
      <c r="DJ226" s="105" t="s">
        <v>344</v>
      </c>
      <c r="DK226" s="105" t="s">
        <v>344</v>
      </c>
      <c r="DL226" s="105" t="s">
        <v>303</v>
      </c>
      <c r="DM226" s="105" t="s">
        <v>303</v>
      </c>
      <c r="DN226" s="105" t="s">
        <v>344</v>
      </c>
      <c r="DO226" s="105" t="s">
        <v>346</v>
      </c>
      <c r="DP226" s="105" t="s">
        <v>303</v>
      </c>
      <c r="DQ226" s="105" t="s">
        <v>303</v>
      </c>
      <c r="DR226" s="105" t="s">
        <v>346</v>
      </c>
      <c r="DT226" s="520" t="s">
        <v>306</v>
      </c>
      <c r="DU226" s="520" t="s">
        <v>332</v>
      </c>
      <c r="DW226" s="578"/>
      <c r="DX226" s="530"/>
    </row>
    <row r="227" hidden="1">
      <c r="A227" s="502" t="s">
        <v>288</v>
      </c>
      <c r="CN227" s="541">
        <v>45870.0</v>
      </c>
      <c r="CO227" s="541">
        <v>45871.0</v>
      </c>
      <c r="CP227" s="541">
        <v>45872.0</v>
      </c>
      <c r="CQ227" s="541">
        <v>45873.0</v>
      </c>
      <c r="CR227" s="541">
        <v>45874.0</v>
      </c>
      <c r="CS227" s="541">
        <v>45875.0</v>
      </c>
      <c r="CT227" s="541">
        <v>45876.0</v>
      </c>
      <c r="CU227" s="541">
        <v>45877.0</v>
      </c>
      <c r="CV227" s="541">
        <v>45878.0</v>
      </c>
      <c r="CW227" s="541">
        <v>45879.0</v>
      </c>
      <c r="CX227" s="541">
        <v>45880.0</v>
      </c>
      <c r="CY227" s="541">
        <v>45881.0</v>
      </c>
      <c r="CZ227" s="541">
        <v>45882.0</v>
      </c>
      <c r="DA227" s="541">
        <v>45883.0</v>
      </c>
      <c r="DB227" s="541">
        <v>45884.0</v>
      </c>
      <c r="DC227" s="541">
        <v>45885.0</v>
      </c>
      <c r="DD227" s="541">
        <v>45886.0</v>
      </c>
      <c r="DE227" s="541">
        <v>45887.0</v>
      </c>
      <c r="DF227" s="541">
        <v>45888.0</v>
      </c>
      <c r="DG227" s="541">
        <v>45889.0</v>
      </c>
      <c r="DH227" s="541">
        <v>45890.0</v>
      </c>
      <c r="DI227" s="541">
        <v>45891.0</v>
      </c>
      <c r="DJ227" s="541">
        <v>45892.0</v>
      </c>
      <c r="DK227" s="541">
        <v>45893.0</v>
      </c>
      <c r="DL227" s="541">
        <v>45894.0</v>
      </c>
      <c r="DM227" s="541">
        <v>45895.0</v>
      </c>
      <c r="DN227" s="541">
        <v>45896.0</v>
      </c>
      <c r="DO227" s="541">
        <v>45897.0</v>
      </c>
      <c r="DP227" s="541">
        <v>45898.0</v>
      </c>
      <c r="DQ227" s="541">
        <v>45899.0</v>
      </c>
      <c r="DR227" s="541">
        <v>45900.0</v>
      </c>
      <c r="DS227" s="520" t="s">
        <v>309</v>
      </c>
      <c r="DT227" s="574">
        <f>DD230+DE230+DH230+DI230+DL230+DM230+DP230+DQ230</f>
        <v>233.35</v>
      </c>
      <c r="DU227" s="574">
        <f>100*8</f>
        <v>800</v>
      </c>
      <c r="DW227" s="578"/>
      <c r="DX227" s="530"/>
    </row>
    <row r="228" hidden="1">
      <c r="A228" s="502" t="s">
        <v>289</v>
      </c>
      <c r="CN228" s="561">
        <v>108.0</v>
      </c>
      <c r="CO228" s="561">
        <v>106.0</v>
      </c>
      <c r="CP228" s="561">
        <v>96.0</v>
      </c>
      <c r="CQ228" s="561">
        <v>70.0</v>
      </c>
      <c r="CR228" s="561">
        <v>97.0</v>
      </c>
      <c r="CS228" s="561"/>
      <c r="CT228" s="561">
        <v>86.0</v>
      </c>
      <c r="CU228" s="561">
        <v>92.0</v>
      </c>
      <c r="CV228" s="561">
        <v>78.0</v>
      </c>
      <c r="CW228" s="561"/>
      <c r="CX228" s="561">
        <v>124.0</v>
      </c>
      <c r="CY228" s="561">
        <v>116.0</v>
      </c>
      <c r="CZ228" s="561">
        <v>99.0</v>
      </c>
      <c r="DA228" s="561">
        <v>87.0</v>
      </c>
      <c r="DB228" s="561">
        <v>127.0</v>
      </c>
      <c r="DC228" s="561">
        <v>50.0</v>
      </c>
      <c r="DD228" s="561">
        <v>109.0</v>
      </c>
      <c r="DE228" s="561">
        <v>137.0</v>
      </c>
      <c r="DF228" s="561">
        <v>83.0</v>
      </c>
      <c r="DG228" s="561">
        <v>99.0</v>
      </c>
      <c r="DH228" s="561">
        <v>123.0</v>
      </c>
      <c r="DI228" s="561">
        <v>155.0</v>
      </c>
      <c r="DJ228" s="561">
        <v>126.0</v>
      </c>
      <c r="DK228" s="561">
        <v>168.0</v>
      </c>
      <c r="DL228" s="561">
        <v>138.0</v>
      </c>
      <c r="DM228" s="561">
        <v>112.0</v>
      </c>
      <c r="DN228" s="561">
        <v>87.0</v>
      </c>
      <c r="DO228" s="561">
        <v>121.0</v>
      </c>
      <c r="DP228" s="561">
        <v>120.0</v>
      </c>
      <c r="DQ228" s="561">
        <v>142.0</v>
      </c>
      <c r="DR228" s="561">
        <v>154.0</v>
      </c>
      <c r="DS228" s="520" t="s">
        <v>347</v>
      </c>
      <c r="DT228" s="574">
        <f>DC230+DF230+DG230+DJ230+DK230+DN230</f>
        <v>-714.48</v>
      </c>
      <c r="DU228" s="520">
        <v>200.0</v>
      </c>
      <c r="DW228" s="578"/>
      <c r="DX228" s="530"/>
    </row>
    <row r="229" hidden="1">
      <c r="A229" s="521" t="s">
        <v>290</v>
      </c>
      <c r="CN229" s="561">
        <v>35.0</v>
      </c>
      <c r="CO229" s="561">
        <v>34.0</v>
      </c>
      <c r="CP229" s="561">
        <v>30.0</v>
      </c>
      <c r="CQ229" s="561">
        <v>29.0</v>
      </c>
      <c r="CR229" s="561"/>
      <c r="CS229" s="561"/>
      <c r="CT229" s="561">
        <v>38.0</v>
      </c>
      <c r="CU229" s="561">
        <v>33.0</v>
      </c>
      <c r="CV229" s="561">
        <v>32.0</v>
      </c>
      <c r="CW229" s="561"/>
      <c r="CX229" s="561">
        <v>52.0</v>
      </c>
      <c r="CY229" s="561">
        <v>39.0</v>
      </c>
      <c r="CZ229" s="561">
        <v>41.0</v>
      </c>
      <c r="DA229" s="561">
        <v>27.0</v>
      </c>
      <c r="DB229" s="561">
        <v>45.0</v>
      </c>
      <c r="DC229" s="561">
        <v>24.0</v>
      </c>
      <c r="DD229" s="561">
        <v>37.0</v>
      </c>
      <c r="DE229" s="561">
        <v>47.0</v>
      </c>
      <c r="DF229" s="561">
        <v>32.0</v>
      </c>
      <c r="DG229" s="561">
        <v>43.0</v>
      </c>
      <c r="DH229" s="561">
        <v>43.0</v>
      </c>
      <c r="DI229" s="561">
        <v>50.0</v>
      </c>
      <c r="DJ229" s="561">
        <v>37.0</v>
      </c>
      <c r="DK229" s="561">
        <v>43.0</v>
      </c>
      <c r="DL229" s="561">
        <v>45.0</v>
      </c>
      <c r="DM229" s="561">
        <v>35.0</v>
      </c>
      <c r="DN229" s="561">
        <v>43.0</v>
      </c>
      <c r="DO229" s="561">
        <v>35.0</v>
      </c>
      <c r="DP229" s="561">
        <v>51.0</v>
      </c>
      <c r="DQ229" s="561">
        <v>51.0</v>
      </c>
      <c r="DR229" s="561">
        <v>48.0</v>
      </c>
      <c r="DS229" s="520" t="s">
        <v>348</v>
      </c>
      <c r="DT229" s="574">
        <f>DO230+DR230</f>
        <v>8.65</v>
      </c>
      <c r="DU229" s="574">
        <f>200</f>
        <v>200</v>
      </c>
      <c r="DW229" s="576"/>
      <c r="DX229" s="530"/>
    </row>
    <row r="230" hidden="1">
      <c r="A230" s="502" t="s">
        <v>291</v>
      </c>
      <c r="CN230" s="537">
        <v>25.66</v>
      </c>
      <c r="CO230" s="537">
        <v>27.35</v>
      </c>
      <c r="CP230" s="537">
        <v>24.13</v>
      </c>
      <c r="CQ230" s="537">
        <v>20.51</v>
      </c>
      <c r="CR230" s="537">
        <v>34.87</v>
      </c>
      <c r="CS230" s="537">
        <v>37.37</v>
      </c>
      <c r="CT230" s="537">
        <v>-172.31</v>
      </c>
      <c r="CU230" s="537">
        <v>33.03</v>
      </c>
      <c r="CV230" s="512">
        <v>24.07</v>
      </c>
      <c r="CW230" s="537">
        <v>64.66</v>
      </c>
      <c r="CX230" s="537">
        <v>51.79</v>
      </c>
      <c r="CY230" s="537">
        <v>45.19</v>
      </c>
      <c r="CZ230" s="537">
        <v>36.41</v>
      </c>
      <c r="DA230" s="513">
        <v>44.06</v>
      </c>
      <c r="DB230" s="537">
        <v>-143.13</v>
      </c>
      <c r="DC230" s="537">
        <v>41.32</v>
      </c>
      <c r="DD230" s="537">
        <v>56.58</v>
      </c>
      <c r="DE230" s="537">
        <v>36.19</v>
      </c>
      <c r="DF230" s="537">
        <v>-174.11</v>
      </c>
      <c r="DG230" s="537">
        <v>48.69</v>
      </c>
      <c r="DH230" s="537">
        <v>62.18</v>
      </c>
      <c r="DI230" s="537">
        <v>-158.82</v>
      </c>
      <c r="DJ230" s="537">
        <v>-131.87</v>
      </c>
      <c r="DK230" s="537">
        <v>-204.17</v>
      </c>
      <c r="DL230" s="537">
        <v>43.74</v>
      </c>
      <c r="DM230" s="537">
        <v>80.6</v>
      </c>
      <c r="DN230" s="537">
        <v>-294.34</v>
      </c>
      <c r="DO230" s="537">
        <v>-76.9</v>
      </c>
      <c r="DP230" s="537">
        <v>38.51</v>
      </c>
      <c r="DQ230" s="537">
        <v>74.37</v>
      </c>
      <c r="DR230" s="537">
        <v>85.55</v>
      </c>
      <c r="DX230" s="530"/>
    </row>
    <row r="231" hidden="1">
      <c r="A231" s="531"/>
      <c r="DA231" s="579"/>
      <c r="DX231" s="530"/>
    </row>
    <row r="232">
      <c r="A232" s="521" t="s">
        <v>349</v>
      </c>
      <c r="DX232" s="530"/>
    </row>
    <row r="233">
      <c r="A233" s="551" t="s">
        <v>350</v>
      </c>
      <c r="DX233" s="530"/>
    </row>
    <row r="234" hidden="1">
      <c r="A234" s="500" t="s">
        <v>2</v>
      </c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  <c r="AT234" s="118"/>
      <c r="AU234" s="118"/>
      <c r="AV234" s="118"/>
      <c r="AW234" s="118"/>
      <c r="AX234" s="118"/>
      <c r="AY234" s="118"/>
      <c r="AZ234" s="118"/>
      <c r="BA234" s="118"/>
      <c r="BB234" s="118"/>
      <c r="BC234" s="118"/>
      <c r="BD234" s="118"/>
      <c r="BE234" s="118"/>
      <c r="BF234" s="118"/>
      <c r="BG234" s="118"/>
      <c r="BH234" s="118"/>
      <c r="BI234" s="118"/>
      <c r="BJ234" s="118"/>
      <c r="BK234" s="118"/>
      <c r="BL234" s="118"/>
      <c r="BM234" s="118"/>
      <c r="BN234" s="118"/>
      <c r="BO234" s="118"/>
      <c r="BP234" s="118"/>
      <c r="BQ234" s="118"/>
      <c r="BR234" s="118"/>
      <c r="BS234" s="118"/>
      <c r="BT234" s="118"/>
      <c r="BU234" s="118"/>
      <c r="BV234" s="118"/>
      <c r="BW234" s="118"/>
      <c r="BX234" s="118"/>
      <c r="BY234" s="118"/>
      <c r="BZ234" s="118"/>
      <c r="CA234" s="118"/>
      <c r="CB234" s="118"/>
      <c r="CC234" s="118"/>
      <c r="CD234" s="118"/>
      <c r="CE234" s="118"/>
      <c r="CF234" s="118"/>
      <c r="CG234" s="118"/>
      <c r="CH234" s="118"/>
      <c r="CI234" s="118"/>
      <c r="CJ234" s="118"/>
      <c r="CK234" s="118"/>
      <c r="CL234" s="118"/>
      <c r="CM234" s="118"/>
      <c r="CN234" s="546" t="s">
        <v>351</v>
      </c>
      <c r="CO234" s="546" t="s">
        <v>351</v>
      </c>
      <c r="CP234" s="546" t="s">
        <v>304</v>
      </c>
      <c r="CQ234" s="546" t="s">
        <v>304</v>
      </c>
      <c r="CR234" s="546" t="s">
        <v>351</v>
      </c>
      <c r="CS234" s="546" t="s">
        <v>351</v>
      </c>
      <c r="CT234" s="546" t="s">
        <v>352</v>
      </c>
      <c r="CU234" s="546" t="s">
        <v>304</v>
      </c>
      <c r="CV234" s="546" t="s">
        <v>351</v>
      </c>
      <c r="CW234" s="546" t="s">
        <v>351</v>
      </c>
      <c r="CX234" s="546" t="s">
        <v>304</v>
      </c>
      <c r="CY234" s="546" t="s">
        <v>304</v>
      </c>
      <c r="CZ234" s="546" t="s">
        <v>351</v>
      </c>
      <c r="DA234" s="546" t="s">
        <v>351</v>
      </c>
      <c r="DB234" s="546" t="s">
        <v>304</v>
      </c>
      <c r="DC234" s="546" t="s">
        <v>304</v>
      </c>
      <c r="DD234" s="546" t="s">
        <v>351</v>
      </c>
      <c r="DE234" s="546" t="s">
        <v>351</v>
      </c>
      <c r="DF234" s="546" t="s">
        <v>304</v>
      </c>
      <c r="DG234" s="546" t="s">
        <v>304</v>
      </c>
      <c r="DH234" s="546" t="s">
        <v>353</v>
      </c>
      <c r="DI234" s="546" t="s">
        <v>351</v>
      </c>
      <c r="DJ234" s="546" t="s">
        <v>304</v>
      </c>
      <c r="DK234" s="546" t="s">
        <v>304</v>
      </c>
      <c r="DL234" s="546" t="s">
        <v>351</v>
      </c>
      <c r="DM234" s="546" t="s">
        <v>351</v>
      </c>
      <c r="DN234" s="546" t="s">
        <v>304</v>
      </c>
      <c r="DO234" s="546" t="s">
        <v>304</v>
      </c>
      <c r="DP234" s="546" t="s">
        <v>351</v>
      </c>
      <c r="DQ234" s="546" t="s">
        <v>351</v>
      </c>
      <c r="DR234" s="118"/>
      <c r="DX234" s="530"/>
    </row>
    <row r="235" hidden="1">
      <c r="A235" s="502" t="s">
        <v>288</v>
      </c>
      <c r="B235" s="525"/>
      <c r="C235" s="525"/>
      <c r="D235" s="525"/>
      <c r="E235" s="525"/>
      <c r="F235" s="525"/>
      <c r="G235" s="525"/>
      <c r="H235" s="525"/>
      <c r="I235" s="525"/>
      <c r="J235" s="525"/>
      <c r="K235" s="525"/>
      <c r="L235" s="525"/>
      <c r="M235" s="525"/>
      <c r="N235" s="525"/>
      <c r="O235" s="525"/>
      <c r="P235" s="525"/>
      <c r="Q235" s="525"/>
      <c r="R235" s="525"/>
      <c r="S235" s="525"/>
      <c r="T235" s="525"/>
      <c r="U235" s="525"/>
      <c r="V235" s="525"/>
      <c r="W235" s="525"/>
      <c r="X235" s="525"/>
      <c r="Y235" s="525"/>
      <c r="Z235" s="525"/>
      <c r="AA235" s="525"/>
      <c r="AB235" s="525"/>
      <c r="AC235" s="525"/>
      <c r="AD235" s="525"/>
      <c r="AE235" s="525"/>
      <c r="AF235" s="525"/>
      <c r="AG235" s="525"/>
      <c r="AH235" s="525"/>
      <c r="AI235" s="525"/>
      <c r="AJ235" s="525"/>
      <c r="AK235" s="525"/>
      <c r="AL235" s="525"/>
      <c r="AM235" s="525"/>
      <c r="AN235" s="525"/>
      <c r="AO235" s="525"/>
      <c r="AP235" s="525"/>
      <c r="AQ235" s="525"/>
      <c r="AR235" s="525"/>
      <c r="AS235" s="525"/>
      <c r="AT235" s="525"/>
      <c r="AU235" s="525"/>
      <c r="AV235" s="525"/>
      <c r="AW235" s="525"/>
      <c r="AX235" s="525"/>
      <c r="AY235" s="525"/>
      <c r="AZ235" s="525"/>
      <c r="BA235" s="525"/>
      <c r="BB235" s="525"/>
      <c r="BC235" s="525"/>
      <c r="BD235" s="525"/>
      <c r="BE235" s="525"/>
      <c r="BF235" s="525"/>
      <c r="BG235" s="525"/>
      <c r="BH235" s="525"/>
      <c r="BI235" s="525"/>
      <c r="BJ235" s="525"/>
      <c r="BK235" s="541">
        <v>45689.0</v>
      </c>
      <c r="BL235" s="541">
        <v>45690.0</v>
      </c>
      <c r="BM235" s="541">
        <v>45691.0</v>
      </c>
      <c r="BN235" s="541">
        <v>45692.0</v>
      </c>
      <c r="BO235" s="541">
        <v>45693.0</v>
      </c>
      <c r="BP235" s="541">
        <v>45694.0</v>
      </c>
      <c r="BQ235" s="541">
        <v>45695.0</v>
      </c>
      <c r="BR235" s="541">
        <v>45696.0</v>
      </c>
      <c r="BS235" s="541">
        <v>45697.0</v>
      </c>
      <c r="BT235" s="541">
        <v>45698.0</v>
      </c>
      <c r="BU235" s="541">
        <v>45699.0</v>
      </c>
      <c r="BV235" s="541">
        <v>45700.0</v>
      </c>
      <c r="BW235" s="541">
        <v>45701.0</v>
      </c>
      <c r="BX235" s="541">
        <v>45702.0</v>
      </c>
      <c r="BY235" s="541">
        <v>45703.0</v>
      </c>
      <c r="BZ235" s="541">
        <v>45704.0</v>
      </c>
      <c r="CA235" s="541">
        <v>45705.0</v>
      </c>
      <c r="CB235" s="541">
        <v>45706.0</v>
      </c>
      <c r="CC235" s="541">
        <v>45707.0</v>
      </c>
      <c r="CD235" s="541">
        <v>45708.0</v>
      </c>
      <c r="CE235" s="541">
        <v>45709.0</v>
      </c>
      <c r="CF235" s="541">
        <v>45710.0</v>
      </c>
      <c r="CG235" s="541">
        <v>45711.0</v>
      </c>
      <c r="CH235" s="541">
        <v>45712.0</v>
      </c>
      <c r="CI235" s="541">
        <v>45713.0</v>
      </c>
      <c r="CJ235" s="541">
        <v>45714.0</v>
      </c>
      <c r="CK235" s="541">
        <v>45715.0</v>
      </c>
      <c r="CL235" s="541">
        <v>45716.0</v>
      </c>
      <c r="CM235" s="541"/>
      <c r="CN235" s="541">
        <v>45901.0</v>
      </c>
      <c r="CO235" s="541">
        <v>45902.0</v>
      </c>
      <c r="CP235" s="541">
        <v>45903.0</v>
      </c>
      <c r="CQ235" s="541">
        <v>45904.0</v>
      </c>
      <c r="CR235" s="541">
        <v>45905.0</v>
      </c>
      <c r="CS235" s="541">
        <v>45906.0</v>
      </c>
      <c r="CT235" s="541">
        <v>45907.0</v>
      </c>
      <c r="CU235" s="541">
        <v>45908.0</v>
      </c>
      <c r="CV235" s="541">
        <v>45909.0</v>
      </c>
      <c r="CW235" s="541">
        <v>45910.0</v>
      </c>
      <c r="CX235" s="541">
        <v>45911.0</v>
      </c>
      <c r="CY235" s="541">
        <v>45912.0</v>
      </c>
      <c r="CZ235" s="541">
        <v>45913.0</v>
      </c>
      <c r="DA235" s="541">
        <v>45914.0</v>
      </c>
      <c r="DB235" s="541">
        <v>45915.0</v>
      </c>
      <c r="DC235" s="541">
        <v>45916.0</v>
      </c>
      <c r="DD235" s="541">
        <v>45917.0</v>
      </c>
      <c r="DE235" s="541">
        <v>45918.0</v>
      </c>
      <c r="DF235" s="541">
        <v>45919.0</v>
      </c>
      <c r="DG235" s="541">
        <v>45920.0</v>
      </c>
      <c r="DH235" s="541">
        <v>45921.0</v>
      </c>
      <c r="DI235" s="541">
        <v>45922.0</v>
      </c>
      <c r="DJ235" s="541">
        <v>45923.0</v>
      </c>
      <c r="DK235" s="541">
        <v>45924.0</v>
      </c>
      <c r="DL235" s="541">
        <v>45925.0</v>
      </c>
      <c r="DM235" s="541">
        <v>45926.0</v>
      </c>
      <c r="DN235" s="541">
        <v>45927.0</v>
      </c>
      <c r="DO235" s="541">
        <v>45928.0</v>
      </c>
      <c r="DP235" s="541">
        <v>45929.0</v>
      </c>
      <c r="DQ235" s="541">
        <v>45930.0</v>
      </c>
      <c r="DR235" s="512"/>
      <c r="DX235" s="530"/>
    </row>
    <row r="236" hidden="1">
      <c r="A236" s="502" t="s">
        <v>289</v>
      </c>
      <c r="B236" s="525"/>
      <c r="C236" s="525"/>
      <c r="D236" s="525"/>
      <c r="E236" s="525"/>
      <c r="F236" s="525"/>
      <c r="G236" s="525"/>
      <c r="H236" s="525"/>
      <c r="I236" s="525"/>
      <c r="J236" s="525"/>
      <c r="K236" s="525"/>
      <c r="L236" s="525"/>
      <c r="M236" s="525"/>
      <c r="N236" s="525"/>
      <c r="O236" s="525"/>
      <c r="P236" s="525"/>
      <c r="Q236" s="525"/>
      <c r="R236" s="525"/>
      <c r="S236" s="525"/>
      <c r="T236" s="525"/>
      <c r="U236" s="525"/>
      <c r="V236" s="525"/>
      <c r="W236" s="525"/>
      <c r="X236" s="525"/>
      <c r="Y236" s="525"/>
      <c r="Z236" s="525"/>
      <c r="AA236" s="525"/>
      <c r="AB236" s="525"/>
      <c r="AC236" s="525"/>
      <c r="AD236" s="525"/>
      <c r="AE236" s="525"/>
      <c r="AF236" s="525"/>
      <c r="AG236" s="525"/>
      <c r="AH236" s="525"/>
      <c r="AI236" s="525"/>
      <c r="AJ236" s="525"/>
      <c r="AK236" s="525"/>
      <c r="AL236" s="525"/>
      <c r="AM236" s="525"/>
      <c r="AN236" s="525"/>
      <c r="AO236" s="525"/>
      <c r="AP236" s="525"/>
      <c r="AQ236" s="525"/>
      <c r="AR236" s="525"/>
      <c r="AS236" s="525"/>
      <c r="AT236" s="525"/>
      <c r="AU236" s="525"/>
      <c r="AV236" s="525"/>
      <c r="AW236" s="525"/>
      <c r="AX236" s="525"/>
      <c r="AY236" s="525"/>
      <c r="AZ236" s="525"/>
      <c r="BA236" s="525"/>
      <c r="BB236" s="525"/>
      <c r="BC236" s="525"/>
      <c r="BD236" s="525"/>
      <c r="BE236" s="525"/>
      <c r="BF236" s="525"/>
      <c r="BG236" s="525"/>
      <c r="BH236" s="525"/>
      <c r="BI236" s="525"/>
      <c r="BJ236" s="525"/>
      <c r="BK236" s="512">
        <v>67.0</v>
      </c>
      <c r="BL236" s="512">
        <v>133.0</v>
      </c>
      <c r="BM236" s="525"/>
      <c r="BN236" s="512">
        <v>100.0</v>
      </c>
      <c r="BO236" s="512">
        <v>130.0</v>
      </c>
      <c r="BP236" s="512">
        <v>162.0</v>
      </c>
      <c r="BQ236" s="512">
        <v>219.0</v>
      </c>
      <c r="BR236" s="512">
        <v>120.0</v>
      </c>
      <c r="BS236" s="512">
        <v>198.0</v>
      </c>
      <c r="BT236" s="512">
        <v>128.0</v>
      </c>
      <c r="BU236" s="512">
        <v>214.0</v>
      </c>
      <c r="BV236" s="512">
        <v>159.0</v>
      </c>
      <c r="BW236" s="512">
        <v>159.0</v>
      </c>
      <c r="BX236" s="512">
        <v>148.0</v>
      </c>
      <c r="BY236" s="512">
        <v>141.0</v>
      </c>
      <c r="BZ236" s="512">
        <v>125.0</v>
      </c>
      <c r="CA236" s="512">
        <v>160.0</v>
      </c>
      <c r="CB236" s="512">
        <v>188.0</v>
      </c>
      <c r="CC236" s="512">
        <v>189.0</v>
      </c>
      <c r="CD236" s="512">
        <v>177.0</v>
      </c>
      <c r="CE236" s="512">
        <v>175.0</v>
      </c>
      <c r="CF236" s="512">
        <v>172.0</v>
      </c>
      <c r="CG236" s="512">
        <v>204.0</v>
      </c>
      <c r="CH236" s="512">
        <v>198.0</v>
      </c>
      <c r="CI236" s="512">
        <v>163.0</v>
      </c>
      <c r="CJ236" s="512">
        <v>177.0</v>
      </c>
      <c r="CK236" s="512">
        <v>156.0</v>
      </c>
      <c r="CL236" s="512">
        <v>177.0</v>
      </c>
      <c r="CM236" s="512"/>
      <c r="CN236" s="561">
        <v>119.0</v>
      </c>
      <c r="CO236" s="561">
        <v>138.0</v>
      </c>
      <c r="CP236" s="561">
        <v>155.0</v>
      </c>
      <c r="CQ236" s="561">
        <v>94.0</v>
      </c>
      <c r="CR236" s="561">
        <v>142.0</v>
      </c>
      <c r="CS236" s="561">
        <v>145.0</v>
      </c>
      <c r="CT236" s="561">
        <v>237.0</v>
      </c>
      <c r="CU236" s="561">
        <v>136.0</v>
      </c>
      <c r="CV236" s="561">
        <v>174.0</v>
      </c>
      <c r="CW236" s="561">
        <v>225.0</v>
      </c>
      <c r="CX236" s="561">
        <v>198.0</v>
      </c>
      <c r="CY236" s="561">
        <v>192.0</v>
      </c>
      <c r="CZ236" s="561">
        <v>142.0</v>
      </c>
      <c r="DA236" s="561">
        <v>149.0</v>
      </c>
      <c r="DB236" s="561">
        <v>241.0</v>
      </c>
      <c r="DC236" s="561">
        <v>201.0</v>
      </c>
      <c r="DD236" s="561">
        <v>144.0</v>
      </c>
      <c r="DE236" s="561">
        <v>178.0</v>
      </c>
      <c r="DF236" s="561">
        <v>160.0</v>
      </c>
      <c r="DG236" s="561">
        <v>162.0</v>
      </c>
      <c r="DH236" s="561">
        <v>232.0</v>
      </c>
      <c r="DI236" s="561">
        <v>319.0</v>
      </c>
      <c r="DJ236" s="561">
        <v>160.0</v>
      </c>
      <c r="DK236" s="561">
        <v>226.0</v>
      </c>
      <c r="DL236" s="561">
        <v>253.0</v>
      </c>
      <c r="DM236" s="561">
        <v>152.0</v>
      </c>
      <c r="DN236" s="561">
        <v>184.0</v>
      </c>
      <c r="DO236" s="561">
        <v>179.0</v>
      </c>
      <c r="DP236" s="561">
        <v>199.0</v>
      </c>
      <c r="DQ236" s="561">
        <v>173.0</v>
      </c>
      <c r="DR236" s="314"/>
      <c r="DX236" s="530"/>
    </row>
    <row r="237" hidden="1">
      <c r="A237" s="521" t="s">
        <v>290</v>
      </c>
      <c r="B237" s="525"/>
      <c r="C237" s="525"/>
      <c r="D237" s="525"/>
      <c r="E237" s="525"/>
      <c r="F237" s="525"/>
      <c r="G237" s="525"/>
      <c r="H237" s="525"/>
      <c r="I237" s="525"/>
      <c r="J237" s="525"/>
      <c r="K237" s="525"/>
      <c r="L237" s="525"/>
      <c r="M237" s="525"/>
      <c r="N237" s="525"/>
      <c r="O237" s="525"/>
      <c r="P237" s="525"/>
      <c r="Q237" s="525"/>
      <c r="R237" s="525"/>
      <c r="S237" s="525"/>
      <c r="T237" s="525"/>
      <c r="U237" s="525"/>
      <c r="V237" s="525"/>
      <c r="W237" s="525"/>
      <c r="X237" s="525"/>
      <c r="Y237" s="525"/>
      <c r="Z237" s="525"/>
      <c r="AA237" s="525"/>
      <c r="AB237" s="525"/>
      <c r="AC237" s="525"/>
      <c r="AD237" s="525"/>
      <c r="AE237" s="525"/>
      <c r="AF237" s="525"/>
      <c r="AG237" s="525"/>
      <c r="AH237" s="525"/>
      <c r="AI237" s="525"/>
      <c r="AJ237" s="525"/>
      <c r="AK237" s="525"/>
      <c r="AL237" s="525"/>
      <c r="AM237" s="525"/>
      <c r="AN237" s="525"/>
      <c r="AO237" s="525"/>
      <c r="AP237" s="525"/>
      <c r="AQ237" s="525"/>
      <c r="AR237" s="525"/>
      <c r="AS237" s="525"/>
      <c r="AT237" s="525"/>
      <c r="AU237" s="525"/>
      <c r="AV237" s="525"/>
      <c r="AW237" s="525"/>
      <c r="AX237" s="525"/>
      <c r="AY237" s="525"/>
      <c r="AZ237" s="525"/>
      <c r="BA237" s="525"/>
      <c r="BB237" s="525"/>
      <c r="BC237" s="525"/>
      <c r="BD237" s="525"/>
      <c r="BE237" s="525"/>
      <c r="BF237" s="525"/>
      <c r="BG237" s="525"/>
      <c r="BH237" s="525"/>
      <c r="BI237" s="525"/>
      <c r="BJ237" s="525"/>
      <c r="BK237" s="512">
        <v>36.0</v>
      </c>
      <c r="BL237" s="512">
        <v>53.0</v>
      </c>
      <c r="BM237" s="525"/>
      <c r="BN237" s="512">
        <v>40.0</v>
      </c>
      <c r="BO237" s="512">
        <v>50.0</v>
      </c>
      <c r="BP237" s="512">
        <v>56.0</v>
      </c>
      <c r="BQ237" s="512">
        <v>70.0</v>
      </c>
      <c r="BR237" s="512">
        <v>51.0</v>
      </c>
      <c r="BS237" s="512">
        <v>63.0</v>
      </c>
      <c r="BT237" s="512">
        <v>62.0</v>
      </c>
      <c r="BU237" s="512">
        <v>68.0</v>
      </c>
      <c r="BV237" s="512">
        <v>65.0</v>
      </c>
      <c r="BW237" s="512">
        <v>64.0</v>
      </c>
      <c r="BX237" s="512">
        <v>64.0</v>
      </c>
      <c r="BY237" s="512">
        <v>67.0</v>
      </c>
      <c r="BZ237" s="512">
        <v>56.0</v>
      </c>
      <c r="CA237" s="512">
        <v>65.0</v>
      </c>
      <c r="CB237" s="512">
        <v>68.0</v>
      </c>
      <c r="CC237" s="512">
        <v>72.0</v>
      </c>
      <c r="CD237" s="512">
        <v>67.0</v>
      </c>
      <c r="CE237" s="512">
        <v>72.0</v>
      </c>
      <c r="CF237" s="512">
        <v>72.0</v>
      </c>
      <c r="CG237" s="512">
        <v>81.0</v>
      </c>
      <c r="CH237" s="512">
        <v>81.0</v>
      </c>
      <c r="CI237" s="512">
        <v>67.0</v>
      </c>
      <c r="CJ237" s="512">
        <v>64.0</v>
      </c>
      <c r="CK237" s="512">
        <v>66.0</v>
      </c>
      <c r="CL237" s="512">
        <v>58.0</v>
      </c>
      <c r="CM237" s="552">
        <f>SUM(BK237:CL237)/28</f>
        <v>60.64285714</v>
      </c>
      <c r="CN237" s="561">
        <v>57.0</v>
      </c>
      <c r="CO237" s="561">
        <v>56.0</v>
      </c>
      <c r="CP237" s="561">
        <v>61.0</v>
      </c>
      <c r="CQ237" s="561">
        <v>43.0</v>
      </c>
      <c r="CR237" s="561">
        <v>60.0</v>
      </c>
      <c r="CS237" s="561">
        <v>60.0</v>
      </c>
      <c r="CT237" s="561">
        <v>77.0</v>
      </c>
      <c r="CU237" s="561">
        <v>58.0</v>
      </c>
      <c r="CV237" s="561">
        <v>67.0</v>
      </c>
      <c r="CW237" s="561">
        <v>80.0</v>
      </c>
      <c r="CX237" s="561">
        <v>67.0</v>
      </c>
      <c r="CY237" s="561">
        <v>68.0</v>
      </c>
      <c r="CZ237" s="561">
        <v>68.0</v>
      </c>
      <c r="DA237" s="561">
        <v>57.0</v>
      </c>
      <c r="DB237" s="561">
        <v>83.0</v>
      </c>
      <c r="DC237" s="561">
        <v>63.0</v>
      </c>
      <c r="DD237" s="561">
        <v>70.0</v>
      </c>
      <c r="DE237" s="561">
        <v>77.0</v>
      </c>
      <c r="DF237" s="561">
        <v>68.0</v>
      </c>
      <c r="DG237" s="561">
        <v>63.0</v>
      </c>
      <c r="DH237" s="561">
        <v>89.0</v>
      </c>
      <c r="DI237" s="561">
        <v>99.0</v>
      </c>
      <c r="DJ237" s="561">
        <v>66.0</v>
      </c>
      <c r="DK237" s="561">
        <v>72.0</v>
      </c>
      <c r="DL237" s="561">
        <v>95.0</v>
      </c>
      <c r="DM237" s="561">
        <v>59.0</v>
      </c>
      <c r="DN237" s="561">
        <v>73.0</v>
      </c>
      <c r="DO237" s="561">
        <v>73.0</v>
      </c>
      <c r="DP237" s="561">
        <v>86.0</v>
      </c>
      <c r="DQ237" s="561">
        <v>74.0</v>
      </c>
      <c r="DR237" s="314"/>
      <c r="DX237" s="530"/>
    </row>
    <row r="238" hidden="1">
      <c r="A238" s="553" t="s">
        <v>291</v>
      </c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  <c r="AI238" s="529"/>
      <c r="AJ238" s="529"/>
      <c r="AK238" s="529"/>
      <c r="AL238" s="529"/>
      <c r="AM238" s="529"/>
      <c r="AN238" s="529"/>
      <c r="AO238" s="529"/>
      <c r="AP238" s="529"/>
      <c r="AQ238" s="529"/>
      <c r="AR238" s="529"/>
      <c r="AS238" s="529"/>
      <c r="AT238" s="529"/>
      <c r="AU238" s="529"/>
      <c r="AV238" s="529"/>
      <c r="AW238" s="529"/>
      <c r="AX238" s="529"/>
      <c r="AY238" s="529"/>
      <c r="AZ238" s="529"/>
      <c r="BA238" s="529"/>
      <c r="BB238" s="529"/>
      <c r="BC238" s="529"/>
      <c r="BD238" s="529"/>
      <c r="BE238" s="529"/>
      <c r="BF238" s="529"/>
      <c r="BG238" s="529"/>
      <c r="BH238" s="529"/>
      <c r="BI238" s="529"/>
      <c r="BJ238" s="529"/>
      <c r="BK238" s="529">
        <v>22.22</v>
      </c>
      <c r="BL238" s="529">
        <v>34.11</v>
      </c>
      <c r="BM238" s="529">
        <v>-190.84</v>
      </c>
      <c r="BN238" s="529">
        <v>38.2</v>
      </c>
      <c r="BO238" s="529">
        <v>33.08</v>
      </c>
      <c r="BP238" s="529">
        <v>48.91</v>
      </c>
      <c r="BQ238" s="529">
        <v>44.55</v>
      </c>
      <c r="BR238" s="529">
        <v>30.32</v>
      </c>
      <c r="BS238" s="529">
        <v>-78.02</v>
      </c>
      <c r="BT238" s="529">
        <v>49.19</v>
      </c>
      <c r="BU238" s="529">
        <v>51.41</v>
      </c>
      <c r="BV238" s="529">
        <v>53.58</v>
      </c>
      <c r="BW238" s="529">
        <v>51.03</v>
      </c>
      <c r="BX238" s="529">
        <v>39.79</v>
      </c>
      <c r="BY238" s="529">
        <v>43.96</v>
      </c>
      <c r="BZ238" s="529">
        <v>43.84</v>
      </c>
      <c r="CA238" s="550">
        <v>45.98</v>
      </c>
      <c r="CB238" s="550">
        <v>40.67</v>
      </c>
      <c r="CC238" s="550">
        <v>47.82</v>
      </c>
      <c r="CD238" s="550">
        <v>63.99</v>
      </c>
      <c r="CE238" s="550">
        <v>-209.27</v>
      </c>
      <c r="CF238" s="550">
        <v>73.03</v>
      </c>
      <c r="CG238" s="550">
        <v>65.24</v>
      </c>
      <c r="CH238" s="550">
        <v>-52.31</v>
      </c>
      <c r="CI238" s="550">
        <v>55.56</v>
      </c>
      <c r="CJ238" s="550">
        <v>37.49</v>
      </c>
      <c r="CK238" s="550">
        <v>42.2</v>
      </c>
      <c r="CL238" s="537">
        <v>57.35</v>
      </c>
      <c r="CM238" s="554"/>
      <c r="CN238" s="537">
        <v>77.28</v>
      </c>
      <c r="CO238" s="537">
        <v>30.33</v>
      </c>
      <c r="CP238" s="537">
        <v>68.27</v>
      </c>
      <c r="CQ238" s="537">
        <v>50.8</v>
      </c>
      <c r="CR238" s="537">
        <v>63.58</v>
      </c>
      <c r="CS238" s="537">
        <v>124.59</v>
      </c>
      <c r="CT238" s="537">
        <v>-297.22</v>
      </c>
      <c r="CU238" s="537">
        <v>60.45</v>
      </c>
      <c r="CV238" s="512">
        <v>94.58</v>
      </c>
      <c r="CW238" s="537">
        <v>111.29</v>
      </c>
      <c r="CX238" s="537">
        <v>-28.43</v>
      </c>
      <c r="CY238" s="537">
        <v>85.54</v>
      </c>
      <c r="CZ238" s="537">
        <v>78.61</v>
      </c>
      <c r="DA238" s="537">
        <v>64.39</v>
      </c>
      <c r="DB238" s="537">
        <v>60.38</v>
      </c>
      <c r="DC238" s="537">
        <v>76.94</v>
      </c>
      <c r="DD238" s="537">
        <v>74.58</v>
      </c>
      <c r="DE238" s="537">
        <v>51.91</v>
      </c>
      <c r="DF238" s="537">
        <v>66.34</v>
      </c>
      <c r="DG238" s="537">
        <v>-127.53</v>
      </c>
      <c r="DH238" s="537">
        <v>-166.84</v>
      </c>
      <c r="DI238" s="537">
        <v>54.64</v>
      </c>
      <c r="DJ238" s="537">
        <v>93.42</v>
      </c>
      <c r="DK238" s="537">
        <v>83.31</v>
      </c>
      <c r="DL238" s="537">
        <v>91.03</v>
      </c>
      <c r="DM238" s="537">
        <v>79.63</v>
      </c>
      <c r="DN238" s="537">
        <v>-155.98</v>
      </c>
      <c r="DO238" s="537">
        <v>98.8</v>
      </c>
      <c r="DP238" s="537">
        <v>62.24</v>
      </c>
      <c r="DQ238" s="537">
        <v>89.64</v>
      </c>
      <c r="DR238" s="537"/>
      <c r="DX238" s="530"/>
    </row>
    <row r="239" hidden="1">
      <c r="A239" s="531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  <c r="AT239" s="118"/>
      <c r="AU239" s="118"/>
      <c r="AV239" s="118"/>
      <c r="AW239" s="118"/>
      <c r="AX239" s="118"/>
      <c r="AY239" s="118"/>
      <c r="AZ239" s="118"/>
      <c r="BA239" s="118"/>
      <c r="BB239" s="118"/>
      <c r="BC239" s="118"/>
      <c r="BD239" s="118"/>
      <c r="BE239" s="118"/>
      <c r="BF239" s="118"/>
      <c r="BG239" s="118"/>
      <c r="BH239" s="118"/>
      <c r="BI239" s="118"/>
      <c r="BJ239" s="118"/>
      <c r="BK239" s="118"/>
      <c r="BL239" s="118"/>
      <c r="BM239" s="118"/>
      <c r="BN239" s="118"/>
      <c r="BO239" s="118"/>
      <c r="BP239" s="118"/>
      <c r="BQ239" s="118"/>
      <c r="BR239" s="118"/>
      <c r="BS239" s="118"/>
      <c r="BT239" s="118"/>
      <c r="BU239" s="118"/>
      <c r="BV239" s="118"/>
      <c r="BW239" s="118"/>
      <c r="BX239" s="118"/>
      <c r="BY239" s="118"/>
      <c r="BZ239" s="118"/>
      <c r="CA239" s="118"/>
      <c r="CB239" s="118"/>
      <c r="CC239" s="118"/>
      <c r="CD239" s="118"/>
      <c r="CE239" s="118"/>
      <c r="CF239" s="118"/>
      <c r="CG239" s="118"/>
      <c r="CH239" s="118"/>
      <c r="CI239" s="118"/>
      <c r="CJ239" s="118"/>
      <c r="CK239" s="118"/>
      <c r="CL239" s="118"/>
      <c r="CM239" s="499"/>
      <c r="CN239" s="118"/>
      <c r="CO239" s="546"/>
      <c r="CP239" s="118"/>
      <c r="CQ239" s="118"/>
      <c r="CR239" s="546"/>
      <c r="CS239" s="118"/>
      <c r="CT239" s="118"/>
      <c r="CU239" s="546"/>
      <c r="CV239" s="118"/>
      <c r="CW239" s="118"/>
      <c r="CX239" s="118"/>
      <c r="CY239" s="118"/>
      <c r="CZ239" s="118"/>
      <c r="DA239" s="118"/>
      <c r="DB239" s="118"/>
      <c r="DC239" s="118"/>
      <c r="DD239" s="118"/>
      <c r="DE239" s="118"/>
      <c r="DF239" s="118"/>
      <c r="DG239" s="118"/>
      <c r="DH239" s="118"/>
      <c r="DI239" s="118"/>
      <c r="DJ239" s="118"/>
      <c r="DK239" s="118"/>
      <c r="DL239" s="118"/>
      <c r="DM239" s="118"/>
      <c r="DN239" s="118"/>
      <c r="DO239" s="118"/>
      <c r="DP239" s="118"/>
      <c r="DQ239" s="118"/>
      <c r="DR239" s="118"/>
      <c r="DX239" s="530"/>
    </row>
    <row r="240" hidden="1">
      <c r="A240" s="531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  <c r="AT240" s="118"/>
      <c r="AU240" s="118"/>
      <c r="AV240" s="118"/>
      <c r="AW240" s="118"/>
      <c r="AX240" s="118"/>
      <c r="AY240" s="118"/>
      <c r="AZ240" s="118"/>
      <c r="BA240" s="118"/>
      <c r="BB240" s="118"/>
      <c r="BC240" s="118"/>
      <c r="BD240" s="118"/>
      <c r="BE240" s="118"/>
      <c r="BF240" s="118"/>
      <c r="BG240" s="118"/>
      <c r="BH240" s="118"/>
      <c r="BI240" s="118"/>
      <c r="BJ240" s="118"/>
      <c r="BK240" s="118"/>
      <c r="BL240" s="118"/>
      <c r="BM240" s="118"/>
      <c r="BN240" s="118"/>
      <c r="BO240" s="118"/>
      <c r="BP240" s="118"/>
      <c r="BQ240" s="118"/>
      <c r="BR240" s="118"/>
      <c r="BS240" s="118"/>
      <c r="BT240" s="118"/>
      <c r="BU240" s="118"/>
      <c r="BV240" s="118"/>
      <c r="BW240" s="118"/>
      <c r="BX240" s="118"/>
      <c r="BY240" s="118"/>
      <c r="BZ240" s="118"/>
      <c r="CA240" s="118"/>
      <c r="CB240" s="118"/>
      <c r="CC240" s="118"/>
      <c r="CD240" s="118"/>
      <c r="CE240" s="118"/>
      <c r="CF240" s="118"/>
      <c r="CG240" s="118"/>
      <c r="CH240" s="118"/>
      <c r="CI240" s="118"/>
      <c r="CJ240" s="118"/>
      <c r="CK240" s="118"/>
      <c r="CL240" s="118"/>
      <c r="CM240" s="499"/>
      <c r="CN240" s="118"/>
      <c r="CO240" s="118"/>
      <c r="CP240" s="118"/>
      <c r="CQ240" s="118"/>
      <c r="CR240" s="118"/>
      <c r="CS240" s="118"/>
      <c r="CT240" s="118"/>
      <c r="CU240" s="118"/>
      <c r="CV240" s="118"/>
      <c r="CW240" s="118"/>
      <c r="CX240" s="118"/>
      <c r="CY240" s="118"/>
      <c r="CZ240" s="118"/>
      <c r="DA240" s="118"/>
      <c r="DB240" s="118"/>
      <c r="DC240" s="118"/>
      <c r="DD240" s="118"/>
      <c r="DE240" s="118"/>
      <c r="DF240" s="118"/>
      <c r="DG240" s="118"/>
      <c r="DH240" s="118"/>
      <c r="DI240" s="118"/>
      <c r="DJ240" s="118"/>
      <c r="DK240" s="118"/>
      <c r="DL240" s="118"/>
      <c r="DM240" s="118"/>
      <c r="DN240" s="118"/>
      <c r="DO240" s="118"/>
      <c r="DP240" s="118"/>
      <c r="DQ240" s="118"/>
      <c r="DR240" s="118"/>
      <c r="DX240" s="530"/>
    </row>
    <row r="241" hidden="1">
      <c r="A241" s="500" t="s">
        <v>8</v>
      </c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  <c r="AT241" s="118"/>
      <c r="AU241" s="118"/>
      <c r="AV241" s="118"/>
      <c r="AW241" s="118"/>
      <c r="AX241" s="118"/>
      <c r="AY241" s="118"/>
      <c r="AZ241" s="118"/>
      <c r="BA241" s="118"/>
      <c r="BB241" s="118"/>
      <c r="BC241" s="118"/>
      <c r="BD241" s="118"/>
      <c r="BE241" s="118"/>
      <c r="BF241" s="118"/>
      <c r="BG241" s="118"/>
      <c r="BH241" s="118"/>
      <c r="BI241" s="118"/>
      <c r="BJ241" s="118"/>
      <c r="BK241" s="118"/>
      <c r="BL241" s="118"/>
      <c r="BM241" s="118"/>
      <c r="BN241" s="118"/>
      <c r="BO241" s="118"/>
      <c r="BP241" s="118"/>
      <c r="BQ241" s="118"/>
      <c r="BR241" s="118"/>
      <c r="BS241" s="118"/>
      <c r="BT241" s="118"/>
      <c r="BU241" s="118"/>
      <c r="BV241" s="118"/>
      <c r="BW241" s="118"/>
      <c r="BX241" s="118"/>
      <c r="BY241" s="118"/>
      <c r="BZ241" s="118"/>
      <c r="CA241" s="118"/>
      <c r="CB241" s="118"/>
      <c r="CC241" s="118"/>
      <c r="CD241" s="118"/>
      <c r="CE241" s="118"/>
      <c r="CF241" s="118"/>
      <c r="CG241" s="118"/>
      <c r="CH241" s="118"/>
      <c r="CI241" s="118"/>
      <c r="CJ241" s="118"/>
      <c r="CK241" s="118"/>
      <c r="CL241" s="118"/>
      <c r="CM241" s="499"/>
      <c r="CN241" s="546" t="s">
        <v>354</v>
      </c>
      <c r="CO241" s="546" t="s">
        <v>355</v>
      </c>
      <c r="CP241" s="546" t="s">
        <v>355</v>
      </c>
      <c r="CQ241" s="546" t="s">
        <v>354</v>
      </c>
      <c r="CR241" s="546" t="s">
        <v>354</v>
      </c>
      <c r="CS241" s="546" t="s">
        <v>355</v>
      </c>
      <c r="CT241" s="546" t="s">
        <v>355</v>
      </c>
      <c r="CU241" s="546" t="s">
        <v>354</v>
      </c>
      <c r="CV241" s="546" t="s">
        <v>354</v>
      </c>
      <c r="CW241" s="546" t="s">
        <v>355</v>
      </c>
      <c r="CX241" s="546" t="s">
        <v>355</v>
      </c>
      <c r="CY241" s="546" t="s">
        <v>354</v>
      </c>
      <c r="CZ241" s="546" t="s">
        <v>354</v>
      </c>
      <c r="DA241" s="546" t="s">
        <v>355</v>
      </c>
      <c r="DB241" s="546" t="s">
        <v>355</v>
      </c>
      <c r="DC241" s="546" t="s">
        <v>354</v>
      </c>
      <c r="DD241" s="546" t="s">
        <v>354</v>
      </c>
      <c r="DE241" s="546" t="s">
        <v>355</v>
      </c>
      <c r="DF241" s="546" t="s">
        <v>356</v>
      </c>
      <c r="DG241" s="546" t="s">
        <v>354</v>
      </c>
      <c r="DH241" s="546" t="s">
        <v>357</v>
      </c>
      <c r="DI241" s="546" t="s">
        <v>355</v>
      </c>
      <c r="DJ241" s="546" t="s">
        <v>355</v>
      </c>
      <c r="DK241" s="546" t="s">
        <v>354</v>
      </c>
      <c r="DL241" s="546" t="s">
        <v>354</v>
      </c>
      <c r="DM241" s="546" t="s">
        <v>355</v>
      </c>
      <c r="DN241" s="546" t="s">
        <v>355</v>
      </c>
      <c r="DO241" s="546" t="s">
        <v>354</v>
      </c>
      <c r="DP241" s="546" t="s">
        <v>354</v>
      </c>
      <c r="DQ241" s="546" t="s">
        <v>355</v>
      </c>
      <c r="DR241" s="546"/>
      <c r="DX241" s="530"/>
    </row>
    <row r="242" hidden="1">
      <c r="A242" s="502" t="s">
        <v>288</v>
      </c>
      <c r="B242" s="525"/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5"/>
      <c r="N242" s="525"/>
      <c r="O242" s="525"/>
      <c r="P242" s="525"/>
      <c r="Q242" s="525"/>
      <c r="R242" s="525"/>
      <c r="S242" s="525"/>
      <c r="T242" s="525"/>
      <c r="U242" s="525"/>
      <c r="V242" s="525"/>
      <c r="W242" s="525"/>
      <c r="X242" s="525"/>
      <c r="Y242" s="525"/>
      <c r="Z242" s="525"/>
      <c r="AA242" s="525"/>
      <c r="AB242" s="525"/>
      <c r="AC242" s="525"/>
      <c r="AD242" s="525"/>
      <c r="AE242" s="525"/>
      <c r="AF242" s="525"/>
      <c r="AG242" s="525"/>
      <c r="AH242" s="525"/>
      <c r="AI242" s="525"/>
      <c r="AJ242" s="525"/>
      <c r="AK242" s="525"/>
      <c r="AL242" s="525"/>
      <c r="AM242" s="525"/>
      <c r="AN242" s="525"/>
      <c r="AO242" s="525"/>
      <c r="AP242" s="525"/>
      <c r="AQ242" s="525"/>
      <c r="AR242" s="525"/>
      <c r="AS242" s="525"/>
      <c r="AT242" s="525"/>
      <c r="AU242" s="525"/>
      <c r="AV242" s="525"/>
      <c r="AW242" s="525"/>
      <c r="AX242" s="525"/>
      <c r="AY242" s="525"/>
      <c r="AZ242" s="525"/>
      <c r="BA242" s="525"/>
      <c r="BB242" s="525"/>
      <c r="BC242" s="525"/>
      <c r="BD242" s="525"/>
      <c r="BE242" s="525"/>
      <c r="BF242" s="525"/>
      <c r="BG242" s="525"/>
      <c r="BH242" s="525"/>
      <c r="BI242" s="525"/>
      <c r="BJ242" s="525"/>
      <c r="BK242" s="541">
        <v>45689.0</v>
      </c>
      <c r="BL242" s="503">
        <v>45690.0</v>
      </c>
      <c r="BM242" s="503">
        <v>45691.0</v>
      </c>
      <c r="BN242" s="541">
        <v>45692.0</v>
      </c>
      <c r="BO242" s="541">
        <v>45693.0</v>
      </c>
      <c r="BP242" s="541">
        <v>45694.0</v>
      </c>
      <c r="BQ242" s="541">
        <v>45695.0</v>
      </c>
      <c r="BR242" s="541">
        <v>45696.0</v>
      </c>
      <c r="BS242" s="541">
        <v>45697.0</v>
      </c>
      <c r="BT242" s="541">
        <v>45698.0</v>
      </c>
      <c r="BU242" s="541">
        <v>45699.0</v>
      </c>
      <c r="BV242" s="541">
        <v>45700.0</v>
      </c>
      <c r="BW242" s="541">
        <v>45701.0</v>
      </c>
      <c r="BX242" s="541">
        <v>45702.0</v>
      </c>
      <c r="BY242" s="541">
        <v>45703.0</v>
      </c>
      <c r="BZ242" s="541">
        <v>45704.0</v>
      </c>
      <c r="CA242" s="541">
        <v>45705.0</v>
      </c>
      <c r="CB242" s="541">
        <v>45706.0</v>
      </c>
      <c r="CC242" s="541">
        <v>45707.0</v>
      </c>
      <c r="CD242" s="541">
        <v>45708.0</v>
      </c>
      <c r="CE242" s="541">
        <v>45709.0</v>
      </c>
      <c r="CF242" s="541">
        <v>45710.0</v>
      </c>
      <c r="CG242" s="541">
        <v>45711.0</v>
      </c>
      <c r="CH242" s="541">
        <v>45712.0</v>
      </c>
      <c r="CI242" s="541">
        <v>45713.0</v>
      </c>
      <c r="CJ242" s="541">
        <v>45714.0</v>
      </c>
      <c r="CK242" s="541">
        <v>45715.0</v>
      </c>
      <c r="CL242" s="541">
        <v>45716.0</v>
      </c>
      <c r="CM242" s="552"/>
      <c r="CN242" s="541">
        <v>45901.0</v>
      </c>
      <c r="CO242" s="541">
        <v>45902.0</v>
      </c>
      <c r="CP242" s="541">
        <v>45903.0</v>
      </c>
      <c r="CQ242" s="541">
        <v>45904.0</v>
      </c>
      <c r="CR242" s="541">
        <v>45905.0</v>
      </c>
      <c r="CS242" s="541">
        <v>45906.0</v>
      </c>
      <c r="CT242" s="541">
        <v>45907.0</v>
      </c>
      <c r="CU242" s="541">
        <v>45908.0</v>
      </c>
      <c r="CV242" s="541">
        <v>45909.0</v>
      </c>
      <c r="CW242" s="541">
        <v>45910.0</v>
      </c>
      <c r="CX242" s="541">
        <v>45911.0</v>
      </c>
      <c r="CY242" s="541">
        <v>45912.0</v>
      </c>
      <c r="CZ242" s="541">
        <v>45913.0</v>
      </c>
      <c r="DA242" s="541">
        <v>45914.0</v>
      </c>
      <c r="DB242" s="541">
        <v>45915.0</v>
      </c>
      <c r="DC242" s="541">
        <v>45916.0</v>
      </c>
      <c r="DD242" s="541">
        <v>45917.0</v>
      </c>
      <c r="DE242" s="541">
        <v>45918.0</v>
      </c>
      <c r="DF242" s="541">
        <v>45919.0</v>
      </c>
      <c r="DG242" s="541">
        <v>45920.0</v>
      </c>
      <c r="DH242" s="541">
        <v>45921.0</v>
      </c>
      <c r="DI242" s="541">
        <v>45922.0</v>
      </c>
      <c r="DJ242" s="541">
        <v>45923.0</v>
      </c>
      <c r="DK242" s="541">
        <v>45924.0</v>
      </c>
      <c r="DL242" s="541">
        <v>45925.0</v>
      </c>
      <c r="DM242" s="541">
        <v>45926.0</v>
      </c>
      <c r="DN242" s="541">
        <v>45927.0</v>
      </c>
      <c r="DO242" s="541">
        <v>45928.0</v>
      </c>
      <c r="DP242" s="541">
        <v>45929.0</v>
      </c>
      <c r="DQ242" s="541">
        <v>45930.0</v>
      </c>
      <c r="DR242" s="512"/>
      <c r="DX242" s="530"/>
    </row>
    <row r="243" hidden="1">
      <c r="A243" s="502" t="s">
        <v>289</v>
      </c>
      <c r="B243" s="525"/>
      <c r="C243" s="525"/>
      <c r="D243" s="525"/>
      <c r="E243" s="525"/>
      <c r="F243" s="525"/>
      <c r="G243" s="525"/>
      <c r="H243" s="525"/>
      <c r="I243" s="525"/>
      <c r="J243" s="525"/>
      <c r="K243" s="525"/>
      <c r="L243" s="525"/>
      <c r="M243" s="525"/>
      <c r="N243" s="525"/>
      <c r="O243" s="525"/>
      <c r="P243" s="525"/>
      <c r="Q243" s="525"/>
      <c r="R243" s="525"/>
      <c r="S243" s="525"/>
      <c r="T243" s="525"/>
      <c r="U243" s="525"/>
      <c r="V243" s="525"/>
      <c r="W243" s="525"/>
      <c r="X243" s="525"/>
      <c r="Y243" s="525"/>
      <c r="Z243" s="525"/>
      <c r="AA243" s="525"/>
      <c r="AB243" s="525"/>
      <c r="AC243" s="525"/>
      <c r="AD243" s="525"/>
      <c r="AE243" s="525"/>
      <c r="AF243" s="525"/>
      <c r="AG243" s="525"/>
      <c r="AH243" s="525"/>
      <c r="AI243" s="525"/>
      <c r="AJ243" s="525"/>
      <c r="AK243" s="525"/>
      <c r="AL243" s="525"/>
      <c r="AM243" s="525"/>
      <c r="AN243" s="525"/>
      <c r="AO243" s="525"/>
      <c r="AP243" s="525"/>
      <c r="AQ243" s="525"/>
      <c r="AR243" s="525"/>
      <c r="AS243" s="525"/>
      <c r="AT243" s="525"/>
      <c r="AU243" s="525"/>
      <c r="AV243" s="525"/>
      <c r="AW243" s="525"/>
      <c r="AX243" s="525"/>
      <c r="AY243" s="525"/>
      <c r="AZ243" s="525"/>
      <c r="BA243" s="525"/>
      <c r="BB243" s="525"/>
      <c r="BC243" s="525"/>
      <c r="BD243" s="525"/>
      <c r="BE243" s="525"/>
      <c r="BF243" s="525"/>
      <c r="BG243" s="525"/>
      <c r="BH243" s="525"/>
      <c r="BI243" s="525"/>
      <c r="BJ243" s="525"/>
      <c r="BK243" s="525"/>
      <c r="BL243" s="518">
        <v>196.0</v>
      </c>
      <c r="BM243" s="518">
        <v>147.0</v>
      </c>
      <c r="BN243" s="525"/>
      <c r="BO243" s="525"/>
      <c r="BP243" s="512">
        <v>193.0</v>
      </c>
      <c r="BQ243" s="512">
        <v>202.0</v>
      </c>
      <c r="BR243" s="512">
        <v>239.0</v>
      </c>
      <c r="BS243" s="525"/>
      <c r="BT243" s="512">
        <v>181.0</v>
      </c>
      <c r="BU243" s="525"/>
      <c r="BV243" s="512">
        <v>292.0</v>
      </c>
      <c r="BW243" s="512">
        <v>258.0</v>
      </c>
      <c r="BX243" s="512">
        <v>267.0</v>
      </c>
      <c r="BY243" s="512">
        <v>214.0</v>
      </c>
      <c r="BZ243" s="512">
        <v>234.0</v>
      </c>
      <c r="CA243" s="512">
        <v>271.0</v>
      </c>
      <c r="CB243" s="512">
        <v>222.0</v>
      </c>
      <c r="CC243" s="512">
        <v>298.0</v>
      </c>
      <c r="CD243" s="512">
        <v>290.0</v>
      </c>
      <c r="CE243" s="512">
        <v>261.0</v>
      </c>
      <c r="CF243" s="512">
        <v>274.0</v>
      </c>
      <c r="CG243" s="512">
        <v>285.0</v>
      </c>
      <c r="CH243" s="512">
        <v>196.0</v>
      </c>
      <c r="CI243" s="512">
        <v>198.0</v>
      </c>
      <c r="CJ243" s="512">
        <v>274.0</v>
      </c>
      <c r="CK243" s="512">
        <v>197.0</v>
      </c>
      <c r="CL243" s="512">
        <v>246.0</v>
      </c>
      <c r="CM243" s="552"/>
      <c r="CN243" s="561">
        <v>263.0</v>
      </c>
      <c r="CO243" s="561">
        <v>145.0</v>
      </c>
      <c r="CP243" s="561">
        <v>170.0</v>
      </c>
      <c r="CQ243" s="561">
        <v>225.0</v>
      </c>
      <c r="CR243" s="561">
        <v>214.0</v>
      </c>
      <c r="CS243" s="561">
        <v>242.0</v>
      </c>
      <c r="CT243" s="561">
        <v>327.0</v>
      </c>
      <c r="CU243" s="561">
        <v>188.0</v>
      </c>
      <c r="CV243" s="580">
        <v>366.0</v>
      </c>
      <c r="CW243" s="561">
        <v>274.0</v>
      </c>
      <c r="CX243" s="561">
        <v>266.0</v>
      </c>
      <c r="CY243" s="561">
        <v>233.0</v>
      </c>
      <c r="CZ243" s="561">
        <v>202.0</v>
      </c>
      <c r="DA243" s="561">
        <v>265.0</v>
      </c>
      <c r="DB243" s="561">
        <v>284.0</v>
      </c>
      <c r="DC243" s="561">
        <v>207.0</v>
      </c>
      <c r="DD243" s="561">
        <v>209.0</v>
      </c>
      <c r="DE243" s="561">
        <v>257.0</v>
      </c>
      <c r="DF243" s="561">
        <v>253.0</v>
      </c>
      <c r="DG243" s="561">
        <v>186.0</v>
      </c>
      <c r="DH243" s="561">
        <v>268.0</v>
      </c>
      <c r="DI243" s="561">
        <v>311.0</v>
      </c>
      <c r="DJ243" s="561">
        <v>265.0</v>
      </c>
      <c r="DK243" s="561">
        <v>257.0</v>
      </c>
      <c r="DL243" s="561">
        <v>282.0</v>
      </c>
      <c r="DM243" s="561">
        <v>237.0</v>
      </c>
      <c r="DN243" s="561">
        <v>242.0</v>
      </c>
      <c r="DO243" s="561">
        <v>228.0</v>
      </c>
      <c r="DP243" s="561">
        <v>218.0</v>
      </c>
      <c r="DQ243" s="561">
        <v>254.0</v>
      </c>
      <c r="DR243" s="314"/>
      <c r="DX243" s="530"/>
    </row>
    <row r="244" hidden="1">
      <c r="A244" s="521" t="s">
        <v>290</v>
      </c>
      <c r="B244" s="525"/>
      <c r="C244" s="525"/>
      <c r="D244" s="525"/>
      <c r="E244" s="525"/>
      <c r="F244" s="525"/>
      <c r="G244" s="525"/>
      <c r="H244" s="525"/>
      <c r="I244" s="525"/>
      <c r="J244" s="525"/>
      <c r="K244" s="525"/>
      <c r="L244" s="525"/>
      <c r="M244" s="525"/>
      <c r="N244" s="525"/>
      <c r="O244" s="525"/>
      <c r="P244" s="525"/>
      <c r="Q244" s="525"/>
      <c r="R244" s="525"/>
      <c r="S244" s="525"/>
      <c r="T244" s="525"/>
      <c r="U244" s="525"/>
      <c r="V244" s="525"/>
      <c r="W244" s="525"/>
      <c r="X244" s="525"/>
      <c r="Y244" s="525"/>
      <c r="Z244" s="525"/>
      <c r="AA244" s="525"/>
      <c r="AB244" s="525"/>
      <c r="AC244" s="525"/>
      <c r="AD244" s="525"/>
      <c r="AE244" s="525"/>
      <c r="AF244" s="525"/>
      <c r="AG244" s="525"/>
      <c r="AH244" s="525"/>
      <c r="AI244" s="525"/>
      <c r="AJ244" s="525"/>
      <c r="AK244" s="525"/>
      <c r="AL244" s="525"/>
      <c r="AM244" s="525"/>
      <c r="AN244" s="525"/>
      <c r="AO244" s="525"/>
      <c r="AP244" s="525"/>
      <c r="AQ244" s="525"/>
      <c r="AR244" s="525"/>
      <c r="AS244" s="525"/>
      <c r="AT244" s="525"/>
      <c r="AU244" s="525"/>
      <c r="AV244" s="525"/>
      <c r="AW244" s="525"/>
      <c r="AX244" s="525"/>
      <c r="AY244" s="525"/>
      <c r="AZ244" s="525"/>
      <c r="BA244" s="525"/>
      <c r="BB244" s="525"/>
      <c r="BC244" s="525"/>
      <c r="BD244" s="525"/>
      <c r="BE244" s="525"/>
      <c r="BF244" s="525"/>
      <c r="BG244" s="525"/>
      <c r="BH244" s="525"/>
      <c r="BI244" s="525"/>
      <c r="BJ244" s="525"/>
      <c r="BK244" s="525"/>
      <c r="BL244" s="518">
        <v>82.0</v>
      </c>
      <c r="BM244" s="518">
        <v>67.0</v>
      </c>
      <c r="BN244" s="525"/>
      <c r="BO244" s="525"/>
      <c r="BP244" s="512">
        <v>71.0</v>
      </c>
      <c r="BQ244" s="512">
        <v>80.0</v>
      </c>
      <c r="BR244" s="512">
        <v>95.0</v>
      </c>
      <c r="BS244" s="525"/>
      <c r="BT244" s="512">
        <v>73.0</v>
      </c>
      <c r="BU244" s="525"/>
      <c r="BV244" s="512">
        <v>96.0</v>
      </c>
      <c r="BW244" s="512">
        <v>98.0</v>
      </c>
      <c r="BX244" s="512">
        <v>104.0</v>
      </c>
      <c r="BY244" s="512">
        <v>88.0</v>
      </c>
      <c r="BZ244" s="512">
        <v>86.0</v>
      </c>
      <c r="CA244" s="512">
        <v>101.0</v>
      </c>
      <c r="CB244" s="512">
        <v>88.0</v>
      </c>
      <c r="CC244" s="512">
        <v>106.0</v>
      </c>
      <c r="CD244" s="512">
        <v>103.0</v>
      </c>
      <c r="CE244" s="512">
        <v>89.0</v>
      </c>
      <c r="CF244" s="512">
        <v>119.0</v>
      </c>
      <c r="CG244" s="512">
        <v>116.0</v>
      </c>
      <c r="CH244" s="512">
        <v>86.0</v>
      </c>
      <c r="CI244" s="512">
        <v>89.0</v>
      </c>
      <c r="CJ244" s="512">
        <v>103.0</v>
      </c>
      <c r="CK244" s="512">
        <v>82.0</v>
      </c>
      <c r="CL244" s="512">
        <v>92.0</v>
      </c>
      <c r="CM244" s="552">
        <f>SUM(BK244:CL244)/22</f>
        <v>96.09090909</v>
      </c>
      <c r="CN244" s="561">
        <v>99.0</v>
      </c>
      <c r="CO244" s="561">
        <v>71.0</v>
      </c>
      <c r="CP244" s="561">
        <v>76.0</v>
      </c>
      <c r="CQ244" s="561">
        <v>88.0</v>
      </c>
      <c r="CR244" s="561">
        <v>76.0</v>
      </c>
      <c r="CS244" s="561">
        <v>100.0</v>
      </c>
      <c r="CT244" s="561">
        <v>114.0</v>
      </c>
      <c r="CU244" s="561">
        <v>87.0</v>
      </c>
      <c r="CV244" s="561">
        <v>116.0</v>
      </c>
      <c r="CW244" s="561">
        <v>108.0</v>
      </c>
      <c r="CX244" s="561">
        <v>102.0</v>
      </c>
      <c r="CY244" s="561">
        <v>96.0</v>
      </c>
      <c r="CZ244" s="561">
        <v>68.0</v>
      </c>
      <c r="DA244" s="561">
        <v>103.0</v>
      </c>
      <c r="DB244" s="561">
        <v>105.0</v>
      </c>
      <c r="DC244" s="561">
        <v>78.0</v>
      </c>
      <c r="DD244" s="561">
        <v>90.0</v>
      </c>
      <c r="DE244" s="561">
        <v>103.0</v>
      </c>
      <c r="DF244" s="561">
        <v>111.0</v>
      </c>
      <c r="DG244" s="561">
        <v>80.0</v>
      </c>
      <c r="DH244" s="561">
        <v>105.0</v>
      </c>
      <c r="DI244" s="561">
        <v>112.0</v>
      </c>
      <c r="DJ244" s="561">
        <v>92.0</v>
      </c>
      <c r="DK244" s="561">
        <v>109.0</v>
      </c>
      <c r="DL244" s="561">
        <v>102.0</v>
      </c>
      <c r="DM244" s="561">
        <v>110.0</v>
      </c>
      <c r="DN244" s="561">
        <v>92.0</v>
      </c>
      <c r="DO244" s="561">
        <v>98.0</v>
      </c>
      <c r="DP244" s="561">
        <v>89.0</v>
      </c>
      <c r="DQ244" s="561">
        <v>98.0</v>
      </c>
      <c r="DR244" s="314"/>
      <c r="DX244" s="530"/>
    </row>
    <row r="245" hidden="1">
      <c r="A245" s="502" t="s">
        <v>291</v>
      </c>
      <c r="B245" s="525"/>
      <c r="C245" s="525"/>
      <c r="D245" s="525"/>
      <c r="E245" s="525"/>
      <c r="F245" s="525"/>
      <c r="G245" s="525"/>
      <c r="H245" s="525"/>
      <c r="I245" s="525"/>
      <c r="J245" s="525"/>
      <c r="K245" s="525"/>
      <c r="L245" s="525"/>
      <c r="M245" s="525"/>
      <c r="N245" s="525"/>
      <c r="O245" s="525"/>
      <c r="P245" s="525"/>
      <c r="Q245" s="525"/>
      <c r="R245" s="525"/>
      <c r="S245" s="525"/>
      <c r="T245" s="525"/>
      <c r="U245" s="525"/>
      <c r="V245" s="525"/>
      <c r="W245" s="525"/>
      <c r="X245" s="525"/>
      <c r="Y245" s="525"/>
      <c r="Z245" s="525"/>
      <c r="AA245" s="525"/>
      <c r="AB245" s="525"/>
      <c r="AC245" s="525"/>
      <c r="AD245" s="525"/>
      <c r="AE245" s="525"/>
      <c r="AF245" s="525"/>
      <c r="AG245" s="525"/>
      <c r="AH245" s="525"/>
      <c r="AI245" s="525"/>
      <c r="AJ245" s="525"/>
      <c r="AK245" s="525"/>
      <c r="AL245" s="525"/>
      <c r="AM245" s="525"/>
      <c r="AN245" s="525"/>
      <c r="AO245" s="525"/>
      <c r="AP245" s="525"/>
      <c r="AQ245" s="525"/>
      <c r="AR245" s="525"/>
      <c r="AS245" s="525"/>
      <c r="AT245" s="525"/>
      <c r="AU245" s="525"/>
      <c r="AV245" s="525"/>
      <c r="AW245" s="525"/>
      <c r="AX245" s="525"/>
      <c r="AY245" s="525"/>
      <c r="AZ245" s="525"/>
      <c r="BA245" s="525"/>
      <c r="BB245" s="525"/>
      <c r="BC245" s="525"/>
      <c r="BD245" s="525"/>
      <c r="BE245" s="525"/>
      <c r="BF245" s="525"/>
      <c r="BG245" s="525"/>
      <c r="BH245" s="525"/>
      <c r="BI245" s="525"/>
      <c r="BJ245" s="525"/>
      <c r="BK245" s="529">
        <v>-167.68</v>
      </c>
      <c r="BL245" s="529">
        <v>-89.36</v>
      </c>
      <c r="BM245" s="529">
        <v>-26.1</v>
      </c>
      <c r="BN245" s="529">
        <v>-389.28</v>
      </c>
      <c r="BO245" s="529">
        <v>54.9</v>
      </c>
      <c r="BP245" s="529">
        <v>22.93</v>
      </c>
      <c r="BQ245" s="529">
        <v>-66.7</v>
      </c>
      <c r="BR245" s="529">
        <v>-203.56</v>
      </c>
      <c r="BS245" s="529">
        <v>-359.15</v>
      </c>
      <c r="BT245" s="529">
        <v>-10.32</v>
      </c>
      <c r="BU245" s="529">
        <v>-130.74</v>
      </c>
      <c r="BV245" s="529">
        <v>82.49</v>
      </c>
      <c r="BW245" s="529">
        <v>14.18</v>
      </c>
      <c r="BX245" s="529">
        <v>93.65</v>
      </c>
      <c r="BY245" s="529">
        <v>96.27</v>
      </c>
      <c r="BZ245" s="529">
        <v>-478.47</v>
      </c>
      <c r="CA245" s="529">
        <v>-2.11</v>
      </c>
      <c r="CB245" s="529">
        <v>81.53</v>
      </c>
      <c r="CC245" s="529">
        <v>-45.15</v>
      </c>
      <c r="CD245" s="529">
        <v>92.28</v>
      </c>
      <c r="CE245" s="529">
        <v>-294.99</v>
      </c>
      <c r="CF245" s="529">
        <v>121.62</v>
      </c>
      <c r="CG245" s="529">
        <v>109.56</v>
      </c>
      <c r="CH245" s="529">
        <v>-81.66</v>
      </c>
      <c r="CI245" s="529">
        <v>-103.42</v>
      </c>
      <c r="CJ245" s="529">
        <v>72.17</v>
      </c>
      <c r="CK245" s="529">
        <v>106.47</v>
      </c>
      <c r="CL245" s="512">
        <v>7.22</v>
      </c>
      <c r="CM245" s="525"/>
      <c r="CN245" s="537">
        <v>107.95</v>
      </c>
      <c r="CO245" s="537">
        <v>61.81</v>
      </c>
      <c r="CP245" s="537">
        <v>124.5</v>
      </c>
      <c r="CQ245" s="537">
        <v>105.6</v>
      </c>
      <c r="CR245" s="537">
        <v>103.67</v>
      </c>
      <c r="CS245" s="537">
        <v>-482.33</v>
      </c>
      <c r="CT245" s="537">
        <v>-171.42</v>
      </c>
      <c r="CU245" s="537">
        <v>156.04</v>
      </c>
      <c r="CV245" s="512">
        <v>129.1</v>
      </c>
      <c r="CW245" s="537">
        <v>137.99</v>
      </c>
      <c r="CX245" s="537">
        <v>125.68</v>
      </c>
      <c r="CY245" s="537">
        <v>131.26</v>
      </c>
      <c r="CZ245" s="537">
        <v>128.16</v>
      </c>
      <c r="DA245" s="537">
        <v>130.0</v>
      </c>
      <c r="DB245" s="537">
        <v>88.34</v>
      </c>
      <c r="DC245" s="537">
        <v>105.52</v>
      </c>
      <c r="DD245" s="537">
        <v>91.62</v>
      </c>
      <c r="DE245" s="537">
        <v>116.82</v>
      </c>
      <c r="DF245" s="537">
        <v>127.82</v>
      </c>
      <c r="DG245" s="537">
        <v>195.76</v>
      </c>
      <c r="DH245" s="537">
        <v>138.27</v>
      </c>
      <c r="DI245" s="537">
        <v>115.97</v>
      </c>
      <c r="DJ245" s="537">
        <v>71.34</v>
      </c>
      <c r="DK245" s="537">
        <v>157.56</v>
      </c>
      <c r="DL245" s="537">
        <v>133.55</v>
      </c>
      <c r="DM245" s="537">
        <v>116.16</v>
      </c>
      <c r="DN245" s="537">
        <v>156.3</v>
      </c>
      <c r="DO245" s="537">
        <v>144.44</v>
      </c>
      <c r="DP245" s="537">
        <v>114.45</v>
      </c>
      <c r="DQ245" s="537">
        <v>131.28</v>
      </c>
      <c r="DR245" s="537"/>
      <c r="DX245" s="530"/>
    </row>
    <row r="246" hidden="1">
      <c r="A246" s="531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  <c r="AT246" s="118"/>
      <c r="AU246" s="118"/>
      <c r="AV246" s="118"/>
      <c r="AW246" s="118"/>
      <c r="AX246" s="118"/>
      <c r="AY246" s="118"/>
      <c r="AZ246" s="118"/>
      <c r="BA246" s="118"/>
      <c r="BB246" s="118"/>
      <c r="BC246" s="118"/>
      <c r="BD246" s="118"/>
      <c r="BE246" s="118"/>
      <c r="BF246" s="118"/>
      <c r="BG246" s="118"/>
      <c r="BH246" s="118"/>
      <c r="BI246" s="118"/>
      <c r="BJ246" s="118"/>
      <c r="BK246" s="118"/>
      <c r="BL246" s="118"/>
      <c r="BM246" s="118"/>
      <c r="BN246" s="118"/>
      <c r="BO246" s="118"/>
      <c r="BP246" s="118"/>
      <c r="BQ246" s="118"/>
      <c r="BR246" s="118"/>
      <c r="BS246" s="118"/>
      <c r="BT246" s="118"/>
      <c r="BU246" s="118"/>
      <c r="BV246" s="118"/>
      <c r="BW246" s="118"/>
      <c r="BX246" s="118"/>
      <c r="BY246" s="118"/>
      <c r="BZ246" s="118"/>
      <c r="CA246" s="118"/>
      <c r="CB246" s="118"/>
      <c r="CC246" s="118"/>
      <c r="CD246" s="118"/>
      <c r="CE246" s="118"/>
      <c r="CF246" s="118"/>
      <c r="CG246" s="118"/>
      <c r="CH246" s="118"/>
      <c r="CI246" s="118"/>
      <c r="CJ246" s="118"/>
      <c r="CK246" s="118"/>
      <c r="CL246" s="118"/>
      <c r="CM246" s="118"/>
      <c r="CN246" s="118"/>
      <c r="CO246" s="118"/>
      <c r="CP246" s="118"/>
      <c r="CQ246" s="118"/>
      <c r="CR246" s="118"/>
      <c r="CS246" s="577"/>
      <c r="CT246" s="118"/>
      <c r="CU246" s="118"/>
      <c r="CV246" s="118"/>
      <c r="CW246" s="118"/>
      <c r="CX246" s="118"/>
      <c r="CY246" s="118"/>
      <c r="CZ246" s="118"/>
      <c r="DA246" s="118"/>
      <c r="DB246" s="118"/>
      <c r="DC246" s="118"/>
      <c r="DD246" s="118"/>
      <c r="DE246" s="118"/>
      <c r="DF246" s="118"/>
      <c r="DG246" s="118"/>
      <c r="DH246" s="118"/>
      <c r="DI246" s="10"/>
      <c r="DJ246" s="118"/>
      <c r="DK246" s="118"/>
      <c r="DL246" s="118"/>
      <c r="DM246" s="118"/>
      <c r="DN246" s="118"/>
      <c r="DO246" s="118"/>
      <c r="DP246" s="118"/>
      <c r="DQ246" s="118"/>
      <c r="DR246" s="118"/>
      <c r="DX246" s="530"/>
    </row>
    <row r="247" hidden="1">
      <c r="A247" s="531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  <c r="AT247" s="118"/>
      <c r="AU247" s="118"/>
      <c r="AV247" s="118"/>
      <c r="AW247" s="118"/>
      <c r="AX247" s="118"/>
      <c r="AY247" s="118"/>
      <c r="AZ247" s="118"/>
      <c r="BA247" s="118"/>
      <c r="BB247" s="118"/>
      <c r="BC247" s="118"/>
      <c r="BD247" s="118"/>
      <c r="BE247" s="118"/>
      <c r="BF247" s="118"/>
      <c r="BG247" s="118"/>
      <c r="BH247" s="118"/>
      <c r="BI247" s="118"/>
      <c r="BJ247" s="118"/>
      <c r="BK247" s="118"/>
      <c r="BL247" s="118"/>
      <c r="BM247" s="118"/>
      <c r="BN247" s="118"/>
      <c r="BO247" s="118"/>
      <c r="BP247" s="118"/>
      <c r="BQ247" s="118"/>
      <c r="BR247" s="118"/>
      <c r="BS247" s="118"/>
      <c r="BT247" s="118"/>
      <c r="BU247" s="118"/>
      <c r="BV247" s="118"/>
      <c r="BW247" s="118"/>
      <c r="BX247" s="118"/>
      <c r="BY247" s="118"/>
      <c r="BZ247" s="118"/>
      <c r="CA247" s="118"/>
      <c r="CB247" s="118"/>
      <c r="CC247" s="118"/>
      <c r="CD247" s="118"/>
      <c r="CE247" s="118"/>
      <c r="CF247" s="118"/>
      <c r="CG247" s="118"/>
      <c r="CH247" s="118"/>
      <c r="CI247" s="118"/>
      <c r="CJ247" s="118"/>
      <c r="CK247" s="118"/>
      <c r="CL247" s="118"/>
      <c r="CM247" s="118"/>
      <c r="CN247" s="118"/>
      <c r="CO247" s="118"/>
      <c r="CP247" s="118"/>
      <c r="CQ247" s="118"/>
      <c r="CR247" s="118"/>
      <c r="CS247" s="118"/>
      <c r="CT247" s="118"/>
      <c r="CU247" s="118"/>
      <c r="CV247" s="118"/>
      <c r="CW247" s="118"/>
      <c r="CX247" s="118"/>
      <c r="CY247" s="118"/>
      <c r="CZ247" s="118"/>
      <c r="DA247" s="118"/>
      <c r="DB247" s="118"/>
      <c r="DC247" s="118"/>
      <c r="DD247" s="118"/>
      <c r="DE247" s="118"/>
      <c r="DF247" s="118"/>
      <c r="DG247" s="118"/>
      <c r="DH247" s="118"/>
      <c r="DI247" s="118"/>
      <c r="DJ247" s="118"/>
      <c r="DK247" s="118"/>
      <c r="DL247" s="118"/>
      <c r="DM247" s="118"/>
      <c r="DN247" s="118"/>
      <c r="DO247" s="118"/>
      <c r="DP247" s="118"/>
      <c r="DQ247" s="118"/>
      <c r="DR247" s="118"/>
      <c r="DX247" s="530"/>
    </row>
    <row r="248" hidden="1">
      <c r="A248" s="500" t="s">
        <v>12</v>
      </c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  <c r="AT248" s="118"/>
      <c r="AU248" s="118"/>
      <c r="AV248" s="118"/>
      <c r="AW248" s="118"/>
      <c r="AX248" s="118"/>
      <c r="AY248" s="118"/>
      <c r="AZ248" s="118"/>
      <c r="BA248" s="118"/>
      <c r="BB248" s="118"/>
      <c r="BC248" s="118"/>
      <c r="BD248" s="118"/>
      <c r="BE248" s="118"/>
      <c r="BF248" s="118"/>
      <c r="BG248" s="118"/>
      <c r="BH248" s="118"/>
      <c r="BI248" s="118"/>
      <c r="BJ248" s="118"/>
      <c r="BK248" s="118"/>
      <c r="BL248" s="118"/>
      <c r="BM248" s="118"/>
      <c r="BN248" s="118"/>
      <c r="BO248" s="118"/>
      <c r="BP248" s="118"/>
      <c r="BQ248" s="118"/>
      <c r="BR248" s="118"/>
      <c r="BS248" s="118"/>
      <c r="BT248" s="118"/>
      <c r="BU248" s="118"/>
      <c r="BV248" s="118"/>
      <c r="BW248" s="118"/>
      <c r="BX248" s="118"/>
      <c r="BY248" s="118"/>
      <c r="BZ248" s="118"/>
      <c r="CA248" s="118"/>
      <c r="CB248" s="118"/>
      <c r="CC248" s="118"/>
      <c r="CD248" s="118"/>
      <c r="CE248" s="118"/>
      <c r="CF248" s="118"/>
      <c r="CG248" s="118"/>
      <c r="CH248" s="118"/>
      <c r="CI248" s="118"/>
      <c r="CJ248" s="118"/>
      <c r="CK248" s="118"/>
      <c r="CL248" s="118"/>
      <c r="CM248" s="118"/>
      <c r="CN248" s="546" t="s">
        <v>358</v>
      </c>
      <c r="CO248" s="546" t="s">
        <v>352</v>
      </c>
      <c r="CP248" s="546" t="s">
        <v>355</v>
      </c>
      <c r="CQ248" s="546" t="s">
        <v>355</v>
      </c>
      <c r="CR248" s="546" t="s">
        <v>355</v>
      </c>
      <c r="CS248" s="546" t="s">
        <v>319</v>
      </c>
      <c r="CT248" s="546" t="s">
        <v>355</v>
      </c>
      <c r="CU248" s="546" t="s">
        <v>355</v>
      </c>
      <c r="CV248" s="546" t="s">
        <v>359</v>
      </c>
      <c r="CW248" s="546" t="s">
        <v>346</v>
      </c>
      <c r="CX248" s="546" t="s">
        <v>355</v>
      </c>
      <c r="CY248" s="546" t="s">
        <v>355</v>
      </c>
      <c r="CZ248" s="546" t="s">
        <v>355</v>
      </c>
      <c r="DA248" s="581" t="s">
        <v>360</v>
      </c>
      <c r="DB248" s="546" t="s">
        <v>361</v>
      </c>
      <c r="DC248" s="546" t="s">
        <v>362</v>
      </c>
      <c r="DD248" s="546" t="s">
        <v>319</v>
      </c>
      <c r="DE248" s="546" t="s">
        <v>363</v>
      </c>
      <c r="DF248" s="546" t="s">
        <v>308</v>
      </c>
      <c r="DG248" s="581" t="s">
        <v>360</v>
      </c>
      <c r="DH248" s="581" t="s">
        <v>364</v>
      </c>
      <c r="DI248" s="546" t="s">
        <v>319</v>
      </c>
      <c r="DJ248" s="546" t="s">
        <v>355</v>
      </c>
      <c r="DK248" s="546" t="s">
        <v>358</v>
      </c>
      <c r="DL248" s="546" t="s">
        <v>358</v>
      </c>
      <c r="DM248" s="546" t="s">
        <v>355</v>
      </c>
      <c r="DN248" s="546" t="s">
        <v>355</v>
      </c>
      <c r="DO248" s="546" t="s">
        <v>358</v>
      </c>
      <c r="DP248" s="546" t="s">
        <v>358</v>
      </c>
      <c r="DQ248" s="546" t="s">
        <v>355</v>
      </c>
      <c r="DR248" s="118"/>
      <c r="DX248" s="530"/>
    </row>
    <row r="249" hidden="1">
      <c r="A249" s="502" t="s">
        <v>288</v>
      </c>
      <c r="B249" s="525"/>
      <c r="C249" s="525"/>
      <c r="D249" s="525"/>
      <c r="E249" s="525"/>
      <c r="F249" s="525"/>
      <c r="G249" s="525"/>
      <c r="H249" s="525"/>
      <c r="I249" s="525"/>
      <c r="J249" s="525"/>
      <c r="K249" s="525"/>
      <c r="L249" s="525"/>
      <c r="M249" s="525"/>
      <c r="N249" s="525"/>
      <c r="O249" s="525"/>
      <c r="P249" s="525"/>
      <c r="Q249" s="525"/>
      <c r="R249" s="525"/>
      <c r="S249" s="525"/>
      <c r="T249" s="525"/>
      <c r="U249" s="525"/>
      <c r="V249" s="525"/>
      <c r="W249" s="525"/>
      <c r="X249" s="525"/>
      <c r="Y249" s="525"/>
      <c r="Z249" s="525"/>
      <c r="AA249" s="525"/>
      <c r="AB249" s="525"/>
      <c r="AC249" s="525"/>
      <c r="AD249" s="525"/>
      <c r="AE249" s="525"/>
      <c r="AF249" s="525"/>
      <c r="AG249" s="525"/>
      <c r="AH249" s="525"/>
      <c r="AI249" s="525"/>
      <c r="AJ249" s="525"/>
      <c r="AK249" s="525"/>
      <c r="AL249" s="525"/>
      <c r="AM249" s="525"/>
      <c r="AN249" s="525"/>
      <c r="AO249" s="525"/>
      <c r="AP249" s="525"/>
      <c r="AQ249" s="525"/>
      <c r="AR249" s="525"/>
      <c r="AS249" s="525"/>
      <c r="AT249" s="525"/>
      <c r="AU249" s="525"/>
      <c r="AV249" s="525"/>
      <c r="AW249" s="525"/>
      <c r="AX249" s="525"/>
      <c r="AY249" s="525"/>
      <c r="AZ249" s="525"/>
      <c r="BA249" s="525"/>
      <c r="BB249" s="525"/>
      <c r="BC249" s="525"/>
      <c r="BD249" s="525"/>
      <c r="BE249" s="525"/>
      <c r="BF249" s="525"/>
      <c r="BG249" s="525"/>
      <c r="BH249" s="525"/>
      <c r="BI249" s="525"/>
      <c r="BJ249" s="525"/>
      <c r="BK249" s="541">
        <v>45689.0</v>
      </c>
      <c r="BL249" s="541">
        <v>45690.0</v>
      </c>
      <c r="BM249" s="541">
        <v>45691.0</v>
      </c>
      <c r="BN249" s="541">
        <v>45692.0</v>
      </c>
      <c r="BO249" s="541">
        <v>45693.0</v>
      </c>
      <c r="BP249" s="541">
        <v>45694.0</v>
      </c>
      <c r="BQ249" s="541">
        <v>45695.0</v>
      </c>
      <c r="BR249" s="541">
        <v>45696.0</v>
      </c>
      <c r="BS249" s="541">
        <v>45697.0</v>
      </c>
      <c r="BT249" s="541">
        <v>45698.0</v>
      </c>
      <c r="BU249" s="541">
        <v>45699.0</v>
      </c>
      <c r="BV249" s="541">
        <v>45700.0</v>
      </c>
      <c r="BW249" s="541">
        <v>45701.0</v>
      </c>
      <c r="BX249" s="541">
        <v>45702.0</v>
      </c>
      <c r="BY249" s="541">
        <v>45703.0</v>
      </c>
      <c r="BZ249" s="541">
        <v>45704.0</v>
      </c>
      <c r="CA249" s="541">
        <v>45705.0</v>
      </c>
      <c r="CB249" s="541">
        <v>45706.0</v>
      </c>
      <c r="CC249" s="541">
        <v>45707.0</v>
      </c>
      <c r="CD249" s="541">
        <v>45708.0</v>
      </c>
      <c r="CE249" s="541">
        <v>45709.0</v>
      </c>
      <c r="CF249" s="541">
        <v>45710.0</v>
      </c>
      <c r="CG249" s="541">
        <v>45711.0</v>
      </c>
      <c r="CH249" s="541">
        <v>45712.0</v>
      </c>
      <c r="CI249" s="541">
        <v>45713.0</v>
      </c>
      <c r="CJ249" s="541">
        <v>45714.0</v>
      </c>
      <c r="CK249" s="541">
        <v>45715.0</v>
      </c>
      <c r="CL249" s="541">
        <v>45716.0</v>
      </c>
      <c r="CM249" s="563"/>
      <c r="CN249" s="541">
        <v>45901.0</v>
      </c>
      <c r="CO249" s="541">
        <v>45902.0</v>
      </c>
      <c r="CP249" s="541">
        <v>45903.0</v>
      </c>
      <c r="CQ249" s="541">
        <v>45904.0</v>
      </c>
      <c r="CR249" s="541">
        <v>45905.0</v>
      </c>
      <c r="CS249" s="541">
        <v>45906.0</v>
      </c>
      <c r="CT249" s="541">
        <v>45907.0</v>
      </c>
      <c r="CU249" s="541">
        <v>45908.0</v>
      </c>
      <c r="CV249" s="541">
        <v>45909.0</v>
      </c>
      <c r="CW249" s="541">
        <v>45910.0</v>
      </c>
      <c r="CX249" s="541">
        <v>45911.0</v>
      </c>
      <c r="CY249" s="541">
        <v>45912.0</v>
      </c>
      <c r="CZ249" s="541">
        <v>45913.0</v>
      </c>
      <c r="DA249" s="570">
        <v>45914.0</v>
      </c>
      <c r="DB249" s="541">
        <v>45915.0</v>
      </c>
      <c r="DC249" s="541">
        <v>45916.0</v>
      </c>
      <c r="DD249" s="541">
        <v>45917.0</v>
      </c>
      <c r="DE249" s="541">
        <v>45918.0</v>
      </c>
      <c r="DF249" s="541">
        <v>45919.0</v>
      </c>
      <c r="DG249" s="570">
        <v>45920.0</v>
      </c>
      <c r="DH249" s="570">
        <v>45921.0</v>
      </c>
      <c r="DI249" s="541">
        <v>45922.0</v>
      </c>
      <c r="DJ249" s="541">
        <v>45923.0</v>
      </c>
      <c r="DK249" s="541">
        <v>45924.0</v>
      </c>
      <c r="DL249" s="541">
        <v>45925.0</v>
      </c>
      <c r="DM249" s="541">
        <v>45926.0</v>
      </c>
      <c r="DN249" s="541">
        <v>45927.0</v>
      </c>
      <c r="DO249" s="541">
        <v>45928.0</v>
      </c>
      <c r="DP249" s="541">
        <v>45929.0</v>
      </c>
      <c r="DQ249" s="541">
        <v>45930.0</v>
      </c>
      <c r="DR249" s="512"/>
      <c r="DX249" s="530"/>
    </row>
    <row r="250" hidden="1">
      <c r="A250" s="502" t="s">
        <v>289</v>
      </c>
      <c r="B250" s="525"/>
      <c r="C250" s="525"/>
      <c r="D250" s="525"/>
      <c r="E250" s="525"/>
      <c r="F250" s="525"/>
      <c r="G250" s="525"/>
      <c r="H250" s="525"/>
      <c r="I250" s="525"/>
      <c r="J250" s="525"/>
      <c r="K250" s="525"/>
      <c r="L250" s="525"/>
      <c r="M250" s="525"/>
      <c r="N250" s="525"/>
      <c r="O250" s="525"/>
      <c r="P250" s="525"/>
      <c r="Q250" s="525"/>
      <c r="R250" s="525"/>
      <c r="S250" s="525"/>
      <c r="T250" s="525"/>
      <c r="U250" s="525"/>
      <c r="V250" s="525"/>
      <c r="W250" s="525"/>
      <c r="X250" s="525"/>
      <c r="Y250" s="525"/>
      <c r="Z250" s="525"/>
      <c r="AA250" s="525"/>
      <c r="AB250" s="525"/>
      <c r="AC250" s="525"/>
      <c r="AD250" s="525"/>
      <c r="AE250" s="525"/>
      <c r="AF250" s="525"/>
      <c r="AG250" s="525"/>
      <c r="AH250" s="525"/>
      <c r="AI250" s="525"/>
      <c r="AJ250" s="525"/>
      <c r="AK250" s="525"/>
      <c r="AL250" s="525"/>
      <c r="AM250" s="525"/>
      <c r="AN250" s="525"/>
      <c r="AO250" s="525"/>
      <c r="AP250" s="525"/>
      <c r="AQ250" s="525"/>
      <c r="AR250" s="525"/>
      <c r="AS250" s="525"/>
      <c r="AT250" s="525"/>
      <c r="AU250" s="525"/>
      <c r="AV250" s="525"/>
      <c r="AW250" s="525"/>
      <c r="AX250" s="525"/>
      <c r="AY250" s="525"/>
      <c r="AZ250" s="525"/>
      <c r="BA250" s="525"/>
      <c r="BB250" s="525"/>
      <c r="BC250" s="525"/>
      <c r="BD250" s="525"/>
      <c r="BE250" s="525"/>
      <c r="BF250" s="525"/>
      <c r="BG250" s="525"/>
      <c r="BH250" s="525"/>
      <c r="BI250" s="525"/>
      <c r="BJ250" s="525"/>
      <c r="BK250" s="512">
        <v>99.0</v>
      </c>
      <c r="BL250" s="512">
        <v>117.0</v>
      </c>
      <c r="BM250" s="512">
        <v>121.0</v>
      </c>
      <c r="BN250" s="512">
        <v>105.0</v>
      </c>
      <c r="BO250" s="512">
        <v>97.0</v>
      </c>
      <c r="BP250" s="512">
        <v>98.0</v>
      </c>
      <c r="BQ250" s="512">
        <v>110.0</v>
      </c>
      <c r="BR250" s="512">
        <v>141.0</v>
      </c>
      <c r="BS250" s="512">
        <v>157.0</v>
      </c>
      <c r="BT250" s="512">
        <v>98.0</v>
      </c>
      <c r="BU250" s="512">
        <v>130.0</v>
      </c>
      <c r="BV250" s="512">
        <v>130.0</v>
      </c>
      <c r="BW250" s="512">
        <v>153.0</v>
      </c>
      <c r="BX250" s="512">
        <v>131.0</v>
      </c>
      <c r="BY250" s="512">
        <v>126.0</v>
      </c>
      <c r="BZ250" s="512">
        <v>160.0</v>
      </c>
      <c r="CA250" s="512">
        <v>151.0</v>
      </c>
      <c r="CB250" s="512">
        <v>99.0</v>
      </c>
      <c r="CC250" s="512">
        <v>125.0</v>
      </c>
      <c r="CD250" s="512">
        <v>168.0</v>
      </c>
      <c r="CE250" s="512">
        <v>164.0</v>
      </c>
      <c r="CF250" s="512">
        <v>174.0</v>
      </c>
      <c r="CG250" s="512">
        <v>161.0</v>
      </c>
      <c r="CH250" s="512">
        <v>117.0</v>
      </c>
      <c r="CI250" s="512">
        <v>139.0</v>
      </c>
      <c r="CJ250" s="512">
        <v>131.0</v>
      </c>
      <c r="CK250" s="512">
        <v>98.0</v>
      </c>
      <c r="CL250" s="512">
        <v>196.0</v>
      </c>
      <c r="CM250" s="514"/>
      <c r="CN250" s="561">
        <v>109.0</v>
      </c>
      <c r="CO250" s="561">
        <v>150.0</v>
      </c>
      <c r="CP250" s="561">
        <v>167.0</v>
      </c>
      <c r="CQ250" s="561">
        <v>130.0</v>
      </c>
      <c r="CR250" s="561">
        <v>154.0</v>
      </c>
      <c r="CS250" s="561">
        <v>182.0</v>
      </c>
      <c r="CT250" s="561">
        <v>238.0</v>
      </c>
      <c r="CU250" s="561">
        <v>159.0</v>
      </c>
      <c r="CV250" s="561">
        <v>160.0</v>
      </c>
      <c r="CW250" s="561">
        <v>159.0</v>
      </c>
      <c r="CX250" s="561">
        <v>285.0</v>
      </c>
      <c r="CY250" s="561">
        <v>170.0</v>
      </c>
      <c r="CZ250" s="561">
        <v>166.0</v>
      </c>
      <c r="DA250" s="561"/>
      <c r="DB250" s="561"/>
      <c r="DC250" s="561">
        <v>174.0</v>
      </c>
      <c r="DD250" s="561">
        <v>124.0</v>
      </c>
      <c r="DE250" s="561">
        <v>191.0</v>
      </c>
      <c r="DF250" s="561">
        <v>160.0</v>
      </c>
      <c r="DG250" s="561"/>
      <c r="DH250" s="561"/>
      <c r="DI250" s="561">
        <v>263.0</v>
      </c>
      <c r="DJ250" s="561">
        <v>136.0</v>
      </c>
      <c r="DK250" s="561"/>
      <c r="DL250" s="561">
        <v>210.0</v>
      </c>
      <c r="DM250" s="561">
        <v>194.0</v>
      </c>
      <c r="DN250" s="561">
        <v>165.0</v>
      </c>
      <c r="DO250" s="561">
        <v>230.0</v>
      </c>
      <c r="DP250" s="561">
        <v>144.0</v>
      </c>
      <c r="DQ250" s="561">
        <v>254.0</v>
      </c>
      <c r="DR250" s="314"/>
      <c r="DX250" s="530"/>
    </row>
    <row r="251" hidden="1">
      <c r="A251" s="521" t="s">
        <v>290</v>
      </c>
      <c r="B251" s="525"/>
      <c r="C251" s="525"/>
      <c r="D251" s="525"/>
      <c r="E251" s="525"/>
      <c r="F251" s="525"/>
      <c r="G251" s="525"/>
      <c r="H251" s="525"/>
      <c r="I251" s="525"/>
      <c r="J251" s="525"/>
      <c r="K251" s="525"/>
      <c r="L251" s="525"/>
      <c r="M251" s="525"/>
      <c r="N251" s="525"/>
      <c r="O251" s="525"/>
      <c r="P251" s="525"/>
      <c r="Q251" s="525"/>
      <c r="R251" s="525"/>
      <c r="S251" s="525"/>
      <c r="T251" s="525"/>
      <c r="U251" s="525"/>
      <c r="V251" s="525"/>
      <c r="W251" s="525"/>
      <c r="X251" s="525"/>
      <c r="Y251" s="525"/>
      <c r="Z251" s="525"/>
      <c r="AA251" s="525"/>
      <c r="AB251" s="525"/>
      <c r="AC251" s="525"/>
      <c r="AD251" s="525"/>
      <c r="AE251" s="525"/>
      <c r="AF251" s="525"/>
      <c r="AG251" s="525"/>
      <c r="AH251" s="525"/>
      <c r="AI251" s="525"/>
      <c r="AJ251" s="525"/>
      <c r="AK251" s="525"/>
      <c r="AL251" s="525"/>
      <c r="AM251" s="525"/>
      <c r="AN251" s="525"/>
      <c r="AO251" s="525"/>
      <c r="AP251" s="525"/>
      <c r="AQ251" s="525"/>
      <c r="AR251" s="525"/>
      <c r="AS251" s="525"/>
      <c r="AT251" s="525"/>
      <c r="AU251" s="525"/>
      <c r="AV251" s="525"/>
      <c r="AW251" s="525"/>
      <c r="AX251" s="525"/>
      <c r="AY251" s="525"/>
      <c r="AZ251" s="525"/>
      <c r="BA251" s="525"/>
      <c r="BB251" s="525"/>
      <c r="BC251" s="525"/>
      <c r="BD251" s="525"/>
      <c r="BE251" s="525"/>
      <c r="BF251" s="525"/>
      <c r="BG251" s="525"/>
      <c r="BH251" s="525"/>
      <c r="BI251" s="525"/>
      <c r="BJ251" s="525"/>
      <c r="BK251" s="512">
        <v>44.0</v>
      </c>
      <c r="BL251" s="512">
        <v>55.0</v>
      </c>
      <c r="BM251" s="512">
        <v>47.0</v>
      </c>
      <c r="BN251" s="512">
        <v>39.0</v>
      </c>
      <c r="BO251" s="512">
        <v>54.0</v>
      </c>
      <c r="BP251" s="512">
        <v>46.0</v>
      </c>
      <c r="BQ251" s="512">
        <v>51.0</v>
      </c>
      <c r="BR251" s="512">
        <v>48.0</v>
      </c>
      <c r="BS251" s="512">
        <v>55.0</v>
      </c>
      <c r="BT251" s="512">
        <v>41.0</v>
      </c>
      <c r="BU251" s="512">
        <v>57.0</v>
      </c>
      <c r="BV251" s="512">
        <v>57.0</v>
      </c>
      <c r="BW251" s="512">
        <v>59.0</v>
      </c>
      <c r="BX251" s="512">
        <v>41.0</v>
      </c>
      <c r="BY251" s="512">
        <v>52.0</v>
      </c>
      <c r="BZ251" s="512">
        <v>61.0</v>
      </c>
      <c r="CA251" s="512">
        <v>52.0</v>
      </c>
      <c r="CB251" s="512">
        <v>38.0</v>
      </c>
      <c r="CC251" s="512">
        <v>53.0</v>
      </c>
      <c r="CD251" s="512">
        <v>77.0</v>
      </c>
      <c r="CE251" s="512">
        <v>59.0</v>
      </c>
      <c r="CF251" s="512">
        <v>70.0</v>
      </c>
      <c r="CG251" s="512">
        <v>77.0</v>
      </c>
      <c r="CH251" s="512">
        <v>47.0</v>
      </c>
      <c r="CI251" s="512">
        <v>51.0</v>
      </c>
      <c r="CJ251" s="512">
        <v>54.0</v>
      </c>
      <c r="CK251" s="512">
        <v>43.0</v>
      </c>
      <c r="CL251" s="512">
        <v>75.0</v>
      </c>
      <c r="CM251" s="566">
        <f>SUM(BK251:CL251)/28</f>
        <v>53.67857143</v>
      </c>
      <c r="CN251" s="561">
        <v>52.0</v>
      </c>
      <c r="CO251" s="561">
        <v>55.0</v>
      </c>
      <c r="CP251" s="561">
        <v>49.0</v>
      </c>
      <c r="CQ251" s="561">
        <v>59.0</v>
      </c>
      <c r="CR251" s="561">
        <v>62.0</v>
      </c>
      <c r="CS251" s="561">
        <v>73.0</v>
      </c>
      <c r="CT251" s="561">
        <v>74.0</v>
      </c>
      <c r="CU251" s="561">
        <v>68.0</v>
      </c>
      <c r="CV251" s="561">
        <v>61.0</v>
      </c>
      <c r="CW251" s="561">
        <v>66.0</v>
      </c>
      <c r="CX251" s="561">
        <v>77.0</v>
      </c>
      <c r="CY251" s="561">
        <v>60.0</v>
      </c>
      <c r="CZ251" s="561">
        <v>71.0</v>
      </c>
      <c r="DA251" s="571"/>
      <c r="DB251" s="561"/>
      <c r="DC251" s="561">
        <v>67.0</v>
      </c>
      <c r="DD251" s="561">
        <v>64.0</v>
      </c>
      <c r="DE251" s="561">
        <v>67.0</v>
      </c>
      <c r="DF251" s="561">
        <v>76.0</v>
      </c>
      <c r="DG251" s="571"/>
      <c r="DH251" s="571"/>
      <c r="DI251" s="561">
        <v>89.0</v>
      </c>
      <c r="DJ251" s="561">
        <v>55.0</v>
      </c>
      <c r="DK251" s="561"/>
      <c r="DL251" s="561">
        <v>85.0</v>
      </c>
      <c r="DM251" s="561">
        <v>68.0</v>
      </c>
      <c r="DN251" s="561">
        <v>73.0</v>
      </c>
      <c r="DO251" s="561">
        <v>85.0</v>
      </c>
      <c r="DP251" s="561">
        <v>65.0</v>
      </c>
      <c r="DQ251" s="561">
        <v>86.0</v>
      </c>
      <c r="DR251" s="314"/>
      <c r="DX251" s="530"/>
    </row>
    <row r="252" hidden="1">
      <c r="A252" s="502" t="s">
        <v>291</v>
      </c>
      <c r="B252" s="537"/>
      <c r="C252" s="537"/>
      <c r="D252" s="537"/>
      <c r="E252" s="537"/>
      <c r="F252" s="537"/>
      <c r="G252" s="537"/>
      <c r="H252" s="537"/>
      <c r="I252" s="537"/>
      <c r="J252" s="537"/>
      <c r="K252" s="537"/>
      <c r="L252" s="537"/>
      <c r="M252" s="537"/>
      <c r="N252" s="537"/>
      <c r="O252" s="537"/>
      <c r="P252" s="537"/>
      <c r="Q252" s="537"/>
      <c r="R252" s="537"/>
      <c r="S252" s="537"/>
      <c r="T252" s="537"/>
      <c r="U252" s="537"/>
      <c r="V252" s="537"/>
      <c r="W252" s="537"/>
      <c r="X252" s="537"/>
      <c r="Y252" s="537"/>
      <c r="Z252" s="537"/>
      <c r="AA252" s="537"/>
      <c r="AB252" s="537"/>
      <c r="AC252" s="537"/>
      <c r="AD252" s="537"/>
      <c r="AE252" s="537"/>
      <c r="AF252" s="537"/>
      <c r="AG252" s="537"/>
      <c r="AH252" s="537"/>
      <c r="AI252" s="537"/>
      <c r="AJ252" s="537"/>
      <c r="AK252" s="537"/>
      <c r="AL252" s="537"/>
      <c r="AM252" s="537"/>
      <c r="AN252" s="537"/>
      <c r="AO252" s="537"/>
      <c r="AP252" s="537"/>
      <c r="AQ252" s="537"/>
      <c r="AR252" s="537"/>
      <c r="AS252" s="537"/>
      <c r="AT252" s="537"/>
      <c r="AU252" s="537"/>
      <c r="AV252" s="537"/>
      <c r="AW252" s="537"/>
      <c r="AX252" s="537"/>
      <c r="AY252" s="537"/>
      <c r="AZ252" s="537"/>
      <c r="BA252" s="537"/>
      <c r="BB252" s="537"/>
      <c r="BC252" s="537"/>
      <c r="BD252" s="537"/>
      <c r="BE252" s="537"/>
      <c r="BF252" s="537"/>
      <c r="BG252" s="537"/>
      <c r="BH252" s="537"/>
      <c r="BI252" s="537"/>
      <c r="BJ252" s="537"/>
      <c r="BK252" s="537">
        <v>-295.52</v>
      </c>
      <c r="BL252" s="537">
        <v>-42.77</v>
      </c>
      <c r="BM252" s="537">
        <v>24.22</v>
      </c>
      <c r="BN252" s="537">
        <v>-438.28</v>
      </c>
      <c r="BO252" s="537">
        <v>35.84</v>
      </c>
      <c r="BP252" s="537">
        <v>-15.94</v>
      </c>
      <c r="BQ252" s="537">
        <v>33.53</v>
      </c>
      <c r="BR252" s="537">
        <v>48.55</v>
      </c>
      <c r="BS252" s="537">
        <v>-179.22</v>
      </c>
      <c r="BT252" s="537">
        <v>-2.05</v>
      </c>
      <c r="BU252" s="537">
        <v>54.16</v>
      </c>
      <c r="BV252" s="537">
        <v>-203.07</v>
      </c>
      <c r="BW252" s="537">
        <v>53.0</v>
      </c>
      <c r="BX252" s="537">
        <v>35.32</v>
      </c>
      <c r="BY252" s="537">
        <v>52.07</v>
      </c>
      <c r="BZ252" s="537">
        <v>38.49</v>
      </c>
      <c r="CA252" s="537">
        <v>54.6</v>
      </c>
      <c r="CB252" s="537">
        <v>43.14</v>
      </c>
      <c r="CC252" s="537">
        <v>-87.46</v>
      </c>
      <c r="CD252" s="537">
        <v>47.24</v>
      </c>
      <c r="CE252" s="537">
        <v>-66.14</v>
      </c>
      <c r="CF252" s="537">
        <v>54.48</v>
      </c>
      <c r="CG252" s="537">
        <v>59.5</v>
      </c>
      <c r="CH252" s="537">
        <v>-90.39</v>
      </c>
      <c r="CI252" s="537">
        <v>50.36</v>
      </c>
      <c r="CJ252" s="537">
        <v>32.76</v>
      </c>
      <c r="CK252" s="537">
        <v>-310.39</v>
      </c>
      <c r="CL252" s="537">
        <v>-88.51</v>
      </c>
      <c r="CM252" s="537"/>
      <c r="CN252" s="537">
        <v>-231.53</v>
      </c>
      <c r="CO252" s="537">
        <v>-141.25</v>
      </c>
      <c r="CP252" s="537">
        <v>94.01</v>
      </c>
      <c r="CQ252" s="537">
        <v>99.91</v>
      </c>
      <c r="CR252" s="537">
        <v>87.42</v>
      </c>
      <c r="CS252" s="537">
        <v>169.33</v>
      </c>
      <c r="CT252" s="537">
        <v>101.14</v>
      </c>
      <c r="CU252" s="537">
        <v>109.4</v>
      </c>
      <c r="CV252" s="512">
        <v>94.14</v>
      </c>
      <c r="CW252" s="537">
        <v>114.29</v>
      </c>
      <c r="CX252" s="537">
        <v>74.76</v>
      </c>
      <c r="CY252" s="537">
        <v>107.5</v>
      </c>
      <c r="CZ252" s="537">
        <v>90.98</v>
      </c>
      <c r="DA252" s="572">
        <v>103.36</v>
      </c>
      <c r="DB252" s="537">
        <v>-98.39</v>
      </c>
      <c r="DC252" s="537">
        <v>-168.27</v>
      </c>
      <c r="DD252" s="537">
        <v>47.32</v>
      </c>
      <c r="DE252" s="537">
        <v>95.98</v>
      </c>
      <c r="DF252" s="537">
        <v>-60.04</v>
      </c>
      <c r="DG252" s="572">
        <v>113.44</v>
      </c>
      <c r="DH252" s="572">
        <v>-249.91</v>
      </c>
      <c r="DI252" s="537">
        <v>-323.82</v>
      </c>
      <c r="DJ252" s="537">
        <v>56.85</v>
      </c>
      <c r="DK252" s="537">
        <v>-1062.0</v>
      </c>
      <c r="DL252" s="537">
        <v>-85.67</v>
      </c>
      <c r="DM252" s="537">
        <v>80.04</v>
      </c>
      <c r="DN252" s="537">
        <v>149.52</v>
      </c>
      <c r="DO252" s="537">
        <v>-297.73</v>
      </c>
      <c r="DP252" s="537">
        <v>-570.28</v>
      </c>
      <c r="DQ252" s="537">
        <v>145.93</v>
      </c>
      <c r="DR252" s="537"/>
      <c r="DX252" s="530"/>
    </row>
    <row r="253" hidden="1">
      <c r="A253" s="531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  <c r="AT253" s="118"/>
      <c r="AU253" s="118"/>
      <c r="AV253" s="118"/>
      <c r="AW253" s="118"/>
      <c r="AX253" s="118"/>
      <c r="AY253" s="118"/>
      <c r="AZ253" s="118"/>
      <c r="BA253" s="118"/>
      <c r="BB253" s="118"/>
      <c r="BC253" s="118"/>
      <c r="BD253" s="118"/>
      <c r="BE253" s="118"/>
      <c r="BF253" s="118"/>
      <c r="BG253" s="118"/>
      <c r="BH253" s="118"/>
      <c r="BI253" s="118"/>
      <c r="BJ253" s="118"/>
      <c r="BK253" s="118"/>
      <c r="BL253" s="118"/>
      <c r="BM253" s="118"/>
      <c r="BN253" s="118"/>
      <c r="BO253" s="118"/>
      <c r="BP253" s="118"/>
      <c r="BQ253" s="118"/>
      <c r="BR253" s="118"/>
      <c r="BS253" s="118"/>
      <c r="BT253" s="118"/>
      <c r="BU253" s="118"/>
      <c r="BV253" s="118"/>
      <c r="BW253" s="118"/>
      <c r="BX253" s="118"/>
      <c r="BY253" s="118"/>
      <c r="BZ253" s="118"/>
      <c r="CA253" s="118"/>
      <c r="CB253" s="118"/>
      <c r="CC253" s="118"/>
      <c r="CD253" s="118"/>
      <c r="CE253" s="118"/>
      <c r="CF253" s="118"/>
      <c r="CG253" s="118"/>
      <c r="CH253" s="118"/>
      <c r="CI253" s="118"/>
      <c r="CJ253" s="118"/>
      <c r="CK253" s="118"/>
      <c r="CL253" s="118"/>
      <c r="CM253" s="118"/>
      <c r="CN253" s="118"/>
      <c r="CO253" s="546"/>
      <c r="CP253" s="118"/>
      <c r="CQ253" s="118"/>
      <c r="CR253" s="118"/>
      <c r="CS253" s="546"/>
      <c r="CT253" s="118"/>
      <c r="CU253" s="118"/>
      <c r="CV253" s="118"/>
      <c r="CW253" s="118"/>
      <c r="CX253" s="118"/>
      <c r="CY253" s="118"/>
      <c r="CZ253" s="118"/>
      <c r="DA253" s="118"/>
      <c r="DB253" s="118"/>
      <c r="DC253" s="118"/>
      <c r="DD253" s="118"/>
      <c r="DE253" s="118"/>
      <c r="DF253" s="118"/>
      <c r="DG253" s="118"/>
      <c r="DH253" s="118"/>
      <c r="DI253" s="118"/>
      <c r="DJ253" s="118"/>
      <c r="DK253" s="118"/>
      <c r="DL253" s="118"/>
      <c r="DM253" s="118"/>
      <c r="DN253" s="118"/>
      <c r="DO253" s="118"/>
      <c r="DP253" s="118"/>
      <c r="DQ253" s="118"/>
      <c r="DR253" s="118"/>
      <c r="DX253" s="530"/>
    </row>
    <row r="254" hidden="1">
      <c r="A254" s="531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  <c r="AT254" s="118"/>
      <c r="AU254" s="118"/>
      <c r="AV254" s="118"/>
      <c r="AW254" s="118"/>
      <c r="AX254" s="118"/>
      <c r="AY254" s="118"/>
      <c r="AZ254" s="118"/>
      <c r="BA254" s="118"/>
      <c r="BB254" s="118"/>
      <c r="BC254" s="118"/>
      <c r="BD254" s="118"/>
      <c r="BE254" s="118"/>
      <c r="BF254" s="118"/>
      <c r="BG254" s="118"/>
      <c r="BH254" s="118"/>
      <c r="BI254" s="118"/>
      <c r="BJ254" s="118"/>
      <c r="BK254" s="118"/>
      <c r="BL254" s="118"/>
      <c r="BM254" s="118"/>
      <c r="BN254" s="118"/>
      <c r="BO254" s="118"/>
      <c r="BP254" s="118"/>
      <c r="BQ254" s="118"/>
      <c r="BR254" s="118"/>
      <c r="BS254" s="118"/>
      <c r="BT254" s="118"/>
      <c r="BU254" s="118"/>
      <c r="BV254" s="118"/>
      <c r="BW254" s="118"/>
      <c r="BX254" s="118"/>
      <c r="BY254" s="118"/>
      <c r="BZ254" s="118"/>
      <c r="CA254" s="118"/>
      <c r="CB254" s="118"/>
      <c r="CC254" s="118"/>
      <c r="CD254" s="118"/>
      <c r="CE254" s="118"/>
      <c r="CF254" s="118"/>
      <c r="CG254" s="118"/>
      <c r="CH254" s="118"/>
      <c r="CI254" s="118"/>
      <c r="CJ254" s="118"/>
      <c r="CK254" s="118"/>
      <c r="CL254" s="118"/>
      <c r="CM254" s="118"/>
      <c r="CN254" s="118"/>
      <c r="CO254" s="118"/>
      <c r="CP254" s="118"/>
      <c r="CQ254" s="118"/>
      <c r="CR254" s="118"/>
      <c r="CS254" s="118"/>
      <c r="CT254" s="118"/>
      <c r="CU254" s="118"/>
      <c r="CV254" s="118"/>
      <c r="CW254" s="118"/>
      <c r="CX254" s="118"/>
      <c r="CY254" s="118"/>
      <c r="CZ254" s="118"/>
      <c r="DA254" s="118"/>
      <c r="DB254" s="118"/>
      <c r="DC254" s="118"/>
      <c r="DD254" s="118"/>
      <c r="DE254" s="118"/>
      <c r="DF254" s="118"/>
      <c r="DG254" s="118"/>
      <c r="DH254" s="118"/>
      <c r="DI254" s="118"/>
      <c r="DJ254" s="118"/>
      <c r="DK254" s="118"/>
      <c r="DL254" s="118"/>
      <c r="DM254" s="118"/>
      <c r="DN254" s="118"/>
      <c r="DO254" s="118"/>
      <c r="DP254" s="118"/>
      <c r="DQ254" s="118"/>
      <c r="DR254" s="118"/>
      <c r="DX254" s="530"/>
    </row>
    <row r="255" hidden="1">
      <c r="A255" s="500" t="s">
        <v>295</v>
      </c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  <c r="AT255" s="118"/>
      <c r="AU255" s="118"/>
      <c r="AV255" s="118"/>
      <c r="AW255" s="118"/>
      <c r="AX255" s="118"/>
      <c r="AY255" s="118"/>
      <c r="AZ255" s="118"/>
      <c r="BA255" s="118"/>
      <c r="BB255" s="118"/>
      <c r="BC255" s="118"/>
      <c r="BD255" s="118"/>
      <c r="BE255" s="118"/>
      <c r="BF255" s="118"/>
      <c r="BG255" s="118"/>
      <c r="BH255" s="118"/>
      <c r="BI255" s="118"/>
      <c r="BJ255" s="118"/>
      <c r="BK255" s="118"/>
      <c r="BL255" s="118"/>
      <c r="BM255" s="118"/>
      <c r="BN255" s="118"/>
      <c r="BO255" s="118"/>
      <c r="BP255" s="118"/>
      <c r="BQ255" s="118"/>
      <c r="BR255" s="118"/>
      <c r="BS255" s="118"/>
      <c r="BT255" s="118"/>
      <c r="BU255" s="118"/>
      <c r="BV255" s="118"/>
      <c r="BW255" s="118"/>
      <c r="BX255" s="118"/>
      <c r="BY255" s="118"/>
      <c r="BZ255" s="118"/>
      <c r="CA255" s="118"/>
      <c r="CB255" s="118"/>
      <c r="CC255" s="118"/>
      <c r="CD255" s="118"/>
      <c r="CE255" s="118"/>
      <c r="CF255" s="118"/>
      <c r="CG255" s="118"/>
      <c r="CH255" s="118"/>
      <c r="CI255" s="118"/>
      <c r="CJ255" s="118"/>
      <c r="CK255" s="118"/>
      <c r="CL255" s="118"/>
      <c r="CM255" s="118"/>
      <c r="CN255" s="546" t="s">
        <v>352</v>
      </c>
      <c r="CO255" s="546" t="s">
        <v>365</v>
      </c>
      <c r="CP255" s="546" t="s">
        <v>365</v>
      </c>
      <c r="CQ255" s="546" t="s">
        <v>352</v>
      </c>
      <c r="CR255" s="546" t="s">
        <v>352</v>
      </c>
      <c r="CS255" s="546" t="s">
        <v>365</v>
      </c>
      <c r="CT255" s="546" t="s">
        <v>365</v>
      </c>
      <c r="CU255" s="546" t="s">
        <v>352</v>
      </c>
      <c r="CV255" s="546" t="s">
        <v>352</v>
      </c>
      <c r="CW255" s="546" t="s">
        <v>352</v>
      </c>
      <c r="CX255" s="546" t="s">
        <v>365</v>
      </c>
      <c r="CY255" s="546" t="s">
        <v>366</v>
      </c>
      <c r="CZ255" s="546" t="s">
        <v>352</v>
      </c>
      <c r="DA255" s="546" t="s">
        <v>352</v>
      </c>
      <c r="DB255" s="546" t="s">
        <v>365</v>
      </c>
      <c r="DC255" s="546" t="s">
        <v>365</v>
      </c>
      <c r="DD255" s="546" t="s">
        <v>352</v>
      </c>
      <c r="DE255" s="546" t="s">
        <v>352</v>
      </c>
      <c r="DF255" s="546" t="s">
        <v>352</v>
      </c>
      <c r="DG255" s="546" t="s">
        <v>365</v>
      </c>
      <c r="DH255" s="546" t="s">
        <v>365</v>
      </c>
      <c r="DI255" s="546" t="s">
        <v>365</v>
      </c>
      <c r="DJ255" s="546" t="s">
        <v>352</v>
      </c>
      <c r="DK255" s="546" t="s">
        <v>365</v>
      </c>
      <c r="DL255" s="546" t="s">
        <v>365</v>
      </c>
      <c r="DM255" s="546" t="s">
        <v>352</v>
      </c>
      <c r="DN255" s="546" t="s">
        <v>352</v>
      </c>
      <c r="DO255" s="546" t="s">
        <v>352</v>
      </c>
      <c r="DP255" s="546" t="s">
        <v>365</v>
      </c>
      <c r="DQ255" s="546" t="s">
        <v>365</v>
      </c>
      <c r="DR255" s="546"/>
      <c r="DX255" s="530"/>
    </row>
    <row r="256" hidden="1">
      <c r="A256" s="502" t="s">
        <v>288</v>
      </c>
      <c r="B256" s="525"/>
      <c r="C256" s="525"/>
      <c r="D256" s="525"/>
      <c r="E256" s="525"/>
      <c r="F256" s="525"/>
      <c r="G256" s="525"/>
      <c r="H256" s="525"/>
      <c r="I256" s="525"/>
      <c r="J256" s="525"/>
      <c r="K256" s="525"/>
      <c r="L256" s="525"/>
      <c r="M256" s="525"/>
      <c r="N256" s="525"/>
      <c r="O256" s="525"/>
      <c r="P256" s="525"/>
      <c r="Q256" s="525"/>
      <c r="R256" s="525"/>
      <c r="S256" s="525"/>
      <c r="T256" s="525"/>
      <c r="U256" s="525"/>
      <c r="V256" s="525"/>
      <c r="W256" s="525"/>
      <c r="X256" s="525"/>
      <c r="Y256" s="525"/>
      <c r="Z256" s="525"/>
      <c r="AA256" s="525"/>
      <c r="AB256" s="525"/>
      <c r="AC256" s="525"/>
      <c r="AD256" s="525"/>
      <c r="AE256" s="525"/>
      <c r="AF256" s="525"/>
      <c r="AG256" s="525"/>
      <c r="AH256" s="525"/>
      <c r="AI256" s="525"/>
      <c r="AJ256" s="525"/>
      <c r="AK256" s="525"/>
      <c r="AL256" s="525"/>
      <c r="AM256" s="525"/>
      <c r="AN256" s="525"/>
      <c r="AO256" s="525"/>
      <c r="AP256" s="525"/>
      <c r="AQ256" s="525"/>
      <c r="AR256" s="525"/>
      <c r="AS256" s="525"/>
      <c r="AT256" s="525"/>
      <c r="AU256" s="525"/>
      <c r="AV256" s="525"/>
      <c r="AW256" s="525"/>
      <c r="AX256" s="525"/>
      <c r="AY256" s="525"/>
      <c r="AZ256" s="525"/>
      <c r="BA256" s="525"/>
      <c r="BB256" s="525"/>
      <c r="BC256" s="525"/>
      <c r="BD256" s="525"/>
      <c r="BE256" s="525"/>
      <c r="BF256" s="525"/>
      <c r="BG256" s="525"/>
      <c r="BH256" s="525"/>
      <c r="BI256" s="525"/>
      <c r="BJ256" s="525"/>
      <c r="BK256" s="541">
        <v>45689.0</v>
      </c>
      <c r="BL256" s="541">
        <v>45690.0</v>
      </c>
      <c r="BM256" s="541">
        <v>45691.0</v>
      </c>
      <c r="BN256" s="541">
        <v>45692.0</v>
      </c>
      <c r="BO256" s="541">
        <v>45693.0</v>
      </c>
      <c r="BP256" s="541">
        <v>45694.0</v>
      </c>
      <c r="BQ256" s="541">
        <v>45695.0</v>
      </c>
      <c r="BR256" s="541">
        <v>45696.0</v>
      </c>
      <c r="BS256" s="541">
        <v>45697.0</v>
      </c>
      <c r="BT256" s="541">
        <v>45698.0</v>
      </c>
      <c r="BU256" s="541">
        <v>45699.0</v>
      </c>
      <c r="BV256" s="541">
        <v>45700.0</v>
      </c>
      <c r="BW256" s="541">
        <v>45701.0</v>
      </c>
      <c r="BX256" s="541">
        <v>45702.0</v>
      </c>
      <c r="BY256" s="541">
        <v>45703.0</v>
      </c>
      <c r="BZ256" s="541">
        <v>45704.0</v>
      </c>
      <c r="CA256" s="541">
        <v>45705.0</v>
      </c>
      <c r="CB256" s="541">
        <v>45706.0</v>
      </c>
      <c r="CC256" s="541">
        <v>45707.0</v>
      </c>
      <c r="CD256" s="541">
        <v>45708.0</v>
      </c>
      <c r="CE256" s="541">
        <v>45709.0</v>
      </c>
      <c r="CF256" s="541">
        <v>45710.0</v>
      </c>
      <c r="CG256" s="541">
        <v>45711.0</v>
      </c>
      <c r="CH256" s="541">
        <v>45712.0</v>
      </c>
      <c r="CI256" s="541">
        <v>45713.0</v>
      </c>
      <c r="CJ256" s="541">
        <v>45714.0</v>
      </c>
      <c r="CK256" s="541">
        <v>45715.0</v>
      </c>
      <c r="CL256" s="541">
        <v>45716.0</v>
      </c>
      <c r="CM256" s="541"/>
      <c r="CN256" s="541">
        <v>45901.0</v>
      </c>
      <c r="CO256" s="541">
        <v>45902.0</v>
      </c>
      <c r="CP256" s="541">
        <v>45903.0</v>
      </c>
      <c r="CQ256" s="541">
        <v>45904.0</v>
      </c>
      <c r="CR256" s="541">
        <v>45905.0</v>
      </c>
      <c r="CS256" s="541">
        <v>45906.0</v>
      </c>
      <c r="CT256" s="541">
        <v>45907.0</v>
      </c>
      <c r="CU256" s="541">
        <v>45908.0</v>
      </c>
      <c r="CV256" s="541">
        <v>45909.0</v>
      </c>
      <c r="CW256" s="541">
        <v>45910.0</v>
      </c>
      <c r="CX256" s="541">
        <v>45911.0</v>
      </c>
      <c r="CY256" s="541">
        <v>45912.0</v>
      </c>
      <c r="CZ256" s="541">
        <v>45913.0</v>
      </c>
      <c r="DA256" s="541">
        <v>45914.0</v>
      </c>
      <c r="DB256" s="541">
        <v>45915.0</v>
      </c>
      <c r="DC256" s="541">
        <v>45916.0</v>
      </c>
      <c r="DD256" s="541">
        <v>45917.0</v>
      </c>
      <c r="DE256" s="541">
        <v>45918.0</v>
      </c>
      <c r="DF256" s="541">
        <v>45919.0</v>
      </c>
      <c r="DG256" s="541">
        <v>45920.0</v>
      </c>
      <c r="DH256" s="541">
        <v>45921.0</v>
      </c>
      <c r="DI256" s="541">
        <v>45922.0</v>
      </c>
      <c r="DJ256" s="541">
        <v>45923.0</v>
      </c>
      <c r="DK256" s="541">
        <v>45924.0</v>
      </c>
      <c r="DL256" s="541">
        <v>45925.0</v>
      </c>
      <c r="DM256" s="541">
        <v>45926.0</v>
      </c>
      <c r="DN256" s="541">
        <v>45927.0</v>
      </c>
      <c r="DO256" s="541">
        <v>45928.0</v>
      </c>
      <c r="DP256" s="541">
        <v>45929.0</v>
      </c>
      <c r="DQ256" s="541">
        <v>45930.0</v>
      </c>
      <c r="DR256" s="512"/>
      <c r="DX256" s="530"/>
    </row>
    <row r="257" hidden="1">
      <c r="A257" s="502" t="s">
        <v>289</v>
      </c>
      <c r="B257" s="525"/>
      <c r="C257" s="525"/>
      <c r="D257" s="525"/>
      <c r="E257" s="525"/>
      <c r="F257" s="525"/>
      <c r="G257" s="525"/>
      <c r="H257" s="525"/>
      <c r="I257" s="525"/>
      <c r="J257" s="525"/>
      <c r="K257" s="525"/>
      <c r="L257" s="525"/>
      <c r="M257" s="525"/>
      <c r="N257" s="525"/>
      <c r="O257" s="525"/>
      <c r="P257" s="525"/>
      <c r="Q257" s="525"/>
      <c r="R257" s="525"/>
      <c r="S257" s="525"/>
      <c r="T257" s="525"/>
      <c r="U257" s="525"/>
      <c r="V257" s="525"/>
      <c r="W257" s="525"/>
      <c r="X257" s="525"/>
      <c r="Y257" s="525"/>
      <c r="Z257" s="525"/>
      <c r="AA257" s="525"/>
      <c r="AB257" s="525"/>
      <c r="AC257" s="525"/>
      <c r="AD257" s="525"/>
      <c r="AE257" s="525"/>
      <c r="AF257" s="525"/>
      <c r="AG257" s="525"/>
      <c r="AH257" s="525"/>
      <c r="AI257" s="525"/>
      <c r="AJ257" s="525"/>
      <c r="AK257" s="525"/>
      <c r="AL257" s="525"/>
      <c r="AM257" s="525"/>
      <c r="AN257" s="525"/>
      <c r="AO257" s="525"/>
      <c r="AP257" s="525"/>
      <c r="AQ257" s="525"/>
      <c r="AR257" s="525"/>
      <c r="AS257" s="525"/>
      <c r="AT257" s="525"/>
      <c r="AU257" s="525"/>
      <c r="AV257" s="525"/>
      <c r="AW257" s="525"/>
      <c r="AX257" s="525"/>
      <c r="AY257" s="525"/>
      <c r="AZ257" s="525"/>
      <c r="BA257" s="525"/>
      <c r="BB257" s="525"/>
      <c r="BC257" s="525"/>
      <c r="BD257" s="525"/>
      <c r="BE257" s="525"/>
      <c r="BF257" s="525"/>
      <c r="BG257" s="525"/>
      <c r="BH257" s="525"/>
      <c r="BI257" s="525"/>
      <c r="BJ257" s="525"/>
      <c r="BK257" s="512">
        <v>12.0</v>
      </c>
      <c r="BL257" s="512">
        <v>16.0</v>
      </c>
      <c r="BM257" s="512">
        <v>37.0</v>
      </c>
      <c r="BN257" s="512">
        <v>24.0</v>
      </c>
      <c r="BO257" s="512">
        <v>23.0</v>
      </c>
      <c r="BP257" s="512">
        <v>48.0</v>
      </c>
      <c r="BQ257" s="512">
        <v>38.0</v>
      </c>
      <c r="BR257" s="512">
        <v>13.0</v>
      </c>
      <c r="BS257" s="512">
        <v>61.0</v>
      </c>
      <c r="BT257" s="512">
        <v>50.0</v>
      </c>
      <c r="BU257" s="512">
        <v>68.0</v>
      </c>
      <c r="BV257" s="512">
        <v>29.0</v>
      </c>
      <c r="BW257" s="512">
        <v>91.0</v>
      </c>
      <c r="BX257" s="512">
        <v>62.0</v>
      </c>
      <c r="BY257" s="512">
        <v>63.0</v>
      </c>
      <c r="BZ257" s="512">
        <v>64.0</v>
      </c>
      <c r="CA257" s="512">
        <v>76.0</v>
      </c>
      <c r="CB257" s="512">
        <v>49.0</v>
      </c>
      <c r="CC257" s="512">
        <v>63.0</v>
      </c>
      <c r="CD257" s="512">
        <v>50.0</v>
      </c>
      <c r="CE257" s="512">
        <v>55.0</v>
      </c>
      <c r="CF257" s="512">
        <v>77.0</v>
      </c>
      <c r="CG257" s="512">
        <v>77.0</v>
      </c>
      <c r="CH257" s="512">
        <v>72.0</v>
      </c>
      <c r="CI257" s="512">
        <v>80.0</v>
      </c>
      <c r="CJ257" s="512">
        <v>89.0</v>
      </c>
      <c r="CK257" s="512">
        <v>64.0</v>
      </c>
      <c r="CL257" s="512">
        <v>82.0</v>
      </c>
      <c r="CM257" s="512"/>
      <c r="CN257" s="561">
        <v>90.0</v>
      </c>
      <c r="CO257" s="561">
        <v>71.0</v>
      </c>
      <c r="CP257" s="561">
        <v>67.0</v>
      </c>
      <c r="CQ257" s="561">
        <v>75.0</v>
      </c>
      <c r="CR257" s="561">
        <v>81.0</v>
      </c>
      <c r="CS257" s="561">
        <v>78.0</v>
      </c>
      <c r="CT257" s="561">
        <v>151.0</v>
      </c>
      <c r="CU257" s="561">
        <v>109.0</v>
      </c>
      <c r="CV257" s="561">
        <v>115.0</v>
      </c>
      <c r="CW257" s="561">
        <v>140.0</v>
      </c>
      <c r="CX257" s="561">
        <v>62.0</v>
      </c>
      <c r="CY257" s="561">
        <v>114.0</v>
      </c>
      <c r="CZ257" s="561">
        <v>137.0</v>
      </c>
      <c r="DA257" s="561">
        <v>134.0</v>
      </c>
      <c r="DB257" s="561">
        <v>223.0</v>
      </c>
      <c r="DC257" s="561">
        <v>118.0</v>
      </c>
      <c r="DD257" s="561">
        <v>74.0</v>
      </c>
      <c r="DE257" s="561">
        <v>133.0</v>
      </c>
      <c r="DF257" s="561">
        <v>41.0</v>
      </c>
      <c r="DG257" s="561">
        <v>103.0</v>
      </c>
      <c r="DH257" s="561">
        <v>180.0</v>
      </c>
      <c r="DI257" s="561">
        <v>90.0</v>
      </c>
      <c r="DJ257" s="561">
        <v>89.0</v>
      </c>
      <c r="DK257" s="561">
        <v>101.0</v>
      </c>
      <c r="DL257" s="561">
        <v>104.0</v>
      </c>
      <c r="DM257" s="561">
        <v>114.0</v>
      </c>
      <c r="DN257" s="561">
        <v>97.0</v>
      </c>
      <c r="DO257" s="561">
        <v>98.0</v>
      </c>
      <c r="DP257" s="561">
        <v>106.0</v>
      </c>
      <c r="DQ257" s="561">
        <v>106.0</v>
      </c>
      <c r="DR257" s="314"/>
      <c r="DX257" s="530"/>
    </row>
    <row r="258" hidden="1">
      <c r="A258" s="521" t="s">
        <v>290</v>
      </c>
      <c r="B258" s="525"/>
      <c r="C258" s="525"/>
      <c r="D258" s="525"/>
      <c r="E258" s="525"/>
      <c r="F258" s="525"/>
      <c r="G258" s="525"/>
      <c r="H258" s="525"/>
      <c r="I258" s="525"/>
      <c r="J258" s="525"/>
      <c r="K258" s="525"/>
      <c r="L258" s="525"/>
      <c r="M258" s="525"/>
      <c r="N258" s="525"/>
      <c r="O258" s="525"/>
      <c r="P258" s="525"/>
      <c r="Q258" s="525"/>
      <c r="R258" s="525"/>
      <c r="S258" s="525"/>
      <c r="T258" s="525"/>
      <c r="U258" s="525"/>
      <c r="V258" s="525"/>
      <c r="W258" s="525"/>
      <c r="X258" s="525"/>
      <c r="Y258" s="525"/>
      <c r="Z258" s="525"/>
      <c r="AA258" s="525"/>
      <c r="AB258" s="525"/>
      <c r="AC258" s="525"/>
      <c r="AD258" s="525"/>
      <c r="AE258" s="525"/>
      <c r="AF258" s="525"/>
      <c r="AG258" s="525"/>
      <c r="AH258" s="525"/>
      <c r="AI258" s="525"/>
      <c r="AJ258" s="525"/>
      <c r="AK258" s="525"/>
      <c r="AL258" s="525"/>
      <c r="AM258" s="525"/>
      <c r="AN258" s="525"/>
      <c r="AO258" s="525"/>
      <c r="AP258" s="525"/>
      <c r="AQ258" s="525"/>
      <c r="AR258" s="525"/>
      <c r="AS258" s="525"/>
      <c r="AT258" s="525"/>
      <c r="AU258" s="525"/>
      <c r="AV258" s="525"/>
      <c r="AW258" s="525"/>
      <c r="AX258" s="525"/>
      <c r="AY258" s="525"/>
      <c r="AZ258" s="525"/>
      <c r="BA258" s="525"/>
      <c r="BB258" s="525"/>
      <c r="BC258" s="525"/>
      <c r="BD258" s="525"/>
      <c r="BE258" s="525"/>
      <c r="BF258" s="525"/>
      <c r="BG258" s="525"/>
      <c r="BH258" s="525"/>
      <c r="BI258" s="525"/>
      <c r="BJ258" s="525"/>
      <c r="BK258" s="512">
        <v>8.0</v>
      </c>
      <c r="BL258" s="512">
        <v>9.0</v>
      </c>
      <c r="BM258" s="512">
        <v>16.0</v>
      </c>
      <c r="BN258" s="512">
        <v>12.0</v>
      </c>
      <c r="BO258" s="512">
        <v>12.0</v>
      </c>
      <c r="BP258" s="512">
        <v>18.0</v>
      </c>
      <c r="BQ258" s="512">
        <v>20.0</v>
      </c>
      <c r="BR258" s="512">
        <v>6.0</v>
      </c>
      <c r="BS258" s="512">
        <v>18.0</v>
      </c>
      <c r="BT258" s="512">
        <v>20.0</v>
      </c>
      <c r="BU258" s="512">
        <v>24.0</v>
      </c>
      <c r="BV258" s="512">
        <v>14.0</v>
      </c>
      <c r="BW258" s="512">
        <v>32.0</v>
      </c>
      <c r="BX258" s="512">
        <v>25.0</v>
      </c>
      <c r="BY258" s="512">
        <v>22.0</v>
      </c>
      <c r="BZ258" s="512">
        <v>29.0</v>
      </c>
      <c r="CA258" s="512">
        <v>18.0</v>
      </c>
      <c r="CB258" s="512">
        <v>23.0</v>
      </c>
      <c r="CC258" s="512">
        <v>26.0</v>
      </c>
      <c r="CD258" s="512">
        <v>22.0</v>
      </c>
      <c r="CE258" s="512">
        <v>23.0</v>
      </c>
      <c r="CF258" s="512">
        <v>36.0</v>
      </c>
      <c r="CG258" s="512">
        <v>36.0</v>
      </c>
      <c r="CH258" s="512">
        <v>23.0</v>
      </c>
      <c r="CI258" s="512">
        <v>36.0</v>
      </c>
      <c r="CJ258" s="512">
        <v>37.0</v>
      </c>
      <c r="CK258" s="512">
        <v>20.0</v>
      </c>
      <c r="CL258" s="512">
        <v>36.0</v>
      </c>
      <c r="CM258" s="552">
        <f>SUM(BK258:CL258)/28</f>
        <v>22.17857143</v>
      </c>
      <c r="CN258" s="561">
        <v>41.0</v>
      </c>
      <c r="CO258" s="561">
        <v>29.0</v>
      </c>
      <c r="CP258" s="561">
        <v>29.0</v>
      </c>
      <c r="CQ258" s="561">
        <v>28.0</v>
      </c>
      <c r="CR258" s="561">
        <v>35.0</v>
      </c>
      <c r="CS258" s="561">
        <v>28.0</v>
      </c>
      <c r="CT258" s="561">
        <v>44.0</v>
      </c>
      <c r="CU258" s="561">
        <v>37.0</v>
      </c>
      <c r="CV258" s="561">
        <v>44.0</v>
      </c>
      <c r="CW258" s="561">
        <v>43.0</v>
      </c>
      <c r="CX258" s="561">
        <v>30.0</v>
      </c>
      <c r="CY258" s="561">
        <v>42.0</v>
      </c>
      <c r="CZ258" s="561">
        <v>39.0</v>
      </c>
      <c r="DA258" s="561">
        <v>41.0</v>
      </c>
      <c r="DB258" s="561">
        <v>53.0</v>
      </c>
      <c r="DC258" s="561">
        <v>41.0</v>
      </c>
      <c r="DD258" s="561">
        <v>36.0</v>
      </c>
      <c r="DE258" s="561">
        <v>45.0</v>
      </c>
      <c r="DF258" s="561">
        <v>21.0</v>
      </c>
      <c r="DG258" s="561">
        <v>34.0</v>
      </c>
      <c r="DH258" s="561">
        <v>62.0</v>
      </c>
      <c r="DI258" s="561">
        <v>48.0</v>
      </c>
      <c r="DJ258" s="561">
        <v>35.0</v>
      </c>
      <c r="DK258" s="561">
        <v>44.0</v>
      </c>
      <c r="DL258" s="561">
        <v>37.0</v>
      </c>
      <c r="DM258" s="561">
        <v>40.0</v>
      </c>
      <c r="DN258" s="561">
        <v>44.0</v>
      </c>
      <c r="DO258" s="561">
        <v>40.0</v>
      </c>
      <c r="DP258" s="561">
        <v>43.0</v>
      </c>
      <c r="DQ258" s="561"/>
      <c r="DR258" s="314"/>
      <c r="DX258" s="530"/>
    </row>
    <row r="259" hidden="1">
      <c r="A259" s="502" t="s">
        <v>291</v>
      </c>
      <c r="B259" s="525"/>
      <c r="C259" s="525"/>
      <c r="D259" s="525"/>
      <c r="E259" s="525"/>
      <c r="F259" s="525"/>
      <c r="G259" s="525"/>
      <c r="H259" s="525"/>
      <c r="I259" s="525"/>
      <c r="J259" s="525"/>
      <c r="K259" s="525"/>
      <c r="L259" s="525"/>
      <c r="M259" s="525"/>
      <c r="N259" s="525"/>
      <c r="O259" s="525"/>
      <c r="P259" s="525"/>
      <c r="Q259" s="525"/>
      <c r="R259" s="525"/>
      <c r="S259" s="525"/>
      <c r="T259" s="525"/>
      <c r="U259" s="525"/>
      <c r="V259" s="525"/>
      <c r="W259" s="525"/>
      <c r="X259" s="525"/>
      <c r="Y259" s="525"/>
      <c r="Z259" s="525"/>
      <c r="AA259" s="525"/>
      <c r="AB259" s="525"/>
      <c r="AC259" s="525"/>
      <c r="AD259" s="525"/>
      <c r="AE259" s="525"/>
      <c r="AF259" s="525"/>
      <c r="AG259" s="525"/>
      <c r="AH259" s="525"/>
      <c r="AI259" s="525"/>
      <c r="AJ259" s="525"/>
      <c r="AK259" s="525"/>
      <c r="AL259" s="525"/>
      <c r="AM259" s="525"/>
      <c r="AN259" s="525"/>
      <c r="AO259" s="525"/>
      <c r="AP259" s="525"/>
      <c r="AQ259" s="525"/>
      <c r="AR259" s="525"/>
      <c r="AS259" s="525"/>
      <c r="AT259" s="525"/>
      <c r="AU259" s="525"/>
      <c r="AV259" s="525"/>
      <c r="AW259" s="525"/>
      <c r="AX259" s="525"/>
      <c r="AY259" s="525"/>
      <c r="AZ259" s="525"/>
      <c r="BA259" s="525"/>
      <c r="BB259" s="525"/>
      <c r="BC259" s="525"/>
      <c r="BD259" s="525"/>
      <c r="BE259" s="525"/>
      <c r="BF259" s="525"/>
      <c r="BG259" s="525"/>
      <c r="BH259" s="525"/>
      <c r="BI259" s="525"/>
      <c r="BJ259" s="525"/>
      <c r="BK259" s="529">
        <v>10.85</v>
      </c>
      <c r="BL259" s="529">
        <v>8.12</v>
      </c>
      <c r="BM259" s="529">
        <v>8.91</v>
      </c>
      <c r="BN259" s="529">
        <v>12.38</v>
      </c>
      <c r="BO259" s="529">
        <v>10.65</v>
      </c>
      <c r="BP259" s="529">
        <v>10.65</v>
      </c>
      <c r="BQ259" s="529">
        <v>11.69</v>
      </c>
      <c r="BR259" s="529">
        <v>13.24</v>
      </c>
      <c r="BS259" s="529">
        <v>20.49</v>
      </c>
      <c r="BT259" s="529">
        <v>9.99</v>
      </c>
      <c r="BU259" s="529">
        <v>18.07</v>
      </c>
      <c r="BV259" s="529">
        <v>2.6</v>
      </c>
      <c r="BW259" s="529">
        <v>15.52</v>
      </c>
      <c r="BX259" s="529">
        <v>-84.66</v>
      </c>
      <c r="BY259" s="529">
        <v>-0.49</v>
      </c>
      <c r="BZ259" s="529">
        <v>29.94</v>
      </c>
      <c r="CA259" s="529">
        <v>10.04</v>
      </c>
      <c r="CB259" s="529">
        <v>12.42</v>
      </c>
      <c r="CC259" s="529">
        <v>-21.42</v>
      </c>
      <c r="CD259" s="529">
        <v>18.39</v>
      </c>
      <c r="CE259" s="529">
        <v>14.56</v>
      </c>
      <c r="CF259" s="529">
        <v>-79.95</v>
      </c>
      <c r="CG259" s="529">
        <v>34.0</v>
      </c>
      <c r="CH259" s="529">
        <v>39.31</v>
      </c>
      <c r="CI259" s="529">
        <v>25.66</v>
      </c>
      <c r="CJ259" s="529">
        <v>-74.91</v>
      </c>
      <c r="CK259" s="529">
        <v>-183.09</v>
      </c>
      <c r="CL259" s="529">
        <v>-114.25</v>
      </c>
      <c r="CM259" s="529"/>
      <c r="CN259" s="537">
        <v>-205.15</v>
      </c>
      <c r="CO259" s="537">
        <v>36.96</v>
      </c>
      <c r="CP259" s="537">
        <v>49.88</v>
      </c>
      <c r="CQ259" s="537">
        <v>39.97</v>
      </c>
      <c r="CR259" s="537">
        <v>44.09</v>
      </c>
      <c r="CS259" s="537">
        <v>69.12</v>
      </c>
      <c r="CT259" s="537">
        <v>65.16</v>
      </c>
      <c r="CU259" s="537">
        <v>-80.2</v>
      </c>
      <c r="CV259" s="512">
        <v>-122.32</v>
      </c>
      <c r="CW259" s="537">
        <v>71.93</v>
      </c>
      <c r="CX259" s="537">
        <v>35.86</v>
      </c>
      <c r="CY259" s="537">
        <v>65.2</v>
      </c>
      <c r="CZ259" s="537">
        <v>57.11</v>
      </c>
      <c r="DA259" s="537">
        <v>55.19</v>
      </c>
      <c r="DB259" s="537">
        <v>26.85</v>
      </c>
      <c r="DC259" s="537">
        <v>-137.85</v>
      </c>
      <c r="DD259" s="537">
        <v>48.85</v>
      </c>
      <c r="DE259" s="537">
        <v>24.91</v>
      </c>
      <c r="DF259" s="537">
        <v>39.02</v>
      </c>
      <c r="DG259" s="537">
        <v>87.74</v>
      </c>
      <c r="DH259" s="537">
        <v>35.9</v>
      </c>
      <c r="DI259" s="537">
        <v>65.55</v>
      </c>
      <c r="DJ259" s="537">
        <v>25.37</v>
      </c>
      <c r="DK259" s="537">
        <v>63.74</v>
      </c>
      <c r="DL259" s="537">
        <v>45.98</v>
      </c>
      <c r="DM259" s="537">
        <v>49.31</v>
      </c>
      <c r="DN259" s="537">
        <v>-92.33</v>
      </c>
      <c r="DO259" s="537">
        <v>24.34</v>
      </c>
      <c r="DP259" s="537">
        <v>44.92</v>
      </c>
      <c r="DQ259" s="537">
        <v>53.22</v>
      </c>
      <c r="DR259" s="537"/>
      <c r="DX259" s="530"/>
    </row>
    <row r="260" hidden="1">
      <c r="A260" s="531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X260" s="530"/>
    </row>
    <row r="261" hidden="1">
      <c r="A261" s="531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5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X261" s="530"/>
    </row>
    <row r="262" hidden="1">
      <c r="A262" s="500" t="s">
        <v>49</v>
      </c>
      <c r="CN262" s="105" t="s">
        <v>346</v>
      </c>
      <c r="CO262" s="105" t="s">
        <v>367</v>
      </c>
      <c r="CP262" s="105" t="s">
        <v>355</v>
      </c>
      <c r="CQ262" s="105" t="s">
        <v>346</v>
      </c>
      <c r="CR262" s="105" t="s">
        <v>346</v>
      </c>
      <c r="CS262" s="105" t="s">
        <v>355</v>
      </c>
      <c r="CT262" s="105" t="s">
        <v>355</v>
      </c>
      <c r="CU262" s="105" t="s">
        <v>346</v>
      </c>
      <c r="CV262" s="105" t="s">
        <v>346</v>
      </c>
      <c r="CW262" s="105" t="s">
        <v>355</v>
      </c>
      <c r="CX262" s="105" t="s">
        <v>355</v>
      </c>
      <c r="CY262" s="105" t="s">
        <v>346</v>
      </c>
      <c r="CZ262" s="105" t="s">
        <v>346</v>
      </c>
      <c r="DA262" s="105" t="s">
        <v>355</v>
      </c>
      <c r="DB262" s="105" t="s">
        <v>355</v>
      </c>
      <c r="DC262" s="105" t="s">
        <v>346</v>
      </c>
      <c r="DD262" s="105" t="s">
        <v>346</v>
      </c>
      <c r="DE262" s="105" t="s">
        <v>355</v>
      </c>
      <c r="DF262" s="105" t="s">
        <v>355</v>
      </c>
      <c r="DG262" s="105" t="s">
        <v>346</v>
      </c>
      <c r="DH262" s="105" t="s">
        <v>346</v>
      </c>
      <c r="DI262" s="105" t="s">
        <v>355</v>
      </c>
      <c r="DJ262" s="105" t="s">
        <v>355</v>
      </c>
      <c r="DK262" s="105" t="s">
        <v>346</v>
      </c>
      <c r="DL262" s="105" t="s">
        <v>346</v>
      </c>
      <c r="DM262" s="105" t="s">
        <v>355</v>
      </c>
      <c r="DN262" s="105" t="s">
        <v>368</v>
      </c>
      <c r="DO262" s="105" t="s">
        <v>346</v>
      </c>
      <c r="DP262" s="105" t="s">
        <v>346</v>
      </c>
      <c r="DQ262" s="105" t="s">
        <v>355</v>
      </c>
      <c r="DR262" s="105"/>
      <c r="DX262" s="530"/>
    </row>
    <row r="263" hidden="1">
      <c r="A263" s="502" t="s">
        <v>288</v>
      </c>
      <c r="CN263" s="541">
        <v>45901.0</v>
      </c>
      <c r="CO263" s="541">
        <v>45902.0</v>
      </c>
      <c r="CP263" s="541">
        <v>45903.0</v>
      </c>
      <c r="CQ263" s="541">
        <v>45904.0</v>
      </c>
      <c r="CR263" s="541">
        <v>45905.0</v>
      </c>
      <c r="CS263" s="541">
        <v>45906.0</v>
      </c>
      <c r="CT263" s="541">
        <v>45907.0</v>
      </c>
      <c r="CU263" s="541">
        <v>45908.0</v>
      </c>
      <c r="CV263" s="541">
        <v>45909.0</v>
      </c>
      <c r="CW263" s="541">
        <v>45910.0</v>
      </c>
      <c r="CX263" s="541">
        <v>45911.0</v>
      </c>
      <c r="CY263" s="541">
        <v>45912.0</v>
      </c>
      <c r="CZ263" s="541">
        <v>45913.0</v>
      </c>
      <c r="DA263" s="541">
        <v>45914.0</v>
      </c>
      <c r="DB263" s="541">
        <v>45915.0</v>
      </c>
      <c r="DC263" s="541">
        <v>45916.0</v>
      </c>
      <c r="DD263" s="541">
        <v>45917.0</v>
      </c>
      <c r="DE263" s="541">
        <v>45918.0</v>
      </c>
      <c r="DF263" s="541">
        <v>45919.0</v>
      </c>
      <c r="DG263" s="541">
        <v>45920.0</v>
      </c>
      <c r="DH263" s="541">
        <v>45921.0</v>
      </c>
      <c r="DI263" s="541">
        <v>45922.0</v>
      </c>
      <c r="DJ263" s="541">
        <v>45923.0</v>
      </c>
      <c r="DK263" s="541">
        <v>45924.0</v>
      </c>
      <c r="DL263" s="541">
        <v>45925.0</v>
      </c>
      <c r="DM263" s="541">
        <v>45926.0</v>
      </c>
      <c r="DN263" s="541">
        <v>45927.0</v>
      </c>
      <c r="DO263" s="541">
        <v>45928.0</v>
      </c>
      <c r="DP263" s="541">
        <v>45929.0</v>
      </c>
      <c r="DQ263" s="541">
        <v>45930.0</v>
      </c>
      <c r="DR263" s="512"/>
      <c r="DX263" s="530"/>
    </row>
    <row r="264" hidden="1">
      <c r="A264" s="502" t="s">
        <v>289</v>
      </c>
      <c r="CN264" s="561">
        <v>101.0</v>
      </c>
      <c r="CO264" s="561">
        <v>114.0</v>
      </c>
      <c r="CP264" s="561">
        <v>168.0</v>
      </c>
      <c r="CQ264" s="561">
        <v>81.0</v>
      </c>
      <c r="CR264" s="561">
        <v>113.0</v>
      </c>
      <c r="CS264" s="561">
        <v>208.0</v>
      </c>
      <c r="CT264" s="561">
        <v>174.0</v>
      </c>
      <c r="CU264" s="561">
        <v>96.0</v>
      </c>
      <c r="CV264" s="561">
        <v>205.0</v>
      </c>
      <c r="CW264" s="561">
        <v>179.0</v>
      </c>
      <c r="CX264" s="561">
        <v>120.0</v>
      </c>
      <c r="CY264" s="561">
        <v>161.0</v>
      </c>
      <c r="CZ264" s="561">
        <v>149.0</v>
      </c>
      <c r="DA264" s="561">
        <v>120.0</v>
      </c>
      <c r="DB264" s="561">
        <v>143.0</v>
      </c>
      <c r="DC264" s="561">
        <v>141.0</v>
      </c>
      <c r="DD264" s="561">
        <v>93.0</v>
      </c>
      <c r="DE264" s="561">
        <v>107.0</v>
      </c>
      <c r="DF264" s="561">
        <v>131.0</v>
      </c>
      <c r="DG264" s="561">
        <v>98.0</v>
      </c>
      <c r="DH264" s="561">
        <v>182.0</v>
      </c>
      <c r="DI264" s="561">
        <v>208.0</v>
      </c>
      <c r="DJ264" s="561">
        <v>136.0</v>
      </c>
      <c r="DK264" s="561">
        <v>131.0</v>
      </c>
      <c r="DL264" s="561">
        <v>198.0</v>
      </c>
      <c r="DM264" s="561">
        <v>97.0</v>
      </c>
      <c r="DN264" s="561">
        <v>139.0</v>
      </c>
      <c r="DO264" s="561">
        <v>127.0</v>
      </c>
      <c r="DP264" s="561">
        <v>106.0</v>
      </c>
      <c r="DQ264" s="561">
        <v>191.0</v>
      </c>
      <c r="DR264" s="314"/>
      <c r="DX264" s="530"/>
    </row>
    <row r="265" hidden="1">
      <c r="A265" s="521" t="s">
        <v>290</v>
      </c>
      <c r="CN265" s="561">
        <v>42.0</v>
      </c>
      <c r="CO265" s="561">
        <v>39.0</v>
      </c>
      <c r="CP265" s="561">
        <v>50.0</v>
      </c>
      <c r="CQ265" s="561">
        <v>38.0</v>
      </c>
      <c r="CR265" s="561">
        <v>43.0</v>
      </c>
      <c r="CS265" s="561">
        <v>59.0</v>
      </c>
      <c r="CT265" s="561">
        <v>57.0</v>
      </c>
      <c r="CU265" s="561">
        <v>32.0</v>
      </c>
      <c r="CV265" s="561">
        <v>68.0</v>
      </c>
      <c r="CW265" s="561">
        <v>65.0</v>
      </c>
      <c r="CX265" s="561">
        <v>54.0</v>
      </c>
      <c r="CY265" s="561">
        <v>55.0</v>
      </c>
      <c r="CZ265" s="561">
        <v>40.0</v>
      </c>
      <c r="DA265" s="561">
        <v>40.0</v>
      </c>
      <c r="DB265" s="561">
        <v>58.0</v>
      </c>
      <c r="DC265" s="561">
        <v>50.0</v>
      </c>
      <c r="DD265" s="561">
        <v>44.0</v>
      </c>
      <c r="DE265" s="561">
        <v>43.0</v>
      </c>
      <c r="DF265" s="561">
        <v>46.0</v>
      </c>
      <c r="DG265" s="561">
        <v>41.0</v>
      </c>
      <c r="DH265" s="561">
        <v>56.0</v>
      </c>
      <c r="DI265" s="561">
        <v>66.0</v>
      </c>
      <c r="DJ265" s="561">
        <v>49.0</v>
      </c>
      <c r="DK265" s="561">
        <v>54.0</v>
      </c>
      <c r="DL265" s="561">
        <v>69.0</v>
      </c>
      <c r="DM265" s="561">
        <v>39.0</v>
      </c>
      <c r="DN265" s="105">
        <v>56.0</v>
      </c>
      <c r="DO265" s="561">
        <v>43.0</v>
      </c>
      <c r="DP265" s="561">
        <v>35.0</v>
      </c>
      <c r="DQ265" s="561">
        <v>61.0</v>
      </c>
      <c r="DR265" s="314"/>
      <c r="DX265" s="530"/>
    </row>
    <row r="266" hidden="1">
      <c r="A266" s="502" t="s">
        <v>291</v>
      </c>
      <c r="CN266" s="537">
        <v>71.81</v>
      </c>
      <c r="CO266" s="537">
        <v>44.29</v>
      </c>
      <c r="CP266" s="537">
        <v>78.88</v>
      </c>
      <c r="CQ266" s="537">
        <v>44.03</v>
      </c>
      <c r="CR266" s="537">
        <v>61.28</v>
      </c>
      <c r="CS266" s="537">
        <v>119.75</v>
      </c>
      <c r="CT266" s="537">
        <v>97.14</v>
      </c>
      <c r="CU266" s="537">
        <v>83.24</v>
      </c>
      <c r="CV266" s="512">
        <v>85.31</v>
      </c>
      <c r="CW266" s="537">
        <v>117.11</v>
      </c>
      <c r="CX266" s="537">
        <v>59.3</v>
      </c>
      <c r="CY266" s="537">
        <v>82.43</v>
      </c>
      <c r="CZ266" s="537">
        <v>70.98</v>
      </c>
      <c r="DA266" s="513">
        <v>90.02</v>
      </c>
      <c r="DB266" s="537">
        <v>40.11</v>
      </c>
      <c r="DC266" s="537">
        <v>58.71</v>
      </c>
      <c r="DD266" s="537">
        <v>50.08</v>
      </c>
      <c r="DE266" s="537">
        <v>49.41</v>
      </c>
      <c r="DF266" s="537">
        <v>96.95</v>
      </c>
      <c r="DG266" s="537">
        <v>135.62</v>
      </c>
      <c r="DH266" s="537">
        <v>88.35</v>
      </c>
      <c r="DI266" s="537">
        <v>75.53</v>
      </c>
      <c r="DJ266" s="537">
        <v>47.61</v>
      </c>
      <c r="DK266" s="537">
        <v>91.91</v>
      </c>
      <c r="DL266" s="537">
        <v>75.81</v>
      </c>
      <c r="DM266" s="537">
        <v>52.58</v>
      </c>
      <c r="DN266" s="537">
        <v>84.91</v>
      </c>
      <c r="DO266" s="537">
        <v>88.44</v>
      </c>
      <c r="DP266" s="537">
        <v>46.08</v>
      </c>
      <c r="DQ266" s="537">
        <v>61.28</v>
      </c>
      <c r="DR266" s="537"/>
      <c r="DX266" s="530"/>
    </row>
    <row r="267" hidden="1">
      <c r="A267" s="531"/>
      <c r="DX267" s="530"/>
    </row>
    <row r="268">
      <c r="A268" s="551" t="s">
        <v>369</v>
      </c>
      <c r="DX268" s="530"/>
    </row>
    <row r="269" hidden="1">
      <c r="A269" s="500" t="s">
        <v>2</v>
      </c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  <c r="AT269" s="118"/>
      <c r="AU269" s="118"/>
      <c r="AV269" s="118"/>
      <c r="AW269" s="118"/>
      <c r="AX269" s="118"/>
      <c r="AY269" s="118"/>
      <c r="AZ269" s="118"/>
      <c r="BA269" s="118"/>
      <c r="BB269" s="118"/>
      <c r="BC269" s="118"/>
      <c r="BD269" s="118"/>
      <c r="BE269" s="118"/>
      <c r="BF269" s="118"/>
      <c r="BG269" s="118"/>
      <c r="BH269" s="118"/>
      <c r="BI269" s="118"/>
      <c r="BJ269" s="118"/>
      <c r="BK269" s="118"/>
      <c r="BL269" s="118"/>
      <c r="BM269" s="118"/>
      <c r="BN269" s="118"/>
      <c r="BO269" s="118"/>
      <c r="BP269" s="118"/>
      <c r="BQ269" s="118"/>
      <c r="BR269" s="118"/>
      <c r="BS269" s="118"/>
      <c r="BT269" s="118"/>
      <c r="BU269" s="118"/>
      <c r="BV269" s="118"/>
      <c r="BW269" s="118"/>
      <c r="BX269" s="118"/>
      <c r="BY269" s="118"/>
      <c r="BZ269" s="118"/>
      <c r="CA269" s="118"/>
      <c r="CB269" s="118"/>
      <c r="CC269" s="118"/>
      <c r="CD269" s="118"/>
      <c r="CE269" s="118"/>
      <c r="CF269" s="118"/>
      <c r="CG269" s="118"/>
      <c r="CH269" s="118"/>
      <c r="CI269" s="118"/>
      <c r="CJ269" s="118"/>
      <c r="CK269" s="118"/>
      <c r="CL269" s="118"/>
      <c r="CM269" s="118"/>
      <c r="CN269" s="546" t="s">
        <v>304</v>
      </c>
      <c r="CO269" s="546" t="s">
        <v>304</v>
      </c>
      <c r="CP269" s="546" t="s">
        <v>351</v>
      </c>
      <c r="CQ269" s="546" t="s">
        <v>351</v>
      </c>
      <c r="CR269" s="546" t="s">
        <v>304</v>
      </c>
      <c r="CS269" s="546" t="s">
        <v>304</v>
      </c>
      <c r="CT269" s="546" t="s">
        <v>353</v>
      </c>
      <c r="CU269" s="546" t="s">
        <v>370</v>
      </c>
      <c r="CV269" s="546" t="s">
        <v>371</v>
      </c>
      <c r="CW269" s="582" t="s">
        <v>304</v>
      </c>
      <c r="CX269" s="582" t="s">
        <v>360</v>
      </c>
      <c r="CY269" s="546" t="s">
        <v>360</v>
      </c>
      <c r="CZ269" s="546" t="s">
        <v>304</v>
      </c>
      <c r="DA269" s="546" t="s">
        <v>304</v>
      </c>
      <c r="DB269" s="546" t="s">
        <v>372</v>
      </c>
      <c r="DC269" s="546" t="s">
        <v>146</v>
      </c>
      <c r="DD269" s="546" t="s">
        <v>370</v>
      </c>
      <c r="DE269" s="546" t="s">
        <v>360</v>
      </c>
      <c r="DF269" s="546" t="s">
        <v>360</v>
      </c>
      <c r="DG269" s="581" t="s">
        <v>304</v>
      </c>
      <c r="DH269" s="581" t="s">
        <v>304</v>
      </c>
      <c r="DI269" s="546" t="s">
        <v>351</v>
      </c>
      <c r="DJ269" s="546" t="s">
        <v>351</v>
      </c>
      <c r="DK269" s="581" t="s">
        <v>304</v>
      </c>
      <c r="DL269" s="581" t="s">
        <v>304</v>
      </c>
      <c r="DM269" s="546" t="s">
        <v>351</v>
      </c>
      <c r="DN269" s="546" t="s">
        <v>351</v>
      </c>
      <c r="DO269" s="546" t="s">
        <v>154</v>
      </c>
      <c r="DP269" s="546" t="s">
        <v>351</v>
      </c>
      <c r="DQ269" s="581" t="s">
        <v>373</v>
      </c>
      <c r="DR269" s="581" t="s">
        <v>373</v>
      </c>
      <c r="DS269" s="520" t="s">
        <v>374</v>
      </c>
      <c r="DT269" s="574">
        <f>DD273</f>
        <v>65.16</v>
      </c>
      <c r="DU269" s="520">
        <v>100.0</v>
      </c>
      <c r="DW269" s="574">
        <f>SUM(CN272:DR272)</f>
        <v>1710</v>
      </c>
      <c r="DX269" s="530"/>
    </row>
    <row r="270" hidden="1">
      <c r="A270" s="502" t="s">
        <v>288</v>
      </c>
      <c r="B270" s="525"/>
      <c r="C270" s="525"/>
      <c r="D270" s="525"/>
      <c r="E270" s="525"/>
      <c r="F270" s="525"/>
      <c r="G270" s="525"/>
      <c r="H270" s="525"/>
      <c r="I270" s="525"/>
      <c r="J270" s="525"/>
      <c r="K270" s="525"/>
      <c r="L270" s="525"/>
      <c r="M270" s="525"/>
      <c r="N270" s="525"/>
      <c r="O270" s="525"/>
      <c r="P270" s="525"/>
      <c r="Q270" s="525"/>
      <c r="R270" s="525"/>
      <c r="S270" s="525"/>
      <c r="T270" s="525"/>
      <c r="U270" s="525"/>
      <c r="V270" s="525"/>
      <c r="W270" s="525"/>
      <c r="X270" s="525"/>
      <c r="Y270" s="525"/>
      <c r="Z270" s="525"/>
      <c r="AA270" s="525"/>
      <c r="AB270" s="525"/>
      <c r="AC270" s="525"/>
      <c r="AD270" s="525"/>
      <c r="AE270" s="525"/>
      <c r="AF270" s="525"/>
      <c r="AG270" s="525"/>
      <c r="AH270" s="525"/>
      <c r="AI270" s="525"/>
      <c r="AJ270" s="525"/>
      <c r="AK270" s="525"/>
      <c r="AL270" s="525"/>
      <c r="AM270" s="525"/>
      <c r="AN270" s="525"/>
      <c r="AO270" s="525"/>
      <c r="AP270" s="525"/>
      <c r="AQ270" s="525"/>
      <c r="AR270" s="525"/>
      <c r="AS270" s="525"/>
      <c r="AT270" s="525"/>
      <c r="AU270" s="525"/>
      <c r="AV270" s="525"/>
      <c r="AW270" s="525"/>
      <c r="AX270" s="525"/>
      <c r="AY270" s="525"/>
      <c r="AZ270" s="525"/>
      <c r="BA270" s="525"/>
      <c r="BB270" s="525"/>
      <c r="BC270" s="525"/>
      <c r="BD270" s="525"/>
      <c r="BE270" s="525"/>
      <c r="BF270" s="525"/>
      <c r="BG270" s="525"/>
      <c r="BH270" s="525"/>
      <c r="BI270" s="525"/>
      <c r="BJ270" s="525"/>
      <c r="BK270" s="541">
        <v>45689.0</v>
      </c>
      <c r="BL270" s="541">
        <v>45690.0</v>
      </c>
      <c r="BM270" s="541">
        <v>45691.0</v>
      </c>
      <c r="BN270" s="541">
        <v>45692.0</v>
      </c>
      <c r="BO270" s="541">
        <v>45693.0</v>
      </c>
      <c r="BP270" s="541">
        <v>45694.0</v>
      </c>
      <c r="BQ270" s="541">
        <v>45695.0</v>
      </c>
      <c r="BR270" s="541">
        <v>45696.0</v>
      </c>
      <c r="BS270" s="541">
        <v>45697.0</v>
      </c>
      <c r="BT270" s="541">
        <v>45698.0</v>
      </c>
      <c r="BU270" s="541">
        <v>45699.0</v>
      </c>
      <c r="BV270" s="541">
        <v>45700.0</v>
      </c>
      <c r="BW270" s="541">
        <v>45701.0</v>
      </c>
      <c r="BX270" s="541">
        <v>45702.0</v>
      </c>
      <c r="BY270" s="541">
        <v>45703.0</v>
      </c>
      <c r="BZ270" s="541">
        <v>45704.0</v>
      </c>
      <c r="CA270" s="541">
        <v>45705.0</v>
      </c>
      <c r="CB270" s="541">
        <v>45706.0</v>
      </c>
      <c r="CC270" s="541">
        <v>45707.0</v>
      </c>
      <c r="CD270" s="541">
        <v>45708.0</v>
      </c>
      <c r="CE270" s="541">
        <v>45709.0</v>
      </c>
      <c r="CF270" s="541">
        <v>45710.0</v>
      </c>
      <c r="CG270" s="541">
        <v>45711.0</v>
      </c>
      <c r="CH270" s="541">
        <v>45712.0</v>
      </c>
      <c r="CI270" s="541">
        <v>45713.0</v>
      </c>
      <c r="CJ270" s="541">
        <v>45714.0</v>
      </c>
      <c r="CK270" s="541">
        <v>45715.0</v>
      </c>
      <c r="CL270" s="541">
        <v>45716.0</v>
      </c>
      <c r="CM270" s="541"/>
      <c r="CN270" s="541">
        <v>45931.0</v>
      </c>
      <c r="CO270" s="541">
        <v>45932.0</v>
      </c>
      <c r="CP270" s="541">
        <v>45933.0</v>
      </c>
      <c r="CQ270" s="541">
        <v>45934.0</v>
      </c>
      <c r="CR270" s="541">
        <v>45935.0</v>
      </c>
      <c r="CS270" s="541">
        <v>45936.0</v>
      </c>
      <c r="CT270" s="541">
        <v>45937.0</v>
      </c>
      <c r="CU270" s="541">
        <v>45938.0</v>
      </c>
      <c r="CV270" s="541">
        <v>45939.0</v>
      </c>
      <c r="CW270" s="541">
        <v>45940.0</v>
      </c>
      <c r="CX270" s="541">
        <v>45941.0</v>
      </c>
      <c r="CY270" s="541">
        <v>45942.0</v>
      </c>
      <c r="CZ270" s="541">
        <v>45943.0</v>
      </c>
      <c r="DA270" s="541">
        <v>45944.0</v>
      </c>
      <c r="DB270" s="541">
        <v>45945.0</v>
      </c>
      <c r="DC270" s="541">
        <v>45946.0</v>
      </c>
      <c r="DD270" s="541">
        <v>45947.0</v>
      </c>
      <c r="DE270" s="541">
        <v>45948.0</v>
      </c>
      <c r="DF270" s="541">
        <v>45949.0</v>
      </c>
      <c r="DG270" s="541">
        <v>45950.0</v>
      </c>
      <c r="DH270" s="541">
        <v>45951.0</v>
      </c>
      <c r="DI270" s="541">
        <v>45952.0</v>
      </c>
      <c r="DJ270" s="541">
        <v>45953.0</v>
      </c>
      <c r="DK270" s="541">
        <v>45954.0</v>
      </c>
      <c r="DL270" s="541">
        <v>45955.0</v>
      </c>
      <c r="DM270" s="541">
        <v>45956.0</v>
      </c>
      <c r="DN270" s="541">
        <v>45957.0</v>
      </c>
      <c r="DO270" s="541">
        <v>45958.0</v>
      </c>
      <c r="DP270" s="541">
        <v>45959.0</v>
      </c>
      <c r="DQ270" s="541">
        <v>45960.0</v>
      </c>
      <c r="DR270" s="542">
        <v>45961.0</v>
      </c>
      <c r="DS270" s="520" t="s">
        <v>375</v>
      </c>
      <c r="DT270" s="574">
        <f>DF273+DE273</f>
        <v>-265.58</v>
      </c>
      <c r="DU270" s="574">
        <f>DF271+DE271</f>
        <v>0</v>
      </c>
      <c r="DX270" s="530"/>
    </row>
    <row r="271" hidden="1">
      <c r="A271" s="502" t="s">
        <v>289</v>
      </c>
      <c r="B271" s="525"/>
      <c r="C271" s="525"/>
      <c r="D271" s="525"/>
      <c r="E271" s="525"/>
      <c r="F271" s="525"/>
      <c r="G271" s="525"/>
      <c r="H271" s="525"/>
      <c r="I271" s="525"/>
      <c r="J271" s="525"/>
      <c r="K271" s="525"/>
      <c r="L271" s="525"/>
      <c r="M271" s="525"/>
      <c r="N271" s="525"/>
      <c r="O271" s="525"/>
      <c r="P271" s="525"/>
      <c r="Q271" s="525"/>
      <c r="R271" s="525"/>
      <c r="S271" s="525"/>
      <c r="T271" s="525"/>
      <c r="U271" s="525"/>
      <c r="V271" s="525"/>
      <c r="W271" s="525"/>
      <c r="X271" s="525"/>
      <c r="Y271" s="525"/>
      <c r="Z271" s="525"/>
      <c r="AA271" s="525"/>
      <c r="AB271" s="525"/>
      <c r="AC271" s="525"/>
      <c r="AD271" s="525"/>
      <c r="AE271" s="525"/>
      <c r="AF271" s="525"/>
      <c r="AG271" s="525"/>
      <c r="AH271" s="525"/>
      <c r="AI271" s="525"/>
      <c r="AJ271" s="525"/>
      <c r="AK271" s="525"/>
      <c r="AL271" s="525"/>
      <c r="AM271" s="525"/>
      <c r="AN271" s="525"/>
      <c r="AO271" s="525"/>
      <c r="AP271" s="525"/>
      <c r="AQ271" s="525"/>
      <c r="AR271" s="525"/>
      <c r="AS271" s="525"/>
      <c r="AT271" s="525"/>
      <c r="AU271" s="525"/>
      <c r="AV271" s="525"/>
      <c r="AW271" s="525"/>
      <c r="AX271" s="525"/>
      <c r="AY271" s="525"/>
      <c r="AZ271" s="525"/>
      <c r="BA271" s="525"/>
      <c r="BB271" s="525"/>
      <c r="BC271" s="525"/>
      <c r="BD271" s="525"/>
      <c r="BE271" s="525"/>
      <c r="BF271" s="525"/>
      <c r="BG271" s="525"/>
      <c r="BH271" s="525"/>
      <c r="BI271" s="525"/>
      <c r="BJ271" s="525"/>
      <c r="BK271" s="512">
        <v>67.0</v>
      </c>
      <c r="BL271" s="512">
        <v>133.0</v>
      </c>
      <c r="BM271" s="525"/>
      <c r="BN271" s="512">
        <v>100.0</v>
      </c>
      <c r="BO271" s="512">
        <v>130.0</v>
      </c>
      <c r="BP271" s="512">
        <v>162.0</v>
      </c>
      <c r="BQ271" s="512">
        <v>219.0</v>
      </c>
      <c r="BR271" s="512">
        <v>120.0</v>
      </c>
      <c r="BS271" s="512">
        <v>198.0</v>
      </c>
      <c r="BT271" s="512">
        <v>128.0</v>
      </c>
      <c r="BU271" s="512">
        <v>214.0</v>
      </c>
      <c r="BV271" s="512">
        <v>159.0</v>
      </c>
      <c r="BW271" s="512">
        <v>159.0</v>
      </c>
      <c r="BX271" s="512">
        <v>148.0</v>
      </c>
      <c r="BY271" s="512">
        <v>141.0</v>
      </c>
      <c r="BZ271" s="512">
        <v>125.0</v>
      </c>
      <c r="CA271" s="512">
        <v>160.0</v>
      </c>
      <c r="CB271" s="512">
        <v>188.0</v>
      </c>
      <c r="CC271" s="512">
        <v>189.0</v>
      </c>
      <c r="CD271" s="512">
        <v>177.0</v>
      </c>
      <c r="CE271" s="512">
        <v>175.0</v>
      </c>
      <c r="CF271" s="512">
        <v>172.0</v>
      </c>
      <c r="CG271" s="512">
        <v>204.0</v>
      </c>
      <c r="CH271" s="512">
        <v>198.0</v>
      </c>
      <c r="CI271" s="512">
        <v>163.0</v>
      </c>
      <c r="CJ271" s="512">
        <v>177.0</v>
      </c>
      <c r="CK271" s="512">
        <v>156.0</v>
      </c>
      <c r="CL271" s="512">
        <v>177.0</v>
      </c>
      <c r="CM271" s="512"/>
      <c r="CN271" s="561">
        <v>186.0</v>
      </c>
      <c r="CO271" s="561">
        <v>179.0</v>
      </c>
      <c r="CP271" s="561">
        <v>192.0</v>
      </c>
      <c r="CQ271" s="561">
        <v>187.0</v>
      </c>
      <c r="CR271" s="561">
        <v>189.0</v>
      </c>
      <c r="CS271" s="561">
        <v>186.0</v>
      </c>
      <c r="CT271" s="561">
        <v>200.0</v>
      </c>
      <c r="CU271" s="561">
        <v>177.0</v>
      </c>
      <c r="CV271" s="561">
        <v>201.0</v>
      </c>
      <c r="CW271" s="561"/>
      <c r="CX271" s="561"/>
      <c r="CY271" s="561"/>
      <c r="CZ271" s="561">
        <v>145.0</v>
      </c>
      <c r="DA271" s="561">
        <v>211.0</v>
      </c>
      <c r="DB271" s="561">
        <v>145.0</v>
      </c>
      <c r="DC271" s="561">
        <v>170.0</v>
      </c>
      <c r="DD271" s="561">
        <v>148.0</v>
      </c>
      <c r="DE271" s="561"/>
      <c r="DF271" s="561"/>
      <c r="DG271" s="561">
        <v>138.0</v>
      </c>
      <c r="DH271" s="561">
        <v>198.0</v>
      </c>
      <c r="DI271" s="561">
        <v>156.0</v>
      </c>
      <c r="DJ271" s="561">
        <v>165.0</v>
      </c>
      <c r="DK271" s="561">
        <v>195.0</v>
      </c>
      <c r="DL271" s="561">
        <v>140.0</v>
      </c>
      <c r="DM271" s="561">
        <v>175.0</v>
      </c>
      <c r="DN271" s="561">
        <v>191.0</v>
      </c>
      <c r="DO271" s="561">
        <v>130.0</v>
      </c>
      <c r="DP271" s="561">
        <v>178.0</v>
      </c>
      <c r="DQ271" s="561">
        <v>167.0</v>
      </c>
      <c r="DR271" s="561">
        <v>156.0</v>
      </c>
      <c r="DS271" s="520" t="s">
        <v>376</v>
      </c>
      <c r="DT271" s="574">
        <f>DC273</f>
        <v>91.33</v>
      </c>
      <c r="DU271" s="520">
        <v>100.0</v>
      </c>
      <c r="DX271" s="530"/>
    </row>
    <row r="272" hidden="1">
      <c r="A272" s="521" t="s">
        <v>290</v>
      </c>
      <c r="B272" s="525"/>
      <c r="C272" s="525"/>
      <c r="D272" s="525"/>
      <c r="E272" s="525"/>
      <c r="F272" s="525"/>
      <c r="G272" s="525"/>
      <c r="H272" s="525"/>
      <c r="I272" s="525"/>
      <c r="J272" s="525"/>
      <c r="K272" s="525"/>
      <c r="L272" s="525"/>
      <c r="M272" s="525"/>
      <c r="N272" s="525"/>
      <c r="O272" s="525"/>
      <c r="P272" s="525"/>
      <c r="Q272" s="525"/>
      <c r="R272" s="525"/>
      <c r="S272" s="525"/>
      <c r="T272" s="525"/>
      <c r="U272" s="525"/>
      <c r="V272" s="525"/>
      <c r="W272" s="525"/>
      <c r="X272" s="525"/>
      <c r="Y272" s="525"/>
      <c r="Z272" s="525"/>
      <c r="AA272" s="525"/>
      <c r="AB272" s="525"/>
      <c r="AC272" s="525"/>
      <c r="AD272" s="525"/>
      <c r="AE272" s="525"/>
      <c r="AF272" s="525"/>
      <c r="AG272" s="525"/>
      <c r="AH272" s="525"/>
      <c r="AI272" s="525"/>
      <c r="AJ272" s="525"/>
      <c r="AK272" s="525"/>
      <c r="AL272" s="525"/>
      <c r="AM272" s="525"/>
      <c r="AN272" s="525"/>
      <c r="AO272" s="525"/>
      <c r="AP272" s="525"/>
      <c r="AQ272" s="525"/>
      <c r="AR272" s="525"/>
      <c r="AS272" s="525"/>
      <c r="AT272" s="525"/>
      <c r="AU272" s="525"/>
      <c r="AV272" s="525"/>
      <c r="AW272" s="525"/>
      <c r="AX272" s="525"/>
      <c r="AY272" s="525"/>
      <c r="AZ272" s="525"/>
      <c r="BA272" s="525"/>
      <c r="BB272" s="525"/>
      <c r="BC272" s="525"/>
      <c r="BD272" s="525"/>
      <c r="BE272" s="525"/>
      <c r="BF272" s="525"/>
      <c r="BG272" s="525"/>
      <c r="BH272" s="525"/>
      <c r="BI272" s="525"/>
      <c r="BJ272" s="525"/>
      <c r="BK272" s="512">
        <v>36.0</v>
      </c>
      <c r="BL272" s="512">
        <v>53.0</v>
      </c>
      <c r="BM272" s="525"/>
      <c r="BN272" s="512">
        <v>40.0</v>
      </c>
      <c r="BO272" s="512">
        <v>50.0</v>
      </c>
      <c r="BP272" s="512">
        <v>56.0</v>
      </c>
      <c r="BQ272" s="512">
        <v>70.0</v>
      </c>
      <c r="BR272" s="512">
        <v>51.0</v>
      </c>
      <c r="BS272" s="512">
        <v>63.0</v>
      </c>
      <c r="BT272" s="512">
        <v>62.0</v>
      </c>
      <c r="BU272" s="512">
        <v>68.0</v>
      </c>
      <c r="BV272" s="512">
        <v>65.0</v>
      </c>
      <c r="BW272" s="512">
        <v>64.0</v>
      </c>
      <c r="BX272" s="512">
        <v>64.0</v>
      </c>
      <c r="BY272" s="512">
        <v>67.0</v>
      </c>
      <c r="BZ272" s="512">
        <v>56.0</v>
      </c>
      <c r="CA272" s="512">
        <v>65.0</v>
      </c>
      <c r="CB272" s="512">
        <v>68.0</v>
      </c>
      <c r="CC272" s="512">
        <v>72.0</v>
      </c>
      <c r="CD272" s="512">
        <v>67.0</v>
      </c>
      <c r="CE272" s="512">
        <v>72.0</v>
      </c>
      <c r="CF272" s="512">
        <v>72.0</v>
      </c>
      <c r="CG272" s="512">
        <v>81.0</v>
      </c>
      <c r="CH272" s="512">
        <v>81.0</v>
      </c>
      <c r="CI272" s="512">
        <v>67.0</v>
      </c>
      <c r="CJ272" s="512">
        <v>64.0</v>
      </c>
      <c r="CK272" s="512">
        <v>66.0</v>
      </c>
      <c r="CL272" s="512">
        <v>58.0</v>
      </c>
      <c r="CM272" s="552">
        <f>SUM(BK272:CL272)/28</f>
        <v>60.64285714</v>
      </c>
      <c r="CN272" s="561">
        <v>66.0</v>
      </c>
      <c r="CO272" s="561">
        <v>71.0</v>
      </c>
      <c r="CP272" s="561">
        <v>67.0</v>
      </c>
      <c r="CQ272" s="561">
        <v>67.0</v>
      </c>
      <c r="CR272" s="561">
        <v>70.0</v>
      </c>
      <c r="CS272" s="561">
        <v>65.0</v>
      </c>
      <c r="CT272" s="561">
        <v>79.0</v>
      </c>
      <c r="CU272" s="561">
        <v>67.0</v>
      </c>
      <c r="CV272" s="561"/>
      <c r="CW272" s="561"/>
      <c r="CX272" s="561"/>
      <c r="CY272" s="561"/>
      <c r="CZ272" s="561">
        <v>56.0</v>
      </c>
      <c r="DA272" s="561">
        <v>77.0</v>
      </c>
      <c r="DB272" s="561">
        <v>60.0</v>
      </c>
      <c r="DC272" s="561">
        <v>78.0</v>
      </c>
      <c r="DD272" s="561">
        <v>61.0</v>
      </c>
      <c r="DE272" s="561"/>
      <c r="DF272" s="561"/>
      <c r="DG272" s="561">
        <v>68.0</v>
      </c>
      <c r="DH272" s="561">
        <v>78.0</v>
      </c>
      <c r="DI272" s="561">
        <v>66.0</v>
      </c>
      <c r="DJ272" s="561">
        <v>69.0</v>
      </c>
      <c r="DK272" s="561">
        <v>74.0</v>
      </c>
      <c r="DL272" s="561">
        <v>55.0</v>
      </c>
      <c r="DM272" s="561">
        <v>83.0</v>
      </c>
      <c r="DN272" s="561">
        <v>84.0</v>
      </c>
      <c r="DO272" s="561">
        <v>58.0</v>
      </c>
      <c r="DP272" s="561">
        <v>66.0</v>
      </c>
      <c r="DQ272" s="561">
        <v>64.0</v>
      </c>
      <c r="DR272" s="561">
        <v>61.0</v>
      </c>
      <c r="DS272" s="520" t="s">
        <v>377</v>
      </c>
      <c r="DT272" s="574">
        <f>0</f>
        <v>0</v>
      </c>
      <c r="DU272" s="520">
        <v>100.0</v>
      </c>
      <c r="DX272" s="530"/>
    </row>
    <row r="273" hidden="1">
      <c r="A273" s="553" t="s">
        <v>291</v>
      </c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  <c r="AI273" s="529"/>
      <c r="AJ273" s="529"/>
      <c r="AK273" s="529"/>
      <c r="AL273" s="529"/>
      <c r="AM273" s="529"/>
      <c r="AN273" s="529"/>
      <c r="AO273" s="529"/>
      <c r="AP273" s="529"/>
      <c r="AQ273" s="529"/>
      <c r="AR273" s="529"/>
      <c r="AS273" s="529"/>
      <c r="AT273" s="529"/>
      <c r="AU273" s="529"/>
      <c r="AV273" s="529"/>
      <c r="AW273" s="529"/>
      <c r="AX273" s="529"/>
      <c r="AY273" s="529"/>
      <c r="AZ273" s="529"/>
      <c r="BA273" s="529"/>
      <c r="BB273" s="529"/>
      <c r="BC273" s="529"/>
      <c r="BD273" s="529"/>
      <c r="BE273" s="529"/>
      <c r="BF273" s="529"/>
      <c r="BG273" s="529"/>
      <c r="BH273" s="529"/>
      <c r="BI273" s="529"/>
      <c r="BJ273" s="529"/>
      <c r="BK273" s="529">
        <v>22.22</v>
      </c>
      <c r="BL273" s="529">
        <v>34.11</v>
      </c>
      <c r="BM273" s="529">
        <v>-190.84</v>
      </c>
      <c r="BN273" s="529">
        <v>38.2</v>
      </c>
      <c r="BO273" s="529">
        <v>33.08</v>
      </c>
      <c r="BP273" s="529">
        <v>48.91</v>
      </c>
      <c r="BQ273" s="529">
        <v>44.55</v>
      </c>
      <c r="BR273" s="529">
        <v>30.32</v>
      </c>
      <c r="BS273" s="529">
        <v>-78.02</v>
      </c>
      <c r="BT273" s="529">
        <v>49.19</v>
      </c>
      <c r="BU273" s="529">
        <v>51.41</v>
      </c>
      <c r="BV273" s="529">
        <v>53.58</v>
      </c>
      <c r="BW273" s="529">
        <v>51.03</v>
      </c>
      <c r="BX273" s="529">
        <v>39.79</v>
      </c>
      <c r="BY273" s="529">
        <v>43.96</v>
      </c>
      <c r="BZ273" s="529">
        <v>43.84</v>
      </c>
      <c r="CA273" s="550">
        <v>45.98</v>
      </c>
      <c r="CB273" s="550">
        <v>40.67</v>
      </c>
      <c r="CC273" s="550">
        <v>47.82</v>
      </c>
      <c r="CD273" s="550">
        <v>63.99</v>
      </c>
      <c r="CE273" s="550">
        <v>-209.27</v>
      </c>
      <c r="CF273" s="550">
        <v>73.03</v>
      </c>
      <c r="CG273" s="550">
        <v>65.24</v>
      </c>
      <c r="CH273" s="550">
        <v>-52.31</v>
      </c>
      <c r="CI273" s="550">
        <v>55.56</v>
      </c>
      <c r="CJ273" s="550">
        <v>37.49</v>
      </c>
      <c r="CK273" s="550">
        <v>42.2</v>
      </c>
      <c r="CL273" s="537">
        <v>57.35</v>
      </c>
      <c r="CM273" s="554"/>
      <c r="CN273" s="537">
        <v>67.88</v>
      </c>
      <c r="CO273" s="537">
        <v>78.92</v>
      </c>
      <c r="CP273" s="537">
        <v>68.35</v>
      </c>
      <c r="CQ273" s="537">
        <v>99.95</v>
      </c>
      <c r="CR273" s="537">
        <v>-67.36</v>
      </c>
      <c r="CS273" s="537">
        <v>85.14</v>
      </c>
      <c r="CT273" s="537">
        <v>76.7</v>
      </c>
      <c r="CU273" s="537">
        <v>59.75</v>
      </c>
      <c r="CV273" s="512">
        <v>-356.23</v>
      </c>
      <c r="CW273" s="537">
        <v>53.44</v>
      </c>
      <c r="CX273" s="537">
        <v>84.3</v>
      </c>
      <c r="CY273" s="537">
        <v>43.52</v>
      </c>
      <c r="CZ273" s="537">
        <v>83.8</v>
      </c>
      <c r="DA273" s="537">
        <v>64.36</v>
      </c>
      <c r="DB273" s="537">
        <v>40.96</v>
      </c>
      <c r="DC273" s="537">
        <v>91.33</v>
      </c>
      <c r="DD273" s="537">
        <v>65.16</v>
      </c>
      <c r="DE273" s="537">
        <v>-319.97</v>
      </c>
      <c r="DF273" s="537">
        <v>54.39</v>
      </c>
      <c r="DG273" s="537">
        <v>62.8</v>
      </c>
      <c r="DH273" s="537">
        <v>58.94</v>
      </c>
      <c r="DI273" s="537">
        <v>49.29</v>
      </c>
      <c r="DJ273" s="537">
        <v>79.84</v>
      </c>
      <c r="DK273" s="537">
        <v>76.7</v>
      </c>
      <c r="DL273" s="537">
        <v>54.9</v>
      </c>
      <c r="DM273" s="537">
        <v>71.77</v>
      </c>
      <c r="DN273" s="537">
        <v>49.85</v>
      </c>
      <c r="DP273" s="537">
        <v>47.44</v>
      </c>
      <c r="DQ273" s="537">
        <v>44.65</v>
      </c>
      <c r="DR273" s="537">
        <v>82.46</v>
      </c>
      <c r="DX273" s="530"/>
    </row>
    <row r="274" hidden="1">
      <c r="A274" s="531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  <c r="AT274" s="118"/>
      <c r="AU274" s="118"/>
      <c r="AV274" s="118"/>
      <c r="AW274" s="118"/>
      <c r="AX274" s="118"/>
      <c r="AY274" s="118"/>
      <c r="AZ274" s="118"/>
      <c r="BA274" s="118"/>
      <c r="BB274" s="118"/>
      <c r="BC274" s="118"/>
      <c r="BD274" s="118"/>
      <c r="BE274" s="118"/>
      <c r="BF274" s="118"/>
      <c r="BG274" s="118"/>
      <c r="BH274" s="118"/>
      <c r="BI274" s="118"/>
      <c r="BJ274" s="118"/>
      <c r="BK274" s="118"/>
      <c r="BL274" s="118"/>
      <c r="BM274" s="118"/>
      <c r="BN274" s="118"/>
      <c r="BO274" s="118"/>
      <c r="BP274" s="118"/>
      <c r="BQ274" s="118"/>
      <c r="BR274" s="118"/>
      <c r="BS274" s="118"/>
      <c r="BT274" s="118"/>
      <c r="BU274" s="118"/>
      <c r="BV274" s="118"/>
      <c r="BW274" s="118"/>
      <c r="BX274" s="118"/>
      <c r="BY274" s="118"/>
      <c r="BZ274" s="118"/>
      <c r="CA274" s="118"/>
      <c r="CB274" s="118"/>
      <c r="CC274" s="118"/>
      <c r="CD274" s="118"/>
      <c r="CE274" s="118"/>
      <c r="CF274" s="118"/>
      <c r="CG274" s="118"/>
      <c r="CH274" s="118"/>
      <c r="CI274" s="118"/>
      <c r="CJ274" s="118"/>
      <c r="CK274" s="118"/>
      <c r="CL274" s="118"/>
      <c r="CM274" s="499"/>
      <c r="CN274" s="118"/>
      <c r="CO274" s="546"/>
      <c r="CP274" s="118"/>
      <c r="CQ274" s="118"/>
      <c r="CR274" s="546"/>
      <c r="CS274" s="118"/>
      <c r="CT274" s="118"/>
      <c r="CU274" s="546"/>
      <c r="CV274" s="118"/>
      <c r="CW274" s="118"/>
      <c r="CX274" s="118"/>
      <c r="CY274" s="118"/>
      <c r="CZ274" s="118"/>
      <c r="DA274" s="118"/>
      <c r="DB274" s="118"/>
      <c r="DC274" s="118"/>
      <c r="DD274" s="118"/>
      <c r="DE274" s="118"/>
      <c r="DF274" s="118"/>
      <c r="DG274" s="118"/>
      <c r="DH274" s="118"/>
      <c r="DI274" s="118"/>
      <c r="DJ274" s="118"/>
      <c r="DK274" s="118"/>
      <c r="DL274" s="118"/>
      <c r="DM274" s="118"/>
      <c r="DN274" s="118"/>
      <c r="DO274" s="537">
        <v>-689.58</v>
      </c>
      <c r="DP274" s="118"/>
      <c r="DQ274" s="118"/>
      <c r="DR274" s="118"/>
    </row>
    <row r="275" hidden="1">
      <c r="A275" s="531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  <c r="AT275" s="118"/>
      <c r="AU275" s="118"/>
      <c r="AV275" s="118"/>
      <c r="AW275" s="118"/>
      <c r="AX275" s="118"/>
      <c r="AY275" s="118"/>
      <c r="AZ275" s="118"/>
      <c r="BA275" s="118"/>
      <c r="BB275" s="118"/>
      <c r="BC275" s="118"/>
      <c r="BD275" s="118"/>
      <c r="BE275" s="118"/>
      <c r="BF275" s="118"/>
      <c r="BG275" s="118"/>
      <c r="BH275" s="118"/>
      <c r="BI275" s="118"/>
      <c r="BJ275" s="118"/>
      <c r="BK275" s="118"/>
      <c r="BL275" s="118"/>
      <c r="BM275" s="118"/>
      <c r="BN275" s="118"/>
      <c r="BO275" s="118"/>
      <c r="BP275" s="118"/>
      <c r="BQ275" s="118"/>
      <c r="BR275" s="118"/>
      <c r="BS275" s="118"/>
      <c r="BT275" s="118"/>
      <c r="BU275" s="118"/>
      <c r="BV275" s="118"/>
      <c r="BW275" s="118"/>
      <c r="BX275" s="118"/>
      <c r="BY275" s="118"/>
      <c r="BZ275" s="118"/>
      <c r="CA275" s="118"/>
      <c r="CB275" s="118"/>
      <c r="CC275" s="118"/>
      <c r="CD275" s="118"/>
      <c r="CE275" s="118"/>
      <c r="CF275" s="118"/>
      <c r="CG275" s="118"/>
      <c r="CH275" s="118"/>
      <c r="CI275" s="118"/>
      <c r="CJ275" s="118"/>
      <c r="CK275" s="118"/>
      <c r="CL275" s="118"/>
      <c r="CM275" s="499"/>
      <c r="CN275" s="118"/>
      <c r="CO275" s="118"/>
      <c r="CP275" s="118"/>
      <c r="CQ275" s="118"/>
      <c r="CR275" s="118"/>
      <c r="CS275" s="118"/>
      <c r="CT275" s="118"/>
      <c r="CU275" s="118"/>
      <c r="CV275" s="118"/>
      <c r="CW275" s="118"/>
      <c r="CX275" s="118"/>
      <c r="CY275" s="118"/>
      <c r="CZ275" s="118"/>
      <c r="DA275" s="118"/>
      <c r="DB275" s="118"/>
      <c r="DC275" s="118"/>
      <c r="DD275" s="118"/>
      <c r="DE275" s="118"/>
      <c r="DF275" s="118"/>
      <c r="DG275" s="118"/>
      <c r="DH275" s="118"/>
      <c r="DI275" s="118"/>
      <c r="DJ275" s="118"/>
      <c r="DK275" s="118"/>
      <c r="DL275" s="118"/>
      <c r="DM275" s="118"/>
      <c r="DN275" s="118"/>
      <c r="DO275" s="118"/>
      <c r="DP275" s="118"/>
      <c r="DQ275" s="118"/>
      <c r="DR275" s="118"/>
    </row>
    <row r="276" hidden="1">
      <c r="A276" s="500" t="s">
        <v>8</v>
      </c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  <c r="AT276" s="118"/>
      <c r="AU276" s="118"/>
      <c r="AV276" s="118"/>
      <c r="AW276" s="118"/>
      <c r="AX276" s="118"/>
      <c r="AY276" s="118"/>
      <c r="AZ276" s="118"/>
      <c r="BA276" s="118"/>
      <c r="BB276" s="118"/>
      <c r="BC276" s="118"/>
      <c r="BD276" s="118"/>
      <c r="BE276" s="118"/>
      <c r="BF276" s="118"/>
      <c r="BG276" s="118"/>
      <c r="BH276" s="118"/>
      <c r="BI276" s="118"/>
      <c r="BJ276" s="118"/>
      <c r="BK276" s="118"/>
      <c r="BL276" s="118"/>
      <c r="BM276" s="118"/>
      <c r="BN276" s="118"/>
      <c r="BO276" s="118"/>
      <c r="BP276" s="118"/>
      <c r="BQ276" s="118"/>
      <c r="BR276" s="118"/>
      <c r="BS276" s="118"/>
      <c r="BT276" s="118"/>
      <c r="BU276" s="118"/>
      <c r="BV276" s="118"/>
      <c r="BW276" s="118"/>
      <c r="BX276" s="118"/>
      <c r="BY276" s="118"/>
      <c r="BZ276" s="118"/>
      <c r="CA276" s="118"/>
      <c r="CB276" s="118"/>
      <c r="CC276" s="118"/>
      <c r="CD276" s="118"/>
      <c r="CE276" s="118"/>
      <c r="CF276" s="118"/>
      <c r="CG276" s="118"/>
      <c r="CH276" s="118"/>
      <c r="CI276" s="118"/>
      <c r="CJ276" s="118"/>
      <c r="CK276" s="118"/>
      <c r="CL276" s="118"/>
      <c r="CM276" s="499"/>
      <c r="CN276" s="546" t="s">
        <v>355</v>
      </c>
      <c r="CO276" s="581" t="s">
        <v>354</v>
      </c>
      <c r="CP276" s="581" t="s">
        <v>354</v>
      </c>
      <c r="CQ276" s="546" t="s">
        <v>355</v>
      </c>
      <c r="CR276" s="546" t="s">
        <v>355</v>
      </c>
      <c r="CS276" s="546" t="s">
        <v>331</v>
      </c>
      <c r="CT276" s="546" t="s">
        <v>331</v>
      </c>
      <c r="CU276" s="546" t="s">
        <v>355</v>
      </c>
      <c r="CV276" s="546" t="s">
        <v>355</v>
      </c>
      <c r="CW276" s="546" t="s">
        <v>331</v>
      </c>
      <c r="CX276" s="546" t="s">
        <v>331</v>
      </c>
      <c r="CY276" s="546" t="s">
        <v>355</v>
      </c>
      <c r="CZ276" s="546" t="s">
        <v>355</v>
      </c>
      <c r="DA276" s="546" t="s">
        <v>331</v>
      </c>
      <c r="DB276" s="546" t="s">
        <v>331</v>
      </c>
      <c r="DC276" s="546" t="s">
        <v>355</v>
      </c>
      <c r="DD276" s="546" t="s">
        <v>355</v>
      </c>
      <c r="DE276" s="546" t="s">
        <v>331</v>
      </c>
      <c r="DF276" s="546" t="s">
        <v>331</v>
      </c>
      <c r="DG276" s="546" t="s">
        <v>355</v>
      </c>
      <c r="DH276" s="546" t="s">
        <v>355</v>
      </c>
      <c r="DI276" s="546" t="s">
        <v>331</v>
      </c>
      <c r="DJ276" s="546" t="s">
        <v>331</v>
      </c>
      <c r="DK276" s="546" t="s">
        <v>355</v>
      </c>
      <c r="DL276" s="546" t="s">
        <v>355</v>
      </c>
      <c r="DM276" s="546" t="s">
        <v>331</v>
      </c>
      <c r="DN276" s="546" t="s">
        <v>331</v>
      </c>
      <c r="DO276" s="546" t="s">
        <v>355</v>
      </c>
      <c r="DP276" s="546" t="s">
        <v>355</v>
      </c>
      <c r="DQ276" s="546" t="s">
        <v>353</v>
      </c>
      <c r="DR276" s="546" t="s">
        <v>154</v>
      </c>
      <c r="DT276" s="520" t="s">
        <v>306</v>
      </c>
      <c r="DU276" s="520" t="s">
        <v>332</v>
      </c>
      <c r="DX276" s="530"/>
    </row>
    <row r="277" hidden="1">
      <c r="A277" s="502" t="s">
        <v>288</v>
      </c>
      <c r="B277" s="525"/>
      <c r="C277" s="525"/>
      <c r="D277" s="525"/>
      <c r="E277" s="525"/>
      <c r="F277" s="525"/>
      <c r="G277" s="525"/>
      <c r="H277" s="525"/>
      <c r="I277" s="525"/>
      <c r="J277" s="525"/>
      <c r="K277" s="525"/>
      <c r="L277" s="525"/>
      <c r="M277" s="525"/>
      <c r="N277" s="525"/>
      <c r="O277" s="525"/>
      <c r="P277" s="525"/>
      <c r="Q277" s="525"/>
      <c r="R277" s="525"/>
      <c r="S277" s="525"/>
      <c r="T277" s="525"/>
      <c r="U277" s="525"/>
      <c r="V277" s="525"/>
      <c r="W277" s="525"/>
      <c r="X277" s="525"/>
      <c r="Y277" s="525"/>
      <c r="Z277" s="525"/>
      <c r="AA277" s="525"/>
      <c r="AB277" s="525"/>
      <c r="AC277" s="525"/>
      <c r="AD277" s="525"/>
      <c r="AE277" s="525"/>
      <c r="AF277" s="525"/>
      <c r="AG277" s="525"/>
      <c r="AH277" s="525"/>
      <c r="AI277" s="525"/>
      <c r="AJ277" s="525"/>
      <c r="AK277" s="525"/>
      <c r="AL277" s="525"/>
      <c r="AM277" s="525"/>
      <c r="AN277" s="525"/>
      <c r="AO277" s="525"/>
      <c r="AP277" s="525"/>
      <c r="AQ277" s="525"/>
      <c r="AR277" s="525"/>
      <c r="AS277" s="525"/>
      <c r="AT277" s="525"/>
      <c r="AU277" s="525"/>
      <c r="AV277" s="525"/>
      <c r="AW277" s="525"/>
      <c r="AX277" s="525"/>
      <c r="AY277" s="525"/>
      <c r="AZ277" s="525"/>
      <c r="BA277" s="525"/>
      <c r="BB277" s="525"/>
      <c r="BC277" s="525"/>
      <c r="BD277" s="525"/>
      <c r="BE277" s="525"/>
      <c r="BF277" s="525"/>
      <c r="BG277" s="525"/>
      <c r="BH277" s="525"/>
      <c r="BI277" s="525"/>
      <c r="BJ277" s="525"/>
      <c r="BK277" s="541">
        <v>45689.0</v>
      </c>
      <c r="BL277" s="503">
        <v>45690.0</v>
      </c>
      <c r="BM277" s="503">
        <v>45691.0</v>
      </c>
      <c r="BN277" s="541">
        <v>45692.0</v>
      </c>
      <c r="BO277" s="541">
        <v>45693.0</v>
      </c>
      <c r="BP277" s="541">
        <v>45694.0</v>
      </c>
      <c r="BQ277" s="541">
        <v>45695.0</v>
      </c>
      <c r="BR277" s="541">
        <v>45696.0</v>
      </c>
      <c r="BS277" s="541">
        <v>45697.0</v>
      </c>
      <c r="BT277" s="541">
        <v>45698.0</v>
      </c>
      <c r="BU277" s="541">
        <v>45699.0</v>
      </c>
      <c r="BV277" s="541">
        <v>45700.0</v>
      </c>
      <c r="BW277" s="541">
        <v>45701.0</v>
      </c>
      <c r="BX277" s="541">
        <v>45702.0</v>
      </c>
      <c r="BY277" s="541">
        <v>45703.0</v>
      </c>
      <c r="BZ277" s="541">
        <v>45704.0</v>
      </c>
      <c r="CA277" s="541">
        <v>45705.0</v>
      </c>
      <c r="CB277" s="541">
        <v>45706.0</v>
      </c>
      <c r="CC277" s="541">
        <v>45707.0</v>
      </c>
      <c r="CD277" s="541">
        <v>45708.0</v>
      </c>
      <c r="CE277" s="541">
        <v>45709.0</v>
      </c>
      <c r="CF277" s="541">
        <v>45710.0</v>
      </c>
      <c r="CG277" s="541">
        <v>45711.0</v>
      </c>
      <c r="CH277" s="541">
        <v>45712.0</v>
      </c>
      <c r="CI277" s="541">
        <v>45713.0</v>
      </c>
      <c r="CJ277" s="541">
        <v>45714.0</v>
      </c>
      <c r="CK277" s="541">
        <v>45715.0</v>
      </c>
      <c r="CL277" s="541">
        <v>45716.0</v>
      </c>
      <c r="CM277" s="552"/>
      <c r="CN277" s="541">
        <v>45931.0</v>
      </c>
      <c r="CO277" s="570">
        <v>45932.0</v>
      </c>
      <c r="CP277" s="570">
        <v>45933.0</v>
      </c>
      <c r="CQ277" s="541">
        <v>45934.0</v>
      </c>
      <c r="CR277" s="541">
        <v>45935.0</v>
      </c>
      <c r="CS277" s="541">
        <v>45936.0</v>
      </c>
      <c r="CT277" s="541">
        <v>45937.0</v>
      </c>
      <c r="CU277" s="541">
        <v>45938.0</v>
      </c>
      <c r="CV277" s="541">
        <v>45939.0</v>
      </c>
      <c r="CW277" s="541">
        <v>45940.0</v>
      </c>
      <c r="CX277" s="541">
        <v>45941.0</v>
      </c>
      <c r="CY277" s="541">
        <v>45942.0</v>
      </c>
      <c r="CZ277" s="541">
        <v>45943.0</v>
      </c>
      <c r="DA277" s="541">
        <v>45944.0</v>
      </c>
      <c r="DB277" s="541">
        <v>45945.0</v>
      </c>
      <c r="DC277" s="541">
        <v>45946.0</v>
      </c>
      <c r="DD277" s="541">
        <v>45947.0</v>
      </c>
      <c r="DE277" s="541">
        <v>45948.0</v>
      </c>
      <c r="DF277" s="541">
        <v>45949.0</v>
      </c>
      <c r="DG277" s="541">
        <v>45950.0</v>
      </c>
      <c r="DH277" s="541">
        <v>45951.0</v>
      </c>
      <c r="DI277" s="541">
        <v>45952.0</v>
      </c>
      <c r="DJ277" s="541">
        <v>45953.0</v>
      </c>
      <c r="DK277" s="541">
        <v>45954.0</v>
      </c>
      <c r="DL277" s="541">
        <v>45955.0</v>
      </c>
      <c r="DM277" s="541">
        <v>45956.0</v>
      </c>
      <c r="DN277" s="541">
        <v>45957.0</v>
      </c>
      <c r="DO277" s="541">
        <v>45958.0</v>
      </c>
      <c r="DP277" s="541">
        <v>45959.0</v>
      </c>
      <c r="DQ277" s="541">
        <v>45960.0</v>
      </c>
      <c r="DR277" s="542">
        <v>45961.0</v>
      </c>
      <c r="DS277" s="520" t="s">
        <v>374</v>
      </c>
      <c r="DT277" s="574">
        <f>DE280+DF280+DI280+DJ280+DM280+DN280</f>
        <v>54.09</v>
      </c>
      <c r="DU277" s="574">
        <f>100*13</f>
        <v>1300</v>
      </c>
      <c r="DW277" s="574">
        <f t="shared" ref="DW277:DW278" si="4">SUM(CN278:DR278)</f>
        <v>7494</v>
      </c>
      <c r="DX277" s="530">
        <f>DW277/30</f>
        <v>249.8</v>
      </c>
    </row>
    <row r="278" hidden="1">
      <c r="A278" s="502" t="s">
        <v>289</v>
      </c>
      <c r="B278" s="525"/>
      <c r="C278" s="525"/>
      <c r="D278" s="525"/>
      <c r="E278" s="525"/>
      <c r="F278" s="525"/>
      <c r="G278" s="525"/>
      <c r="H278" s="525"/>
      <c r="I278" s="525"/>
      <c r="J278" s="525"/>
      <c r="K278" s="525"/>
      <c r="L278" s="525"/>
      <c r="M278" s="525"/>
      <c r="N278" s="525"/>
      <c r="O278" s="525"/>
      <c r="P278" s="525"/>
      <c r="Q278" s="525"/>
      <c r="R278" s="525"/>
      <c r="S278" s="525"/>
      <c r="T278" s="525"/>
      <c r="U278" s="525"/>
      <c r="V278" s="525"/>
      <c r="W278" s="525"/>
      <c r="X278" s="525"/>
      <c r="Y278" s="525"/>
      <c r="Z278" s="525"/>
      <c r="AA278" s="525"/>
      <c r="AB278" s="525"/>
      <c r="AC278" s="525"/>
      <c r="AD278" s="525"/>
      <c r="AE278" s="525"/>
      <c r="AF278" s="525"/>
      <c r="AG278" s="525"/>
      <c r="AH278" s="525"/>
      <c r="AI278" s="525"/>
      <c r="AJ278" s="525"/>
      <c r="AK278" s="525"/>
      <c r="AL278" s="525"/>
      <c r="AM278" s="525"/>
      <c r="AN278" s="525"/>
      <c r="AO278" s="525"/>
      <c r="AP278" s="525"/>
      <c r="AQ278" s="525"/>
      <c r="AR278" s="525"/>
      <c r="AS278" s="525"/>
      <c r="AT278" s="525"/>
      <c r="AU278" s="525"/>
      <c r="AV278" s="525"/>
      <c r="AW278" s="525"/>
      <c r="AX278" s="525"/>
      <c r="AY278" s="525"/>
      <c r="AZ278" s="525"/>
      <c r="BA278" s="525"/>
      <c r="BB278" s="525"/>
      <c r="BC278" s="525"/>
      <c r="BD278" s="525"/>
      <c r="BE278" s="525"/>
      <c r="BF278" s="525"/>
      <c r="BG278" s="525"/>
      <c r="BH278" s="525"/>
      <c r="BI278" s="525"/>
      <c r="BJ278" s="525"/>
      <c r="BK278" s="525"/>
      <c r="BL278" s="518">
        <v>196.0</v>
      </c>
      <c r="BM278" s="518">
        <v>147.0</v>
      </c>
      <c r="BN278" s="525"/>
      <c r="BO278" s="525"/>
      <c r="BP278" s="512">
        <v>193.0</v>
      </c>
      <c r="BQ278" s="512">
        <v>202.0</v>
      </c>
      <c r="BR278" s="512">
        <v>239.0</v>
      </c>
      <c r="BS278" s="525"/>
      <c r="BT278" s="512">
        <v>181.0</v>
      </c>
      <c r="BU278" s="525"/>
      <c r="BV278" s="512">
        <v>292.0</v>
      </c>
      <c r="BW278" s="512">
        <v>258.0</v>
      </c>
      <c r="BX278" s="512">
        <v>267.0</v>
      </c>
      <c r="BY278" s="512">
        <v>214.0</v>
      </c>
      <c r="BZ278" s="512">
        <v>234.0</v>
      </c>
      <c r="CA278" s="512">
        <v>271.0</v>
      </c>
      <c r="CB278" s="512">
        <v>222.0</v>
      </c>
      <c r="CC278" s="512">
        <v>298.0</v>
      </c>
      <c r="CD278" s="512">
        <v>290.0</v>
      </c>
      <c r="CE278" s="512">
        <v>261.0</v>
      </c>
      <c r="CF278" s="512">
        <v>274.0</v>
      </c>
      <c r="CG278" s="512">
        <v>285.0</v>
      </c>
      <c r="CH278" s="512">
        <v>196.0</v>
      </c>
      <c r="CI278" s="512">
        <v>198.0</v>
      </c>
      <c r="CJ278" s="512">
        <v>274.0</v>
      </c>
      <c r="CK278" s="512">
        <v>197.0</v>
      </c>
      <c r="CL278" s="512">
        <v>246.0</v>
      </c>
      <c r="CM278" s="552"/>
      <c r="CN278" s="561">
        <v>249.0</v>
      </c>
      <c r="CO278" s="561">
        <v>315.0</v>
      </c>
      <c r="CP278" s="561">
        <v>255.0</v>
      </c>
      <c r="CQ278" s="561">
        <v>137.0</v>
      </c>
      <c r="CR278" s="561">
        <v>266.0</v>
      </c>
      <c r="CS278" s="561">
        <v>266.0</v>
      </c>
      <c r="CT278" s="561">
        <v>261.0</v>
      </c>
      <c r="CU278" s="561">
        <v>223.0</v>
      </c>
      <c r="CV278" s="561">
        <v>266.0</v>
      </c>
      <c r="CW278" s="561">
        <v>174.0</v>
      </c>
      <c r="CX278" s="561">
        <v>261.0</v>
      </c>
      <c r="CY278" s="561">
        <v>262.0</v>
      </c>
      <c r="CZ278" s="561">
        <v>239.0</v>
      </c>
      <c r="DA278" s="561">
        <v>238.0</v>
      </c>
      <c r="DB278" s="561">
        <v>273.0</v>
      </c>
      <c r="DC278" s="561">
        <v>219.0</v>
      </c>
      <c r="DD278" s="561">
        <v>246.0</v>
      </c>
      <c r="DE278" s="561">
        <v>243.0</v>
      </c>
      <c r="DF278" s="561">
        <v>289.0</v>
      </c>
      <c r="DG278" s="561">
        <v>206.0</v>
      </c>
      <c r="DH278" s="561">
        <v>324.0</v>
      </c>
      <c r="DI278" s="561">
        <v>220.0</v>
      </c>
      <c r="DJ278" s="561">
        <v>325.0</v>
      </c>
      <c r="DK278" s="539"/>
      <c r="DL278" s="561">
        <v>235.0</v>
      </c>
      <c r="DM278" s="512">
        <v>275.0</v>
      </c>
      <c r="DN278" s="561">
        <v>265.0</v>
      </c>
      <c r="DO278" s="561">
        <v>258.0</v>
      </c>
      <c r="DP278" s="561">
        <v>265.0</v>
      </c>
      <c r="DQ278" s="561">
        <v>191.0</v>
      </c>
      <c r="DR278" s="561">
        <v>248.0</v>
      </c>
      <c r="DS278" s="520" t="s">
        <v>338</v>
      </c>
      <c r="DT278" s="574">
        <f>DP280+DO280+DL280+DK280+DH280+DG280+DD280+DC280</f>
        <v>975.42</v>
      </c>
      <c r="DU278" s="574">
        <f>100*17</f>
        <v>1700</v>
      </c>
      <c r="DW278" s="574">
        <f t="shared" si="4"/>
        <v>3032</v>
      </c>
      <c r="DX278" s="530"/>
    </row>
    <row r="279" hidden="1">
      <c r="A279" s="521" t="s">
        <v>290</v>
      </c>
      <c r="B279" s="525"/>
      <c r="C279" s="525"/>
      <c r="D279" s="525"/>
      <c r="E279" s="525"/>
      <c r="F279" s="525"/>
      <c r="G279" s="525"/>
      <c r="H279" s="525"/>
      <c r="I279" s="525"/>
      <c r="J279" s="525"/>
      <c r="K279" s="525"/>
      <c r="L279" s="525"/>
      <c r="M279" s="525"/>
      <c r="N279" s="525"/>
      <c r="O279" s="525"/>
      <c r="P279" s="525"/>
      <c r="Q279" s="525"/>
      <c r="R279" s="525"/>
      <c r="S279" s="525"/>
      <c r="T279" s="525"/>
      <c r="U279" s="525"/>
      <c r="V279" s="525"/>
      <c r="W279" s="525"/>
      <c r="X279" s="525"/>
      <c r="Y279" s="525"/>
      <c r="Z279" s="525"/>
      <c r="AA279" s="525"/>
      <c r="AB279" s="525"/>
      <c r="AC279" s="525"/>
      <c r="AD279" s="525"/>
      <c r="AE279" s="525"/>
      <c r="AF279" s="525"/>
      <c r="AG279" s="525"/>
      <c r="AH279" s="525"/>
      <c r="AI279" s="525"/>
      <c r="AJ279" s="525"/>
      <c r="AK279" s="525"/>
      <c r="AL279" s="525"/>
      <c r="AM279" s="525"/>
      <c r="AN279" s="525"/>
      <c r="AO279" s="525"/>
      <c r="AP279" s="525"/>
      <c r="AQ279" s="525"/>
      <c r="AR279" s="525"/>
      <c r="AS279" s="525"/>
      <c r="AT279" s="525"/>
      <c r="AU279" s="525"/>
      <c r="AV279" s="525"/>
      <c r="AW279" s="525"/>
      <c r="AX279" s="525"/>
      <c r="AY279" s="525"/>
      <c r="AZ279" s="525"/>
      <c r="BA279" s="525"/>
      <c r="BB279" s="525"/>
      <c r="BC279" s="525"/>
      <c r="BD279" s="525"/>
      <c r="BE279" s="525"/>
      <c r="BF279" s="525"/>
      <c r="BG279" s="525"/>
      <c r="BH279" s="525"/>
      <c r="BI279" s="525"/>
      <c r="BJ279" s="525"/>
      <c r="BK279" s="525"/>
      <c r="BL279" s="518">
        <v>82.0</v>
      </c>
      <c r="BM279" s="518">
        <v>67.0</v>
      </c>
      <c r="BN279" s="525"/>
      <c r="BO279" s="525"/>
      <c r="BP279" s="512">
        <v>71.0</v>
      </c>
      <c r="BQ279" s="512">
        <v>80.0</v>
      </c>
      <c r="BR279" s="512">
        <v>95.0</v>
      </c>
      <c r="BS279" s="525"/>
      <c r="BT279" s="512">
        <v>73.0</v>
      </c>
      <c r="BU279" s="525"/>
      <c r="BV279" s="512">
        <v>96.0</v>
      </c>
      <c r="BW279" s="512">
        <v>98.0</v>
      </c>
      <c r="BX279" s="512">
        <v>104.0</v>
      </c>
      <c r="BY279" s="512">
        <v>88.0</v>
      </c>
      <c r="BZ279" s="512">
        <v>86.0</v>
      </c>
      <c r="CA279" s="512">
        <v>101.0</v>
      </c>
      <c r="CB279" s="512">
        <v>88.0</v>
      </c>
      <c r="CC279" s="512">
        <v>106.0</v>
      </c>
      <c r="CD279" s="512">
        <v>103.0</v>
      </c>
      <c r="CE279" s="512">
        <v>89.0</v>
      </c>
      <c r="CF279" s="512">
        <v>119.0</v>
      </c>
      <c r="CG279" s="512">
        <v>116.0</v>
      </c>
      <c r="CH279" s="512">
        <v>86.0</v>
      </c>
      <c r="CI279" s="512">
        <v>89.0</v>
      </c>
      <c r="CJ279" s="512">
        <v>103.0</v>
      </c>
      <c r="CK279" s="512">
        <v>82.0</v>
      </c>
      <c r="CL279" s="512">
        <v>92.0</v>
      </c>
      <c r="CM279" s="552">
        <f>SUM(BK279:CL279)/22</f>
        <v>96.09090909</v>
      </c>
      <c r="CN279" s="561">
        <v>96.0</v>
      </c>
      <c r="CO279" s="571">
        <v>99.0</v>
      </c>
      <c r="CP279" s="571">
        <v>100.0</v>
      </c>
      <c r="CQ279" s="561">
        <v>75.0</v>
      </c>
      <c r="CR279" s="561">
        <v>120.0</v>
      </c>
      <c r="CS279" s="561">
        <v>98.0</v>
      </c>
      <c r="CT279" s="561">
        <v>111.0</v>
      </c>
      <c r="CU279" s="561">
        <v>99.0</v>
      </c>
      <c r="CV279" s="561">
        <v>112.0</v>
      </c>
      <c r="CW279" s="561">
        <v>63.0</v>
      </c>
      <c r="CX279" s="561">
        <v>110.0</v>
      </c>
      <c r="CY279" s="561">
        <v>109.0</v>
      </c>
      <c r="CZ279" s="561">
        <v>81.0</v>
      </c>
      <c r="DA279" s="561">
        <v>106.0</v>
      </c>
      <c r="DB279" s="561">
        <v>100.0</v>
      </c>
      <c r="DC279" s="561">
        <v>85.0</v>
      </c>
      <c r="DD279" s="561">
        <v>99.0</v>
      </c>
      <c r="DE279" s="561">
        <v>105.0</v>
      </c>
      <c r="DF279" s="561">
        <v>131.0</v>
      </c>
      <c r="DG279" s="561">
        <v>90.0</v>
      </c>
      <c r="DH279" s="561">
        <v>120.0</v>
      </c>
      <c r="DI279" s="561">
        <v>94.0</v>
      </c>
      <c r="DJ279" s="561">
        <v>123.0</v>
      </c>
      <c r="DK279" s="539"/>
      <c r="DL279" s="561">
        <v>97.0</v>
      </c>
      <c r="DM279" s="561">
        <v>110.0</v>
      </c>
      <c r="DN279" s="561">
        <v>113.0</v>
      </c>
      <c r="DO279" s="561">
        <v>101.0</v>
      </c>
      <c r="DP279" s="561">
        <v>100.0</v>
      </c>
      <c r="DQ279" s="561">
        <v>88.0</v>
      </c>
      <c r="DR279" s="561">
        <v>97.0</v>
      </c>
      <c r="DS279" s="520" t="s">
        <v>314</v>
      </c>
      <c r="DT279" s="574">
        <f>DQ280</f>
        <v>-132.42</v>
      </c>
      <c r="DU279" s="520">
        <v>100.0</v>
      </c>
      <c r="DX279" s="530"/>
    </row>
    <row r="280" hidden="1">
      <c r="A280" s="502" t="s">
        <v>291</v>
      </c>
      <c r="B280" s="525"/>
      <c r="C280" s="525"/>
      <c r="D280" s="525"/>
      <c r="E280" s="525"/>
      <c r="F280" s="525"/>
      <c r="G280" s="525"/>
      <c r="H280" s="525"/>
      <c r="I280" s="525"/>
      <c r="J280" s="525"/>
      <c r="K280" s="525"/>
      <c r="L280" s="525"/>
      <c r="M280" s="525"/>
      <c r="N280" s="525"/>
      <c r="O280" s="525"/>
      <c r="P280" s="525"/>
      <c r="Q280" s="525"/>
      <c r="R280" s="525"/>
      <c r="S280" s="525"/>
      <c r="T280" s="525"/>
      <c r="U280" s="525"/>
      <c r="V280" s="525"/>
      <c r="W280" s="525"/>
      <c r="X280" s="525"/>
      <c r="Y280" s="525"/>
      <c r="Z280" s="525"/>
      <c r="AA280" s="525"/>
      <c r="AB280" s="525"/>
      <c r="AC280" s="525"/>
      <c r="AD280" s="525"/>
      <c r="AE280" s="525"/>
      <c r="AF280" s="525"/>
      <c r="AG280" s="525"/>
      <c r="AH280" s="525"/>
      <c r="AI280" s="525"/>
      <c r="AJ280" s="525"/>
      <c r="AK280" s="525"/>
      <c r="AL280" s="525"/>
      <c r="AM280" s="525"/>
      <c r="AN280" s="525"/>
      <c r="AO280" s="525"/>
      <c r="AP280" s="525"/>
      <c r="AQ280" s="525"/>
      <c r="AR280" s="525"/>
      <c r="AS280" s="525"/>
      <c r="AT280" s="525"/>
      <c r="AU280" s="525"/>
      <c r="AV280" s="525"/>
      <c r="AW280" s="525"/>
      <c r="AX280" s="525"/>
      <c r="AY280" s="525"/>
      <c r="AZ280" s="525"/>
      <c r="BA280" s="525"/>
      <c r="BB280" s="525"/>
      <c r="BC280" s="525"/>
      <c r="BD280" s="525"/>
      <c r="BE280" s="525"/>
      <c r="BF280" s="525"/>
      <c r="BG280" s="525"/>
      <c r="BH280" s="525"/>
      <c r="BI280" s="525"/>
      <c r="BJ280" s="525"/>
      <c r="BK280" s="529">
        <v>-167.68</v>
      </c>
      <c r="BL280" s="529">
        <v>-89.36</v>
      </c>
      <c r="BM280" s="529">
        <v>-26.1</v>
      </c>
      <c r="BN280" s="529">
        <v>-389.28</v>
      </c>
      <c r="BO280" s="529">
        <v>54.9</v>
      </c>
      <c r="BP280" s="529">
        <v>22.93</v>
      </c>
      <c r="BQ280" s="529">
        <v>-66.7</v>
      </c>
      <c r="BR280" s="529">
        <v>-203.56</v>
      </c>
      <c r="BS280" s="529">
        <v>-359.15</v>
      </c>
      <c r="BT280" s="529">
        <v>-10.32</v>
      </c>
      <c r="BU280" s="529">
        <v>-130.74</v>
      </c>
      <c r="BV280" s="529">
        <v>82.49</v>
      </c>
      <c r="BW280" s="529">
        <v>14.18</v>
      </c>
      <c r="BX280" s="529">
        <v>93.65</v>
      </c>
      <c r="BY280" s="529">
        <v>96.27</v>
      </c>
      <c r="BZ280" s="529">
        <v>-478.47</v>
      </c>
      <c r="CA280" s="529">
        <v>-2.11</v>
      </c>
      <c r="CB280" s="529">
        <v>81.53</v>
      </c>
      <c r="CC280" s="529">
        <v>-45.15</v>
      </c>
      <c r="CD280" s="529">
        <v>92.28</v>
      </c>
      <c r="CE280" s="529">
        <v>-294.99</v>
      </c>
      <c r="CF280" s="529">
        <v>121.62</v>
      </c>
      <c r="CG280" s="529">
        <v>109.56</v>
      </c>
      <c r="CH280" s="529">
        <v>-81.66</v>
      </c>
      <c r="CI280" s="529">
        <v>-103.42</v>
      </c>
      <c r="CJ280" s="529">
        <v>72.17</v>
      </c>
      <c r="CK280" s="529">
        <v>106.47</v>
      </c>
      <c r="CL280" s="512">
        <v>7.22</v>
      </c>
      <c r="CM280" s="525"/>
      <c r="CN280" s="537">
        <v>179.26</v>
      </c>
      <c r="CO280" s="572">
        <v>-124.06</v>
      </c>
      <c r="CP280" s="572">
        <v>179.8</v>
      </c>
      <c r="CQ280" s="537">
        <v>163.98</v>
      </c>
      <c r="CR280" s="537">
        <v>176.51</v>
      </c>
      <c r="CS280" s="537">
        <v>-26.42</v>
      </c>
      <c r="CT280" s="537">
        <v>127.65</v>
      </c>
      <c r="CU280" s="537">
        <v>92.39</v>
      </c>
      <c r="CV280" s="512">
        <v>110.38</v>
      </c>
      <c r="CW280" s="537">
        <v>166.04</v>
      </c>
      <c r="CX280" s="537">
        <v>166.95</v>
      </c>
      <c r="CY280" s="537">
        <v>76.53</v>
      </c>
      <c r="CZ280" s="537">
        <v>134.69</v>
      </c>
      <c r="DA280" s="537">
        <v>146.59</v>
      </c>
      <c r="DB280" s="537">
        <v>126.55</v>
      </c>
      <c r="DC280" s="537">
        <v>174.04</v>
      </c>
      <c r="DD280" s="537">
        <v>144.17</v>
      </c>
      <c r="DE280" s="537">
        <v>92.56</v>
      </c>
      <c r="DF280" s="537">
        <v>118.65</v>
      </c>
      <c r="DG280" s="537">
        <v>80.22</v>
      </c>
      <c r="DH280" s="537">
        <v>149.36</v>
      </c>
      <c r="DI280" s="537">
        <v>93.8</v>
      </c>
      <c r="DJ280" s="537">
        <v>91.23</v>
      </c>
      <c r="DK280" s="537">
        <v>100.22</v>
      </c>
      <c r="DL280" s="537">
        <v>111.42</v>
      </c>
      <c r="DM280" s="537">
        <v>-433.18</v>
      </c>
      <c r="DN280" s="561">
        <v>91.03</v>
      </c>
      <c r="DO280" s="537">
        <v>104.88</v>
      </c>
      <c r="DP280" s="537">
        <v>111.11</v>
      </c>
      <c r="DQ280" s="537">
        <v>-132.42</v>
      </c>
      <c r="DR280" s="537">
        <v>119.73</v>
      </c>
      <c r="DS280" s="520" t="s">
        <v>377</v>
      </c>
      <c r="DT280" s="574">
        <f>DR280</f>
        <v>119.73</v>
      </c>
      <c r="DU280" s="520">
        <v>200.0</v>
      </c>
      <c r="DX280" s="530"/>
    </row>
    <row r="281" hidden="1">
      <c r="A281" s="531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  <c r="AT281" s="118"/>
      <c r="AU281" s="118"/>
      <c r="AV281" s="118"/>
      <c r="AW281" s="118"/>
      <c r="AX281" s="118"/>
      <c r="AY281" s="118"/>
      <c r="AZ281" s="118"/>
      <c r="BA281" s="118"/>
      <c r="BB281" s="118"/>
      <c r="BC281" s="118"/>
      <c r="BD281" s="118"/>
      <c r="BE281" s="118"/>
      <c r="BF281" s="118"/>
      <c r="BG281" s="118"/>
      <c r="BH281" s="118"/>
      <c r="BI281" s="118"/>
      <c r="BJ281" s="118"/>
      <c r="BK281" s="118"/>
      <c r="BL281" s="118"/>
      <c r="BM281" s="118"/>
      <c r="BN281" s="118"/>
      <c r="BO281" s="118"/>
      <c r="BP281" s="118"/>
      <c r="BQ281" s="118"/>
      <c r="BR281" s="118"/>
      <c r="BS281" s="118"/>
      <c r="BT281" s="118"/>
      <c r="BU281" s="118"/>
      <c r="BV281" s="118"/>
      <c r="BW281" s="118"/>
      <c r="BX281" s="118"/>
      <c r="BY281" s="118"/>
      <c r="BZ281" s="118"/>
      <c r="CA281" s="118"/>
      <c r="CB281" s="118"/>
      <c r="CC281" s="118"/>
      <c r="CD281" s="118"/>
      <c r="CE281" s="118"/>
      <c r="CF281" s="118"/>
      <c r="CG281" s="118"/>
      <c r="CH281" s="118"/>
      <c r="CI281" s="118"/>
      <c r="CJ281" s="118"/>
      <c r="CK281" s="118"/>
      <c r="CL281" s="118"/>
      <c r="CM281" s="118"/>
      <c r="CN281" s="118"/>
      <c r="CO281" s="118"/>
      <c r="CP281" s="118"/>
      <c r="CQ281" s="118"/>
      <c r="CR281" s="118"/>
      <c r="CS281" s="577"/>
      <c r="CT281" s="118"/>
      <c r="CU281" s="118"/>
      <c r="CV281" s="118"/>
      <c r="CW281" s="118"/>
      <c r="CX281" s="118"/>
      <c r="CY281" s="118"/>
      <c r="CZ281" s="118"/>
      <c r="DA281" s="118"/>
      <c r="DB281" s="118"/>
      <c r="DC281" s="118"/>
      <c r="DD281" s="118"/>
      <c r="DE281" s="118"/>
      <c r="DF281" s="118"/>
      <c r="DG281" s="118"/>
      <c r="DH281" s="118"/>
      <c r="DI281" s="10"/>
      <c r="DJ281" s="118"/>
      <c r="DK281" s="118"/>
      <c r="DL281" s="118"/>
      <c r="DM281" s="118"/>
      <c r="DN281" s="118"/>
      <c r="DO281" s="118"/>
      <c r="DP281" s="118"/>
      <c r="DQ281" s="118"/>
      <c r="DR281" s="118"/>
      <c r="DX281" s="530"/>
    </row>
    <row r="282" hidden="1">
      <c r="A282" s="531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  <c r="AT282" s="118"/>
      <c r="AU282" s="118"/>
      <c r="AV282" s="118"/>
      <c r="AW282" s="118"/>
      <c r="AX282" s="118"/>
      <c r="AY282" s="118"/>
      <c r="AZ282" s="118"/>
      <c r="BA282" s="118"/>
      <c r="BB282" s="118"/>
      <c r="BC282" s="118"/>
      <c r="BD282" s="118"/>
      <c r="BE282" s="118"/>
      <c r="BF282" s="118"/>
      <c r="BG282" s="118"/>
      <c r="BH282" s="118"/>
      <c r="BI282" s="118"/>
      <c r="BJ282" s="118"/>
      <c r="BK282" s="118"/>
      <c r="BL282" s="118"/>
      <c r="BM282" s="118"/>
      <c r="BN282" s="118"/>
      <c r="BO282" s="118"/>
      <c r="BP282" s="118"/>
      <c r="BQ282" s="118"/>
      <c r="BR282" s="118"/>
      <c r="BS282" s="118"/>
      <c r="BT282" s="118"/>
      <c r="BU282" s="118"/>
      <c r="BV282" s="118"/>
      <c r="BW282" s="118"/>
      <c r="BX282" s="118"/>
      <c r="BY282" s="118"/>
      <c r="BZ282" s="118"/>
      <c r="CA282" s="118"/>
      <c r="CB282" s="118"/>
      <c r="CC282" s="118"/>
      <c r="CD282" s="118"/>
      <c r="CE282" s="118"/>
      <c r="CF282" s="118"/>
      <c r="CG282" s="118"/>
      <c r="CH282" s="118"/>
      <c r="CI282" s="118"/>
      <c r="CJ282" s="118"/>
      <c r="CK282" s="118"/>
      <c r="CL282" s="118"/>
      <c r="CM282" s="118"/>
      <c r="CN282" s="118"/>
      <c r="CO282" s="118"/>
      <c r="CP282" s="118"/>
      <c r="CQ282" s="118"/>
      <c r="CR282" s="118"/>
      <c r="CS282" s="118"/>
      <c r="CT282" s="118"/>
      <c r="CU282" s="118"/>
      <c r="CV282" s="118"/>
      <c r="CW282" s="118"/>
      <c r="CX282" s="118"/>
      <c r="CY282" s="118"/>
      <c r="CZ282" s="118"/>
      <c r="DA282" s="118"/>
      <c r="DB282" s="118"/>
      <c r="DC282" s="118"/>
      <c r="DD282" s="118"/>
      <c r="DE282" s="118"/>
      <c r="DF282" s="118"/>
      <c r="DG282" s="118"/>
      <c r="DH282" s="118"/>
      <c r="DI282" s="118"/>
      <c r="DJ282" s="118"/>
      <c r="DK282" s="118"/>
      <c r="DL282" s="118"/>
      <c r="DM282" s="118"/>
      <c r="DN282" s="118"/>
      <c r="DO282" s="118"/>
      <c r="DP282" s="118"/>
      <c r="DQ282" s="118"/>
      <c r="DR282" s="118"/>
      <c r="DT282" s="520" t="s">
        <v>306</v>
      </c>
      <c r="DU282" s="520" t="s">
        <v>332</v>
      </c>
      <c r="DX282" s="530"/>
    </row>
    <row r="283" hidden="1">
      <c r="A283" s="500" t="s">
        <v>12</v>
      </c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  <c r="AT283" s="118"/>
      <c r="AU283" s="118"/>
      <c r="AV283" s="118"/>
      <c r="AW283" s="118"/>
      <c r="AX283" s="118"/>
      <c r="AY283" s="118"/>
      <c r="AZ283" s="118"/>
      <c r="BA283" s="118"/>
      <c r="BB283" s="118"/>
      <c r="BC283" s="118"/>
      <c r="BD283" s="118"/>
      <c r="BE283" s="118"/>
      <c r="BF283" s="118"/>
      <c r="BG283" s="118"/>
      <c r="BH283" s="118"/>
      <c r="BI283" s="118"/>
      <c r="BJ283" s="118"/>
      <c r="BK283" s="118"/>
      <c r="BL283" s="118"/>
      <c r="BM283" s="118"/>
      <c r="BN283" s="118"/>
      <c r="BO283" s="118"/>
      <c r="BP283" s="118"/>
      <c r="BQ283" s="118"/>
      <c r="BR283" s="118"/>
      <c r="BS283" s="118"/>
      <c r="BT283" s="118"/>
      <c r="BU283" s="118"/>
      <c r="BV283" s="118"/>
      <c r="BW283" s="118"/>
      <c r="BX283" s="118"/>
      <c r="BY283" s="118"/>
      <c r="BZ283" s="118"/>
      <c r="CA283" s="118"/>
      <c r="CB283" s="118"/>
      <c r="CC283" s="118"/>
      <c r="CD283" s="118"/>
      <c r="CE283" s="118"/>
      <c r="CF283" s="118"/>
      <c r="CG283" s="118"/>
      <c r="CH283" s="118"/>
      <c r="CI283" s="118"/>
      <c r="CJ283" s="118"/>
      <c r="CK283" s="118"/>
      <c r="CL283" s="118"/>
      <c r="CM283" s="118"/>
      <c r="CN283" s="546" t="s">
        <v>355</v>
      </c>
      <c r="CO283" s="546" t="s">
        <v>358</v>
      </c>
      <c r="CP283" s="546" t="s">
        <v>358</v>
      </c>
      <c r="CQ283" s="546" t="s">
        <v>355</v>
      </c>
      <c r="CR283" s="546" t="s">
        <v>355</v>
      </c>
      <c r="CS283" s="546" t="s">
        <v>358</v>
      </c>
      <c r="CT283" s="546" t="s">
        <v>358</v>
      </c>
      <c r="CU283" s="546" t="s">
        <v>355</v>
      </c>
      <c r="CV283" s="546" t="s">
        <v>355</v>
      </c>
      <c r="CW283" s="546" t="s">
        <v>358</v>
      </c>
      <c r="CX283" s="546" t="s">
        <v>358</v>
      </c>
      <c r="CY283" s="546" t="s">
        <v>355</v>
      </c>
      <c r="CZ283" s="546" t="s">
        <v>355</v>
      </c>
      <c r="DA283" s="546" t="s">
        <v>358</v>
      </c>
      <c r="DB283" s="546" t="s">
        <v>358</v>
      </c>
      <c r="DC283" s="546" t="s">
        <v>355</v>
      </c>
      <c r="DD283" s="546" t="s">
        <v>355</v>
      </c>
      <c r="DE283" s="546" t="s">
        <v>358</v>
      </c>
      <c r="DF283" s="546" t="s">
        <v>358</v>
      </c>
      <c r="DG283" s="546" t="s">
        <v>355</v>
      </c>
      <c r="DH283" s="546" t="s">
        <v>355</v>
      </c>
      <c r="DI283" s="546" t="s">
        <v>353</v>
      </c>
      <c r="DJ283" s="546" t="s">
        <v>355</v>
      </c>
      <c r="DK283" s="546" t="s">
        <v>355</v>
      </c>
      <c r="DL283" s="546" t="s">
        <v>355</v>
      </c>
      <c r="DM283" s="546" t="s">
        <v>353</v>
      </c>
      <c r="DN283" s="546" t="s">
        <v>355</v>
      </c>
      <c r="DO283" s="546" t="s">
        <v>355</v>
      </c>
      <c r="DP283" s="546" t="s">
        <v>355</v>
      </c>
      <c r="DQ283" s="546" t="s">
        <v>322</v>
      </c>
      <c r="DR283" s="546" t="s">
        <v>355</v>
      </c>
      <c r="DS283" s="520" t="s">
        <v>347</v>
      </c>
      <c r="DT283" s="574">
        <f>DE287+DF287</f>
        <v>-843.09</v>
      </c>
      <c r="DU283" s="574">
        <f>200</f>
        <v>200</v>
      </c>
      <c r="DX283" s="530"/>
    </row>
    <row r="284" hidden="1">
      <c r="A284" s="502" t="s">
        <v>288</v>
      </c>
      <c r="B284" s="525"/>
      <c r="C284" s="525"/>
      <c r="D284" s="525"/>
      <c r="E284" s="525"/>
      <c r="F284" s="525"/>
      <c r="G284" s="525"/>
      <c r="H284" s="525"/>
      <c r="I284" s="525"/>
      <c r="J284" s="525"/>
      <c r="K284" s="525"/>
      <c r="L284" s="525"/>
      <c r="M284" s="525"/>
      <c r="N284" s="525"/>
      <c r="O284" s="525"/>
      <c r="P284" s="525"/>
      <c r="Q284" s="525"/>
      <c r="R284" s="525"/>
      <c r="S284" s="525"/>
      <c r="T284" s="525"/>
      <c r="U284" s="525"/>
      <c r="V284" s="525"/>
      <c r="W284" s="525"/>
      <c r="X284" s="525"/>
      <c r="Y284" s="525"/>
      <c r="Z284" s="525"/>
      <c r="AA284" s="525"/>
      <c r="AB284" s="525"/>
      <c r="AC284" s="525"/>
      <c r="AD284" s="525"/>
      <c r="AE284" s="525"/>
      <c r="AF284" s="525"/>
      <c r="AG284" s="525"/>
      <c r="AH284" s="525"/>
      <c r="AI284" s="525"/>
      <c r="AJ284" s="525"/>
      <c r="AK284" s="525"/>
      <c r="AL284" s="525"/>
      <c r="AM284" s="525"/>
      <c r="AN284" s="525"/>
      <c r="AO284" s="525"/>
      <c r="AP284" s="525"/>
      <c r="AQ284" s="525"/>
      <c r="AR284" s="525"/>
      <c r="AS284" s="525"/>
      <c r="AT284" s="525"/>
      <c r="AU284" s="525"/>
      <c r="AV284" s="525"/>
      <c r="AW284" s="525"/>
      <c r="AX284" s="525"/>
      <c r="AY284" s="525"/>
      <c r="AZ284" s="525"/>
      <c r="BA284" s="525"/>
      <c r="BB284" s="525"/>
      <c r="BC284" s="525"/>
      <c r="BD284" s="525"/>
      <c r="BE284" s="525"/>
      <c r="BF284" s="525"/>
      <c r="BG284" s="525"/>
      <c r="BH284" s="525"/>
      <c r="BI284" s="525"/>
      <c r="BJ284" s="525"/>
      <c r="BK284" s="541">
        <v>45689.0</v>
      </c>
      <c r="BL284" s="541">
        <v>45690.0</v>
      </c>
      <c r="BM284" s="541">
        <v>45691.0</v>
      </c>
      <c r="BN284" s="541">
        <v>45692.0</v>
      </c>
      <c r="BO284" s="541">
        <v>45693.0</v>
      </c>
      <c r="BP284" s="541">
        <v>45694.0</v>
      </c>
      <c r="BQ284" s="541">
        <v>45695.0</v>
      </c>
      <c r="BR284" s="541">
        <v>45696.0</v>
      </c>
      <c r="BS284" s="541">
        <v>45697.0</v>
      </c>
      <c r="BT284" s="541">
        <v>45698.0</v>
      </c>
      <c r="BU284" s="541">
        <v>45699.0</v>
      </c>
      <c r="BV284" s="541">
        <v>45700.0</v>
      </c>
      <c r="BW284" s="541">
        <v>45701.0</v>
      </c>
      <c r="BX284" s="541">
        <v>45702.0</v>
      </c>
      <c r="BY284" s="541">
        <v>45703.0</v>
      </c>
      <c r="BZ284" s="541">
        <v>45704.0</v>
      </c>
      <c r="CA284" s="541">
        <v>45705.0</v>
      </c>
      <c r="CB284" s="541">
        <v>45706.0</v>
      </c>
      <c r="CC284" s="541">
        <v>45707.0</v>
      </c>
      <c r="CD284" s="541">
        <v>45708.0</v>
      </c>
      <c r="CE284" s="541">
        <v>45709.0</v>
      </c>
      <c r="CF284" s="541">
        <v>45710.0</v>
      </c>
      <c r="CG284" s="541">
        <v>45711.0</v>
      </c>
      <c r="CH284" s="541">
        <v>45712.0</v>
      </c>
      <c r="CI284" s="541">
        <v>45713.0</v>
      </c>
      <c r="CJ284" s="541">
        <v>45714.0</v>
      </c>
      <c r="CK284" s="541">
        <v>45715.0</v>
      </c>
      <c r="CL284" s="541">
        <v>45716.0</v>
      </c>
      <c r="CM284" s="563"/>
      <c r="CN284" s="541">
        <v>45931.0</v>
      </c>
      <c r="CO284" s="541">
        <v>45932.0</v>
      </c>
      <c r="CP284" s="541">
        <v>45933.0</v>
      </c>
      <c r="CQ284" s="541">
        <v>45934.0</v>
      </c>
      <c r="CR284" s="541">
        <v>45935.0</v>
      </c>
      <c r="CS284" s="541">
        <v>45936.0</v>
      </c>
      <c r="CT284" s="541">
        <v>45937.0</v>
      </c>
      <c r="CU284" s="541">
        <v>45938.0</v>
      </c>
      <c r="CV284" s="541">
        <v>45939.0</v>
      </c>
      <c r="CW284" s="541">
        <v>45940.0</v>
      </c>
      <c r="CX284" s="541">
        <v>45941.0</v>
      </c>
      <c r="CY284" s="541">
        <v>45942.0</v>
      </c>
      <c r="CZ284" s="541">
        <v>45943.0</v>
      </c>
      <c r="DA284" s="541">
        <v>45944.0</v>
      </c>
      <c r="DB284" s="541">
        <v>45945.0</v>
      </c>
      <c r="DC284" s="541">
        <v>45946.0</v>
      </c>
      <c r="DD284" s="541">
        <v>45947.0</v>
      </c>
      <c r="DE284" s="541">
        <v>45948.0</v>
      </c>
      <c r="DF284" s="541">
        <v>45949.0</v>
      </c>
      <c r="DG284" s="541">
        <v>45950.0</v>
      </c>
      <c r="DH284" s="541">
        <v>45951.0</v>
      </c>
      <c r="DI284" s="541">
        <v>45952.0</v>
      </c>
      <c r="DJ284" s="541">
        <v>45953.0</v>
      </c>
      <c r="DK284" s="541">
        <v>45954.0</v>
      </c>
      <c r="DL284" s="541">
        <v>45955.0</v>
      </c>
      <c r="DM284" s="541">
        <v>45956.0</v>
      </c>
      <c r="DN284" s="541">
        <v>45957.0</v>
      </c>
      <c r="DO284" s="541">
        <v>45958.0</v>
      </c>
      <c r="DP284" s="541">
        <v>45959.0</v>
      </c>
      <c r="DQ284" s="541">
        <v>45960.0</v>
      </c>
      <c r="DR284" s="542">
        <v>45961.0</v>
      </c>
      <c r="DS284" s="520" t="s">
        <v>320</v>
      </c>
      <c r="DT284" s="574">
        <f>DC287+DD287+DG287+DH287+DJ287+DK287+DL287+DN287+DO287+DP287+DR287</f>
        <v>961.16</v>
      </c>
      <c r="DU284" s="574">
        <f>100*16</f>
        <v>1600</v>
      </c>
      <c r="DW284" s="574">
        <f t="shared" ref="DW284:DW285" si="5">SUM(CN285:DR285)</f>
        <v>5610</v>
      </c>
      <c r="DX284" s="530">
        <f>DW284/30</f>
        <v>187</v>
      </c>
    </row>
    <row r="285" hidden="1">
      <c r="A285" s="502" t="s">
        <v>289</v>
      </c>
      <c r="B285" s="525"/>
      <c r="C285" s="525"/>
      <c r="D285" s="525"/>
      <c r="E285" s="525"/>
      <c r="F285" s="525"/>
      <c r="G285" s="525"/>
      <c r="H285" s="525"/>
      <c r="I285" s="525"/>
      <c r="J285" s="525"/>
      <c r="K285" s="525"/>
      <c r="L285" s="525"/>
      <c r="M285" s="525"/>
      <c r="N285" s="525"/>
      <c r="O285" s="525"/>
      <c r="P285" s="525"/>
      <c r="Q285" s="525"/>
      <c r="R285" s="525"/>
      <c r="S285" s="525"/>
      <c r="T285" s="525"/>
      <c r="U285" s="525"/>
      <c r="V285" s="525"/>
      <c r="W285" s="525"/>
      <c r="X285" s="525"/>
      <c r="Y285" s="525"/>
      <c r="Z285" s="525"/>
      <c r="AA285" s="525"/>
      <c r="AB285" s="525"/>
      <c r="AC285" s="525"/>
      <c r="AD285" s="525"/>
      <c r="AE285" s="525"/>
      <c r="AF285" s="525"/>
      <c r="AG285" s="525"/>
      <c r="AH285" s="525"/>
      <c r="AI285" s="525"/>
      <c r="AJ285" s="525"/>
      <c r="AK285" s="525"/>
      <c r="AL285" s="525"/>
      <c r="AM285" s="525"/>
      <c r="AN285" s="525"/>
      <c r="AO285" s="525"/>
      <c r="AP285" s="525"/>
      <c r="AQ285" s="525"/>
      <c r="AR285" s="525"/>
      <c r="AS285" s="525"/>
      <c r="AT285" s="525"/>
      <c r="AU285" s="525"/>
      <c r="AV285" s="525"/>
      <c r="AW285" s="525"/>
      <c r="AX285" s="525"/>
      <c r="AY285" s="525"/>
      <c r="AZ285" s="525"/>
      <c r="BA285" s="525"/>
      <c r="BB285" s="525"/>
      <c r="BC285" s="525"/>
      <c r="BD285" s="525"/>
      <c r="BE285" s="525"/>
      <c r="BF285" s="525"/>
      <c r="BG285" s="525"/>
      <c r="BH285" s="525"/>
      <c r="BI285" s="525"/>
      <c r="BJ285" s="525"/>
      <c r="BK285" s="512">
        <v>99.0</v>
      </c>
      <c r="BL285" s="512">
        <v>117.0</v>
      </c>
      <c r="BM285" s="512">
        <v>121.0</v>
      </c>
      <c r="BN285" s="512">
        <v>105.0</v>
      </c>
      <c r="BO285" s="512">
        <v>97.0</v>
      </c>
      <c r="BP285" s="512">
        <v>98.0</v>
      </c>
      <c r="BQ285" s="512">
        <v>110.0</v>
      </c>
      <c r="BR285" s="512">
        <v>141.0</v>
      </c>
      <c r="BS285" s="512">
        <v>157.0</v>
      </c>
      <c r="BT285" s="512">
        <v>98.0</v>
      </c>
      <c r="BU285" s="512">
        <v>130.0</v>
      </c>
      <c r="BV285" s="512">
        <v>130.0</v>
      </c>
      <c r="BW285" s="512">
        <v>153.0</v>
      </c>
      <c r="BX285" s="512">
        <v>131.0</v>
      </c>
      <c r="BY285" s="512">
        <v>126.0</v>
      </c>
      <c r="BZ285" s="512">
        <v>160.0</v>
      </c>
      <c r="CA285" s="512">
        <v>151.0</v>
      </c>
      <c r="CB285" s="512">
        <v>99.0</v>
      </c>
      <c r="CC285" s="512">
        <v>125.0</v>
      </c>
      <c r="CD285" s="512">
        <v>168.0</v>
      </c>
      <c r="CE285" s="512">
        <v>164.0</v>
      </c>
      <c r="CF285" s="512">
        <v>174.0</v>
      </c>
      <c r="CG285" s="512">
        <v>161.0</v>
      </c>
      <c r="CH285" s="512">
        <v>117.0</v>
      </c>
      <c r="CI285" s="512">
        <v>139.0</v>
      </c>
      <c r="CJ285" s="512">
        <v>131.0</v>
      </c>
      <c r="CK285" s="512">
        <v>98.0</v>
      </c>
      <c r="CL285" s="512">
        <v>196.0</v>
      </c>
      <c r="CM285" s="514"/>
      <c r="CN285" s="561">
        <v>192.0</v>
      </c>
      <c r="CO285" s="561"/>
      <c r="CP285" s="561">
        <v>251.0</v>
      </c>
      <c r="CQ285" s="561">
        <v>145.0</v>
      </c>
      <c r="CR285" s="561">
        <v>212.0</v>
      </c>
      <c r="CS285" s="561">
        <v>186.0</v>
      </c>
      <c r="CT285" s="561">
        <v>171.0</v>
      </c>
      <c r="CU285" s="561">
        <v>156.0</v>
      </c>
      <c r="CV285" s="561">
        <v>230.0</v>
      </c>
      <c r="CW285" s="561">
        <v>174.0</v>
      </c>
      <c r="CX285" s="561">
        <v>250.0</v>
      </c>
      <c r="CY285" s="561">
        <v>222.0</v>
      </c>
      <c r="CZ285" s="561">
        <v>168.0</v>
      </c>
      <c r="DA285" s="561">
        <v>144.0</v>
      </c>
      <c r="DB285" s="561">
        <v>131.0</v>
      </c>
      <c r="DC285" s="561">
        <v>202.0</v>
      </c>
      <c r="DD285" s="561">
        <v>158.0</v>
      </c>
      <c r="DE285" s="561">
        <v>130.0</v>
      </c>
      <c r="DF285" s="105">
        <v>185.0</v>
      </c>
      <c r="DG285" s="561">
        <v>188.0</v>
      </c>
      <c r="DH285" s="561">
        <v>253.0</v>
      </c>
      <c r="DI285" s="561">
        <v>177.0</v>
      </c>
      <c r="DJ285" s="561">
        <v>216.0</v>
      </c>
      <c r="DK285" s="561">
        <v>178.0</v>
      </c>
      <c r="DL285" s="561">
        <v>201.0</v>
      </c>
      <c r="DM285" s="561">
        <v>181.0</v>
      </c>
      <c r="DN285" s="561">
        <v>156.0</v>
      </c>
      <c r="DO285" s="561">
        <v>166.0</v>
      </c>
      <c r="DP285" s="561">
        <v>230.0</v>
      </c>
      <c r="DQ285" s="561">
        <v>200.0</v>
      </c>
      <c r="DR285" s="561">
        <v>157.0</v>
      </c>
      <c r="DS285" s="520" t="s">
        <v>314</v>
      </c>
      <c r="DT285" s="574">
        <f>DI287+DM287</f>
        <v>167.54</v>
      </c>
      <c r="DU285" s="520">
        <v>200.0</v>
      </c>
      <c r="DW285" s="574">
        <f t="shared" si="5"/>
        <v>2206</v>
      </c>
      <c r="DX285" s="530"/>
    </row>
    <row r="286" hidden="1">
      <c r="A286" s="521" t="s">
        <v>290</v>
      </c>
      <c r="B286" s="525"/>
      <c r="C286" s="525"/>
      <c r="D286" s="525"/>
      <c r="E286" s="525"/>
      <c r="F286" s="525"/>
      <c r="G286" s="525"/>
      <c r="H286" s="525"/>
      <c r="I286" s="525"/>
      <c r="J286" s="525"/>
      <c r="K286" s="525"/>
      <c r="L286" s="525"/>
      <c r="M286" s="525"/>
      <c r="N286" s="525"/>
      <c r="O286" s="525"/>
      <c r="P286" s="525"/>
      <c r="Q286" s="525"/>
      <c r="R286" s="525"/>
      <c r="S286" s="525"/>
      <c r="T286" s="525"/>
      <c r="U286" s="525"/>
      <c r="V286" s="525"/>
      <c r="W286" s="525"/>
      <c r="X286" s="525"/>
      <c r="Y286" s="525"/>
      <c r="Z286" s="525"/>
      <c r="AA286" s="525"/>
      <c r="AB286" s="525"/>
      <c r="AC286" s="525"/>
      <c r="AD286" s="525"/>
      <c r="AE286" s="525"/>
      <c r="AF286" s="525"/>
      <c r="AG286" s="525"/>
      <c r="AH286" s="525"/>
      <c r="AI286" s="525"/>
      <c r="AJ286" s="525"/>
      <c r="AK286" s="525"/>
      <c r="AL286" s="525"/>
      <c r="AM286" s="525"/>
      <c r="AN286" s="525"/>
      <c r="AO286" s="525"/>
      <c r="AP286" s="525"/>
      <c r="AQ286" s="525"/>
      <c r="AR286" s="525"/>
      <c r="AS286" s="525"/>
      <c r="AT286" s="525"/>
      <c r="AU286" s="525"/>
      <c r="AV286" s="525"/>
      <c r="AW286" s="525"/>
      <c r="AX286" s="525"/>
      <c r="AY286" s="525"/>
      <c r="AZ286" s="525"/>
      <c r="BA286" s="525"/>
      <c r="BB286" s="525"/>
      <c r="BC286" s="525"/>
      <c r="BD286" s="525"/>
      <c r="BE286" s="525"/>
      <c r="BF286" s="525"/>
      <c r="BG286" s="525"/>
      <c r="BH286" s="525"/>
      <c r="BI286" s="525"/>
      <c r="BJ286" s="525"/>
      <c r="BK286" s="512">
        <v>44.0</v>
      </c>
      <c r="BL286" s="512">
        <v>55.0</v>
      </c>
      <c r="BM286" s="512">
        <v>47.0</v>
      </c>
      <c r="BN286" s="512">
        <v>39.0</v>
      </c>
      <c r="BO286" s="512">
        <v>54.0</v>
      </c>
      <c r="BP286" s="512">
        <v>46.0</v>
      </c>
      <c r="BQ286" s="512">
        <v>51.0</v>
      </c>
      <c r="BR286" s="512">
        <v>48.0</v>
      </c>
      <c r="BS286" s="512">
        <v>55.0</v>
      </c>
      <c r="BT286" s="512">
        <v>41.0</v>
      </c>
      <c r="BU286" s="512">
        <v>57.0</v>
      </c>
      <c r="BV286" s="512">
        <v>57.0</v>
      </c>
      <c r="BW286" s="512">
        <v>59.0</v>
      </c>
      <c r="BX286" s="512">
        <v>41.0</v>
      </c>
      <c r="BY286" s="512">
        <v>52.0</v>
      </c>
      <c r="BZ286" s="512">
        <v>61.0</v>
      </c>
      <c r="CA286" s="512">
        <v>52.0</v>
      </c>
      <c r="CB286" s="512">
        <v>38.0</v>
      </c>
      <c r="CC286" s="512">
        <v>53.0</v>
      </c>
      <c r="CD286" s="512">
        <v>77.0</v>
      </c>
      <c r="CE286" s="512">
        <v>59.0</v>
      </c>
      <c r="CF286" s="512">
        <v>70.0</v>
      </c>
      <c r="CG286" s="512">
        <v>77.0</v>
      </c>
      <c r="CH286" s="512">
        <v>47.0</v>
      </c>
      <c r="CI286" s="512">
        <v>51.0</v>
      </c>
      <c r="CJ286" s="512">
        <v>54.0</v>
      </c>
      <c r="CK286" s="512">
        <v>43.0</v>
      </c>
      <c r="CL286" s="512">
        <v>75.0</v>
      </c>
      <c r="CM286" s="566">
        <f>SUM(BK286:CL286)/28</f>
        <v>53.67857143</v>
      </c>
      <c r="CN286" s="561">
        <v>75.0</v>
      </c>
      <c r="CO286" s="561"/>
      <c r="CP286" s="561">
        <v>78.0</v>
      </c>
      <c r="CQ286" s="561">
        <v>54.0</v>
      </c>
      <c r="CR286" s="561">
        <v>91.0</v>
      </c>
      <c r="CS286" s="561">
        <v>67.0</v>
      </c>
      <c r="CT286" s="561">
        <v>59.0</v>
      </c>
      <c r="CU286" s="561">
        <v>63.0</v>
      </c>
      <c r="CV286" s="561">
        <v>80.0</v>
      </c>
      <c r="CW286" s="561">
        <v>63.0</v>
      </c>
      <c r="CX286" s="561">
        <v>82.0</v>
      </c>
      <c r="CY286" s="561">
        <v>91.0</v>
      </c>
      <c r="CZ286" s="561">
        <v>72.0</v>
      </c>
      <c r="DA286" s="561">
        <v>61.0</v>
      </c>
      <c r="DB286" s="561">
        <v>53.0</v>
      </c>
      <c r="DC286" s="561">
        <v>76.0</v>
      </c>
      <c r="DD286" s="561">
        <v>66.0</v>
      </c>
      <c r="DE286" s="561">
        <v>68.0</v>
      </c>
      <c r="DF286" s="561">
        <v>80.0</v>
      </c>
      <c r="DG286" s="561">
        <v>72.0</v>
      </c>
      <c r="DH286" s="561">
        <v>98.0</v>
      </c>
      <c r="DI286" s="561">
        <v>71.0</v>
      </c>
      <c r="DJ286" s="561">
        <v>70.0</v>
      </c>
      <c r="DK286" s="561">
        <v>79.0</v>
      </c>
      <c r="DL286" s="561">
        <v>89.0</v>
      </c>
      <c r="DM286" s="561">
        <v>79.0</v>
      </c>
      <c r="DN286" s="561">
        <v>74.0</v>
      </c>
      <c r="DO286" s="561">
        <v>72.0</v>
      </c>
      <c r="DP286" s="561">
        <v>80.0</v>
      </c>
      <c r="DQ286" s="561">
        <v>72.0</v>
      </c>
      <c r="DR286" s="561">
        <v>71.0</v>
      </c>
      <c r="DS286" s="520" t="s">
        <v>322</v>
      </c>
      <c r="DT286" s="574">
        <f>DQ287</f>
        <v>-100.65</v>
      </c>
      <c r="DU286" s="583">
        <v>100.0</v>
      </c>
      <c r="DX286" s="530"/>
    </row>
    <row r="287" hidden="1">
      <c r="A287" s="502" t="s">
        <v>291</v>
      </c>
      <c r="B287" s="537"/>
      <c r="C287" s="537"/>
      <c r="D287" s="537"/>
      <c r="E287" s="537"/>
      <c r="F287" s="537"/>
      <c r="G287" s="537"/>
      <c r="H287" s="537"/>
      <c r="I287" s="537"/>
      <c r="J287" s="537"/>
      <c r="K287" s="537"/>
      <c r="L287" s="537"/>
      <c r="M287" s="537"/>
      <c r="N287" s="537"/>
      <c r="O287" s="537"/>
      <c r="P287" s="537"/>
      <c r="Q287" s="537"/>
      <c r="R287" s="537"/>
      <c r="S287" s="537"/>
      <c r="T287" s="537"/>
      <c r="U287" s="537"/>
      <c r="V287" s="537"/>
      <c r="W287" s="537"/>
      <c r="X287" s="537"/>
      <c r="Y287" s="537"/>
      <c r="Z287" s="537"/>
      <c r="AA287" s="537"/>
      <c r="AB287" s="537"/>
      <c r="AC287" s="537"/>
      <c r="AD287" s="537"/>
      <c r="AE287" s="537"/>
      <c r="AF287" s="537"/>
      <c r="AG287" s="537"/>
      <c r="AH287" s="537"/>
      <c r="AI287" s="537"/>
      <c r="AJ287" s="537"/>
      <c r="AK287" s="537"/>
      <c r="AL287" s="537"/>
      <c r="AM287" s="537"/>
      <c r="AN287" s="537"/>
      <c r="AO287" s="537"/>
      <c r="AP287" s="537"/>
      <c r="AQ287" s="537"/>
      <c r="AR287" s="537"/>
      <c r="AS287" s="537"/>
      <c r="AT287" s="537"/>
      <c r="AU287" s="537"/>
      <c r="AV287" s="537"/>
      <c r="AW287" s="537"/>
      <c r="AX287" s="537"/>
      <c r="AY287" s="537"/>
      <c r="AZ287" s="537"/>
      <c r="BA287" s="537"/>
      <c r="BB287" s="537"/>
      <c r="BC287" s="537"/>
      <c r="BD287" s="537"/>
      <c r="BE287" s="537"/>
      <c r="BF287" s="537"/>
      <c r="BG287" s="537"/>
      <c r="BH287" s="537"/>
      <c r="BI287" s="537"/>
      <c r="BJ287" s="537"/>
      <c r="BK287" s="537">
        <v>-295.52</v>
      </c>
      <c r="BL287" s="537">
        <v>-42.77</v>
      </c>
      <c r="BM287" s="537">
        <v>24.22</v>
      </c>
      <c r="BN287" s="537">
        <v>-438.28</v>
      </c>
      <c r="BO287" s="537">
        <v>35.84</v>
      </c>
      <c r="BP287" s="537">
        <v>-15.94</v>
      </c>
      <c r="BQ287" s="537">
        <v>33.53</v>
      </c>
      <c r="BR287" s="537">
        <v>48.55</v>
      </c>
      <c r="BS287" s="537">
        <v>-179.22</v>
      </c>
      <c r="BT287" s="537">
        <v>-2.05</v>
      </c>
      <c r="BU287" s="537">
        <v>54.16</v>
      </c>
      <c r="BV287" s="537">
        <v>-203.07</v>
      </c>
      <c r="BW287" s="537">
        <v>53.0</v>
      </c>
      <c r="BX287" s="537">
        <v>35.32</v>
      </c>
      <c r="BY287" s="537">
        <v>52.07</v>
      </c>
      <c r="BZ287" s="537">
        <v>38.49</v>
      </c>
      <c r="CA287" s="537">
        <v>54.6</v>
      </c>
      <c r="CB287" s="537">
        <v>43.14</v>
      </c>
      <c r="CC287" s="537">
        <v>-87.46</v>
      </c>
      <c r="CD287" s="537">
        <v>47.24</v>
      </c>
      <c r="CE287" s="537">
        <v>-66.14</v>
      </c>
      <c r="CF287" s="537">
        <v>54.48</v>
      </c>
      <c r="CG287" s="537">
        <v>59.5</v>
      </c>
      <c r="CH287" s="537">
        <v>-90.39</v>
      </c>
      <c r="CI287" s="537">
        <v>50.36</v>
      </c>
      <c r="CJ287" s="537">
        <v>32.76</v>
      </c>
      <c r="CK287" s="537">
        <v>-310.39</v>
      </c>
      <c r="CL287" s="537">
        <v>-88.51</v>
      </c>
      <c r="CM287" s="537"/>
      <c r="CN287" s="537">
        <v>116.24</v>
      </c>
      <c r="CO287" s="537">
        <v>-215.33</v>
      </c>
      <c r="CP287" s="537">
        <v>-401.38</v>
      </c>
      <c r="CQ287" s="537">
        <v>-90.4</v>
      </c>
      <c r="CR287" s="537">
        <v>109.77</v>
      </c>
      <c r="CS287" s="537">
        <v>-182.61</v>
      </c>
      <c r="CT287" s="537">
        <v>-118.19</v>
      </c>
      <c r="CU287" s="537">
        <v>102.85</v>
      </c>
      <c r="CV287" s="512">
        <v>128.47</v>
      </c>
      <c r="CW287" s="537">
        <v>-249.9</v>
      </c>
      <c r="CX287" s="537">
        <v>-309.61</v>
      </c>
      <c r="CY287" s="537">
        <v>70.38</v>
      </c>
      <c r="CZ287" s="537">
        <v>129.82</v>
      </c>
      <c r="DA287" s="537">
        <v>-94.65</v>
      </c>
      <c r="DB287" s="537">
        <v>-531.3</v>
      </c>
      <c r="DC287" s="537">
        <v>118.97</v>
      </c>
      <c r="DD287" s="537">
        <v>90.2</v>
      </c>
      <c r="DE287" s="537">
        <v>-320.76</v>
      </c>
      <c r="DF287" s="537">
        <v>-522.33</v>
      </c>
      <c r="DG287" s="537">
        <v>97.41</v>
      </c>
      <c r="DH287" s="537">
        <v>90.59</v>
      </c>
      <c r="DI287" s="537">
        <v>87.26</v>
      </c>
      <c r="DJ287" s="537">
        <v>83.16</v>
      </c>
      <c r="DK287" s="537">
        <v>105.52</v>
      </c>
      <c r="DL287" s="537">
        <v>102.79</v>
      </c>
      <c r="DM287" s="537">
        <v>80.28</v>
      </c>
      <c r="DN287" s="537">
        <v>98.59</v>
      </c>
      <c r="DO287" s="537">
        <v>69.9</v>
      </c>
      <c r="DP287" s="537">
        <v>57.56</v>
      </c>
      <c r="DQ287" s="537">
        <v>-100.65</v>
      </c>
      <c r="DR287" s="537">
        <v>46.47</v>
      </c>
      <c r="DX287" s="530"/>
    </row>
    <row r="288" hidden="1">
      <c r="A288" s="531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  <c r="AT288" s="118"/>
      <c r="AU288" s="118"/>
      <c r="AV288" s="118"/>
      <c r="AW288" s="118"/>
      <c r="AX288" s="118"/>
      <c r="AY288" s="118"/>
      <c r="AZ288" s="118"/>
      <c r="BA288" s="118"/>
      <c r="BB288" s="118"/>
      <c r="BC288" s="118"/>
      <c r="BD288" s="118"/>
      <c r="BE288" s="118"/>
      <c r="BF288" s="118"/>
      <c r="BG288" s="118"/>
      <c r="BH288" s="118"/>
      <c r="BI288" s="118"/>
      <c r="BJ288" s="118"/>
      <c r="BK288" s="118"/>
      <c r="BL288" s="118"/>
      <c r="BM288" s="118"/>
      <c r="BN288" s="118"/>
      <c r="BO288" s="118"/>
      <c r="BP288" s="118"/>
      <c r="BQ288" s="118"/>
      <c r="BR288" s="118"/>
      <c r="BS288" s="118"/>
      <c r="BT288" s="118"/>
      <c r="BU288" s="118"/>
      <c r="BV288" s="118"/>
      <c r="BW288" s="118"/>
      <c r="BX288" s="118"/>
      <c r="BY288" s="118"/>
      <c r="BZ288" s="118"/>
      <c r="CA288" s="118"/>
      <c r="CB288" s="118"/>
      <c r="CC288" s="118"/>
      <c r="CD288" s="118"/>
      <c r="CE288" s="118"/>
      <c r="CF288" s="118"/>
      <c r="CG288" s="118"/>
      <c r="CH288" s="118"/>
      <c r="CI288" s="118"/>
      <c r="CJ288" s="118"/>
      <c r="CK288" s="118"/>
      <c r="CL288" s="118"/>
      <c r="CM288" s="118"/>
      <c r="CN288" s="118"/>
      <c r="CO288" s="546"/>
      <c r="CP288" s="118"/>
      <c r="CQ288" s="118"/>
      <c r="CR288" s="118"/>
      <c r="CS288" s="546"/>
      <c r="CT288" s="118"/>
      <c r="CU288" s="118"/>
      <c r="CV288" s="118"/>
      <c r="CW288" s="118"/>
      <c r="CX288" s="118"/>
      <c r="CY288" s="118"/>
      <c r="CZ288" s="118"/>
      <c r="DA288" s="118"/>
      <c r="DB288" s="118"/>
      <c r="DC288" s="118"/>
      <c r="DD288" s="118"/>
      <c r="DE288" s="118"/>
      <c r="DF288" s="118"/>
      <c r="DG288" s="118"/>
      <c r="DH288" s="118"/>
      <c r="DI288" s="118"/>
      <c r="DJ288" s="118"/>
      <c r="DK288" s="118"/>
      <c r="DL288" s="118"/>
      <c r="DM288" s="118"/>
      <c r="DN288" s="118"/>
      <c r="DO288" s="118"/>
      <c r="DP288" s="118"/>
      <c r="DQ288" s="118"/>
      <c r="DR288" s="118"/>
      <c r="DX288" s="530"/>
    </row>
    <row r="289" hidden="1">
      <c r="A289" s="531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  <c r="AT289" s="118"/>
      <c r="AU289" s="118"/>
      <c r="AV289" s="118"/>
      <c r="AW289" s="118"/>
      <c r="AX289" s="118"/>
      <c r="AY289" s="118"/>
      <c r="AZ289" s="118"/>
      <c r="BA289" s="118"/>
      <c r="BB289" s="118"/>
      <c r="BC289" s="118"/>
      <c r="BD289" s="118"/>
      <c r="BE289" s="118"/>
      <c r="BF289" s="118"/>
      <c r="BG289" s="118"/>
      <c r="BH289" s="118"/>
      <c r="BI289" s="118"/>
      <c r="BJ289" s="118"/>
      <c r="BK289" s="118"/>
      <c r="BL289" s="118"/>
      <c r="BM289" s="118"/>
      <c r="BN289" s="118"/>
      <c r="BO289" s="118"/>
      <c r="BP289" s="118"/>
      <c r="BQ289" s="118"/>
      <c r="BR289" s="118"/>
      <c r="BS289" s="118"/>
      <c r="BT289" s="118"/>
      <c r="BU289" s="118"/>
      <c r="BV289" s="118"/>
      <c r="BW289" s="118"/>
      <c r="BX289" s="118"/>
      <c r="BY289" s="118"/>
      <c r="BZ289" s="118"/>
      <c r="CA289" s="118"/>
      <c r="CB289" s="118"/>
      <c r="CC289" s="118"/>
      <c r="CD289" s="118"/>
      <c r="CE289" s="118"/>
      <c r="CF289" s="118"/>
      <c r="CG289" s="118"/>
      <c r="CH289" s="118"/>
      <c r="CI289" s="118"/>
      <c r="CJ289" s="118"/>
      <c r="CK289" s="118"/>
      <c r="CL289" s="118"/>
      <c r="CM289" s="118"/>
      <c r="CN289" s="118"/>
      <c r="CO289" s="118"/>
      <c r="CP289" s="118"/>
      <c r="CQ289" s="118"/>
      <c r="CR289" s="118"/>
      <c r="CS289" s="118"/>
      <c r="CT289" s="118"/>
      <c r="CU289" s="118"/>
      <c r="CV289" s="118"/>
      <c r="CW289" s="118"/>
      <c r="CX289" s="118"/>
      <c r="CY289" s="118"/>
      <c r="CZ289" s="118"/>
      <c r="DA289" s="118"/>
      <c r="DB289" s="118"/>
      <c r="DC289" s="118"/>
      <c r="DD289" s="118"/>
      <c r="DE289" s="118"/>
      <c r="DF289" s="118"/>
      <c r="DG289" s="118"/>
      <c r="DH289" s="118"/>
      <c r="DI289" s="118"/>
      <c r="DJ289" s="118"/>
      <c r="DK289" s="118"/>
      <c r="DL289" s="118"/>
      <c r="DM289" s="118"/>
      <c r="DN289" s="118"/>
      <c r="DO289" s="118"/>
      <c r="DP289" s="118"/>
      <c r="DQ289" s="118"/>
      <c r="DR289" s="118"/>
      <c r="DX289" s="530"/>
    </row>
    <row r="290" hidden="1">
      <c r="A290" s="500" t="s">
        <v>295</v>
      </c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  <c r="AT290" s="118"/>
      <c r="AU290" s="118"/>
      <c r="AV290" s="118"/>
      <c r="AW290" s="118"/>
      <c r="AX290" s="118"/>
      <c r="AY290" s="118"/>
      <c r="AZ290" s="118"/>
      <c r="BA290" s="118"/>
      <c r="BB290" s="118"/>
      <c r="BC290" s="118"/>
      <c r="BD290" s="118"/>
      <c r="BE290" s="118"/>
      <c r="BF290" s="118"/>
      <c r="BG290" s="118"/>
      <c r="BH290" s="118"/>
      <c r="BI290" s="118"/>
      <c r="BJ290" s="118"/>
      <c r="BK290" s="118"/>
      <c r="BL290" s="118"/>
      <c r="BM290" s="118"/>
      <c r="BN290" s="118"/>
      <c r="BO290" s="118"/>
      <c r="BP290" s="118"/>
      <c r="BQ290" s="118"/>
      <c r="BR290" s="118"/>
      <c r="BS290" s="118"/>
      <c r="BT290" s="118"/>
      <c r="BU290" s="118"/>
      <c r="BV290" s="118"/>
      <c r="BW290" s="118"/>
      <c r="BX290" s="118"/>
      <c r="BY290" s="118"/>
      <c r="BZ290" s="118"/>
      <c r="CA290" s="118"/>
      <c r="CB290" s="118"/>
      <c r="CC290" s="118"/>
      <c r="CD290" s="118"/>
      <c r="CE290" s="118"/>
      <c r="CF290" s="118"/>
      <c r="CG290" s="118"/>
      <c r="CH290" s="118"/>
      <c r="CI290" s="118"/>
      <c r="CJ290" s="118"/>
      <c r="CK290" s="118"/>
      <c r="CL290" s="118"/>
      <c r="CM290" s="118"/>
      <c r="CN290" s="546" t="s">
        <v>352</v>
      </c>
      <c r="CO290" s="546" t="s">
        <v>352</v>
      </c>
      <c r="CP290" s="546" t="s">
        <v>365</v>
      </c>
      <c r="CQ290" s="546" t="s">
        <v>365</v>
      </c>
      <c r="CR290" s="546" t="s">
        <v>352</v>
      </c>
      <c r="CS290" s="546" t="s">
        <v>352</v>
      </c>
      <c r="CT290" s="546" t="s">
        <v>365</v>
      </c>
      <c r="CU290" s="546" t="s">
        <v>352</v>
      </c>
      <c r="CV290" s="546" t="s">
        <v>365</v>
      </c>
      <c r="CW290" s="546" t="s">
        <v>365</v>
      </c>
      <c r="CX290" s="546" t="s">
        <v>352</v>
      </c>
      <c r="CY290" s="546" t="s">
        <v>352</v>
      </c>
      <c r="CZ290" s="546" t="s">
        <v>352</v>
      </c>
      <c r="DA290" s="546" t="s">
        <v>352</v>
      </c>
      <c r="DB290" s="546" t="s">
        <v>365</v>
      </c>
      <c r="DC290" s="546" t="s">
        <v>365</v>
      </c>
      <c r="DD290" s="581" t="s">
        <v>352</v>
      </c>
      <c r="DE290" s="546" t="s">
        <v>318</v>
      </c>
      <c r="DF290" s="546" t="s">
        <v>365</v>
      </c>
      <c r="DG290" s="546" t="s">
        <v>365</v>
      </c>
      <c r="DH290" s="546" t="s">
        <v>378</v>
      </c>
      <c r="DI290" s="546" t="s">
        <v>358</v>
      </c>
      <c r="DJ290" s="546" t="s">
        <v>358</v>
      </c>
      <c r="DK290" s="546" t="s">
        <v>365</v>
      </c>
      <c r="DL290" s="546" t="s">
        <v>365</v>
      </c>
      <c r="DM290" s="546" t="s">
        <v>358</v>
      </c>
      <c r="DN290" s="546" t="s">
        <v>358</v>
      </c>
      <c r="DO290" s="546" t="s">
        <v>365</v>
      </c>
      <c r="DP290" s="546" t="s">
        <v>365</v>
      </c>
      <c r="DQ290" s="546" t="s">
        <v>358</v>
      </c>
      <c r="DR290" s="546" t="s">
        <v>358</v>
      </c>
      <c r="DT290" s="520" t="s">
        <v>306</v>
      </c>
      <c r="DU290" s="520" t="s">
        <v>332</v>
      </c>
      <c r="DX290" s="530"/>
    </row>
    <row r="291" hidden="1">
      <c r="A291" s="502" t="s">
        <v>288</v>
      </c>
      <c r="B291" s="525"/>
      <c r="C291" s="525"/>
      <c r="D291" s="525"/>
      <c r="E291" s="525"/>
      <c r="F291" s="525"/>
      <c r="G291" s="525"/>
      <c r="H291" s="525"/>
      <c r="I291" s="525"/>
      <c r="J291" s="525"/>
      <c r="K291" s="525"/>
      <c r="L291" s="525"/>
      <c r="M291" s="525"/>
      <c r="N291" s="525"/>
      <c r="O291" s="525"/>
      <c r="P291" s="525"/>
      <c r="Q291" s="525"/>
      <c r="R291" s="525"/>
      <c r="S291" s="525"/>
      <c r="T291" s="525"/>
      <c r="U291" s="525"/>
      <c r="V291" s="525"/>
      <c r="W291" s="525"/>
      <c r="X291" s="525"/>
      <c r="Y291" s="525"/>
      <c r="Z291" s="525"/>
      <c r="AA291" s="525"/>
      <c r="AB291" s="525"/>
      <c r="AC291" s="525"/>
      <c r="AD291" s="525"/>
      <c r="AE291" s="525"/>
      <c r="AF291" s="525"/>
      <c r="AG291" s="525"/>
      <c r="AH291" s="525"/>
      <c r="AI291" s="525"/>
      <c r="AJ291" s="525"/>
      <c r="AK291" s="525"/>
      <c r="AL291" s="525"/>
      <c r="AM291" s="525"/>
      <c r="AN291" s="525"/>
      <c r="AO291" s="525"/>
      <c r="AP291" s="525"/>
      <c r="AQ291" s="525"/>
      <c r="AR291" s="525"/>
      <c r="AS291" s="525"/>
      <c r="AT291" s="525"/>
      <c r="AU291" s="525"/>
      <c r="AV291" s="525"/>
      <c r="AW291" s="525"/>
      <c r="AX291" s="525"/>
      <c r="AY291" s="525"/>
      <c r="AZ291" s="525"/>
      <c r="BA291" s="525"/>
      <c r="BB291" s="525"/>
      <c r="BC291" s="525"/>
      <c r="BD291" s="525"/>
      <c r="BE291" s="525"/>
      <c r="BF291" s="525"/>
      <c r="BG291" s="525"/>
      <c r="BH291" s="525"/>
      <c r="BI291" s="525"/>
      <c r="BJ291" s="525"/>
      <c r="BK291" s="541">
        <v>45689.0</v>
      </c>
      <c r="BL291" s="541">
        <v>45690.0</v>
      </c>
      <c r="BM291" s="541">
        <v>45691.0</v>
      </c>
      <c r="BN291" s="541">
        <v>45692.0</v>
      </c>
      <c r="BO291" s="541">
        <v>45693.0</v>
      </c>
      <c r="BP291" s="541">
        <v>45694.0</v>
      </c>
      <c r="BQ291" s="541">
        <v>45695.0</v>
      </c>
      <c r="BR291" s="541">
        <v>45696.0</v>
      </c>
      <c r="BS291" s="541">
        <v>45697.0</v>
      </c>
      <c r="BT291" s="541">
        <v>45698.0</v>
      </c>
      <c r="BU291" s="541">
        <v>45699.0</v>
      </c>
      <c r="BV291" s="541">
        <v>45700.0</v>
      </c>
      <c r="BW291" s="541">
        <v>45701.0</v>
      </c>
      <c r="BX291" s="541">
        <v>45702.0</v>
      </c>
      <c r="BY291" s="541">
        <v>45703.0</v>
      </c>
      <c r="BZ291" s="541">
        <v>45704.0</v>
      </c>
      <c r="CA291" s="541">
        <v>45705.0</v>
      </c>
      <c r="CB291" s="541">
        <v>45706.0</v>
      </c>
      <c r="CC291" s="541">
        <v>45707.0</v>
      </c>
      <c r="CD291" s="541">
        <v>45708.0</v>
      </c>
      <c r="CE291" s="541">
        <v>45709.0</v>
      </c>
      <c r="CF291" s="541">
        <v>45710.0</v>
      </c>
      <c r="CG291" s="541">
        <v>45711.0</v>
      </c>
      <c r="CH291" s="541">
        <v>45712.0</v>
      </c>
      <c r="CI291" s="541">
        <v>45713.0</v>
      </c>
      <c r="CJ291" s="541">
        <v>45714.0</v>
      </c>
      <c r="CK291" s="541">
        <v>45715.0</v>
      </c>
      <c r="CL291" s="541">
        <v>45716.0</v>
      </c>
      <c r="CM291" s="541"/>
      <c r="CN291" s="541">
        <v>45931.0</v>
      </c>
      <c r="CO291" s="541">
        <v>45932.0</v>
      </c>
      <c r="CP291" s="541">
        <v>45933.0</v>
      </c>
      <c r="CQ291" s="541">
        <v>45934.0</v>
      </c>
      <c r="CR291" s="541">
        <v>45935.0</v>
      </c>
      <c r="CS291" s="541">
        <v>45936.0</v>
      </c>
      <c r="CT291" s="541">
        <v>45937.0</v>
      </c>
      <c r="CU291" s="541">
        <v>45938.0</v>
      </c>
      <c r="CV291" s="541">
        <v>45939.0</v>
      </c>
      <c r="CW291" s="541">
        <v>45940.0</v>
      </c>
      <c r="CX291" s="541">
        <v>45941.0</v>
      </c>
      <c r="CY291" s="541">
        <v>45942.0</v>
      </c>
      <c r="CZ291" s="541">
        <v>45943.0</v>
      </c>
      <c r="DA291" s="541">
        <v>45944.0</v>
      </c>
      <c r="DB291" s="541">
        <v>45945.0</v>
      </c>
      <c r="DC291" s="541">
        <v>45946.0</v>
      </c>
      <c r="DD291" s="541">
        <v>45947.0</v>
      </c>
      <c r="DE291" s="541">
        <v>45948.0</v>
      </c>
      <c r="DF291" s="541">
        <v>45949.0</v>
      </c>
      <c r="DG291" s="541">
        <v>45950.0</v>
      </c>
      <c r="DH291" s="541">
        <v>45951.0</v>
      </c>
      <c r="DI291" s="541">
        <v>45952.0</v>
      </c>
      <c r="DJ291" s="541">
        <v>45953.0</v>
      </c>
      <c r="DK291" s="541">
        <v>45954.0</v>
      </c>
      <c r="DL291" s="541">
        <v>45955.0</v>
      </c>
      <c r="DM291" s="541">
        <v>45956.0</v>
      </c>
      <c r="DN291" s="541">
        <v>45957.0</v>
      </c>
      <c r="DO291" s="541">
        <v>45958.0</v>
      </c>
      <c r="DP291" s="541">
        <v>45959.0</v>
      </c>
      <c r="DQ291" s="541">
        <v>45960.0</v>
      </c>
      <c r="DR291" s="542">
        <v>45961.0</v>
      </c>
      <c r="DS291" s="520" t="s">
        <v>347</v>
      </c>
      <c r="DT291" s="574">
        <f>DI294+DJ294+DM294+DN294+DQ294+DR294</f>
        <v>-187.82</v>
      </c>
      <c r="DU291" s="574">
        <f>100*1</f>
        <v>100</v>
      </c>
      <c r="DW291" s="574">
        <f t="shared" ref="DW291:DW292" si="6">SUM(CN292:DR292)</f>
        <v>2848</v>
      </c>
      <c r="DX291" s="530">
        <f>DW291/30</f>
        <v>94.93333333</v>
      </c>
    </row>
    <row r="292" hidden="1">
      <c r="A292" s="502" t="s">
        <v>289</v>
      </c>
      <c r="B292" s="525"/>
      <c r="C292" s="525"/>
      <c r="D292" s="525"/>
      <c r="E292" s="525"/>
      <c r="F292" s="525"/>
      <c r="G292" s="525"/>
      <c r="H292" s="525"/>
      <c r="I292" s="525"/>
      <c r="J292" s="525"/>
      <c r="K292" s="525"/>
      <c r="L292" s="525"/>
      <c r="M292" s="525"/>
      <c r="N292" s="525"/>
      <c r="O292" s="525"/>
      <c r="P292" s="525"/>
      <c r="Q292" s="525"/>
      <c r="R292" s="525"/>
      <c r="S292" s="525"/>
      <c r="T292" s="525"/>
      <c r="U292" s="525"/>
      <c r="V292" s="525"/>
      <c r="W292" s="525"/>
      <c r="X292" s="525"/>
      <c r="Y292" s="525"/>
      <c r="Z292" s="525"/>
      <c r="AA292" s="525"/>
      <c r="AB292" s="525"/>
      <c r="AC292" s="525"/>
      <c r="AD292" s="525"/>
      <c r="AE292" s="525"/>
      <c r="AF292" s="525"/>
      <c r="AG292" s="525"/>
      <c r="AH292" s="525"/>
      <c r="AI292" s="525"/>
      <c r="AJ292" s="525"/>
      <c r="AK292" s="525"/>
      <c r="AL292" s="525"/>
      <c r="AM292" s="525"/>
      <c r="AN292" s="525"/>
      <c r="AO292" s="525"/>
      <c r="AP292" s="525"/>
      <c r="AQ292" s="525"/>
      <c r="AR292" s="525"/>
      <c r="AS292" s="525"/>
      <c r="AT292" s="525"/>
      <c r="AU292" s="525"/>
      <c r="AV292" s="525"/>
      <c r="AW292" s="525"/>
      <c r="AX292" s="525"/>
      <c r="AY292" s="525"/>
      <c r="AZ292" s="525"/>
      <c r="BA292" s="525"/>
      <c r="BB292" s="525"/>
      <c r="BC292" s="525"/>
      <c r="BD292" s="525"/>
      <c r="BE292" s="525"/>
      <c r="BF292" s="525"/>
      <c r="BG292" s="525"/>
      <c r="BH292" s="525"/>
      <c r="BI292" s="525"/>
      <c r="BJ292" s="525"/>
      <c r="BK292" s="512">
        <v>12.0</v>
      </c>
      <c r="BL292" s="512">
        <v>16.0</v>
      </c>
      <c r="BM292" s="512">
        <v>37.0</v>
      </c>
      <c r="BN292" s="512">
        <v>24.0</v>
      </c>
      <c r="BO292" s="512">
        <v>23.0</v>
      </c>
      <c r="BP292" s="512">
        <v>48.0</v>
      </c>
      <c r="BQ292" s="512">
        <v>38.0</v>
      </c>
      <c r="BR292" s="512">
        <v>13.0</v>
      </c>
      <c r="BS292" s="512">
        <v>61.0</v>
      </c>
      <c r="BT292" s="512">
        <v>50.0</v>
      </c>
      <c r="BU292" s="512">
        <v>68.0</v>
      </c>
      <c r="BV292" s="512">
        <v>29.0</v>
      </c>
      <c r="BW292" s="512">
        <v>91.0</v>
      </c>
      <c r="BX292" s="512">
        <v>62.0</v>
      </c>
      <c r="BY292" s="512">
        <v>63.0</v>
      </c>
      <c r="BZ292" s="512">
        <v>64.0</v>
      </c>
      <c r="CA292" s="512">
        <v>76.0</v>
      </c>
      <c r="CB292" s="512">
        <v>49.0</v>
      </c>
      <c r="CC292" s="512">
        <v>63.0</v>
      </c>
      <c r="CD292" s="512">
        <v>50.0</v>
      </c>
      <c r="CE292" s="512">
        <v>55.0</v>
      </c>
      <c r="CF292" s="512">
        <v>77.0</v>
      </c>
      <c r="CG292" s="512">
        <v>77.0</v>
      </c>
      <c r="CH292" s="512">
        <v>72.0</v>
      </c>
      <c r="CI292" s="512">
        <v>80.0</v>
      </c>
      <c r="CJ292" s="512">
        <v>89.0</v>
      </c>
      <c r="CK292" s="512">
        <v>64.0</v>
      </c>
      <c r="CL292" s="512">
        <v>82.0</v>
      </c>
      <c r="CM292" s="512"/>
      <c r="CN292" s="561">
        <v>113.0</v>
      </c>
      <c r="CO292" s="561">
        <v>105.0</v>
      </c>
      <c r="CP292" s="561">
        <v>99.0</v>
      </c>
      <c r="CQ292" s="561">
        <v>71.0</v>
      </c>
      <c r="CR292" s="561">
        <v>52.0</v>
      </c>
      <c r="CS292" s="561">
        <v>129.0</v>
      </c>
      <c r="CT292" s="561">
        <v>73.0</v>
      </c>
      <c r="CU292" s="561">
        <v>111.0</v>
      </c>
      <c r="CV292" s="561">
        <v>78.0</v>
      </c>
      <c r="CW292" s="561">
        <v>84.0</v>
      </c>
      <c r="CX292" s="561">
        <v>90.0</v>
      </c>
      <c r="CY292" s="561">
        <v>118.0</v>
      </c>
      <c r="CZ292" s="561">
        <v>97.0</v>
      </c>
      <c r="DA292" s="561">
        <v>90.0</v>
      </c>
      <c r="DB292" s="561">
        <v>98.0</v>
      </c>
      <c r="DC292" s="561">
        <v>107.0</v>
      </c>
      <c r="DD292" s="561">
        <v>82.0</v>
      </c>
      <c r="DE292" s="561">
        <v>91.0</v>
      </c>
      <c r="DF292" s="561">
        <v>107.0</v>
      </c>
      <c r="DG292" s="561">
        <v>75.0</v>
      </c>
      <c r="DH292" s="561">
        <v>106.0</v>
      </c>
      <c r="DI292" s="561">
        <v>91.0</v>
      </c>
      <c r="DJ292" s="561">
        <v>73.0</v>
      </c>
      <c r="DK292" s="561">
        <v>75.0</v>
      </c>
      <c r="DL292" s="561">
        <v>74.0</v>
      </c>
      <c r="DM292" s="561">
        <v>51.0</v>
      </c>
      <c r="DN292" s="561">
        <v>86.0</v>
      </c>
      <c r="DO292" s="561">
        <v>112.0</v>
      </c>
      <c r="DP292" s="561">
        <v>119.0</v>
      </c>
      <c r="DQ292" s="561">
        <v>65.0</v>
      </c>
      <c r="DR292" s="561">
        <v>126.0</v>
      </c>
      <c r="DS292" s="520" t="s">
        <v>334</v>
      </c>
      <c r="DT292" s="574">
        <f>DO294+DP294+DL294+DK294+DH294+DG294+DF294+DC294</f>
        <v>271.94</v>
      </c>
      <c r="DU292" s="574">
        <f>100*5</f>
        <v>500</v>
      </c>
      <c r="DW292" s="574">
        <f t="shared" si="6"/>
        <v>1139</v>
      </c>
      <c r="DX292" s="530"/>
    </row>
    <row r="293" hidden="1">
      <c r="A293" s="521" t="s">
        <v>290</v>
      </c>
      <c r="B293" s="525"/>
      <c r="C293" s="525"/>
      <c r="D293" s="525"/>
      <c r="E293" s="525"/>
      <c r="F293" s="525"/>
      <c r="G293" s="525"/>
      <c r="H293" s="525"/>
      <c r="I293" s="525"/>
      <c r="J293" s="525"/>
      <c r="K293" s="525"/>
      <c r="L293" s="525"/>
      <c r="M293" s="525"/>
      <c r="N293" s="525"/>
      <c r="O293" s="525"/>
      <c r="P293" s="525"/>
      <c r="Q293" s="525"/>
      <c r="R293" s="525"/>
      <c r="S293" s="525"/>
      <c r="T293" s="525"/>
      <c r="U293" s="525"/>
      <c r="V293" s="525"/>
      <c r="W293" s="525"/>
      <c r="X293" s="525"/>
      <c r="Y293" s="525"/>
      <c r="Z293" s="525"/>
      <c r="AA293" s="525"/>
      <c r="AB293" s="525"/>
      <c r="AC293" s="525"/>
      <c r="AD293" s="525"/>
      <c r="AE293" s="525"/>
      <c r="AF293" s="525"/>
      <c r="AG293" s="525"/>
      <c r="AH293" s="525"/>
      <c r="AI293" s="525"/>
      <c r="AJ293" s="525"/>
      <c r="AK293" s="525"/>
      <c r="AL293" s="525"/>
      <c r="AM293" s="525"/>
      <c r="AN293" s="525"/>
      <c r="AO293" s="525"/>
      <c r="AP293" s="525"/>
      <c r="AQ293" s="525"/>
      <c r="AR293" s="525"/>
      <c r="AS293" s="525"/>
      <c r="AT293" s="525"/>
      <c r="AU293" s="525"/>
      <c r="AV293" s="525"/>
      <c r="AW293" s="525"/>
      <c r="AX293" s="525"/>
      <c r="AY293" s="525"/>
      <c r="AZ293" s="525"/>
      <c r="BA293" s="525"/>
      <c r="BB293" s="525"/>
      <c r="BC293" s="525"/>
      <c r="BD293" s="525"/>
      <c r="BE293" s="525"/>
      <c r="BF293" s="525"/>
      <c r="BG293" s="525"/>
      <c r="BH293" s="525"/>
      <c r="BI293" s="525"/>
      <c r="BJ293" s="525"/>
      <c r="BK293" s="512">
        <v>8.0</v>
      </c>
      <c r="BL293" s="512">
        <v>9.0</v>
      </c>
      <c r="BM293" s="512">
        <v>16.0</v>
      </c>
      <c r="BN293" s="512">
        <v>12.0</v>
      </c>
      <c r="BO293" s="512">
        <v>12.0</v>
      </c>
      <c r="BP293" s="512">
        <v>18.0</v>
      </c>
      <c r="BQ293" s="512">
        <v>20.0</v>
      </c>
      <c r="BR293" s="512">
        <v>6.0</v>
      </c>
      <c r="BS293" s="512">
        <v>18.0</v>
      </c>
      <c r="BT293" s="512">
        <v>20.0</v>
      </c>
      <c r="BU293" s="512">
        <v>24.0</v>
      </c>
      <c r="BV293" s="512">
        <v>14.0</v>
      </c>
      <c r="BW293" s="512">
        <v>32.0</v>
      </c>
      <c r="BX293" s="512">
        <v>25.0</v>
      </c>
      <c r="BY293" s="512">
        <v>22.0</v>
      </c>
      <c r="BZ293" s="512">
        <v>29.0</v>
      </c>
      <c r="CA293" s="512">
        <v>18.0</v>
      </c>
      <c r="CB293" s="512">
        <v>23.0</v>
      </c>
      <c r="CC293" s="512">
        <v>26.0</v>
      </c>
      <c r="CD293" s="512">
        <v>22.0</v>
      </c>
      <c r="CE293" s="512">
        <v>23.0</v>
      </c>
      <c r="CF293" s="512">
        <v>36.0</v>
      </c>
      <c r="CG293" s="512">
        <v>36.0</v>
      </c>
      <c r="CH293" s="512">
        <v>23.0</v>
      </c>
      <c r="CI293" s="512">
        <v>36.0</v>
      </c>
      <c r="CJ293" s="512">
        <v>37.0</v>
      </c>
      <c r="CK293" s="512">
        <v>20.0</v>
      </c>
      <c r="CL293" s="512">
        <v>36.0</v>
      </c>
      <c r="CM293" s="552">
        <f>SUM(BK293:CL293)/28</f>
        <v>22.17857143</v>
      </c>
      <c r="CN293" s="561">
        <v>36.0</v>
      </c>
      <c r="CO293" s="561">
        <v>35.0</v>
      </c>
      <c r="CP293" s="561">
        <v>35.0</v>
      </c>
      <c r="CQ293" s="561">
        <v>30.0</v>
      </c>
      <c r="CR293" s="561">
        <v>29.0</v>
      </c>
      <c r="CS293" s="561">
        <v>41.0</v>
      </c>
      <c r="CT293" s="561">
        <v>33.0</v>
      </c>
      <c r="CU293" s="561">
        <v>33.0</v>
      </c>
      <c r="CV293" s="561">
        <v>30.0</v>
      </c>
      <c r="CW293" s="561">
        <v>38.0</v>
      </c>
      <c r="CX293" s="561">
        <v>33.0</v>
      </c>
      <c r="CY293" s="561">
        <v>39.0</v>
      </c>
      <c r="CZ293" s="561">
        <v>37.0</v>
      </c>
      <c r="DA293" s="561">
        <v>41.0</v>
      </c>
      <c r="DB293" s="561">
        <v>36.0</v>
      </c>
      <c r="DC293" s="561">
        <v>46.0</v>
      </c>
      <c r="DD293" s="561">
        <v>40.0</v>
      </c>
      <c r="DE293" s="561">
        <v>43.0</v>
      </c>
      <c r="DF293" s="561">
        <v>42.0</v>
      </c>
      <c r="DG293" s="561">
        <v>35.0</v>
      </c>
      <c r="DH293" s="561">
        <v>45.0</v>
      </c>
      <c r="DI293" s="584">
        <v>39.0</v>
      </c>
      <c r="DJ293" s="561">
        <v>37.0</v>
      </c>
      <c r="DK293" s="561">
        <v>32.0</v>
      </c>
      <c r="DL293" s="561">
        <v>34.0</v>
      </c>
      <c r="DM293" s="561">
        <v>28.0</v>
      </c>
      <c r="DN293" s="561">
        <v>38.0</v>
      </c>
      <c r="DO293" s="561">
        <v>47.0</v>
      </c>
      <c r="DP293" s="561">
        <v>42.0</v>
      </c>
      <c r="DQ293" s="561">
        <v>24.0</v>
      </c>
      <c r="DR293" s="561">
        <v>41.0</v>
      </c>
      <c r="DX293" s="530"/>
    </row>
    <row r="294" hidden="1">
      <c r="A294" s="502" t="s">
        <v>291</v>
      </c>
      <c r="B294" s="525"/>
      <c r="C294" s="525"/>
      <c r="D294" s="525"/>
      <c r="E294" s="525"/>
      <c r="F294" s="525"/>
      <c r="G294" s="525"/>
      <c r="H294" s="525"/>
      <c r="I294" s="525"/>
      <c r="J294" s="525"/>
      <c r="K294" s="525"/>
      <c r="L294" s="525"/>
      <c r="M294" s="525"/>
      <c r="N294" s="525"/>
      <c r="O294" s="525"/>
      <c r="P294" s="525"/>
      <c r="Q294" s="525"/>
      <c r="R294" s="525"/>
      <c r="S294" s="525"/>
      <c r="T294" s="525"/>
      <c r="U294" s="525"/>
      <c r="V294" s="525"/>
      <c r="W294" s="525"/>
      <c r="X294" s="525"/>
      <c r="Y294" s="525"/>
      <c r="Z294" s="525"/>
      <c r="AA294" s="525"/>
      <c r="AB294" s="525"/>
      <c r="AC294" s="525"/>
      <c r="AD294" s="525"/>
      <c r="AE294" s="525"/>
      <c r="AF294" s="525"/>
      <c r="AG294" s="525"/>
      <c r="AH294" s="525"/>
      <c r="AI294" s="525"/>
      <c r="AJ294" s="525"/>
      <c r="AK294" s="525"/>
      <c r="AL294" s="525"/>
      <c r="AM294" s="525"/>
      <c r="AN294" s="525"/>
      <c r="AO294" s="525"/>
      <c r="AP294" s="525"/>
      <c r="AQ294" s="525"/>
      <c r="AR294" s="525"/>
      <c r="AS294" s="525"/>
      <c r="AT294" s="525"/>
      <c r="AU294" s="525"/>
      <c r="AV294" s="525"/>
      <c r="AW294" s="525"/>
      <c r="AX294" s="525"/>
      <c r="AY294" s="525"/>
      <c r="AZ294" s="525"/>
      <c r="BA294" s="525"/>
      <c r="BB294" s="525"/>
      <c r="BC294" s="525"/>
      <c r="BD294" s="525"/>
      <c r="BE294" s="525"/>
      <c r="BF294" s="525"/>
      <c r="BG294" s="525"/>
      <c r="BH294" s="525"/>
      <c r="BI294" s="525"/>
      <c r="BJ294" s="525"/>
      <c r="BK294" s="529">
        <v>10.85</v>
      </c>
      <c r="BL294" s="529">
        <v>8.12</v>
      </c>
      <c r="BM294" s="529">
        <v>8.91</v>
      </c>
      <c r="BN294" s="529">
        <v>12.38</v>
      </c>
      <c r="BO294" s="529">
        <v>10.65</v>
      </c>
      <c r="BP294" s="529">
        <v>10.65</v>
      </c>
      <c r="BQ294" s="529">
        <v>11.69</v>
      </c>
      <c r="BR294" s="529">
        <v>13.24</v>
      </c>
      <c r="BS294" s="529">
        <v>20.49</v>
      </c>
      <c r="BT294" s="529">
        <v>9.99</v>
      </c>
      <c r="BU294" s="529">
        <v>18.07</v>
      </c>
      <c r="BV294" s="529">
        <v>2.6</v>
      </c>
      <c r="BW294" s="529">
        <v>15.52</v>
      </c>
      <c r="BX294" s="529">
        <v>-84.66</v>
      </c>
      <c r="BY294" s="529">
        <v>-0.49</v>
      </c>
      <c r="BZ294" s="529">
        <v>29.94</v>
      </c>
      <c r="CA294" s="529">
        <v>10.04</v>
      </c>
      <c r="CB294" s="529">
        <v>12.42</v>
      </c>
      <c r="CC294" s="529">
        <v>-21.42</v>
      </c>
      <c r="CD294" s="529">
        <v>18.39</v>
      </c>
      <c r="CE294" s="529">
        <v>14.56</v>
      </c>
      <c r="CF294" s="529">
        <v>-79.95</v>
      </c>
      <c r="CG294" s="529">
        <v>34.0</v>
      </c>
      <c r="CH294" s="529">
        <v>39.31</v>
      </c>
      <c r="CI294" s="529">
        <v>25.66</v>
      </c>
      <c r="CJ294" s="529">
        <v>-74.91</v>
      </c>
      <c r="CK294" s="529">
        <v>-183.09</v>
      </c>
      <c r="CL294" s="529">
        <v>-114.25</v>
      </c>
      <c r="CM294" s="529"/>
      <c r="CN294" s="537">
        <v>-78.24</v>
      </c>
      <c r="CO294" s="537">
        <v>45.98</v>
      </c>
      <c r="CP294" s="537">
        <v>47.79</v>
      </c>
      <c r="CQ294" s="537">
        <v>53.89</v>
      </c>
      <c r="CR294" s="537">
        <v>63.5</v>
      </c>
      <c r="CS294" s="537">
        <v>38.7</v>
      </c>
      <c r="CT294" s="537">
        <v>42.6</v>
      </c>
      <c r="CU294" s="537">
        <v>40.59</v>
      </c>
      <c r="CV294" s="512">
        <v>56.36</v>
      </c>
      <c r="CW294" s="537">
        <v>43.64</v>
      </c>
      <c r="CX294" s="537">
        <v>48.05</v>
      </c>
      <c r="CY294" s="537">
        <v>24.59</v>
      </c>
      <c r="CZ294" s="537">
        <v>155.72</v>
      </c>
      <c r="DA294" s="537">
        <v>63.36</v>
      </c>
      <c r="DB294" s="537">
        <v>56.09</v>
      </c>
      <c r="DC294" s="537">
        <v>35.68</v>
      </c>
      <c r="DD294" s="537">
        <v>20.87</v>
      </c>
      <c r="DE294" s="537">
        <v>37.85</v>
      </c>
      <c r="DF294" s="537">
        <v>33.49</v>
      </c>
      <c r="DG294" s="537">
        <v>43.79</v>
      </c>
      <c r="DH294" s="537">
        <v>37.27</v>
      </c>
      <c r="DI294" s="537">
        <v>18.2</v>
      </c>
      <c r="DJ294" s="537">
        <v>21.36</v>
      </c>
      <c r="DK294" s="537">
        <v>26.73</v>
      </c>
      <c r="DL294" s="537">
        <v>24.77</v>
      </c>
      <c r="DM294" s="537">
        <v>35.37</v>
      </c>
      <c r="DN294" s="537">
        <v>45.74</v>
      </c>
      <c r="DO294" s="537">
        <v>27.88</v>
      </c>
      <c r="DP294" s="537">
        <v>42.33</v>
      </c>
      <c r="DQ294" s="537">
        <v>21.01</v>
      </c>
      <c r="DR294" s="537">
        <v>-329.5</v>
      </c>
      <c r="DX294" s="530"/>
    </row>
    <row r="295" hidden="1">
      <c r="A295" s="531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X295" s="530"/>
    </row>
    <row r="296" hidden="1">
      <c r="A296" s="531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5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X296" s="530"/>
    </row>
    <row r="297" hidden="1">
      <c r="A297" s="500" t="s">
        <v>49</v>
      </c>
      <c r="CN297" s="105" t="s">
        <v>355</v>
      </c>
      <c r="CO297" s="105" t="s">
        <v>346</v>
      </c>
      <c r="CP297" s="105" t="s">
        <v>379</v>
      </c>
      <c r="CQ297" s="105" t="s">
        <v>355</v>
      </c>
      <c r="CR297" s="105" t="s">
        <v>379</v>
      </c>
      <c r="CS297" s="105" t="s">
        <v>355</v>
      </c>
      <c r="CT297" s="105" t="s">
        <v>379</v>
      </c>
      <c r="CU297" s="105" t="s">
        <v>355</v>
      </c>
      <c r="CV297" s="105" t="s">
        <v>355</v>
      </c>
      <c r="CW297" s="105" t="s">
        <v>379</v>
      </c>
      <c r="CX297" s="105" t="s">
        <v>380</v>
      </c>
      <c r="CY297" s="105" t="s">
        <v>380</v>
      </c>
      <c r="CZ297" s="105" t="s">
        <v>379</v>
      </c>
      <c r="DA297" s="105" t="s">
        <v>380</v>
      </c>
      <c r="DB297" s="105" t="s">
        <v>380</v>
      </c>
      <c r="DC297" s="105" t="s">
        <v>379</v>
      </c>
      <c r="DD297" s="585" t="s">
        <v>379</v>
      </c>
      <c r="DE297" s="105" t="s">
        <v>380</v>
      </c>
      <c r="DF297" s="105" t="s">
        <v>380</v>
      </c>
      <c r="DG297" s="585" t="s">
        <v>379</v>
      </c>
      <c r="DH297" s="585" t="s">
        <v>379</v>
      </c>
      <c r="DI297" s="105" t="s">
        <v>380</v>
      </c>
      <c r="DJ297" s="105" t="s">
        <v>380</v>
      </c>
      <c r="DK297" s="585" t="s">
        <v>379</v>
      </c>
      <c r="DL297" s="585" t="s">
        <v>379</v>
      </c>
      <c r="DM297" s="105" t="s">
        <v>380</v>
      </c>
      <c r="DN297" s="105" t="s">
        <v>380</v>
      </c>
      <c r="DO297" s="585" t="s">
        <v>379</v>
      </c>
      <c r="DP297" s="585" t="s">
        <v>379</v>
      </c>
      <c r="DQ297" s="105" t="s">
        <v>380</v>
      </c>
      <c r="DR297" s="105" t="s">
        <v>380</v>
      </c>
      <c r="DT297" s="520" t="s">
        <v>306</v>
      </c>
      <c r="DU297" s="520" t="s">
        <v>332</v>
      </c>
      <c r="DX297" s="530"/>
    </row>
    <row r="298" hidden="1">
      <c r="A298" s="502" t="s">
        <v>288</v>
      </c>
      <c r="CN298" s="541">
        <v>45931.0</v>
      </c>
      <c r="CO298" s="541">
        <v>45932.0</v>
      </c>
      <c r="CP298" s="541">
        <v>45933.0</v>
      </c>
      <c r="CQ298" s="541">
        <v>45934.0</v>
      </c>
      <c r="CR298" s="541">
        <v>45935.0</v>
      </c>
      <c r="CS298" s="541">
        <v>45936.0</v>
      </c>
      <c r="CT298" s="541">
        <v>45937.0</v>
      </c>
      <c r="CU298" s="541">
        <v>45938.0</v>
      </c>
      <c r="CV298" s="541">
        <v>45939.0</v>
      </c>
      <c r="CW298" s="541">
        <v>45940.0</v>
      </c>
      <c r="CX298" s="541">
        <v>45941.0</v>
      </c>
      <c r="CY298" s="541">
        <v>45942.0</v>
      </c>
      <c r="CZ298" s="541">
        <v>45943.0</v>
      </c>
      <c r="DA298" s="541">
        <v>45944.0</v>
      </c>
      <c r="DB298" s="541">
        <v>45945.0</v>
      </c>
      <c r="DC298" s="541">
        <v>45946.0</v>
      </c>
      <c r="DD298" s="541">
        <v>45947.0</v>
      </c>
      <c r="DE298" s="541">
        <v>45948.0</v>
      </c>
      <c r="DF298" s="541">
        <v>45949.0</v>
      </c>
      <c r="DG298" s="541">
        <v>45950.0</v>
      </c>
      <c r="DH298" s="541">
        <v>45951.0</v>
      </c>
      <c r="DI298" s="541">
        <v>45952.0</v>
      </c>
      <c r="DJ298" s="541">
        <v>45953.0</v>
      </c>
      <c r="DK298" s="541">
        <v>45954.0</v>
      </c>
      <c r="DL298" s="541">
        <v>45955.0</v>
      </c>
      <c r="DM298" s="541">
        <v>45956.0</v>
      </c>
      <c r="DN298" s="541">
        <v>45957.0</v>
      </c>
      <c r="DO298" s="541">
        <v>45958.0</v>
      </c>
      <c r="DP298" s="541">
        <v>45959.0</v>
      </c>
      <c r="DQ298" s="541">
        <v>45960.0</v>
      </c>
      <c r="DR298" s="542">
        <v>45961.0</v>
      </c>
      <c r="DS298" s="520" t="s">
        <v>381</v>
      </c>
      <c r="DT298" s="520">
        <v>0.0</v>
      </c>
      <c r="DU298" s="520">
        <v>0.0</v>
      </c>
      <c r="DW298" s="574">
        <f t="shared" ref="DW298:DW299" si="7">SUM(CN299:DR299)</f>
        <v>4011</v>
      </c>
      <c r="DX298" s="530">
        <f>DW298/30</f>
        <v>133.7</v>
      </c>
    </row>
    <row r="299" hidden="1">
      <c r="A299" s="502" t="s">
        <v>289</v>
      </c>
      <c r="CN299" s="561">
        <v>125.0</v>
      </c>
      <c r="CO299" s="561">
        <v>175.0</v>
      </c>
      <c r="CP299" s="561">
        <v>133.0</v>
      </c>
      <c r="CQ299" s="561">
        <v>113.0</v>
      </c>
      <c r="CR299" s="561">
        <v>130.0</v>
      </c>
      <c r="CS299" s="561">
        <v>138.0</v>
      </c>
      <c r="CT299" s="561">
        <v>149.0</v>
      </c>
      <c r="CU299" s="561">
        <v>104.0</v>
      </c>
      <c r="CV299" s="561">
        <v>123.0</v>
      </c>
      <c r="CW299" s="561">
        <v>81.0</v>
      </c>
      <c r="CX299" s="561">
        <v>171.0</v>
      </c>
      <c r="CY299" s="561">
        <v>141.0</v>
      </c>
      <c r="CZ299" s="561">
        <v>128.0</v>
      </c>
      <c r="DA299" s="561">
        <v>101.0</v>
      </c>
      <c r="DB299" s="561">
        <v>91.0</v>
      </c>
      <c r="DC299" s="561">
        <v>131.0</v>
      </c>
      <c r="DD299" s="561">
        <v>139.0</v>
      </c>
      <c r="DE299" s="561">
        <v>128.0</v>
      </c>
      <c r="DF299" s="561">
        <v>83.0</v>
      </c>
      <c r="DG299" s="561">
        <v>138.0</v>
      </c>
      <c r="DH299" s="561">
        <v>166.0</v>
      </c>
      <c r="DI299" s="561">
        <v>139.0</v>
      </c>
      <c r="DJ299" s="561">
        <v>137.0</v>
      </c>
      <c r="DK299" s="561">
        <v>149.0</v>
      </c>
      <c r="DL299" s="561">
        <v>148.0</v>
      </c>
      <c r="DM299" s="561">
        <v>121.0</v>
      </c>
      <c r="DN299" s="561">
        <v>118.0</v>
      </c>
      <c r="DO299" s="561">
        <v>150.0</v>
      </c>
      <c r="DP299" s="561">
        <v>104.0</v>
      </c>
      <c r="DQ299" s="561">
        <v>92.0</v>
      </c>
      <c r="DR299" s="561">
        <v>165.0</v>
      </c>
      <c r="DS299" s="520" t="s">
        <v>376</v>
      </c>
      <c r="DT299" s="574">
        <f>DE301+DF301+DI301+DJ301+DM301+DN301+DQ301+DR301</f>
        <v>224.79</v>
      </c>
      <c r="DU299" s="574">
        <f>100*6</f>
        <v>600</v>
      </c>
      <c r="DW299" s="574">
        <f t="shared" si="7"/>
        <v>1575</v>
      </c>
      <c r="DX299" s="530"/>
    </row>
    <row r="300" hidden="1">
      <c r="A300" s="521" t="s">
        <v>290</v>
      </c>
      <c r="CN300" s="561">
        <v>52.0</v>
      </c>
      <c r="CO300" s="561">
        <v>59.0</v>
      </c>
      <c r="CP300" s="561">
        <v>53.0</v>
      </c>
      <c r="CQ300" s="561">
        <v>47.0</v>
      </c>
      <c r="CR300" s="561">
        <v>58.0</v>
      </c>
      <c r="CS300" s="561">
        <v>52.0</v>
      </c>
      <c r="CT300" s="561">
        <v>53.0</v>
      </c>
      <c r="CU300" s="561">
        <v>44.0</v>
      </c>
      <c r="CV300" s="561">
        <v>45.0</v>
      </c>
      <c r="CW300" s="561">
        <v>42.0</v>
      </c>
      <c r="CX300" s="561">
        <v>55.0</v>
      </c>
      <c r="CY300" s="561">
        <v>46.0</v>
      </c>
      <c r="CZ300" s="561">
        <v>48.0</v>
      </c>
      <c r="DA300" s="561">
        <v>39.0</v>
      </c>
      <c r="DB300" s="561">
        <v>44.0</v>
      </c>
      <c r="DC300" s="561">
        <v>53.0</v>
      </c>
      <c r="DD300" s="561">
        <v>44.0</v>
      </c>
      <c r="DE300" s="561">
        <v>49.0</v>
      </c>
      <c r="DF300" s="561">
        <v>43.0</v>
      </c>
      <c r="DG300" s="561">
        <v>42.0</v>
      </c>
      <c r="DH300" s="561">
        <v>71.0</v>
      </c>
      <c r="DI300" s="561">
        <v>54.0</v>
      </c>
      <c r="DJ300" s="561">
        <v>56.0</v>
      </c>
      <c r="DK300" s="561">
        <v>57.0</v>
      </c>
      <c r="DL300" s="561">
        <v>55.0</v>
      </c>
      <c r="DM300" s="561">
        <v>54.0</v>
      </c>
      <c r="DN300" s="561">
        <v>49.0</v>
      </c>
      <c r="DO300" s="561">
        <v>60.0</v>
      </c>
      <c r="DP300" s="561">
        <v>53.0</v>
      </c>
      <c r="DQ300" s="561">
        <v>40.0</v>
      </c>
      <c r="DR300" s="561">
        <v>58.0</v>
      </c>
      <c r="DX300" s="530"/>
    </row>
    <row r="301" hidden="1">
      <c r="A301" s="502" t="s">
        <v>291</v>
      </c>
      <c r="CN301" s="537">
        <v>119.84</v>
      </c>
      <c r="CO301" s="537">
        <v>67.22</v>
      </c>
      <c r="CP301" s="537">
        <v>72.63</v>
      </c>
      <c r="CQ301" s="537">
        <v>114.88</v>
      </c>
      <c r="CR301" s="537">
        <v>-159.07</v>
      </c>
      <c r="CS301" s="537">
        <v>69.75</v>
      </c>
      <c r="CT301" s="537">
        <v>-183.48</v>
      </c>
      <c r="CU301" s="537">
        <v>58.86</v>
      </c>
      <c r="CV301" s="512">
        <v>80.37</v>
      </c>
      <c r="CW301" s="537">
        <v>69.32</v>
      </c>
      <c r="CX301" s="537">
        <v>77.5</v>
      </c>
      <c r="CY301" s="537">
        <v>26.98</v>
      </c>
      <c r="CZ301" s="537">
        <v>-84.8</v>
      </c>
      <c r="DA301" s="513">
        <v>60.49</v>
      </c>
      <c r="DB301" s="537">
        <v>61.03</v>
      </c>
      <c r="DC301" s="537">
        <v>70.14</v>
      </c>
      <c r="DD301" s="537">
        <v>56.1</v>
      </c>
      <c r="DE301" s="537">
        <v>63.51</v>
      </c>
      <c r="DF301" s="537">
        <v>63.63</v>
      </c>
      <c r="DG301" s="537">
        <v>-463.19</v>
      </c>
      <c r="DH301" s="537">
        <v>77.35</v>
      </c>
      <c r="DI301" s="537">
        <v>59.68</v>
      </c>
      <c r="DJ301" s="537">
        <v>-229.03</v>
      </c>
      <c r="DK301" s="537">
        <v>74.69</v>
      </c>
      <c r="DL301" s="537">
        <v>76.05</v>
      </c>
      <c r="DM301" s="537">
        <v>69.76</v>
      </c>
      <c r="DN301" s="537">
        <v>76.63</v>
      </c>
      <c r="DO301" s="537">
        <v>66.62</v>
      </c>
      <c r="DP301" s="537">
        <v>47.43</v>
      </c>
      <c r="DQ301" s="537">
        <v>56.79</v>
      </c>
      <c r="DR301" s="537">
        <v>63.82</v>
      </c>
      <c r="DX301" s="530"/>
    </row>
    <row r="302" hidden="1">
      <c r="A302" s="531"/>
      <c r="DX302" s="530"/>
    </row>
    <row r="303" hidden="1">
      <c r="A303" s="531"/>
      <c r="DX303" s="530"/>
    </row>
    <row r="304">
      <c r="A304" s="551" t="s">
        <v>382</v>
      </c>
      <c r="DX304" s="530"/>
    </row>
    <row r="305" hidden="1">
      <c r="A305" s="500" t="s">
        <v>2</v>
      </c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  <c r="AT305" s="118"/>
      <c r="AU305" s="118"/>
      <c r="AV305" s="118"/>
      <c r="AW305" s="118"/>
      <c r="AX305" s="118"/>
      <c r="AY305" s="118"/>
      <c r="AZ305" s="118"/>
      <c r="BA305" s="118"/>
      <c r="BB305" s="118"/>
      <c r="BC305" s="118"/>
      <c r="BD305" s="118"/>
      <c r="BE305" s="118"/>
      <c r="BF305" s="118"/>
      <c r="BG305" s="118"/>
      <c r="BH305" s="118"/>
      <c r="BI305" s="118"/>
      <c r="BJ305" s="118"/>
      <c r="BK305" s="118"/>
      <c r="BL305" s="118"/>
      <c r="BM305" s="118"/>
      <c r="BN305" s="118"/>
      <c r="BO305" s="118"/>
      <c r="BP305" s="118"/>
      <c r="BQ305" s="118"/>
      <c r="BR305" s="118"/>
      <c r="BS305" s="118"/>
      <c r="BT305" s="118"/>
      <c r="BU305" s="118"/>
      <c r="BV305" s="118"/>
      <c r="BW305" s="118"/>
      <c r="BX305" s="118"/>
      <c r="BY305" s="118"/>
      <c r="BZ305" s="118"/>
      <c r="CA305" s="118"/>
      <c r="CB305" s="118"/>
      <c r="CC305" s="118"/>
      <c r="CD305" s="118"/>
      <c r="CE305" s="118"/>
      <c r="CF305" s="118"/>
      <c r="CG305" s="118"/>
      <c r="CH305" s="118"/>
      <c r="CI305" s="118"/>
      <c r="CJ305" s="118"/>
      <c r="CK305" s="118"/>
      <c r="CL305" s="118"/>
      <c r="CM305" s="118"/>
      <c r="CN305" s="546" t="s">
        <v>351</v>
      </c>
      <c r="CO305" s="546" t="s">
        <v>351</v>
      </c>
      <c r="CP305" s="546" t="s">
        <v>331</v>
      </c>
      <c r="CQ305" s="546" t="s">
        <v>351</v>
      </c>
      <c r="CR305" s="546" t="s">
        <v>351</v>
      </c>
      <c r="CS305" s="546" t="s">
        <v>318</v>
      </c>
      <c r="CT305" s="546" t="s">
        <v>351</v>
      </c>
      <c r="CU305" s="546" t="s">
        <v>360</v>
      </c>
      <c r="CV305" s="546" t="s">
        <v>360</v>
      </c>
      <c r="CW305" s="582" t="s">
        <v>351</v>
      </c>
      <c r="CX305" s="582" t="s">
        <v>351</v>
      </c>
      <c r="CY305" s="546" t="s">
        <v>383</v>
      </c>
      <c r="CZ305" s="546" t="s">
        <v>383</v>
      </c>
      <c r="DA305" s="546" t="s">
        <v>351</v>
      </c>
      <c r="DB305" s="546" t="s">
        <v>351</v>
      </c>
      <c r="DC305" s="546" t="s">
        <v>360</v>
      </c>
      <c r="DD305" s="546" t="s">
        <v>383</v>
      </c>
      <c r="DE305" s="546" t="s">
        <v>351</v>
      </c>
      <c r="DF305" s="546" t="s">
        <v>351</v>
      </c>
      <c r="DG305" s="546" t="s">
        <v>383</v>
      </c>
      <c r="DH305" s="546" t="s">
        <v>383</v>
      </c>
      <c r="DI305" s="546" t="s">
        <v>351</v>
      </c>
      <c r="DJ305" s="546" t="s">
        <v>351</v>
      </c>
      <c r="DK305" s="546" t="s">
        <v>383</v>
      </c>
      <c r="DL305" s="546" t="s">
        <v>383</v>
      </c>
      <c r="DM305" s="546" t="s">
        <v>351</v>
      </c>
      <c r="DN305" s="546" t="s">
        <v>351</v>
      </c>
      <c r="DO305" s="546" t="s">
        <v>383</v>
      </c>
      <c r="DP305" s="546" t="s">
        <v>383</v>
      </c>
      <c r="DQ305" s="546" t="s">
        <v>351</v>
      </c>
      <c r="DR305" s="546"/>
      <c r="DT305" s="586" t="s">
        <v>384</v>
      </c>
      <c r="DU305" s="586" t="s">
        <v>332</v>
      </c>
      <c r="DX305" s="530"/>
    </row>
    <row r="306" hidden="1">
      <c r="A306" s="502" t="s">
        <v>288</v>
      </c>
      <c r="B306" s="525"/>
      <c r="C306" s="525"/>
      <c r="D306" s="525"/>
      <c r="E306" s="525"/>
      <c r="F306" s="525"/>
      <c r="G306" s="525"/>
      <c r="H306" s="525"/>
      <c r="I306" s="525"/>
      <c r="J306" s="525"/>
      <c r="K306" s="525"/>
      <c r="L306" s="525"/>
      <c r="M306" s="525"/>
      <c r="N306" s="525"/>
      <c r="O306" s="525"/>
      <c r="P306" s="525"/>
      <c r="Q306" s="525"/>
      <c r="R306" s="525"/>
      <c r="S306" s="525"/>
      <c r="T306" s="525"/>
      <c r="U306" s="525"/>
      <c r="V306" s="525"/>
      <c r="W306" s="525"/>
      <c r="X306" s="525"/>
      <c r="Y306" s="525"/>
      <c r="Z306" s="525"/>
      <c r="AA306" s="525"/>
      <c r="AB306" s="525"/>
      <c r="AC306" s="525"/>
      <c r="AD306" s="525"/>
      <c r="AE306" s="525"/>
      <c r="AF306" s="525"/>
      <c r="AG306" s="525"/>
      <c r="AH306" s="525"/>
      <c r="AI306" s="525"/>
      <c r="AJ306" s="525"/>
      <c r="AK306" s="525"/>
      <c r="AL306" s="525"/>
      <c r="AM306" s="525"/>
      <c r="AN306" s="525"/>
      <c r="AO306" s="525"/>
      <c r="AP306" s="525"/>
      <c r="AQ306" s="525"/>
      <c r="AR306" s="525"/>
      <c r="AS306" s="525"/>
      <c r="AT306" s="525"/>
      <c r="AU306" s="525"/>
      <c r="AV306" s="525"/>
      <c r="AW306" s="525"/>
      <c r="AX306" s="525"/>
      <c r="AY306" s="525"/>
      <c r="AZ306" s="525"/>
      <c r="BA306" s="525"/>
      <c r="BB306" s="525"/>
      <c r="BC306" s="525"/>
      <c r="BD306" s="525"/>
      <c r="BE306" s="525"/>
      <c r="BF306" s="525"/>
      <c r="BG306" s="525"/>
      <c r="BH306" s="525"/>
      <c r="BI306" s="525"/>
      <c r="BJ306" s="525"/>
      <c r="BK306" s="541">
        <v>45689.0</v>
      </c>
      <c r="BL306" s="541">
        <v>45690.0</v>
      </c>
      <c r="BM306" s="541">
        <v>45691.0</v>
      </c>
      <c r="BN306" s="541">
        <v>45692.0</v>
      </c>
      <c r="BO306" s="541">
        <v>45693.0</v>
      </c>
      <c r="BP306" s="541">
        <v>45694.0</v>
      </c>
      <c r="BQ306" s="541">
        <v>45695.0</v>
      </c>
      <c r="BR306" s="541">
        <v>45696.0</v>
      </c>
      <c r="BS306" s="541">
        <v>45697.0</v>
      </c>
      <c r="BT306" s="541">
        <v>45698.0</v>
      </c>
      <c r="BU306" s="541">
        <v>45699.0</v>
      </c>
      <c r="BV306" s="541">
        <v>45700.0</v>
      </c>
      <c r="BW306" s="541">
        <v>45701.0</v>
      </c>
      <c r="BX306" s="541">
        <v>45702.0</v>
      </c>
      <c r="BY306" s="541">
        <v>45703.0</v>
      </c>
      <c r="BZ306" s="541">
        <v>45704.0</v>
      </c>
      <c r="CA306" s="541">
        <v>45705.0</v>
      </c>
      <c r="CB306" s="541">
        <v>45706.0</v>
      </c>
      <c r="CC306" s="541">
        <v>45707.0</v>
      </c>
      <c r="CD306" s="541">
        <v>45708.0</v>
      </c>
      <c r="CE306" s="541">
        <v>45709.0</v>
      </c>
      <c r="CF306" s="541">
        <v>45710.0</v>
      </c>
      <c r="CG306" s="541">
        <v>45711.0</v>
      </c>
      <c r="CH306" s="541">
        <v>45712.0</v>
      </c>
      <c r="CI306" s="541">
        <v>45713.0</v>
      </c>
      <c r="CJ306" s="541">
        <v>45714.0</v>
      </c>
      <c r="CK306" s="541">
        <v>45715.0</v>
      </c>
      <c r="CL306" s="541">
        <v>45716.0</v>
      </c>
      <c r="CM306" s="541"/>
      <c r="CN306" s="541">
        <v>45962.0</v>
      </c>
      <c r="CO306" s="541">
        <v>45963.0</v>
      </c>
      <c r="CP306" s="541">
        <v>45964.0</v>
      </c>
      <c r="CQ306" s="541">
        <v>45965.0</v>
      </c>
      <c r="CR306" s="541">
        <v>45966.0</v>
      </c>
      <c r="CS306" s="541">
        <v>45967.0</v>
      </c>
      <c r="CT306" s="541">
        <v>45968.0</v>
      </c>
      <c r="CU306" s="541">
        <v>45969.0</v>
      </c>
      <c r="CV306" s="541">
        <v>45970.0</v>
      </c>
      <c r="CW306" s="587">
        <v>45971.0</v>
      </c>
      <c r="CX306" s="587">
        <v>45972.0</v>
      </c>
      <c r="CY306" s="542">
        <v>45973.0</v>
      </c>
      <c r="CZ306" s="542">
        <v>45974.0</v>
      </c>
      <c r="DA306" s="542">
        <v>45975.0</v>
      </c>
      <c r="DB306" s="542">
        <v>45976.0</v>
      </c>
      <c r="DC306" s="542">
        <v>45977.0</v>
      </c>
      <c r="DD306" s="542">
        <v>45978.0</v>
      </c>
      <c r="DE306" s="542">
        <v>45979.0</v>
      </c>
      <c r="DF306" s="542">
        <v>45980.0</v>
      </c>
      <c r="DG306" s="542">
        <v>45981.0</v>
      </c>
      <c r="DH306" s="542">
        <v>45982.0</v>
      </c>
      <c r="DI306" s="542">
        <v>45983.0</v>
      </c>
      <c r="DJ306" s="542">
        <v>45984.0</v>
      </c>
      <c r="DK306" s="542">
        <v>45985.0</v>
      </c>
      <c r="DL306" s="542">
        <v>45986.0</v>
      </c>
      <c r="DM306" s="542">
        <v>45987.0</v>
      </c>
      <c r="DN306" s="542">
        <v>45988.0</v>
      </c>
      <c r="DO306" s="542">
        <v>45989.0</v>
      </c>
      <c r="DP306" s="542">
        <v>45990.0</v>
      </c>
      <c r="DQ306" s="542">
        <v>45991.0</v>
      </c>
      <c r="DR306" s="542"/>
      <c r="DS306" s="520" t="s">
        <v>308</v>
      </c>
      <c r="DT306" s="574">
        <f>DE309+DF309+DI309+DJ309+DM309+DN309+DQ309</f>
        <v>399.02</v>
      </c>
      <c r="DU306" s="574">
        <f>100*9</f>
        <v>900</v>
      </c>
      <c r="DW306" s="574">
        <f t="shared" ref="DW306:DW307" si="8">SUM(CN307:DR307)</f>
        <v>5543</v>
      </c>
      <c r="DX306" s="530">
        <f t="shared" ref="DX306:DX307" si="9">DW306/30</f>
        <v>184.7666667</v>
      </c>
    </row>
    <row r="307" hidden="1">
      <c r="A307" s="502" t="s">
        <v>289</v>
      </c>
      <c r="B307" s="525"/>
      <c r="C307" s="525"/>
      <c r="D307" s="525"/>
      <c r="E307" s="525"/>
      <c r="F307" s="525"/>
      <c r="G307" s="525"/>
      <c r="H307" s="525"/>
      <c r="I307" s="525"/>
      <c r="J307" s="525"/>
      <c r="K307" s="525"/>
      <c r="L307" s="525"/>
      <c r="M307" s="525"/>
      <c r="N307" s="525"/>
      <c r="O307" s="525"/>
      <c r="P307" s="525"/>
      <c r="Q307" s="525"/>
      <c r="R307" s="525"/>
      <c r="S307" s="525"/>
      <c r="T307" s="525"/>
      <c r="U307" s="525"/>
      <c r="V307" s="525"/>
      <c r="W307" s="525"/>
      <c r="X307" s="525"/>
      <c r="Y307" s="525"/>
      <c r="Z307" s="525"/>
      <c r="AA307" s="525"/>
      <c r="AB307" s="525"/>
      <c r="AC307" s="525"/>
      <c r="AD307" s="525"/>
      <c r="AE307" s="525"/>
      <c r="AF307" s="525"/>
      <c r="AG307" s="525"/>
      <c r="AH307" s="525"/>
      <c r="AI307" s="525"/>
      <c r="AJ307" s="525"/>
      <c r="AK307" s="525"/>
      <c r="AL307" s="525"/>
      <c r="AM307" s="525"/>
      <c r="AN307" s="525"/>
      <c r="AO307" s="525"/>
      <c r="AP307" s="525"/>
      <c r="AQ307" s="525"/>
      <c r="AR307" s="525"/>
      <c r="AS307" s="525"/>
      <c r="AT307" s="525"/>
      <c r="AU307" s="525"/>
      <c r="AV307" s="525"/>
      <c r="AW307" s="525"/>
      <c r="AX307" s="525"/>
      <c r="AY307" s="525"/>
      <c r="AZ307" s="525"/>
      <c r="BA307" s="525"/>
      <c r="BB307" s="525"/>
      <c r="BC307" s="525"/>
      <c r="BD307" s="525"/>
      <c r="BE307" s="525"/>
      <c r="BF307" s="525"/>
      <c r="BG307" s="525"/>
      <c r="BH307" s="525"/>
      <c r="BI307" s="525"/>
      <c r="BJ307" s="525"/>
      <c r="BK307" s="512">
        <v>67.0</v>
      </c>
      <c r="BL307" s="512">
        <v>133.0</v>
      </c>
      <c r="BM307" s="525"/>
      <c r="BN307" s="512">
        <v>100.0</v>
      </c>
      <c r="BO307" s="512">
        <v>130.0</v>
      </c>
      <c r="BP307" s="512">
        <v>162.0</v>
      </c>
      <c r="BQ307" s="512">
        <v>219.0</v>
      </c>
      <c r="BR307" s="512">
        <v>120.0</v>
      </c>
      <c r="BS307" s="512">
        <v>198.0</v>
      </c>
      <c r="BT307" s="512">
        <v>128.0</v>
      </c>
      <c r="BU307" s="512">
        <v>214.0</v>
      </c>
      <c r="BV307" s="512">
        <v>159.0</v>
      </c>
      <c r="BW307" s="512">
        <v>159.0</v>
      </c>
      <c r="BX307" s="512">
        <v>148.0</v>
      </c>
      <c r="BY307" s="512">
        <v>141.0</v>
      </c>
      <c r="BZ307" s="512">
        <v>125.0</v>
      </c>
      <c r="CA307" s="512">
        <v>160.0</v>
      </c>
      <c r="CB307" s="512">
        <v>188.0</v>
      </c>
      <c r="CC307" s="512">
        <v>189.0</v>
      </c>
      <c r="CD307" s="512">
        <v>177.0</v>
      </c>
      <c r="CE307" s="512">
        <v>175.0</v>
      </c>
      <c r="CF307" s="512">
        <v>172.0</v>
      </c>
      <c r="CG307" s="512">
        <v>204.0</v>
      </c>
      <c r="CH307" s="512">
        <v>198.0</v>
      </c>
      <c r="CI307" s="512">
        <v>163.0</v>
      </c>
      <c r="CJ307" s="512">
        <v>177.0</v>
      </c>
      <c r="CK307" s="512">
        <v>156.0</v>
      </c>
      <c r="CL307" s="512">
        <v>177.0</v>
      </c>
      <c r="CM307" s="512"/>
      <c r="CN307" s="561">
        <v>215.0</v>
      </c>
      <c r="CO307" s="561">
        <v>219.0</v>
      </c>
      <c r="CP307" s="561">
        <v>197.0</v>
      </c>
      <c r="CQ307" s="561">
        <v>174.0</v>
      </c>
      <c r="CR307" s="561">
        <v>159.0</v>
      </c>
      <c r="CS307" s="561">
        <v>136.0</v>
      </c>
      <c r="CT307" s="561">
        <v>211.0</v>
      </c>
      <c r="CU307" s="561">
        <v>155.0</v>
      </c>
      <c r="CV307" s="561">
        <v>233.0</v>
      </c>
      <c r="CW307" s="561">
        <v>160.0</v>
      </c>
      <c r="CX307" s="561">
        <v>177.0</v>
      </c>
      <c r="CY307" s="561">
        <v>94.0</v>
      </c>
      <c r="CZ307" s="561">
        <v>75.0</v>
      </c>
      <c r="DA307" s="561">
        <v>182.0</v>
      </c>
      <c r="DB307" s="561">
        <v>334.0</v>
      </c>
      <c r="DC307" s="561">
        <v>257.0</v>
      </c>
      <c r="DD307" s="561">
        <v>196.0</v>
      </c>
      <c r="DE307" s="561">
        <v>158.0</v>
      </c>
      <c r="DF307" s="561">
        <v>117.0</v>
      </c>
      <c r="DG307" s="561">
        <v>290.0</v>
      </c>
      <c r="DH307" s="561">
        <v>240.0</v>
      </c>
      <c r="DI307" s="561">
        <v>153.0</v>
      </c>
      <c r="DJ307" s="561">
        <v>247.0</v>
      </c>
      <c r="DK307" s="561">
        <v>166.0</v>
      </c>
      <c r="DL307" s="561">
        <v>135.0</v>
      </c>
      <c r="DM307" s="561">
        <v>218.0</v>
      </c>
      <c r="DN307" s="561">
        <v>148.0</v>
      </c>
      <c r="DO307" s="561">
        <v>218.0</v>
      </c>
      <c r="DP307" s="561">
        <v>131.0</v>
      </c>
      <c r="DQ307" s="561">
        <v>148.0</v>
      </c>
      <c r="DR307" s="561"/>
      <c r="DS307" s="520" t="s">
        <v>385</v>
      </c>
      <c r="DT307" s="574">
        <f>DD309+DG309+DH309+DK309+DL309+DO309+DP309</f>
        <v>442.67</v>
      </c>
      <c r="DU307" s="574">
        <f>100*10</f>
        <v>1000</v>
      </c>
      <c r="DW307" s="574">
        <f t="shared" si="8"/>
        <v>2096</v>
      </c>
      <c r="DX307" s="530">
        <f t="shared" si="9"/>
        <v>69.86666667</v>
      </c>
    </row>
    <row r="308" hidden="1">
      <c r="A308" s="521" t="s">
        <v>290</v>
      </c>
      <c r="B308" s="525"/>
      <c r="C308" s="525"/>
      <c r="D308" s="525"/>
      <c r="E308" s="525"/>
      <c r="F308" s="525"/>
      <c r="G308" s="525"/>
      <c r="H308" s="525"/>
      <c r="I308" s="525"/>
      <c r="J308" s="525"/>
      <c r="K308" s="525"/>
      <c r="L308" s="525"/>
      <c r="M308" s="525"/>
      <c r="N308" s="525"/>
      <c r="O308" s="525"/>
      <c r="P308" s="525"/>
      <c r="Q308" s="525"/>
      <c r="R308" s="525"/>
      <c r="S308" s="525"/>
      <c r="T308" s="525"/>
      <c r="U308" s="525"/>
      <c r="V308" s="525"/>
      <c r="W308" s="525"/>
      <c r="X308" s="525"/>
      <c r="Y308" s="525"/>
      <c r="Z308" s="525"/>
      <c r="AA308" s="525"/>
      <c r="AB308" s="525"/>
      <c r="AC308" s="525"/>
      <c r="AD308" s="525"/>
      <c r="AE308" s="525"/>
      <c r="AF308" s="525"/>
      <c r="AG308" s="525"/>
      <c r="AH308" s="525"/>
      <c r="AI308" s="525"/>
      <c r="AJ308" s="525"/>
      <c r="AK308" s="525"/>
      <c r="AL308" s="525"/>
      <c r="AM308" s="525"/>
      <c r="AN308" s="525"/>
      <c r="AO308" s="525"/>
      <c r="AP308" s="525"/>
      <c r="AQ308" s="525"/>
      <c r="AR308" s="525"/>
      <c r="AS308" s="525"/>
      <c r="AT308" s="525"/>
      <c r="AU308" s="525"/>
      <c r="AV308" s="525"/>
      <c r="AW308" s="525"/>
      <c r="AX308" s="525"/>
      <c r="AY308" s="525"/>
      <c r="AZ308" s="525"/>
      <c r="BA308" s="525"/>
      <c r="BB308" s="525"/>
      <c r="BC308" s="525"/>
      <c r="BD308" s="525"/>
      <c r="BE308" s="525"/>
      <c r="BF308" s="525"/>
      <c r="BG308" s="525"/>
      <c r="BH308" s="525"/>
      <c r="BI308" s="525"/>
      <c r="BJ308" s="525"/>
      <c r="BK308" s="512">
        <v>36.0</v>
      </c>
      <c r="BL308" s="512">
        <v>53.0</v>
      </c>
      <c r="BM308" s="525"/>
      <c r="BN308" s="512">
        <v>40.0</v>
      </c>
      <c r="BO308" s="512">
        <v>50.0</v>
      </c>
      <c r="BP308" s="512">
        <v>56.0</v>
      </c>
      <c r="BQ308" s="512">
        <v>70.0</v>
      </c>
      <c r="BR308" s="512">
        <v>51.0</v>
      </c>
      <c r="BS308" s="512">
        <v>63.0</v>
      </c>
      <c r="BT308" s="512">
        <v>62.0</v>
      </c>
      <c r="BU308" s="512">
        <v>68.0</v>
      </c>
      <c r="BV308" s="512">
        <v>65.0</v>
      </c>
      <c r="BW308" s="512">
        <v>64.0</v>
      </c>
      <c r="BX308" s="512">
        <v>64.0</v>
      </c>
      <c r="BY308" s="512">
        <v>67.0</v>
      </c>
      <c r="BZ308" s="512">
        <v>56.0</v>
      </c>
      <c r="CA308" s="512">
        <v>65.0</v>
      </c>
      <c r="CB308" s="512">
        <v>68.0</v>
      </c>
      <c r="CC308" s="512">
        <v>72.0</v>
      </c>
      <c r="CD308" s="512">
        <v>67.0</v>
      </c>
      <c r="CE308" s="512">
        <v>72.0</v>
      </c>
      <c r="CF308" s="512">
        <v>72.0</v>
      </c>
      <c r="CG308" s="512">
        <v>81.0</v>
      </c>
      <c r="CH308" s="512">
        <v>81.0</v>
      </c>
      <c r="CI308" s="512">
        <v>67.0</v>
      </c>
      <c r="CJ308" s="512">
        <v>64.0</v>
      </c>
      <c r="CK308" s="512">
        <v>66.0</v>
      </c>
      <c r="CL308" s="512">
        <v>58.0</v>
      </c>
      <c r="CM308" s="552">
        <f>SUM(BK308:CL308)/28</f>
        <v>60.64285714</v>
      </c>
      <c r="CN308" s="561">
        <v>61.0</v>
      </c>
      <c r="CO308" s="561">
        <v>71.0</v>
      </c>
      <c r="CP308" s="561">
        <v>66.0</v>
      </c>
      <c r="CQ308" s="561">
        <v>79.0</v>
      </c>
      <c r="CR308" s="561">
        <v>58.0</v>
      </c>
      <c r="CS308" s="561">
        <v>65.0</v>
      </c>
      <c r="CT308" s="561">
        <v>79.0</v>
      </c>
      <c r="CU308" s="561">
        <v>61.0</v>
      </c>
      <c r="CV308" s="561">
        <v>84.0</v>
      </c>
      <c r="CW308" s="561">
        <v>77.0</v>
      </c>
      <c r="CX308" s="561">
        <v>64.0</v>
      </c>
      <c r="CY308" s="561">
        <v>41.0</v>
      </c>
      <c r="CZ308" s="561">
        <v>42.0</v>
      </c>
      <c r="DA308" s="561">
        <v>72.0</v>
      </c>
      <c r="DB308" s="561">
        <v>101.0</v>
      </c>
      <c r="DC308" s="561">
        <v>99.0</v>
      </c>
      <c r="DD308" s="561">
        <v>79.0</v>
      </c>
      <c r="DE308" s="561">
        <v>67.0</v>
      </c>
      <c r="DF308" s="561">
        <v>51.0</v>
      </c>
      <c r="DG308" s="561">
        <v>76.0</v>
      </c>
      <c r="DH308" s="561">
        <v>76.0</v>
      </c>
      <c r="DI308" s="561">
        <v>66.0</v>
      </c>
      <c r="DJ308" s="561">
        <v>71.0</v>
      </c>
      <c r="DK308" s="561">
        <v>70.0</v>
      </c>
      <c r="DL308" s="561">
        <v>63.0</v>
      </c>
      <c r="DM308" s="561">
        <v>77.0</v>
      </c>
      <c r="DN308" s="561">
        <v>80.0</v>
      </c>
      <c r="DO308" s="561">
        <v>70.0</v>
      </c>
      <c r="DP308" s="561">
        <v>60.0</v>
      </c>
      <c r="DQ308" s="561">
        <v>70.0</v>
      </c>
      <c r="DR308" s="561"/>
      <c r="DX308" s="530"/>
    </row>
    <row r="309" hidden="1">
      <c r="A309" s="553" t="s">
        <v>291</v>
      </c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  <c r="AI309" s="529"/>
      <c r="AJ309" s="529"/>
      <c r="AK309" s="529"/>
      <c r="AL309" s="529"/>
      <c r="AM309" s="529"/>
      <c r="AN309" s="529"/>
      <c r="AO309" s="529"/>
      <c r="AP309" s="529"/>
      <c r="AQ309" s="529"/>
      <c r="AR309" s="529"/>
      <c r="AS309" s="529"/>
      <c r="AT309" s="529"/>
      <c r="AU309" s="529"/>
      <c r="AV309" s="529"/>
      <c r="AW309" s="529"/>
      <c r="AX309" s="529"/>
      <c r="AY309" s="529"/>
      <c r="AZ309" s="529"/>
      <c r="BA309" s="529"/>
      <c r="BB309" s="529"/>
      <c r="BC309" s="529"/>
      <c r="BD309" s="529"/>
      <c r="BE309" s="529"/>
      <c r="BF309" s="529"/>
      <c r="BG309" s="529"/>
      <c r="BH309" s="529"/>
      <c r="BI309" s="529"/>
      <c r="BJ309" s="529"/>
      <c r="BK309" s="529">
        <v>22.22</v>
      </c>
      <c r="BL309" s="529">
        <v>34.11</v>
      </c>
      <c r="BM309" s="529">
        <v>-190.84</v>
      </c>
      <c r="BN309" s="529">
        <v>38.2</v>
      </c>
      <c r="BO309" s="529">
        <v>33.08</v>
      </c>
      <c r="BP309" s="529">
        <v>48.91</v>
      </c>
      <c r="BQ309" s="529">
        <v>44.55</v>
      </c>
      <c r="BR309" s="529">
        <v>30.32</v>
      </c>
      <c r="BS309" s="529">
        <v>-78.02</v>
      </c>
      <c r="BT309" s="529">
        <v>49.19</v>
      </c>
      <c r="BU309" s="529">
        <v>51.41</v>
      </c>
      <c r="BV309" s="529">
        <v>53.58</v>
      </c>
      <c r="BW309" s="529">
        <v>51.03</v>
      </c>
      <c r="BX309" s="529">
        <v>39.79</v>
      </c>
      <c r="BY309" s="529">
        <v>43.96</v>
      </c>
      <c r="BZ309" s="529">
        <v>43.84</v>
      </c>
      <c r="CA309" s="550">
        <v>45.98</v>
      </c>
      <c r="CB309" s="550">
        <v>40.67</v>
      </c>
      <c r="CC309" s="550">
        <v>47.82</v>
      </c>
      <c r="CD309" s="550">
        <v>63.99</v>
      </c>
      <c r="CE309" s="550">
        <v>-209.27</v>
      </c>
      <c r="CF309" s="550">
        <v>73.03</v>
      </c>
      <c r="CG309" s="550">
        <v>65.24</v>
      </c>
      <c r="CH309" s="550">
        <v>-52.31</v>
      </c>
      <c r="CI309" s="550">
        <v>55.56</v>
      </c>
      <c r="CJ309" s="550">
        <v>37.49</v>
      </c>
      <c r="CK309" s="550">
        <v>42.2</v>
      </c>
      <c r="CL309" s="537">
        <v>57.35</v>
      </c>
      <c r="CM309" s="554"/>
      <c r="CN309" s="537">
        <v>54.24</v>
      </c>
      <c r="CO309" s="537">
        <v>77.67</v>
      </c>
      <c r="CQ309" s="537">
        <v>74.1</v>
      </c>
      <c r="CR309" s="537">
        <v>74.31</v>
      </c>
      <c r="CS309" s="537">
        <v>-375.78</v>
      </c>
      <c r="CT309" s="537">
        <v>63.76</v>
      </c>
      <c r="CU309" s="537">
        <v>45.59</v>
      </c>
      <c r="CV309" s="512">
        <v>97.65</v>
      </c>
      <c r="CW309" s="537">
        <v>47.21</v>
      </c>
      <c r="CX309" s="537">
        <v>73.12</v>
      </c>
      <c r="CY309" s="537">
        <v>20.36</v>
      </c>
      <c r="CZ309" s="537">
        <v>22.18</v>
      </c>
      <c r="DA309" s="537">
        <v>115.88</v>
      </c>
      <c r="DB309" s="537">
        <v>204.53</v>
      </c>
      <c r="DC309" s="537">
        <v>68.14</v>
      </c>
      <c r="DD309" s="537">
        <v>83.61</v>
      </c>
      <c r="DE309" s="537">
        <v>68.0</v>
      </c>
      <c r="DF309" s="537">
        <v>41.73</v>
      </c>
      <c r="DG309" s="537">
        <v>80.58</v>
      </c>
      <c r="DH309" s="537">
        <v>50.98</v>
      </c>
      <c r="DI309" s="537">
        <v>61.86</v>
      </c>
      <c r="DJ309" s="537">
        <v>66.08</v>
      </c>
      <c r="DK309" s="537">
        <v>49.8</v>
      </c>
      <c r="DL309" s="537">
        <v>77.18</v>
      </c>
      <c r="DM309" s="537">
        <v>50.28</v>
      </c>
      <c r="DN309" s="537">
        <v>53.09</v>
      </c>
      <c r="DO309" s="537">
        <v>48.59</v>
      </c>
      <c r="DP309" s="537">
        <v>51.93</v>
      </c>
      <c r="DQ309" s="537">
        <v>57.98</v>
      </c>
      <c r="DR309" s="537"/>
      <c r="DS309" s="520" t="s">
        <v>375</v>
      </c>
      <c r="DT309" s="574">
        <f>DC309</f>
        <v>68.14</v>
      </c>
      <c r="DU309" s="520">
        <v>200.0</v>
      </c>
      <c r="DX309" s="530"/>
    </row>
    <row r="310" hidden="1">
      <c r="A310" s="531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  <c r="AT310" s="118"/>
      <c r="AU310" s="118"/>
      <c r="AV310" s="118"/>
      <c r="AW310" s="118"/>
      <c r="AX310" s="118"/>
      <c r="AY310" s="118"/>
      <c r="AZ310" s="118"/>
      <c r="BA310" s="118"/>
      <c r="BB310" s="118"/>
      <c r="BC310" s="118"/>
      <c r="BD310" s="118"/>
      <c r="BE310" s="118"/>
      <c r="BF310" s="118"/>
      <c r="BG310" s="118"/>
      <c r="BH310" s="118"/>
      <c r="BI310" s="118"/>
      <c r="BJ310" s="118"/>
      <c r="BK310" s="118"/>
      <c r="BL310" s="118"/>
      <c r="BM310" s="118"/>
      <c r="BN310" s="118"/>
      <c r="BO310" s="118"/>
      <c r="BP310" s="118"/>
      <c r="BQ310" s="118"/>
      <c r="BR310" s="118"/>
      <c r="BS310" s="118"/>
      <c r="BT310" s="118"/>
      <c r="BU310" s="118"/>
      <c r="BV310" s="118"/>
      <c r="BW310" s="118"/>
      <c r="BX310" s="118"/>
      <c r="BY310" s="118"/>
      <c r="BZ310" s="118"/>
      <c r="CA310" s="118"/>
      <c r="CB310" s="118"/>
      <c r="CC310" s="118"/>
      <c r="CD310" s="118"/>
      <c r="CE310" s="118"/>
      <c r="CF310" s="118"/>
      <c r="CG310" s="118"/>
      <c r="CH310" s="118"/>
      <c r="CI310" s="118"/>
      <c r="CJ310" s="118"/>
      <c r="CK310" s="118"/>
      <c r="CL310" s="118"/>
      <c r="CM310" s="499"/>
      <c r="CN310" s="118"/>
      <c r="CO310" s="546"/>
      <c r="CP310" s="537">
        <v>-354.81</v>
      </c>
      <c r="CQ310" s="118"/>
      <c r="CR310" s="546"/>
      <c r="CS310" s="118"/>
      <c r="CT310" s="118"/>
      <c r="CU310" s="546"/>
      <c r="CV310" s="118"/>
      <c r="CW310" s="118"/>
      <c r="CX310" s="118"/>
      <c r="CY310" s="118"/>
      <c r="CZ310" s="118"/>
      <c r="DA310" s="118"/>
      <c r="DB310" s="118"/>
      <c r="DC310" s="118"/>
      <c r="DD310" s="118"/>
      <c r="DE310" s="118"/>
      <c r="DF310" s="118"/>
      <c r="DG310" s="118"/>
      <c r="DH310" s="118"/>
      <c r="DI310" s="118"/>
      <c r="DJ310" s="118"/>
      <c r="DK310" s="118"/>
      <c r="DL310" s="118"/>
      <c r="DM310" s="118"/>
      <c r="DN310" s="118"/>
      <c r="DO310" s="118"/>
      <c r="DP310" s="118"/>
      <c r="DQ310" s="118"/>
      <c r="DR310" s="118"/>
      <c r="DX310" s="530"/>
    </row>
    <row r="311" hidden="1">
      <c r="A311" s="531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  <c r="AT311" s="118"/>
      <c r="AU311" s="118"/>
      <c r="AV311" s="118"/>
      <c r="AW311" s="118"/>
      <c r="AX311" s="118"/>
      <c r="AY311" s="118"/>
      <c r="AZ311" s="118"/>
      <c r="BA311" s="118"/>
      <c r="BB311" s="118"/>
      <c r="BC311" s="118"/>
      <c r="BD311" s="118"/>
      <c r="BE311" s="118"/>
      <c r="BF311" s="118"/>
      <c r="BG311" s="118"/>
      <c r="BH311" s="118"/>
      <c r="BI311" s="118"/>
      <c r="BJ311" s="118"/>
      <c r="BK311" s="118"/>
      <c r="BL311" s="118"/>
      <c r="BM311" s="118"/>
      <c r="BN311" s="118"/>
      <c r="BO311" s="118"/>
      <c r="BP311" s="118"/>
      <c r="BQ311" s="118"/>
      <c r="BR311" s="118"/>
      <c r="BS311" s="118"/>
      <c r="BT311" s="118"/>
      <c r="BU311" s="118"/>
      <c r="BV311" s="118"/>
      <c r="BW311" s="118"/>
      <c r="BX311" s="118"/>
      <c r="BY311" s="118"/>
      <c r="BZ311" s="118"/>
      <c r="CA311" s="118"/>
      <c r="CB311" s="118"/>
      <c r="CC311" s="118"/>
      <c r="CD311" s="118"/>
      <c r="CE311" s="118"/>
      <c r="CF311" s="118"/>
      <c r="CG311" s="118"/>
      <c r="CH311" s="118"/>
      <c r="CI311" s="118"/>
      <c r="CJ311" s="118"/>
      <c r="CK311" s="118"/>
      <c r="CL311" s="118"/>
      <c r="CM311" s="499"/>
      <c r="CN311" s="118"/>
      <c r="CO311" s="118"/>
      <c r="CP311" s="118"/>
      <c r="CQ311" s="118"/>
      <c r="CR311" s="118"/>
      <c r="CS311" s="118"/>
      <c r="CT311" s="118"/>
      <c r="CU311" s="118"/>
      <c r="CV311" s="118"/>
      <c r="CW311" s="118"/>
      <c r="CX311" s="118"/>
      <c r="CY311" s="118"/>
      <c r="CZ311" s="118"/>
      <c r="DA311" s="118"/>
      <c r="DB311" s="118"/>
      <c r="DC311" s="118"/>
      <c r="DD311" s="118"/>
      <c r="DE311" s="118"/>
      <c r="DF311" s="118"/>
      <c r="DG311" s="118"/>
      <c r="DH311" s="118"/>
      <c r="DI311" s="118"/>
      <c r="DJ311" s="118"/>
      <c r="DK311" s="118"/>
      <c r="DL311" s="118"/>
      <c r="DM311" s="118"/>
      <c r="DN311" s="118"/>
      <c r="DO311" s="118"/>
      <c r="DP311" s="118"/>
      <c r="DQ311" s="118"/>
      <c r="DR311" s="118"/>
      <c r="DX311" s="530"/>
    </row>
    <row r="312" hidden="1">
      <c r="A312" s="500" t="s">
        <v>8</v>
      </c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  <c r="AT312" s="118"/>
      <c r="AU312" s="118"/>
      <c r="AV312" s="118"/>
      <c r="AW312" s="118"/>
      <c r="AX312" s="118"/>
      <c r="AY312" s="118"/>
      <c r="AZ312" s="118"/>
      <c r="BA312" s="118"/>
      <c r="BB312" s="118"/>
      <c r="BC312" s="118"/>
      <c r="BD312" s="118"/>
      <c r="BE312" s="118"/>
      <c r="BF312" s="118"/>
      <c r="BG312" s="118"/>
      <c r="BH312" s="118"/>
      <c r="BI312" s="118"/>
      <c r="BJ312" s="118"/>
      <c r="BK312" s="118"/>
      <c r="BL312" s="118"/>
      <c r="BM312" s="118"/>
      <c r="BN312" s="118"/>
      <c r="BO312" s="118"/>
      <c r="BP312" s="118"/>
      <c r="BQ312" s="118"/>
      <c r="BR312" s="118"/>
      <c r="BS312" s="118"/>
      <c r="BT312" s="118"/>
      <c r="BU312" s="118"/>
      <c r="BV312" s="118"/>
      <c r="BW312" s="118"/>
      <c r="BX312" s="118"/>
      <c r="BY312" s="118"/>
      <c r="BZ312" s="118"/>
      <c r="CA312" s="118"/>
      <c r="CB312" s="118"/>
      <c r="CC312" s="118"/>
      <c r="CD312" s="118"/>
      <c r="CE312" s="118"/>
      <c r="CF312" s="118"/>
      <c r="CG312" s="118"/>
      <c r="CH312" s="118"/>
      <c r="CI312" s="118"/>
      <c r="CJ312" s="118"/>
      <c r="CK312" s="118"/>
      <c r="CL312" s="118"/>
      <c r="CM312" s="499"/>
      <c r="CN312" s="546" t="s">
        <v>355</v>
      </c>
      <c r="CO312" s="546" t="s">
        <v>370</v>
      </c>
      <c r="CP312" s="546" t="s">
        <v>370</v>
      </c>
      <c r="CQ312" s="546" t="s">
        <v>355</v>
      </c>
      <c r="CR312" s="546" t="s">
        <v>355</v>
      </c>
      <c r="CS312" s="546" t="s">
        <v>355</v>
      </c>
      <c r="CT312" s="546" t="s">
        <v>355</v>
      </c>
      <c r="CU312" s="546" t="s">
        <v>355</v>
      </c>
      <c r="CV312" s="546" t="s">
        <v>370</v>
      </c>
      <c r="CW312" s="546" t="s">
        <v>355</v>
      </c>
      <c r="CX312" s="546" t="s">
        <v>355</v>
      </c>
      <c r="CY312" s="546" t="s">
        <v>355</v>
      </c>
      <c r="CZ312" s="546" t="s">
        <v>355</v>
      </c>
      <c r="DA312" s="546" t="s">
        <v>355</v>
      </c>
      <c r="DB312" s="546" t="s">
        <v>370</v>
      </c>
      <c r="DC312" s="546" t="s">
        <v>370</v>
      </c>
      <c r="DD312" s="546" t="s">
        <v>355</v>
      </c>
      <c r="DE312" s="546" t="s">
        <v>355</v>
      </c>
      <c r="DF312" s="546" t="s">
        <v>355</v>
      </c>
      <c r="DG312" s="546" t="s">
        <v>355</v>
      </c>
      <c r="DH312" s="546" t="s">
        <v>370</v>
      </c>
      <c r="DI312" s="546" t="s">
        <v>370</v>
      </c>
      <c r="DJ312" s="546" t="s">
        <v>370</v>
      </c>
      <c r="DK312" s="546" t="s">
        <v>355</v>
      </c>
      <c r="DL312" s="546" t="s">
        <v>355</v>
      </c>
      <c r="DM312" s="546" t="s">
        <v>355</v>
      </c>
      <c r="DN312" s="546" t="s">
        <v>355</v>
      </c>
      <c r="DO312" s="546" t="s">
        <v>370</v>
      </c>
      <c r="DP312" s="546" t="s">
        <v>370</v>
      </c>
      <c r="DQ312" s="546" t="s">
        <v>355</v>
      </c>
      <c r="DR312" s="546"/>
      <c r="DT312" s="586" t="s">
        <v>384</v>
      </c>
      <c r="DU312" s="586" t="s">
        <v>332</v>
      </c>
      <c r="DX312" s="530"/>
    </row>
    <row r="313" hidden="1">
      <c r="A313" s="502" t="s">
        <v>288</v>
      </c>
      <c r="B313" s="525"/>
      <c r="C313" s="525"/>
      <c r="D313" s="525"/>
      <c r="E313" s="525"/>
      <c r="F313" s="525"/>
      <c r="G313" s="525"/>
      <c r="H313" s="525"/>
      <c r="I313" s="525"/>
      <c r="J313" s="525"/>
      <c r="K313" s="525"/>
      <c r="L313" s="525"/>
      <c r="M313" s="525"/>
      <c r="N313" s="525"/>
      <c r="O313" s="525"/>
      <c r="P313" s="525"/>
      <c r="Q313" s="525"/>
      <c r="R313" s="525"/>
      <c r="S313" s="525"/>
      <c r="T313" s="525"/>
      <c r="U313" s="525"/>
      <c r="V313" s="525"/>
      <c r="W313" s="525"/>
      <c r="X313" s="525"/>
      <c r="Y313" s="525"/>
      <c r="Z313" s="525"/>
      <c r="AA313" s="525"/>
      <c r="AB313" s="525"/>
      <c r="AC313" s="525"/>
      <c r="AD313" s="525"/>
      <c r="AE313" s="525"/>
      <c r="AF313" s="525"/>
      <c r="AG313" s="525"/>
      <c r="AH313" s="525"/>
      <c r="AI313" s="525"/>
      <c r="AJ313" s="525"/>
      <c r="AK313" s="525"/>
      <c r="AL313" s="525"/>
      <c r="AM313" s="525"/>
      <c r="AN313" s="525"/>
      <c r="AO313" s="525"/>
      <c r="AP313" s="525"/>
      <c r="AQ313" s="525"/>
      <c r="AR313" s="525"/>
      <c r="AS313" s="525"/>
      <c r="AT313" s="525"/>
      <c r="AU313" s="525"/>
      <c r="AV313" s="525"/>
      <c r="AW313" s="525"/>
      <c r="AX313" s="525"/>
      <c r="AY313" s="525"/>
      <c r="AZ313" s="525"/>
      <c r="BA313" s="525"/>
      <c r="BB313" s="525"/>
      <c r="BC313" s="525"/>
      <c r="BD313" s="525"/>
      <c r="BE313" s="525"/>
      <c r="BF313" s="525"/>
      <c r="BG313" s="525"/>
      <c r="BH313" s="525"/>
      <c r="BI313" s="525"/>
      <c r="BJ313" s="525"/>
      <c r="BK313" s="541">
        <v>45689.0</v>
      </c>
      <c r="BL313" s="503">
        <v>45690.0</v>
      </c>
      <c r="BM313" s="503">
        <v>45691.0</v>
      </c>
      <c r="BN313" s="541">
        <v>45692.0</v>
      </c>
      <c r="BO313" s="541">
        <v>45693.0</v>
      </c>
      <c r="BP313" s="541">
        <v>45694.0</v>
      </c>
      <c r="BQ313" s="541">
        <v>45695.0</v>
      </c>
      <c r="BR313" s="541">
        <v>45696.0</v>
      </c>
      <c r="BS313" s="541">
        <v>45697.0</v>
      </c>
      <c r="BT313" s="541">
        <v>45698.0</v>
      </c>
      <c r="BU313" s="541">
        <v>45699.0</v>
      </c>
      <c r="BV313" s="541">
        <v>45700.0</v>
      </c>
      <c r="BW313" s="541">
        <v>45701.0</v>
      </c>
      <c r="BX313" s="541">
        <v>45702.0</v>
      </c>
      <c r="BY313" s="541">
        <v>45703.0</v>
      </c>
      <c r="BZ313" s="541">
        <v>45704.0</v>
      </c>
      <c r="CA313" s="541">
        <v>45705.0</v>
      </c>
      <c r="CB313" s="541">
        <v>45706.0</v>
      </c>
      <c r="CC313" s="541">
        <v>45707.0</v>
      </c>
      <c r="CD313" s="541">
        <v>45708.0</v>
      </c>
      <c r="CE313" s="541">
        <v>45709.0</v>
      </c>
      <c r="CF313" s="541">
        <v>45710.0</v>
      </c>
      <c r="CG313" s="541">
        <v>45711.0</v>
      </c>
      <c r="CH313" s="541">
        <v>45712.0</v>
      </c>
      <c r="CI313" s="541">
        <v>45713.0</v>
      </c>
      <c r="CJ313" s="541">
        <v>45714.0</v>
      </c>
      <c r="CK313" s="541">
        <v>45715.0</v>
      </c>
      <c r="CL313" s="541">
        <v>45716.0</v>
      </c>
      <c r="CM313" s="552"/>
      <c r="CN313" s="541">
        <v>45962.0</v>
      </c>
      <c r="CO313" s="541">
        <v>45963.0</v>
      </c>
      <c r="CP313" s="541">
        <v>45964.0</v>
      </c>
      <c r="CQ313" s="541">
        <v>45965.0</v>
      </c>
      <c r="CR313" s="541">
        <v>45966.0</v>
      </c>
      <c r="CS313" s="541">
        <v>45967.0</v>
      </c>
      <c r="CT313" s="541">
        <v>45968.0</v>
      </c>
      <c r="CU313" s="541">
        <v>45969.0</v>
      </c>
      <c r="CV313" s="541">
        <v>45970.0</v>
      </c>
      <c r="CW313" s="587">
        <v>45971.0</v>
      </c>
      <c r="CX313" s="587">
        <v>45972.0</v>
      </c>
      <c r="CY313" s="542">
        <v>45973.0</v>
      </c>
      <c r="CZ313" s="542">
        <v>45974.0</v>
      </c>
      <c r="DA313" s="542">
        <v>45975.0</v>
      </c>
      <c r="DB313" s="542">
        <v>45976.0</v>
      </c>
      <c r="DC313" s="542">
        <v>45977.0</v>
      </c>
      <c r="DD313" s="542">
        <v>45978.0</v>
      </c>
      <c r="DE313" s="542">
        <v>45979.0</v>
      </c>
      <c r="DF313" s="542">
        <v>45980.0</v>
      </c>
      <c r="DG313" s="542">
        <v>45981.0</v>
      </c>
      <c r="DH313" s="542">
        <v>45982.0</v>
      </c>
      <c r="DI313" s="542">
        <v>45983.0</v>
      </c>
      <c r="DJ313" s="542">
        <v>45984.0</v>
      </c>
      <c r="DK313" s="542">
        <v>45985.0</v>
      </c>
      <c r="DL313" s="542">
        <v>45986.0</v>
      </c>
      <c r="DM313" s="542">
        <v>45987.0</v>
      </c>
      <c r="DN313" s="542">
        <v>45988.0</v>
      </c>
      <c r="DO313" s="542">
        <v>45989.0</v>
      </c>
      <c r="DP313" s="542">
        <v>45990.0</v>
      </c>
      <c r="DQ313" s="542">
        <v>45991.0</v>
      </c>
      <c r="DR313" s="542"/>
      <c r="DS313" s="520" t="s">
        <v>338</v>
      </c>
      <c r="DT313" s="574">
        <f>DD316+DE316+DF316+DG316+DK316+DL316+DM316+DN316+DQ316</f>
        <v>943.79</v>
      </c>
      <c r="DU313" s="574">
        <f>100*22</f>
        <v>2200</v>
      </c>
      <c r="DW313" s="574">
        <f t="shared" ref="DW313:DW314" si="10">SUM(CN314:DR314)</f>
        <v>8360</v>
      </c>
      <c r="DX313" s="530">
        <f t="shared" ref="DX313:DX314" si="11">DW313/30</f>
        <v>278.6666667</v>
      </c>
    </row>
    <row r="314" hidden="1">
      <c r="A314" s="502" t="s">
        <v>289</v>
      </c>
      <c r="B314" s="525"/>
      <c r="C314" s="525"/>
      <c r="D314" s="525"/>
      <c r="E314" s="525"/>
      <c r="F314" s="525"/>
      <c r="G314" s="525"/>
      <c r="H314" s="525"/>
      <c r="I314" s="525"/>
      <c r="J314" s="525"/>
      <c r="K314" s="525"/>
      <c r="L314" s="525"/>
      <c r="M314" s="525"/>
      <c r="N314" s="525"/>
      <c r="O314" s="525"/>
      <c r="P314" s="525"/>
      <c r="Q314" s="525"/>
      <c r="R314" s="525"/>
      <c r="S314" s="525"/>
      <c r="T314" s="525"/>
      <c r="U314" s="525"/>
      <c r="V314" s="525"/>
      <c r="W314" s="525"/>
      <c r="X314" s="525"/>
      <c r="Y314" s="525"/>
      <c r="Z314" s="525"/>
      <c r="AA314" s="525"/>
      <c r="AB314" s="525"/>
      <c r="AC314" s="525"/>
      <c r="AD314" s="525"/>
      <c r="AE314" s="525"/>
      <c r="AF314" s="525"/>
      <c r="AG314" s="525"/>
      <c r="AH314" s="525"/>
      <c r="AI314" s="525"/>
      <c r="AJ314" s="525"/>
      <c r="AK314" s="525"/>
      <c r="AL314" s="525"/>
      <c r="AM314" s="525"/>
      <c r="AN314" s="525"/>
      <c r="AO314" s="525"/>
      <c r="AP314" s="525"/>
      <c r="AQ314" s="525"/>
      <c r="AR314" s="525"/>
      <c r="AS314" s="525"/>
      <c r="AT314" s="525"/>
      <c r="AU314" s="525"/>
      <c r="AV314" s="525"/>
      <c r="AW314" s="525"/>
      <c r="AX314" s="525"/>
      <c r="AY314" s="525"/>
      <c r="AZ314" s="525"/>
      <c r="BA314" s="525"/>
      <c r="BB314" s="525"/>
      <c r="BC314" s="525"/>
      <c r="BD314" s="525"/>
      <c r="BE314" s="525"/>
      <c r="BF314" s="525"/>
      <c r="BG314" s="525"/>
      <c r="BH314" s="525"/>
      <c r="BI314" s="525"/>
      <c r="BJ314" s="525"/>
      <c r="BK314" s="525"/>
      <c r="BL314" s="518">
        <v>196.0</v>
      </c>
      <c r="BM314" s="518">
        <v>147.0</v>
      </c>
      <c r="BN314" s="525"/>
      <c r="BO314" s="525"/>
      <c r="BP314" s="512">
        <v>193.0</v>
      </c>
      <c r="BQ314" s="512">
        <v>202.0</v>
      </c>
      <c r="BR314" s="512">
        <v>239.0</v>
      </c>
      <c r="BS314" s="525"/>
      <c r="BT314" s="512">
        <v>181.0</v>
      </c>
      <c r="BU314" s="525"/>
      <c r="BV314" s="512">
        <v>292.0</v>
      </c>
      <c r="BW314" s="512">
        <v>258.0</v>
      </c>
      <c r="BX314" s="512">
        <v>267.0</v>
      </c>
      <c r="BY314" s="512">
        <v>214.0</v>
      </c>
      <c r="BZ314" s="512">
        <v>234.0</v>
      </c>
      <c r="CA314" s="512">
        <v>271.0</v>
      </c>
      <c r="CB314" s="512">
        <v>222.0</v>
      </c>
      <c r="CC314" s="512">
        <v>298.0</v>
      </c>
      <c r="CD314" s="512">
        <v>290.0</v>
      </c>
      <c r="CE314" s="512">
        <v>261.0</v>
      </c>
      <c r="CF314" s="512">
        <v>274.0</v>
      </c>
      <c r="CG314" s="512">
        <v>285.0</v>
      </c>
      <c r="CH314" s="512">
        <v>196.0</v>
      </c>
      <c r="CI314" s="512">
        <v>198.0</v>
      </c>
      <c r="CJ314" s="512">
        <v>274.0</v>
      </c>
      <c r="CK314" s="512">
        <v>197.0</v>
      </c>
      <c r="CL314" s="512">
        <v>246.0</v>
      </c>
      <c r="CM314" s="552"/>
      <c r="CN314" s="561">
        <v>277.0</v>
      </c>
      <c r="CO314" s="561">
        <v>268.0</v>
      </c>
      <c r="CP314" s="561">
        <v>236.0</v>
      </c>
      <c r="CQ314" s="561">
        <v>244.0</v>
      </c>
      <c r="CR314" s="561">
        <v>201.0</v>
      </c>
      <c r="CS314" s="561">
        <v>259.0</v>
      </c>
      <c r="CT314" s="561">
        <v>288.0</v>
      </c>
      <c r="CU314" s="561">
        <v>260.0</v>
      </c>
      <c r="CV314" s="561">
        <v>337.0</v>
      </c>
      <c r="CW314" s="561">
        <v>294.0</v>
      </c>
      <c r="CX314" s="561">
        <v>280.0</v>
      </c>
      <c r="CY314" s="561">
        <v>175.0</v>
      </c>
      <c r="CZ314" s="561">
        <v>211.0</v>
      </c>
      <c r="DA314" s="561">
        <v>258.0</v>
      </c>
      <c r="DB314" s="561">
        <v>388.0</v>
      </c>
      <c r="DC314" s="561">
        <v>334.0</v>
      </c>
      <c r="DD314" s="561">
        <v>322.0</v>
      </c>
      <c r="DE314" s="561">
        <v>334.0</v>
      </c>
      <c r="DF314" s="561">
        <v>289.0</v>
      </c>
      <c r="DG314" s="561">
        <v>315.0</v>
      </c>
      <c r="DH314" s="561">
        <v>392.0</v>
      </c>
      <c r="DI314" s="561">
        <v>301.0</v>
      </c>
      <c r="DJ314" s="561">
        <v>275.0</v>
      </c>
      <c r="DK314" s="513">
        <v>249.0</v>
      </c>
      <c r="DL314" s="561">
        <v>308.0</v>
      </c>
      <c r="DM314" s="512">
        <v>278.0</v>
      </c>
      <c r="DN314" s="561">
        <v>275.0</v>
      </c>
      <c r="DO314" s="561">
        <v>270.0</v>
      </c>
      <c r="DP314" s="561">
        <v>225.0</v>
      </c>
      <c r="DQ314" s="561">
        <v>217.0</v>
      </c>
      <c r="DR314" s="561"/>
      <c r="DS314" s="520" t="s">
        <v>374</v>
      </c>
      <c r="DT314" s="574">
        <f>DC316+DH316+DI316+DJ316+DO316+DP316</f>
        <v>616.84</v>
      </c>
      <c r="DU314" s="574">
        <f>100*15</f>
        <v>1500</v>
      </c>
      <c r="DW314" s="574">
        <f t="shared" si="10"/>
        <v>3214</v>
      </c>
      <c r="DX314" s="530">
        <f t="shared" si="11"/>
        <v>107.1333333</v>
      </c>
    </row>
    <row r="315" hidden="1">
      <c r="A315" s="521" t="s">
        <v>290</v>
      </c>
      <c r="B315" s="525"/>
      <c r="C315" s="525"/>
      <c r="D315" s="525"/>
      <c r="E315" s="525"/>
      <c r="F315" s="525"/>
      <c r="G315" s="525"/>
      <c r="H315" s="525"/>
      <c r="I315" s="525"/>
      <c r="J315" s="525"/>
      <c r="K315" s="525"/>
      <c r="L315" s="525"/>
      <c r="M315" s="525"/>
      <c r="N315" s="525"/>
      <c r="O315" s="525"/>
      <c r="P315" s="525"/>
      <c r="Q315" s="525"/>
      <c r="R315" s="525"/>
      <c r="S315" s="525"/>
      <c r="T315" s="525"/>
      <c r="U315" s="525"/>
      <c r="V315" s="525"/>
      <c r="W315" s="525"/>
      <c r="X315" s="525"/>
      <c r="Y315" s="525"/>
      <c r="Z315" s="525"/>
      <c r="AA315" s="525"/>
      <c r="AB315" s="525"/>
      <c r="AC315" s="525"/>
      <c r="AD315" s="525"/>
      <c r="AE315" s="525"/>
      <c r="AF315" s="525"/>
      <c r="AG315" s="525"/>
      <c r="AH315" s="525"/>
      <c r="AI315" s="525"/>
      <c r="AJ315" s="525"/>
      <c r="AK315" s="525"/>
      <c r="AL315" s="525"/>
      <c r="AM315" s="525"/>
      <c r="AN315" s="525"/>
      <c r="AO315" s="525"/>
      <c r="AP315" s="525"/>
      <c r="AQ315" s="525"/>
      <c r="AR315" s="525"/>
      <c r="AS315" s="525"/>
      <c r="AT315" s="525"/>
      <c r="AU315" s="525"/>
      <c r="AV315" s="525"/>
      <c r="AW315" s="525"/>
      <c r="AX315" s="525"/>
      <c r="AY315" s="525"/>
      <c r="AZ315" s="525"/>
      <c r="BA315" s="525"/>
      <c r="BB315" s="525"/>
      <c r="BC315" s="525"/>
      <c r="BD315" s="525"/>
      <c r="BE315" s="525"/>
      <c r="BF315" s="525"/>
      <c r="BG315" s="525"/>
      <c r="BH315" s="525"/>
      <c r="BI315" s="525"/>
      <c r="BJ315" s="525"/>
      <c r="BK315" s="525"/>
      <c r="BL315" s="518">
        <v>82.0</v>
      </c>
      <c r="BM315" s="518">
        <v>67.0</v>
      </c>
      <c r="BN315" s="525"/>
      <c r="BO315" s="525"/>
      <c r="BP315" s="512">
        <v>71.0</v>
      </c>
      <c r="BQ315" s="512">
        <v>80.0</v>
      </c>
      <c r="BR315" s="512">
        <v>95.0</v>
      </c>
      <c r="BS315" s="525"/>
      <c r="BT315" s="512">
        <v>73.0</v>
      </c>
      <c r="BU315" s="525"/>
      <c r="BV315" s="512">
        <v>96.0</v>
      </c>
      <c r="BW315" s="512">
        <v>98.0</v>
      </c>
      <c r="BX315" s="512">
        <v>104.0</v>
      </c>
      <c r="BY315" s="512">
        <v>88.0</v>
      </c>
      <c r="BZ315" s="512">
        <v>86.0</v>
      </c>
      <c r="CA315" s="512">
        <v>101.0</v>
      </c>
      <c r="CB315" s="512">
        <v>88.0</v>
      </c>
      <c r="CC315" s="512">
        <v>106.0</v>
      </c>
      <c r="CD315" s="512">
        <v>103.0</v>
      </c>
      <c r="CE315" s="512">
        <v>89.0</v>
      </c>
      <c r="CF315" s="512">
        <v>119.0</v>
      </c>
      <c r="CG315" s="512">
        <v>116.0</v>
      </c>
      <c r="CH315" s="512">
        <v>86.0</v>
      </c>
      <c r="CI315" s="512">
        <v>89.0</v>
      </c>
      <c r="CJ315" s="512">
        <v>103.0</v>
      </c>
      <c r="CK315" s="512">
        <v>82.0</v>
      </c>
      <c r="CL315" s="512">
        <v>92.0</v>
      </c>
      <c r="CM315" s="552">
        <f>SUM(BK315:CL315)/22</f>
        <v>96.09090909</v>
      </c>
      <c r="CN315" s="561">
        <v>107.0</v>
      </c>
      <c r="CO315" s="561">
        <v>94.0</v>
      </c>
      <c r="CP315" s="561">
        <v>106.0</v>
      </c>
      <c r="CQ315" s="561">
        <v>113.0</v>
      </c>
      <c r="CR315" s="561">
        <v>94.0</v>
      </c>
      <c r="CS315" s="561">
        <v>107.0</v>
      </c>
      <c r="CT315" s="561">
        <v>105.0</v>
      </c>
      <c r="CU315" s="561">
        <v>83.0</v>
      </c>
      <c r="CV315" s="561">
        <v>125.0</v>
      </c>
      <c r="CW315" s="561">
        <v>104.0</v>
      </c>
      <c r="CX315" s="561">
        <v>108.0</v>
      </c>
      <c r="CY315" s="561">
        <v>77.0</v>
      </c>
      <c r="CZ315" s="561">
        <v>89.0</v>
      </c>
      <c r="DA315" s="561">
        <v>106.0</v>
      </c>
      <c r="DB315" s="561">
        <v>151.0</v>
      </c>
      <c r="DC315" s="561">
        <v>122.0</v>
      </c>
      <c r="DD315" s="561">
        <v>108.0</v>
      </c>
      <c r="DE315" s="561">
        <v>107.0</v>
      </c>
      <c r="DF315" s="561">
        <v>95.0</v>
      </c>
      <c r="DG315" s="561">
        <v>108.0</v>
      </c>
      <c r="DH315" s="561">
        <v>118.0</v>
      </c>
      <c r="DI315" s="561">
        <v>123.0</v>
      </c>
      <c r="DJ315" s="561">
        <v>107.0</v>
      </c>
      <c r="DK315" s="513">
        <v>114.0</v>
      </c>
      <c r="DL315" s="561">
        <v>117.0</v>
      </c>
      <c r="DM315" s="561">
        <v>122.0</v>
      </c>
      <c r="DN315" s="561">
        <v>107.0</v>
      </c>
      <c r="DO315" s="561">
        <v>104.0</v>
      </c>
      <c r="DP315" s="561">
        <v>99.0</v>
      </c>
      <c r="DQ315" s="561">
        <v>94.0</v>
      </c>
      <c r="DR315" s="561"/>
    </row>
    <row r="316" hidden="1">
      <c r="A316" s="502" t="s">
        <v>291</v>
      </c>
      <c r="B316" s="525"/>
      <c r="C316" s="525"/>
      <c r="D316" s="525"/>
      <c r="E316" s="525"/>
      <c r="F316" s="525"/>
      <c r="G316" s="525"/>
      <c r="H316" s="525"/>
      <c r="I316" s="525"/>
      <c r="J316" s="525"/>
      <c r="K316" s="525"/>
      <c r="L316" s="525"/>
      <c r="M316" s="525"/>
      <c r="N316" s="525"/>
      <c r="O316" s="525"/>
      <c r="P316" s="525"/>
      <c r="Q316" s="525"/>
      <c r="R316" s="525"/>
      <c r="S316" s="525"/>
      <c r="T316" s="525"/>
      <c r="U316" s="525"/>
      <c r="V316" s="525"/>
      <c r="W316" s="525"/>
      <c r="X316" s="525"/>
      <c r="Y316" s="525"/>
      <c r="Z316" s="525"/>
      <c r="AA316" s="525"/>
      <c r="AB316" s="525"/>
      <c r="AC316" s="525"/>
      <c r="AD316" s="525"/>
      <c r="AE316" s="525"/>
      <c r="AF316" s="525"/>
      <c r="AG316" s="525"/>
      <c r="AH316" s="525"/>
      <c r="AI316" s="525"/>
      <c r="AJ316" s="525"/>
      <c r="AK316" s="525"/>
      <c r="AL316" s="525"/>
      <c r="AM316" s="525"/>
      <c r="AN316" s="525"/>
      <c r="AO316" s="525"/>
      <c r="AP316" s="525"/>
      <c r="AQ316" s="525"/>
      <c r="AR316" s="525"/>
      <c r="AS316" s="525"/>
      <c r="AT316" s="525"/>
      <c r="AU316" s="525"/>
      <c r="AV316" s="525"/>
      <c r="AW316" s="525"/>
      <c r="AX316" s="525"/>
      <c r="AY316" s="525"/>
      <c r="AZ316" s="525"/>
      <c r="BA316" s="525"/>
      <c r="BB316" s="525"/>
      <c r="BC316" s="525"/>
      <c r="BD316" s="525"/>
      <c r="BE316" s="525"/>
      <c r="BF316" s="525"/>
      <c r="BG316" s="525"/>
      <c r="BH316" s="525"/>
      <c r="BI316" s="525"/>
      <c r="BJ316" s="525"/>
      <c r="BK316" s="529">
        <v>-167.68</v>
      </c>
      <c r="BL316" s="529">
        <v>-89.36</v>
      </c>
      <c r="BM316" s="529">
        <v>-26.1</v>
      </c>
      <c r="BN316" s="529">
        <v>-389.28</v>
      </c>
      <c r="BO316" s="529">
        <v>54.9</v>
      </c>
      <c r="BP316" s="529">
        <v>22.93</v>
      </c>
      <c r="BQ316" s="529">
        <v>-66.7</v>
      </c>
      <c r="BR316" s="529">
        <v>-203.56</v>
      </c>
      <c r="BS316" s="529">
        <v>-359.15</v>
      </c>
      <c r="BT316" s="529">
        <v>-10.32</v>
      </c>
      <c r="BU316" s="529">
        <v>-130.74</v>
      </c>
      <c r="BV316" s="529">
        <v>82.49</v>
      </c>
      <c r="BW316" s="529">
        <v>14.18</v>
      </c>
      <c r="BX316" s="529">
        <v>93.65</v>
      </c>
      <c r="BY316" s="529">
        <v>96.27</v>
      </c>
      <c r="BZ316" s="529">
        <v>-478.47</v>
      </c>
      <c r="CA316" s="529">
        <v>-2.11</v>
      </c>
      <c r="CB316" s="529">
        <v>81.53</v>
      </c>
      <c r="CC316" s="529">
        <v>-45.15</v>
      </c>
      <c r="CD316" s="529">
        <v>92.28</v>
      </c>
      <c r="CE316" s="529">
        <v>-294.99</v>
      </c>
      <c r="CF316" s="529">
        <v>121.62</v>
      </c>
      <c r="CG316" s="529">
        <v>109.56</v>
      </c>
      <c r="CH316" s="529">
        <v>-81.66</v>
      </c>
      <c r="CI316" s="529">
        <v>-103.42</v>
      </c>
      <c r="CJ316" s="529">
        <v>72.17</v>
      </c>
      <c r="CK316" s="529">
        <v>106.47</v>
      </c>
      <c r="CL316" s="512">
        <v>7.22</v>
      </c>
      <c r="CM316" s="525"/>
      <c r="CN316" s="537">
        <v>141.61</v>
      </c>
      <c r="CO316" s="537">
        <v>61.48</v>
      </c>
      <c r="CP316" s="537">
        <v>146.88</v>
      </c>
      <c r="CQ316" s="537">
        <v>118.9</v>
      </c>
      <c r="CR316" s="537">
        <v>152.48</v>
      </c>
      <c r="CS316" s="537">
        <v>96.54</v>
      </c>
      <c r="CT316" s="537">
        <v>158.54</v>
      </c>
      <c r="CU316" s="537">
        <v>39.69</v>
      </c>
      <c r="CV316" s="512">
        <v>208.67</v>
      </c>
      <c r="CW316" s="537">
        <v>105.65</v>
      </c>
      <c r="CX316" s="537">
        <v>103.55</v>
      </c>
      <c r="CY316" s="537">
        <v>120.33</v>
      </c>
      <c r="CZ316" s="537">
        <v>27.38</v>
      </c>
      <c r="DA316" s="537">
        <v>240.03</v>
      </c>
      <c r="DB316" s="537">
        <v>207.99</v>
      </c>
      <c r="DC316" s="537">
        <v>193.09</v>
      </c>
      <c r="DD316" s="537">
        <v>101.89</v>
      </c>
      <c r="DE316" s="537">
        <v>96.94</v>
      </c>
      <c r="DF316" s="537">
        <v>85.01</v>
      </c>
      <c r="DG316" s="537">
        <v>98.27</v>
      </c>
      <c r="DH316" s="537">
        <v>125.16</v>
      </c>
      <c r="DI316" s="537">
        <v>120.17</v>
      </c>
      <c r="DJ316" s="537">
        <v>-61.16</v>
      </c>
      <c r="DK316" s="537">
        <v>93.27</v>
      </c>
      <c r="DL316" s="537">
        <v>115.57</v>
      </c>
      <c r="DM316" s="537">
        <v>58.98</v>
      </c>
      <c r="DN316" s="561">
        <v>143.43</v>
      </c>
      <c r="DO316" s="537">
        <v>145.63</v>
      </c>
      <c r="DP316" s="537">
        <v>93.95</v>
      </c>
      <c r="DQ316" s="537">
        <v>150.43</v>
      </c>
      <c r="DR316" s="537"/>
      <c r="DX316" s="530"/>
    </row>
    <row r="317" hidden="1">
      <c r="A317" s="531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  <c r="AT317" s="118"/>
      <c r="AU317" s="118"/>
      <c r="AV317" s="118"/>
      <c r="AW317" s="118"/>
      <c r="AX317" s="118"/>
      <c r="AY317" s="118"/>
      <c r="AZ317" s="118"/>
      <c r="BA317" s="118"/>
      <c r="BB317" s="118"/>
      <c r="BC317" s="118"/>
      <c r="BD317" s="118"/>
      <c r="BE317" s="118"/>
      <c r="BF317" s="118"/>
      <c r="BG317" s="118"/>
      <c r="BH317" s="118"/>
      <c r="BI317" s="118"/>
      <c r="BJ317" s="118"/>
      <c r="BK317" s="118"/>
      <c r="BL317" s="118"/>
      <c r="BM317" s="118"/>
      <c r="BN317" s="118"/>
      <c r="BO317" s="118"/>
      <c r="BP317" s="118"/>
      <c r="BQ317" s="118"/>
      <c r="BR317" s="118"/>
      <c r="BS317" s="118"/>
      <c r="BT317" s="118"/>
      <c r="BU317" s="118"/>
      <c r="BV317" s="118"/>
      <c r="BW317" s="118"/>
      <c r="BX317" s="118"/>
      <c r="BY317" s="118"/>
      <c r="BZ317" s="118"/>
      <c r="CA317" s="118"/>
      <c r="CB317" s="118"/>
      <c r="CC317" s="118"/>
      <c r="CD317" s="118"/>
      <c r="CE317" s="118"/>
      <c r="CF317" s="118"/>
      <c r="CG317" s="118"/>
      <c r="CH317" s="118"/>
      <c r="CI317" s="118"/>
      <c r="CJ317" s="118"/>
      <c r="CK317" s="118"/>
      <c r="CL317" s="118"/>
      <c r="CM317" s="118"/>
      <c r="CN317" s="118"/>
      <c r="CO317" s="118"/>
      <c r="CP317" s="118"/>
      <c r="CQ317" s="118"/>
      <c r="CR317" s="118"/>
      <c r="CS317" s="577"/>
      <c r="CT317" s="118"/>
      <c r="CU317" s="118"/>
      <c r="CV317" s="118"/>
      <c r="CW317" s="118"/>
      <c r="CX317" s="118"/>
      <c r="CY317" s="118"/>
      <c r="CZ317" s="118"/>
      <c r="DA317" s="118"/>
      <c r="DB317" s="118"/>
      <c r="DC317" s="118"/>
      <c r="DD317" s="118"/>
      <c r="DE317" s="118"/>
      <c r="DF317" s="118"/>
      <c r="DG317" s="118"/>
      <c r="DH317" s="118"/>
      <c r="DI317" s="10"/>
      <c r="DJ317" s="118"/>
      <c r="DK317" s="118"/>
      <c r="DL317" s="118"/>
      <c r="DM317" s="118"/>
      <c r="DN317" s="118"/>
      <c r="DO317" s="118"/>
      <c r="DP317" s="118"/>
      <c r="DQ317" s="118"/>
      <c r="DR317" s="118"/>
      <c r="DX317" s="530"/>
    </row>
    <row r="318" hidden="1">
      <c r="A318" s="531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  <c r="AT318" s="118"/>
      <c r="AU318" s="118"/>
      <c r="AV318" s="118"/>
      <c r="AW318" s="118"/>
      <c r="AX318" s="118"/>
      <c r="AY318" s="118"/>
      <c r="AZ318" s="118"/>
      <c r="BA318" s="118"/>
      <c r="BB318" s="118"/>
      <c r="BC318" s="118"/>
      <c r="BD318" s="118"/>
      <c r="BE318" s="118"/>
      <c r="BF318" s="118"/>
      <c r="BG318" s="118"/>
      <c r="BH318" s="118"/>
      <c r="BI318" s="118"/>
      <c r="BJ318" s="118"/>
      <c r="BK318" s="118"/>
      <c r="BL318" s="118"/>
      <c r="BM318" s="118"/>
      <c r="BN318" s="118"/>
      <c r="BO318" s="118"/>
      <c r="BP318" s="118"/>
      <c r="BQ318" s="118"/>
      <c r="BR318" s="118"/>
      <c r="BS318" s="118"/>
      <c r="BT318" s="118"/>
      <c r="BU318" s="118"/>
      <c r="BV318" s="118"/>
      <c r="BW318" s="118"/>
      <c r="BX318" s="118"/>
      <c r="BY318" s="118"/>
      <c r="BZ318" s="118"/>
      <c r="CA318" s="118"/>
      <c r="CB318" s="118"/>
      <c r="CC318" s="118"/>
      <c r="CD318" s="118"/>
      <c r="CE318" s="118"/>
      <c r="CF318" s="118"/>
      <c r="CG318" s="118"/>
      <c r="CH318" s="118"/>
      <c r="CI318" s="118"/>
      <c r="CJ318" s="118"/>
      <c r="CK318" s="118"/>
      <c r="CL318" s="118"/>
      <c r="CM318" s="118"/>
      <c r="CN318" s="118"/>
      <c r="CO318" s="118"/>
      <c r="CP318" s="118"/>
      <c r="CQ318" s="118"/>
      <c r="CR318" s="118"/>
      <c r="CS318" s="118"/>
      <c r="CT318" s="118"/>
      <c r="CU318" s="118"/>
      <c r="CV318" s="118"/>
      <c r="CW318" s="118"/>
      <c r="CX318" s="118"/>
      <c r="CY318" s="118"/>
      <c r="CZ318" s="118"/>
      <c r="DA318" s="118"/>
      <c r="DB318" s="118"/>
      <c r="DC318" s="118"/>
      <c r="DD318" s="118"/>
      <c r="DE318" s="118"/>
      <c r="DF318" s="118"/>
      <c r="DG318" s="118"/>
      <c r="DH318" s="118"/>
      <c r="DI318" s="118"/>
      <c r="DJ318" s="118"/>
      <c r="DK318" s="118"/>
      <c r="DL318" s="118"/>
      <c r="DM318" s="118"/>
      <c r="DN318" s="118"/>
      <c r="DO318" s="118"/>
      <c r="DP318" s="118"/>
      <c r="DQ318" s="118"/>
      <c r="DR318" s="118"/>
      <c r="DX318" s="530"/>
    </row>
    <row r="319" hidden="1">
      <c r="A319" s="500" t="s">
        <v>12</v>
      </c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  <c r="AT319" s="118"/>
      <c r="AU319" s="118"/>
      <c r="AV319" s="118"/>
      <c r="AW319" s="118"/>
      <c r="AX319" s="118"/>
      <c r="AY319" s="118"/>
      <c r="AZ319" s="118"/>
      <c r="BA319" s="118"/>
      <c r="BB319" s="118"/>
      <c r="BC319" s="118"/>
      <c r="BD319" s="118"/>
      <c r="BE319" s="118"/>
      <c r="BF319" s="118"/>
      <c r="BG319" s="118"/>
      <c r="BH319" s="118"/>
      <c r="BI319" s="118"/>
      <c r="BJ319" s="118"/>
      <c r="BK319" s="118"/>
      <c r="BL319" s="118"/>
      <c r="BM319" s="118"/>
      <c r="BN319" s="118"/>
      <c r="BO319" s="118"/>
      <c r="BP319" s="118"/>
      <c r="BQ319" s="118"/>
      <c r="BR319" s="118"/>
      <c r="BS319" s="118"/>
      <c r="BT319" s="118"/>
      <c r="BU319" s="118"/>
      <c r="BV319" s="118"/>
      <c r="BW319" s="118"/>
      <c r="BX319" s="118"/>
      <c r="BY319" s="118"/>
      <c r="BZ319" s="118"/>
      <c r="CA319" s="118"/>
      <c r="CB319" s="118"/>
      <c r="CC319" s="118"/>
      <c r="CD319" s="118"/>
      <c r="CE319" s="118"/>
      <c r="CF319" s="118"/>
      <c r="CG319" s="118"/>
      <c r="CH319" s="118"/>
      <c r="CI319" s="118"/>
      <c r="CJ319" s="118"/>
      <c r="CK319" s="118"/>
      <c r="CL319" s="118"/>
      <c r="CM319" s="118"/>
      <c r="CN319" s="546" t="s">
        <v>355</v>
      </c>
      <c r="CO319" s="546" t="s">
        <v>355</v>
      </c>
      <c r="CP319" s="546" t="s">
        <v>318</v>
      </c>
      <c r="CQ319" s="546" t="s">
        <v>355</v>
      </c>
      <c r="CR319" s="546" t="s">
        <v>355</v>
      </c>
      <c r="CS319" s="546" t="s">
        <v>355</v>
      </c>
      <c r="CT319" s="546" t="s">
        <v>318</v>
      </c>
      <c r="CU319" s="546" t="s">
        <v>355</v>
      </c>
      <c r="CV319" s="546" t="s">
        <v>355</v>
      </c>
      <c r="CW319" s="582" t="s">
        <v>355</v>
      </c>
      <c r="CX319" s="582" t="s">
        <v>353</v>
      </c>
      <c r="CY319" s="546" t="s">
        <v>355</v>
      </c>
      <c r="CZ319" s="546" t="s">
        <v>355</v>
      </c>
      <c r="DA319" s="546" t="s">
        <v>355</v>
      </c>
      <c r="DB319" s="546" t="s">
        <v>353</v>
      </c>
      <c r="DC319" s="546" t="s">
        <v>355</v>
      </c>
      <c r="DD319" s="546" t="s">
        <v>355</v>
      </c>
      <c r="DE319" s="546" t="s">
        <v>318</v>
      </c>
      <c r="DF319" s="546" t="s">
        <v>353</v>
      </c>
      <c r="DG319" s="546" t="s">
        <v>355</v>
      </c>
      <c r="DH319" s="546" t="s">
        <v>355</v>
      </c>
      <c r="DI319" s="546" t="s">
        <v>355</v>
      </c>
      <c r="DJ319" s="546" t="s">
        <v>353</v>
      </c>
      <c r="DK319" s="546" t="s">
        <v>355</v>
      </c>
      <c r="DL319" s="546" t="s">
        <v>355</v>
      </c>
      <c r="DM319" s="546" t="s">
        <v>355</v>
      </c>
      <c r="DN319" s="546" t="s">
        <v>353</v>
      </c>
      <c r="DO319" s="546" t="s">
        <v>355</v>
      </c>
      <c r="DP319" s="546" t="s">
        <v>355</v>
      </c>
      <c r="DQ319" s="546" t="s">
        <v>355</v>
      </c>
      <c r="DR319" s="546"/>
      <c r="DT319" s="586" t="s">
        <v>384</v>
      </c>
      <c r="DU319" s="586" t="s">
        <v>332</v>
      </c>
      <c r="DX319" s="530"/>
    </row>
    <row r="320" hidden="1">
      <c r="A320" s="502" t="s">
        <v>288</v>
      </c>
      <c r="B320" s="525"/>
      <c r="C320" s="525"/>
      <c r="D320" s="525"/>
      <c r="E320" s="525"/>
      <c r="F320" s="525"/>
      <c r="G320" s="525"/>
      <c r="H320" s="525"/>
      <c r="I320" s="525"/>
      <c r="J320" s="525"/>
      <c r="K320" s="525"/>
      <c r="L320" s="525"/>
      <c r="M320" s="525"/>
      <c r="N320" s="525"/>
      <c r="O320" s="525"/>
      <c r="P320" s="525"/>
      <c r="Q320" s="525"/>
      <c r="R320" s="525"/>
      <c r="S320" s="525"/>
      <c r="T320" s="525"/>
      <c r="U320" s="525"/>
      <c r="V320" s="525"/>
      <c r="W320" s="525"/>
      <c r="X320" s="525"/>
      <c r="Y320" s="525"/>
      <c r="Z320" s="525"/>
      <c r="AA320" s="525"/>
      <c r="AB320" s="525"/>
      <c r="AC320" s="525"/>
      <c r="AD320" s="525"/>
      <c r="AE320" s="525"/>
      <c r="AF320" s="525"/>
      <c r="AG320" s="525"/>
      <c r="AH320" s="525"/>
      <c r="AI320" s="525"/>
      <c r="AJ320" s="525"/>
      <c r="AK320" s="525"/>
      <c r="AL320" s="525"/>
      <c r="AM320" s="525"/>
      <c r="AN320" s="525"/>
      <c r="AO320" s="525"/>
      <c r="AP320" s="525"/>
      <c r="AQ320" s="525"/>
      <c r="AR320" s="525"/>
      <c r="AS320" s="525"/>
      <c r="AT320" s="525"/>
      <c r="AU320" s="525"/>
      <c r="AV320" s="525"/>
      <c r="AW320" s="525"/>
      <c r="AX320" s="525"/>
      <c r="AY320" s="525"/>
      <c r="AZ320" s="525"/>
      <c r="BA320" s="525"/>
      <c r="BB320" s="525"/>
      <c r="BC320" s="525"/>
      <c r="BD320" s="525"/>
      <c r="BE320" s="525"/>
      <c r="BF320" s="525"/>
      <c r="BG320" s="525"/>
      <c r="BH320" s="525"/>
      <c r="BI320" s="525"/>
      <c r="BJ320" s="525"/>
      <c r="BK320" s="541">
        <v>45689.0</v>
      </c>
      <c r="BL320" s="541">
        <v>45690.0</v>
      </c>
      <c r="BM320" s="541">
        <v>45691.0</v>
      </c>
      <c r="BN320" s="541">
        <v>45692.0</v>
      </c>
      <c r="BO320" s="541">
        <v>45693.0</v>
      </c>
      <c r="BP320" s="541">
        <v>45694.0</v>
      </c>
      <c r="BQ320" s="541">
        <v>45695.0</v>
      </c>
      <c r="BR320" s="541">
        <v>45696.0</v>
      </c>
      <c r="BS320" s="541">
        <v>45697.0</v>
      </c>
      <c r="BT320" s="541">
        <v>45698.0</v>
      </c>
      <c r="BU320" s="541">
        <v>45699.0</v>
      </c>
      <c r="BV320" s="541">
        <v>45700.0</v>
      </c>
      <c r="BW320" s="541">
        <v>45701.0</v>
      </c>
      <c r="BX320" s="541">
        <v>45702.0</v>
      </c>
      <c r="BY320" s="541">
        <v>45703.0</v>
      </c>
      <c r="BZ320" s="541">
        <v>45704.0</v>
      </c>
      <c r="CA320" s="541">
        <v>45705.0</v>
      </c>
      <c r="CB320" s="541">
        <v>45706.0</v>
      </c>
      <c r="CC320" s="541">
        <v>45707.0</v>
      </c>
      <c r="CD320" s="541">
        <v>45708.0</v>
      </c>
      <c r="CE320" s="541">
        <v>45709.0</v>
      </c>
      <c r="CF320" s="541">
        <v>45710.0</v>
      </c>
      <c r="CG320" s="541">
        <v>45711.0</v>
      </c>
      <c r="CH320" s="541">
        <v>45712.0</v>
      </c>
      <c r="CI320" s="541">
        <v>45713.0</v>
      </c>
      <c r="CJ320" s="541">
        <v>45714.0</v>
      </c>
      <c r="CK320" s="541">
        <v>45715.0</v>
      </c>
      <c r="CL320" s="541">
        <v>45716.0</v>
      </c>
      <c r="CM320" s="563"/>
      <c r="CN320" s="541">
        <v>45962.0</v>
      </c>
      <c r="CO320" s="541">
        <v>45963.0</v>
      </c>
      <c r="CP320" s="541">
        <v>45964.0</v>
      </c>
      <c r="CQ320" s="541">
        <v>45965.0</v>
      </c>
      <c r="CR320" s="541">
        <v>45966.0</v>
      </c>
      <c r="CS320" s="541">
        <v>45967.0</v>
      </c>
      <c r="CT320" s="541">
        <v>45968.0</v>
      </c>
      <c r="CU320" s="541">
        <v>45969.0</v>
      </c>
      <c r="CV320" s="541">
        <v>45970.0</v>
      </c>
      <c r="CW320" s="587">
        <v>45971.0</v>
      </c>
      <c r="CX320" s="587">
        <v>45972.0</v>
      </c>
      <c r="CY320" s="542">
        <v>45973.0</v>
      </c>
      <c r="CZ320" s="542">
        <v>45974.0</v>
      </c>
      <c r="DA320" s="542">
        <v>45975.0</v>
      </c>
      <c r="DB320" s="542">
        <v>45976.0</v>
      </c>
      <c r="DC320" s="542">
        <v>45977.0</v>
      </c>
      <c r="DD320" s="542">
        <v>45978.0</v>
      </c>
      <c r="DE320" s="542">
        <v>45979.0</v>
      </c>
      <c r="DF320" s="542">
        <v>45980.0</v>
      </c>
      <c r="DG320" s="542">
        <v>45981.0</v>
      </c>
      <c r="DH320" s="542">
        <v>45982.0</v>
      </c>
      <c r="DI320" s="542">
        <v>45983.0</v>
      </c>
      <c r="DJ320" s="542">
        <v>45984.0</v>
      </c>
      <c r="DK320" s="542">
        <v>45985.0</v>
      </c>
      <c r="DL320" s="542">
        <v>45986.0</v>
      </c>
      <c r="DM320" s="542">
        <v>45987.0</v>
      </c>
      <c r="DN320" s="542">
        <v>45988.0</v>
      </c>
      <c r="DO320" s="542">
        <v>45989.0</v>
      </c>
      <c r="DP320" s="542">
        <v>45990.0</v>
      </c>
      <c r="DQ320" s="542">
        <v>45991.0</v>
      </c>
      <c r="DR320" s="542"/>
      <c r="DS320" s="520" t="s">
        <v>320</v>
      </c>
      <c r="DT320" s="574">
        <f>DC323+DD323+DG323+DH323+DI323+DK323+DL323+DM323+DO323+DP323+DQ323</f>
        <v>1006.52</v>
      </c>
      <c r="DU320" s="574">
        <f>100*21</f>
        <v>2100</v>
      </c>
      <c r="DX320" s="530"/>
    </row>
    <row r="321" hidden="1">
      <c r="A321" s="502" t="s">
        <v>289</v>
      </c>
      <c r="B321" s="525"/>
      <c r="C321" s="525"/>
      <c r="D321" s="525"/>
      <c r="E321" s="525"/>
      <c r="F321" s="525"/>
      <c r="G321" s="525"/>
      <c r="H321" s="525"/>
      <c r="I321" s="525"/>
      <c r="J321" s="525"/>
      <c r="K321" s="525"/>
      <c r="L321" s="525"/>
      <c r="M321" s="525"/>
      <c r="N321" s="525"/>
      <c r="O321" s="525"/>
      <c r="P321" s="525"/>
      <c r="Q321" s="525"/>
      <c r="R321" s="525"/>
      <c r="S321" s="525"/>
      <c r="T321" s="525"/>
      <c r="U321" s="525"/>
      <c r="V321" s="525"/>
      <c r="W321" s="525"/>
      <c r="X321" s="525"/>
      <c r="Y321" s="525"/>
      <c r="Z321" s="525"/>
      <c r="AA321" s="525"/>
      <c r="AB321" s="525"/>
      <c r="AC321" s="525"/>
      <c r="AD321" s="525"/>
      <c r="AE321" s="525"/>
      <c r="AF321" s="525"/>
      <c r="AG321" s="525"/>
      <c r="AH321" s="525"/>
      <c r="AI321" s="525"/>
      <c r="AJ321" s="525"/>
      <c r="AK321" s="525"/>
      <c r="AL321" s="525"/>
      <c r="AM321" s="525"/>
      <c r="AN321" s="525"/>
      <c r="AO321" s="525"/>
      <c r="AP321" s="525"/>
      <c r="AQ321" s="525"/>
      <c r="AR321" s="525"/>
      <c r="AS321" s="525"/>
      <c r="AT321" s="525"/>
      <c r="AU321" s="525"/>
      <c r="AV321" s="525"/>
      <c r="AW321" s="525"/>
      <c r="AX321" s="525"/>
      <c r="AY321" s="525"/>
      <c r="AZ321" s="525"/>
      <c r="BA321" s="525"/>
      <c r="BB321" s="525"/>
      <c r="BC321" s="525"/>
      <c r="BD321" s="525"/>
      <c r="BE321" s="525"/>
      <c r="BF321" s="525"/>
      <c r="BG321" s="525"/>
      <c r="BH321" s="525"/>
      <c r="BI321" s="525"/>
      <c r="BJ321" s="525"/>
      <c r="BK321" s="512">
        <v>99.0</v>
      </c>
      <c r="BL321" s="512">
        <v>117.0</v>
      </c>
      <c r="BM321" s="512">
        <v>121.0</v>
      </c>
      <c r="BN321" s="512">
        <v>105.0</v>
      </c>
      <c r="BO321" s="512">
        <v>97.0</v>
      </c>
      <c r="BP321" s="512">
        <v>98.0</v>
      </c>
      <c r="BQ321" s="512">
        <v>110.0</v>
      </c>
      <c r="BR321" s="512">
        <v>141.0</v>
      </c>
      <c r="BS321" s="512">
        <v>157.0</v>
      </c>
      <c r="BT321" s="512">
        <v>98.0</v>
      </c>
      <c r="BU321" s="512">
        <v>130.0</v>
      </c>
      <c r="BV321" s="512">
        <v>130.0</v>
      </c>
      <c r="BW321" s="512">
        <v>153.0</v>
      </c>
      <c r="BX321" s="512">
        <v>131.0</v>
      </c>
      <c r="BY321" s="512">
        <v>126.0</v>
      </c>
      <c r="BZ321" s="512">
        <v>160.0</v>
      </c>
      <c r="CA321" s="512">
        <v>151.0</v>
      </c>
      <c r="CB321" s="512">
        <v>99.0</v>
      </c>
      <c r="CC321" s="512">
        <v>125.0</v>
      </c>
      <c r="CD321" s="512">
        <v>168.0</v>
      </c>
      <c r="CE321" s="512">
        <v>164.0</v>
      </c>
      <c r="CF321" s="512">
        <v>174.0</v>
      </c>
      <c r="CG321" s="512">
        <v>161.0</v>
      </c>
      <c r="CH321" s="512">
        <v>117.0</v>
      </c>
      <c r="CI321" s="512">
        <v>139.0</v>
      </c>
      <c r="CJ321" s="512">
        <v>131.0</v>
      </c>
      <c r="CK321" s="512">
        <v>98.0</v>
      </c>
      <c r="CL321" s="512">
        <v>196.0</v>
      </c>
      <c r="CM321" s="514"/>
      <c r="CN321" s="561">
        <v>163.0</v>
      </c>
      <c r="CO321" s="561">
        <v>226.0</v>
      </c>
      <c r="CP321" s="561">
        <v>182.0</v>
      </c>
      <c r="CQ321" s="561">
        <v>203.0</v>
      </c>
      <c r="CR321" s="561">
        <v>185.0</v>
      </c>
      <c r="CS321" s="561">
        <v>156.0</v>
      </c>
      <c r="CT321" s="561">
        <v>244.0</v>
      </c>
      <c r="CU321" s="561">
        <v>139.0</v>
      </c>
      <c r="CV321" s="561">
        <v>190.0</v>
      </c>
      <c r="CW321" s="561">
        <v>313.0</v>
      </c>
      <c r="CX321" s="561">
        <v>152.0</v>
      </c>
      <c r="CY321" s="561">
        <v>175.0</v>
      </c>
      <c r="CZ321" s="561">
        <v>109.0</v>
      </c>
      <c r="DA321" s="561">
        <v>86.0</v>
      </c>
      <c r="DB321" s="561">
        <v>235.0</v>
      </c>
      <c r="DC321" s="561">
        <v>354.0</v>
      </c>
      <c r="DD321" s="561">
        <v>223.0</v>
      </c>
      <c r="DE321" s="561">
        <v>201.0</v>
      </c>
      <c r="DF321" s="561">
        <v>223.0</v>
      </c>
      <c r="DG321" s="561">
        <v>227.0</v>
      </c>
      <c r="DH321" s="561">
        <v>263.0</v>
      </c>
      <c r="DI321" s="561">
        <v>166.0</v>
      </c>
      <c r="DJ321" s="561">
        <v>233.0</v>
      </c>
      <c r="DK321" s="561">
        <v>268.0</v>
      </c>
      <c r="DL321" s="561">
        <v>236.0</v>
      </c>
      <c r="DM321" s="561">
        <v>184.0</v>
      </c>
      <c r="DN321" s="561">
        <v>206.0</v>
      </c>
      <c r="DO321" s="561">
        <v>213.0</v>
      </c>
      <c r="DP321" s="561">
        <v>223.0</v>
      </c>
      <c r="DQ321" s="561">
        <v>221.0</v>
      </c>
      <c r="DR321" s="561"/>
      <c r="DS321" s="520" t="s">
        <v>339</v>
      </c>
      <c r="DT321" s="574">
        <f>DE323</f>
        <v>97.15</v>
      </c>
      <c r="DU321" s="520">
        <v>200.0</v>
      </c>
      <c r="DW321" s="574">
        <f t="shared" ref="DW321:DW322" si="12">SUM(CN321:DR321)</f>
        <v>6199</v>
      </c>
      <c r="DX321" s="530">
        <f t="shared" ref="DX321:DX322" si="13">DW321/30</f>
        <v>206.6333333</v>
      </c>
    </row>
    <row r="322" hidden="1">
      <c r="A322" s="521" t="s">
        <v>290</v>
      </c>
      <c r="B322" s="525"/>
      <c r="C322" s="525"/>
      <c r="D322" s="525"/>
      <c r="E322" s="525"/>
      <c r="F322" s="525"/>
      <c r="G322" s="525"/>
      <c r="H322" s="525"/>
      <c r="I322" s="525"/>
      <c r="J322" s="525"/>
      <c r="K322" s="525"/>
      <c r="L322" s="525"/>
      <c r="M322" s="525"/>
      <c r="N322" s="525"/>
      <c r="O322" s="525"/>
      <c r="P322" s="525"/>
      <c r="Q322" s="525"/>
      <c r="R322" s="525"/>
      <c r="S322" s="525"/>
      <c r="T322" s="525"/>
      <c r="U322" s="525"/>
      <c r="V322" s="525"/>
      <c r="W322" s="525"/>
      <c r="X322" s="525"/>
      <c r="Y322" s="525"/>
      <c r="Z322" s="525"/>
      <c r="AA322" s="525"/>
      <c r="AB322" s="525"/>
      <c r="AC322" s="525"/>
      <c r="AD322" s="525"/>
      <c r="AE322" s="525"/>
      <c r="AF322" s="525"/>
      <c r="AG322" s="525"/>
      <c r="AH322" s="525"/>
      <c r="AI322" s="525"/>
      <c r="AJ322" s="525"/>
      <c r="AK322" s="525"/>
      <c r="AL322" s="525"/>
      <c r="AM322" s="525"/>
      <c r="AN322" s="525"/>
      <c r="AO322" s="525"/>
      <c r="AP322" s="525"/>
      <c r="AQ322" s="525"/>
      <c r="AR322" s="525"/>
      <c r="AS322" s="525"/>
      <c r="AT322" s="525"/>
      <c r="AU322" s="525"/>
      <c r="AV322" s="525"/>
      <c r="AW322" s="525"/>
      <c r="AX322" s="525"/>
      <c r="AY322" s="525"/>
      <c r="AZ322" s="525"/>
      <c r="BA322" s="525"/>
      <c r="BB322" s="525"/>
      <c r="BC322" s="525"/>
      <c r="BD322" s="525"/>
      <c r="BE322" s="525"/>
      <c r="BF322" s="525"/>
      <c r="BG322" s="525"/>
      <c r="BH322" s="525"/>
      <c r="BI322" s="525"/>
      <c r="BJ322" s="525"/>
      <c r="BK322" s="512">
        <v>44.0</v>
      </c>
      <c r="BL322" s="512">
        <v>55.0</v>
      </c>
      <c r="BM322" s="512">
        <v>47.0</v>
      </c>
      <c r="BN322" s="512">
        <v>39.0</v>
      </c>
      <c r="BO322" s="512">
        <v>54.0</v>
      </c>
      <c r="BP322" s="512">
        <v>46.0</v>
      </c>
      <c r="BQ322" s="512">
        <v>51.0</v>
      </c>
      <c r="BR322" s="512">
        <v>48.0</v>
      </c>
      <c r="BS322" s="512">
        <v>55.0</v>
      </c>
      <c r="BT322" s="512">
        <v>41.0</v>
      </c>
      <c r="BU322" s="512">
        <v>57.0</v>
      </c>
      <c r="BV322" s="512">
        <v>57.0</v>
      </c>
      <c r="BW322" s="512">
        <v>59.0</v>
      </c>
      <c r="BX322" s="512">
        <v>41.0</v>
      </c>
      <c r="BY322" s="512">
        <v>52.0</v>
      </c>
      <c r="BZ322" s="512">
        <v>61.0</v>
      </c>
      <c r="CA322" s="512">
        <v>52.0</v>
      </c>
      <c r="CB322" s="512">
        <v>38.0</v>
      </c>
      <c r="CC322" s="512">
        <v>53.0</v>
      </c>
      <c r="CD322" s="512">
        <v>77.0</v>
      </c>
      <c r="CE322" s="512">
        <v>59.0</v>
      </c>
      <c r="CF322" s="512">
        <v>70.0</v>
      </c>
      <c r="CG322" s="512">
        <v>77.0</v>
      </c>
      <c r="CH322" s="512">
        <v>47.0</v>
      </c>
      <c r="CI322" s="512">
        <v>51.0</v>
      </c>
      <c r="CJ322" s="512">
        <v>54.0</v>
      </c>
      <c r="CK322" s="512">
        <v>43.0</v>
      </c>
      <c r="CL322" s="512">
        <v>75.0</v>
      </c>
      <c r="CM322" s="566">
        <f>SUM(BK322:CL322)/28</f>
        <v>53.67857143</v>
      </c>
      <c r="CN322" s="561">
        <v>63.0</v>
      </c>
      <c r="CO322" s="561">
        <v>79.0</v>
      </c>
      <c r="CP322" s="561">
        <v>71.0</v>
      </c>
      <c r="CQ322" s="561">
        <v>80.0</v>
      </c>
      <c r="CR322" s="561">
        <v>76.0</v>
      </c>
      <c r="CS322" s="561">
        <v>69.0</v>
      </c>
      <c r="CT322" s="561">
        <v>87.0</v>
      </c>
      <c r="CU322" s="561">
        <v>53.0</v>
      </c>
      <c r="CV322" s="561">
        <v>86.0</v>
      </c>
      <c r="CW322" s="561">
        <v>109.0</v>
      </c>
      <c r="CX322" s="561">
        <v>66.0</v>
      </c>
      <c r="CY322" s="561">
        <v>60.0</v>
      </c>
      <c r="CZ322" s="561">
        <v>50.0</v>
      </c>
      <c r="DA322" s="561">
        <v>42.0</v>
      </c>
      <c r="DB322" s="561">
        <v>85.0</v>
      </c>
      <c r="DC322" s="561">
        <v>132.0</v>
      </c>
      <c r="DD322" s="561">
        <v>74.0</v>
      </c>
      <c r="DE322" s="561">
        <v>87.0</v>
      </c>
      <c r="DF322" s="561">
        <v>66.0</v>
      </c>
      <c r="DG322" s="561">
        <v>84.0</v>
      </c>
      <c r="DH322" s="561">
        <v>90.0</v>
      </c>
      <c r="DI322" s="561">
        <v>70.0</v>
      </c>
      <c r="DJ322" s="561">
        <v>93.0</v>
      </c>
      <c r="DK322" s="561">
        <v>86.0</v>
      </c>
      <c r="DL322" s="561">
        <v>84.0</v>
      </c>
      <c r="DM322" s="561">
        <v>62.0</v>
      </c>
      <c r="DN322" s="561">
        <v>84.0</v>
      </c>
      <c r="DO322" s="561">
        <v>85.0</v>
      </c>
      <c r="DP322" s="561">
        <v>83.0</v>
      </c>
      <c r="DQ322" s="561">
        <v>82.0</v>
      </c>
      <c r="DR322" s="561"/>
      <c r="DS322" s="520" t="s">
        <v>314</v>
      </c>
      <c r="DT322" s="574">
        <f>DF323+DJ323+DN323</f>
        <v>272.47</v>
      </c>
      <c r="DU322" s="574">
        <f>100*6</f>
        <v>600</v>
      </c>
      <c r="DW322" s="574">
        <f t="shared" si="12"/>
        <v>2338</v>
      </c>
      <c r="DX322" s="530">
        <f t="shared" si="13"/>
        <v>77.93333333</v>
      </c>
    </row>
    <row r="323" hidden="1">
      <c r="A323" s="502" t="s">
        <v>291</v>
      </c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7"/>
      <c r="N323" s="537"/>
      <c r="O323" s="537"/>
      <c r="P323" s="537"/>
      <c r="Q323" s="537"/>
      <c r="R323" s="537"/>
      <c r="S323" s="537"/>
      <c r="T323" s="537"/>
      <c r="U323" s="537"/>
      <c r="V323" s="537"/>
      <c r="W323" s="537"/>
      <c r="X323" s="537"/>
      <c r="Y323" s="537"/>
      <c r="Z323" s="537"/>
      <c r="AA323" s="537"/>
      <c r="AB323" s="537"/>
      <c r="AC323" s="537"/>
      <c r="AD323" s="537"/>
      <c r="AE323" s="537"/>
      <c r="AF323" s="537"/>
      <c r="AG323" s="537"/>
      <c r="AH323" s="537"/>
      <c r="AI323" s="537"/>
      <c r="AJ323" s="537"/>
      <c r="AK323" s="537"/>
      <c r="AL323" s="537"/>
      <c r="AM323" s="537"/>
      <c r="AN323" s="537"/>
      <c r="AO323" s="537"/>
      <c r="AP323" s="537"/>
      <c r="AQ323" s="537"/>
      <c r="AR323" s="537"/>
      <c r="AS323" s="537"/>
      <c r="AT323" s="537"/>
      <c r="AU323" s="537"/>
      <c r="AV323" s="537"/>
      <c r="AW323" s="537"/>
      <c r="AX323" s="537"/>
      <c r="AY323" s="537"/>
      <c r="AZ323" s="537"/>
      <c r="BA323" s="537"/>
      <c r="BB323" s="537"/>
      <c r="BC323" s="537"/>
      <c r="BD323" s="537"/>
      <c r="BE323" s="537"/>
      <c r="BF323" s="537"/>
      <c r="BG323" s="537"/>
      <c r="BH323" s="537"/>
      <c r="BI323" s="537"/>
      <c r="BJ323" s="537"/>
      <c r="BK323" s="537">
        <v>-295.52</v>
      </c>
      <c r="BL323" s="537">
        <v>-42.77</v>
      </c>
      <c r="BM323" s="537">
        <v>24.22</v>
      </c>
      <c r="BN323" s="537">
        <v>-438.28</v>
      </c>
      <c r="BO323" s="537">
        <v>35.84</v>
      </c>
      <c r="BP323" s="537">
        <v>-15.94</v>
      </c>
      <c r="BQ323" s="537">
        <v>33.53</v>
      </c>
      <c r="BR323" s="537">
        <v>48.55</v>
      </c>
      <c r="BS323" s="537">
        <v>-179.22</v>
      </c>
      <c r="BT323" s="537">
        <v>-2.05</v>
      </c>
      <c r="BU323" s="537">
        <v>54.16</v>
      </c>
      <c r="BV323" s="537">
        <v>-203.07</v>
      </c>
      <c r="BW323" s="537">
        <v>53.0</v>
      </c>
      <c r="BX323" s="537">
        <v>35.32</v>
      </c>
      <c r="BY323" s="537">
        <v>52.07</v>
      </c>
      <c r="BZ323" s="537">
        <v>38.49</v>
      </c>
      <c r="CA323" s="537">
        <v>54.6</v>
      </c>
      <c r="CB323" s="537">
        <v>43.14</v>
      </c>
      <c r="CC323" s="537">
        <v>-87.46</v>
      </c>
      <c r="CD323" s="537">
        <v>47.24</v>
      </c>
      <c r="CE323" s="537">
        <v>-66.14</v>
      </c>
      <c r="CF323" s="537">
        <v>54.48</v>
      </c>
      <c r="CG323" s="537">
        <v>59.5</v>
      </c>
      <c r="CH323" s="537">
        <v>-90.39</v>
      </c>
      <c r="CI323" s="537">
        <v>50.36</v>
      </c>
      <c r="CJ323" s="537">
        <v>32.76</v>
      </c>
      <c r="CK323" s="537">
        <v>-310.39</v>
      </c>
      <c r="CL323" s="537">
        <v>-88.51</v>
      </c>
      <c r="CM323" s="537"/>
      <c r="CN323" s="537">
        <v>98.21</v>
      </c>
      <c r="CO323" s="537">
        <v>94.09</v>
      </c>
      <c r="CP323" s="537">
        <v>81.14</v>
      </c>
      <c r="CQ323" s="537">
        <v>85.89</v>
      </c>
      <c r="CR323" s="537">
        <v>114.45</v>
      </c>
      <c r="CS323" s="537">
        <v>105.93</v>
      </c>
      <c r="CT323" s="537">
        <v>-83.75</v>
      </c>
      <c r="CU323" s="537"/>
      <c r="CV323" s="512">
        <v>192.62</v>
      </c>
      <c r="CW323" s="537">
        <v>75.56</v>
      </c>
      <c r="CX323" s="537">
        <v>96.03</v>
      </c>
      <c r="CY323" s="537">
        <v>31.94</v>
      </c>
      <c r="CZ323" s="539"/>
      <c r="DA323" s="537">
        <v>127.88</v>
      </c>
      <c r="DB323" s="537">
        <v>269.87</v>
      </c>
      <c r="DC323" s="537">
        <v>126.72</v>
      </c>
      <c r="DD323" s="513">
        <v>89.51</v>
      </c>
      <c r="DE323" s="537">
        <v>97.15</v>
      </c>
      <c r="DF323" s="537">
        <v>93.75</v>
      </c>
      <c r="DG323" s="537">
        <v>52.61</v>
      </c>
      <c r="DH323" s="537">
        <v>86.09</v>
      </c>
      <c r="DI323" s="537">
        <v>94.55</v>
      </c>
      <c r="DJ323" s="537">
        <v>62.1</v>
      </c>
      <c r="DK323" s="537">
        <v>120.01</v>
      </c>
      <c r="DL323" s="537">
        <v>75.63</v>
      </c>
      <c r="DM323" s="537">
        <v>88.97</v>
      </c>
      <c r="DN323" s="537">
        <v>116.62</v>
      </c>
      <c r="DO323" s="537">
        <v>67.41</v>
      </c>
      <c r="DP323" s="537">
        <v>69.23</v>
      </c>
      <c r="DQ323" s="537">
        <v>135.79</v>
      </c>
      <c r="DR323" s="537"/>
      <c r="DX323" s="530"/>
    </row>
    <row r="324" hidden="1">
      <c r="A324" s="531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  <c r="AT324" s="118"/>
      <c r="AU324" s="118"/>
      <c r="AV324" s="118"/>
      <c r="AW324" s="118"/>
      <c r="AX324" s="118"/>
      <c r="AY324" s="118"/>
      <c r="AZ324" s="118"/>
      <c r="BA324" s="118"/>
      <c r="BB324" s="118"/>
      <c r="BC324" s="118"/>
      <c r="BD324" s="118"/>
      <c r="BE324" s="118"/>
      <c r="BF324" s="118"/>
      <c r="BG324" s="118"/>
      <c r="BH324" s="118"/>
      <c r="BI324" s="118"/>
      <c r="BJ324" s="118"/>
      <c r="BK324" s="118"/>
      <c r="BL324" s="118"/>
      <c r="BM324" s="118"/>
      <c r="BN324" s="118"/>
      <c r="BO324" s="118"/>
      <c r="BP324" s="118"/>
      <c r="BQ324" s="118"/>
      <c r="BR324" s="118"/>
      <c r="BS324" s="118"/>
      <c r="BT324" s="118"/>
      <c r="BU324" s="118"/>
      <c r="BV324" s="118"/>
      <c r="BW324" s="118"/>
      <c r="BX324" s="118"/>
      <c r="BY324" s="118"/>
      <c r="BZ324" s="118"/>
      <c r="CA324" s="118"/>
      <c r="CB324" s="118"/>
      <c r="CC324" s="118"/>
      <c r="CD324" s="118"/>
      <c r="CE324" s="118"/>
      <c r="CF324" s="118"/>
      <c r="CG324" s="118"/>
      <c r="CH324" s="118"/>
      <c r="CI324" s="118"/>
      <c r="CJ324" s="118"/>
      <c r="CK324" s="118"/>
      <c r="CL324" s="118"/>
      <c r="CM324" s="118"/>
      <c r="CN324" s="118"/>
      <c r="CO324" s="546"/>
      <c r="CP324" s="118"/>
      <c r="CQ324" s="118"/>
      <c r="CR324" s="118"/>
      <c r="CS324" s="546"/>
      <c r="CT324" s="118"/>
      <c r="CU324" s="118"/>
      <c r="CV324" s="118"/>
      <c r="CW324" s="118"/>
      <c r="CX324" s="118"/>
      <c r="CY324" s="118"/>
      <c r="CZ324" s="118"/>
      <c r="DA324" s="118"/>
      <c r="DB324" s="118"/>
      <c r="DC324" s="118"/>
      <c r="DD324" s="118"/>
      <c r="DE324" s="118"/>
      <c r="DF324" s="118"/>
      <c r="DG324" s="118"/>
      <c r="DH324" s="118"/>
      <c r="DI324" s="118"/>
      <c r="DJ324" s="118"/>
      <c r="DK324" s="118"/>
      <c r="DL324" s="118"/>
      <c r="DM324" s="118"/>
      <c r="DN324" s="118"/>
      <c r="DO324" s="118"/>
      <c r="DP324" s="118"/>
      <c r="DQ324" s="118"/>
      <c r="DR324" s="118"/>
      <c r="DX324" s="530"/>
    </row>
    <row r="325" hidden="1">
      <c r="A325" s="531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  <c r="AT325" s="118"/>
      <c r="AU325" s="118"/>
      <c r="AV325" s="118"/>
      <c r="AW325" s="118"/>
      <c r="AX325" s="118"/>
      <c r="AY325" s="118"/>
      <c r="AZ325" s="118"/>
      <c r="BA325" s="118"/>
      <c r="BB325" s="118"/>
      <c r="BC325" s="118"/>
      <c r="BD325" s="118"/>
      <c r="BE325" s="118"/>
      <c r="BF325" s="118"/>
      <c r="BG325" s="118"/>
      <c r="BH325" s="118"/>
      <c r="BI325" s="118"/>
      <c r="BJ325" s="118"/>
      <c r="BK325" s="118"/>
      <c r="BL325" s="118"/>
      <c r="BM325" s="118"/>
      <c r="BN325" s="118"/>
      <c r="BO325" s="118"/>
      <c r="BP325" s="118"/>
      <c r="BQ325" s="118"/>
      <c r="BR325" s="118"/>
      <c r="BS325" s="118"/>
      <c r="BT325" s="118"/>
      <c r="BU325" s="118"/>
      <c r="BV325" s="118"/>
      <c r="BW325" s="118"/>
      <c r="BX325" s="118"/>
      <c r="BY325" s="118"/>
      <c r="BZ325" s="118"/>
      <c r="CA325" s="118"/>
      <c r="CB325" s="118"/>
      <c r="CC325" s="118"/>
      <c r="CD325" s="118"/>
      <c r="CE325" s="118"/>
      <c r="CF325" s="118"/>
      <c r="CG325" s="118"/>
      <c r="CH325" s="118"/>
      <c r="CI325" s="118"/>
      <c r="CJ325" s="118"/>
      <c r="CK325" s="118"/>
      <c r="CL325" s="118"/>
      <c r="CM325" s="118"/>
      <c r="CN325" s="118"/>
      <c r="CO325" s="118"/>
      <c r="CP325" s="118"/>
      <c r="CQ325" s="118"/>
      <c r="CR325" s="118"/>
      <c r="CS325" s="118"/>
      <c r="CT325" s="118"/>
      <c r="CU325" s="118"/>
      <c r="CV325" s="118"/>
      <c r="CW325" s="118"/>
      <c r="CX325" s="118"/>
      <c r="CY325" s="118"/>
      <c r="CZ325" s="118"/>
      <c r="DA325" s="118"/>
      <c r="DB325" s="118"/>
      <c r="DC325" s="118"/>
      <c r="DD325" s="118"/>
      <c r="DE325" s="118"/>
      <c r="DF325" s="118"/>
      <c r="DG325" s="118"/>
      <c r="DH325" s="118"/>
      <c r="DI325" s="118"/>
      <c r="DJ325" s="118"/>
      <c r="DK325" s="118"/>
      <c r="DL325" s="118"/>
      <c r="DM325" s="118"/>
      <c r="DN325" s="118"/>
      <c r="DO325" s="118"/>
      <c r="DP325" s="118"/>
      <c r="DQ325" s="118"/>
      <c r="DR325" s="118"/>
      <c r="DX325" s="530"/>
    </row>
    <row r="326" hidden="1">
      <c r="A326" s="500" t="s">
        <v>295</v>
      </c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  <c r="AT326" s="118"/>
      <c r="AU326" s="118"/>
      <c r="AV326" s="118"/>
      <c r="AW326" s="118"/>
      <c r="AX326" s="118"/>
      <c r="AY326" s="118"/>
      <c r="AZ326" s="118"/>
      <c r="BA326" s="118"/>
      <c r="BB326" s="118"/>
      <c r="BC326" s="118"/>
      <c r="BD326" s="118"/>
      <c r="BE326" s="118"/>
      <c r="BF326" s="118"/>
      <c r="BG326" s="118"/>
      <c r="BH326" s="118"/>
      <c r="BI326" s="118"/>
      <c r="BJ326" s="118"/>
      <c r="BK326" s="118"/>
      <c r="BL326" s="118"/>
      <c r="BM326" s="118"/>
      <c r="BN326" s="118"/>
      <c r="BO326" s="118"/>
      <c r="BP326" s="118"/>
      <c r="BQ326" s="118"/>
      <c r="BR326" s="118"/>
      <c r="BS326" s="118"/>
      <c r="BT326" s="118"/>
      <c r="BU326" s="118"/>
      <c r="BV326" s="118"/>
      <c r="BW326" s="118"/>
      <c r="BX326" s="118"/>
      <c r="BY326" s="118"/>
      <c r="BZ326" s="118"/>
      <c r="CA326" s="118"/>
      <c r="CB326" s="118"/>
      <c r="CC326" s="118"/>
      <c r="CD326" s="118"/>
      <c r="CE326" s="118"/>
      <c r="CF326" s="118"/>
      <c r="CG326" s="118"/>
      <c r="CH326" s="118"/>
      <c r="CI326" s="118"/>
      <c r="CJ326" s="118"/>
      <c r="CK326" s="118"/>
      <c r="CL326" s="118"/>
      <c r="CM326" s="118"/>
      <c r="CN326" s="546" t="s">
        <v>365</v>
      </c>
      <c r="CO326" s="546" t="s">
        <v>365</v>
      </c>
      <c r="CP326" s="546" t="s">
        <v>358</v>
      </c>
      <c r="CQ326" s="546" t="s">
        <v>358</v>
      </c>
      <c r="CR326" s="546" t="s">
        <v>365</v>
      </c>
      <c r="CS326" s="546" t="s">
        <v>365</v>
      </c>
      <c r="CT326" s="546" t="s">
        <v>358</v>
      </c>
      <c r="CU326" s="546" t="s">
        <v>358</v>
      </c>
      <c r="CV326" s="546" t="s">
        <v>365</v>
      </c>
      <c r="CW326" s="582" t="s">
        <v>365</v>
      </c>
      <c r="CX326" s="582" t="s">
        <v>358</v>
      </c>
      <c r="CY326" s="546" t="s">
        <v>358</v>
      </c>
      <c r="CZ326" s="546" t="s">
        <v>318</v>
      </c>
      <c r="DA326" s="546" t="s">
        <v>386</v>
      </c>
      <c r="DB326" s="546" t="s">
        <v>358</v>
      </c>
      <c r="DC326" s="546" t="s">
        <v>358</v>
      </c>
      <c r="DD326" s="588" t="s">
        <v>386</v>
      </c>
      <c r="DE326" s="588" t="s">
        <v>386</v>
      </c>
      <c r="DF326" s="588" t="s">
        <v>318</v>
      </c>
      <c r="DG326" s="546" t="s">
        <v>358</v>
      </c>
      <c r="DH326" s="588" t="s">
        <v>386</v>
      </c>
      <c r="DI326" s="588" t="s">
        <v>386</v>
      </c>
      <c r="DJ326" s="588" t="s">
        <v>358</v>
      </c>
      <c r="DK326" s="546" t="s">
        <v>358</v>
      </c>
      <c r="DL326" s="588" t="s">
        <v>386</v>
      </c>
      <c r="DM326" s="588" t="s">
        <v>386</v>
      </c>
      <c r="DN326" s="588" t="s">
        <v>358</v>
      </c>
      <c r="DO326" s="588" t="s">
        <v>191</v>
      </c>
      <c r="DP326" s="546" t="s">
        <v>386</v>
      </c>
      <c r="DQ326" s="588" t="s">
        <v>386</v>
      </c>
      <c r="DR326" s="546"/>
      <c r="DT326" s="586" t="s">
        <v>384</v>
      </c>
      <c r="DU326" s="586" t="s">
        <v>332</v>
      </c>
      <c r="DX326" s="530"/>
    </row>
    <row r="327" hidden="1">
      <c r="A327" s="502" t="s">
        <v>288</v>
      </c>
      <c r="B327" s="525"/>
      <c r="C327" s="525"/>
      <c r="D327" s="525"/>
      <c r="E327" s="525"/>
      <c r="F327" s="525"/>
      <c r="G327" s="525"/>
      <c r="H327" s="525"/>
      <c r="I327" s="525"/>
      <c r="J327" s="525"/>
      <c r="K327" s="525"/>
      <c r="L327" s="525"/>
      <c r="M327" s="525"/>
      <c r="N327" s="525"/>
      <c r="O327" s="525"/>
      <c r="P327" s="525"/>
      <c r="Q327" s="525"/>
      <c r="R327" s="525"/>
      <c r="S327" s="525"/>
      <c r="T327" s="525"/>
      <c r="U327" s="525"/>
      <c r="V327" s="525"/>
      <c r="W327" s="525"/>
      <c r="X327" s="525"/>
      <c r="Y327" s="525"/>
      <c r="Z327" s="525"/>
      <c r="AA327" s="525"/>
      <c r="AB327" s="525"/>
      <c r="AC327" s="525"/>
      <c r="AD327" s="525"/>
      <c r="AE327" s="525"/>
      <c r="AF327" s="525"/>
      <c r="AG327" s="525"/>
      <c r="AH327" s="525"/>
      <c r="AI327" s="525"/>
      <c r="AJ327" s="525"/>
      <c r="AK327" s="525"/>
      <c r="AL327" s="525"/>
      <c r="AM327" s="525"/>
      <c r="AN327" s="525"/>
      <c r="AO327" s="525"/>
      <c r="AP327" s="525"/>
      <c r="AQ327" s="525"/>
      <c r="AR327" s="525"/>
      <c r="AS327" s="525"/>
      <c r="AT327" s="525"/>
      <c r="AU327" s="525"/>
      <c r="AV327" s="525"/>
      <c r="AW327" s="525"/>
      <c r="AX327" s="525"/>
      <c r="AY327" s="525"/>
      <c r="AZ327" s="525"/>
      <c r="BA327" s="525"/>
      <c r="BB327" s="525"/>
      <c r="BC327" s="525"/>
      <c r="BD327" s="525"/>
      <c r="BE327" s="525"/>
      <c r="BF327" s="525"/>
      <c r="BG327" s="525"/>
      <c r="BH327" s="525"/>
      <c r="BI327" s="525"/>
      <c r="BJ327" s="525"/>
      <c r="BK327" s="541">
        <v>45689.0</v>
      </c>
      <c r="BL327" s="541">
        <v>45690.0</v>
      </c>
      <c r="BM327" s="541">
        <v>45691.0</v>
      </c>
      <c r="BN327" s="541">
        <v>45692.0</v>
      </c>
      <c r="BO327" s="541">
        <v>45693.0</v>
      </c>
      <c r="BP327" s="541">
        <v>45694.0</v>
      </c>
      <c r="BQ327" s="541">
        <v>45695.0</v>
      </c>
      <c r="BR327" s="541">
        <v>45696.0</v>
      </c>
      <c r="BS327" s="541">
        <v>45697.0</v>
      </c>
      <c r="BT327" s="541">
        <v>45698.0</v>
      </c>
      <c r="BU327" s="541">
        <v>45699.0</v>
      </c>
      <c r="BV327" s="541">
        <v>45700.0</v>
      </c>
      <c r="BW327" s="541">
        <v>45701.0</v>
      </c>
      <c r="BX327" s="541">
        <v>45702.0</v>
      </c>
      <c r="BY327" s="541">
        <v>45703.0</v>
      </c>
      <c r="BZ327" s="541">
        <v>45704.0</v>
      </c>
      <c r="CA327" s="541">
        <v>45705.0</v>
      </c>
      <c r="CB327" s="541">
        <v>45706.0</v>
      </c>
      <c r="CC327" s="541">
        <v>45707.0</v>
      </c>
      <c r="CD327" s="541">
        <v>45708.0</v>
      </c>
      <c r="CE327" s="541">
        <v>45709.0</v>
      </c>
      <c r="CF327" s="541">
        <v>45710.0</v>
      </c>
      <c r="CG327" s="541">
        <v>45711.0</v>
      </c>
      <c r="CH327" s="541">
        <v>45712.0</v>
      </c>
      <c r="CI327" s="541">
        <v>45713.0</v>
      </c>
      <c r="CJ327" s="541">
        <v>45714.0</v>
      </c>
      <c r="CK327" s="541">
        <v>45715.0</v>
      </c>
      <c r="CL327" s="541">
        <v>45716.0</v>
      </c>
      <c r="CM327" s="541"/>
      <c r="CN327" s="541">
        <v>45962.0</v>
      </c>
      <c r="CO327" s="541">
        <v>45963.0</v>
      </c>
      <c r="CP327" s="541">
        <v>45964.0</v>
      </c>
      <c r="CQ327" s="541">
        <v>45965.0</v>
      </c>
      <c r="CR327" s="541">
        <v>45966.0</v>
      </c>
      <c r="CS327" s="541">
        <v>45967.0</v>
      </c>
      <c r="CT327" s="541">
        <v>45968.0</v>
      </c>
      <c r="CU327" s="541">
        <v>45969.0</v>
      </c>
      <c r="CV327" s="541">
        <v>45970.0</v>
      </c>
      <c r="CW327" s="587">
        <v>45971.0</v>
      </c>
      <c r="CX327" s="587">
        <v>45972.0</v>
      </c>
      <c r="CY327" s="542">
        <v>45973.0</v>
      </c>
      <c r="CZ327" s="542">
        <v>45974.0</v>
      </c>
      <c r="DA327" s="542">
        <v>45975.0</v>
      </c>
      <c r="DB327" s="542">
        <v>45976.0</v>
      </c>
      <c r="DC327" s="542">
        <v>45977.0</v>
      </c>
      <c r="DD327" s="542">
        <v>45978.0</v>
      </c>
      <c r="DE327" s="542">
        <v>45979.0</v>
      </c>
      <c r="DF327" s="542">
        <v>45980.0</v>
      </c>
      <c r="DG327" s="542">
        <v>45981.0</v>
      </c>
      <c r="DH327" s="542">
        <v>45982.0</v>
      </c>
      <c r="DI327" s="542">
        <v>45983.0</v>
      </c>
      <c r="DJ327" s="542">
        <v>45984.0</v>
      </c>
      <c r="DK327" s="542">
        <v>45985.0</v>
      </c>
      <c r="DL327" s="542">
        <v>45986.0</v>
      </c>
      <c r="DM327" s="542">
        <v>45987.0</v>
      </c>
      <c r="DN327" s="542">
        <v>45988.0</v>
      </c>
      <c r="DO327" s="542">
        <v>45989.0</v>
      </c>
      <c r="DP327" s="542">
        <v>45990.0</v>
      </c>
      <c r="DQ327" s="542">
        <v>45991.0</v>
      </c>
      <c r="DR327" s="542"/>
      <c r="DS327" s="520" t="s">
        <v>387</v>
      </c>
      <c r="DT327" s="574">
        <f>DQ330+DP330+DM330+DL330+DI330+DH330+DE330+DD330</f>
        <v>-847.98</v>
      </c>
      <c r="DU327" s="574">
        <f>100*6</f>
        <v>600</v>
      </c>
      <c r="DX327" s="530"/>
    </row>
    <row r="328" hidden="1">
      <c r="A328" s="502" t="s">
        <v>289</v>
      </c>
      <c r="B328" s="525"/>
      <c r="C328" s="525"/>
      <c r="D328" s="525"/>
      <c r="E328" s="525"/>
      <c r="F328" s="525"/>
      <c r="G328" s="525"/>
      <c r="H328" s="525"/>
      <c r="I328" s="525"/>
      <c r="J328" s="525"/>
      <c r="K328" s="525"/>
      <c r="L328" s="525"/>
      <c r="M328" s="525"/>
      <c r="N328" s="525"/>
      <c r="O328" s="525"/>
      <c r="P328" s="525"/>
      <c r="Q328" s="525"/>
      <c r="R328" s="525"/>
      <c r="S328" s="525"/>
      <c r="T328" s="525"/>
      <c r="U328" s="525"/>
      <c r="V328" s="525"/>
      <c r="W328" s="525"/>
      <c r="X328" s="525"/>
      <c r="Y328" s="525"/>
      <c r="Z328" s="525"/>
      <c r="AA328" s="525"/>
      <c r="AB328" s="525"/>
      <c r="AC328" s="525"/>
      <c r="AD328" s="525"/>
      <c r="AE328" s="525"/>
      <c r="AF328" s="525"/>
      <c r="AG328" s="525"/>
      <c r="AH328" s="525"/>
      <c r="AI328" s="525"/>
      <c r="AJ328" s="525"/>
      <c r="AK328" s="525"/>
      <c r="AL328" s="525"/>
      <c r="AM328" s="525"/>
      <c r="AN328" s="525"/>
      <c r="AO328" s="525"/>
      <c r="AP328" s="525"/>
      <c r="AQ328" s="525"/>
      <c r="AR328" s="525"/>
      <c r="AS328" s="525"/>
      <c r="AT328" s="525"/>
      <c r="AU328" s="525"/>
      <c r="AV328" s="525"/>
      <c r="AW328" s="525"/>
      <c r="AX328" s="525"/>
      <c r="AY328" s="525"/>
      <c r="AZ328" s="525"/>
      <c r="BA328" s="525"/>
      <c r="BB328" s="525"/>
      <c r="BC328" s="525"/>
      <c r="BD328" s="525"/>
      <c r="BE328" s="525"/>
      <c r="BF328" s="525"/>
      <c r="BG328" s="525"/>
      <c r="BH328" s="525"/>
      <c r="BI328" s="525"/>
      <c r="BJ328" s="525"/>
      <c r="BK328" s="512">
        <v>12.0</v>
      </c>
      <c r="BL328" s="512">
        <v>16.0</v>
      </c>
      <c r="BM328" s="512">
        <v>37.0</v>
      </c>
      <c r="BN328" s="512">
        <v>24.0</v>
      </c>
      <c r="BO328" s="512">
        <v>23.0</v>
      </c>
      <c r="BP328" s="512">
        <v>48.0</v>
      </c>
      <c r="BQ328" s="512">
        <v>38.0</v>
      </c>
      <c r="BR328" s="512">
        <v>13.0</v>
      </c>
      <c r="BS328" s="512">
        <v>61.0</v>
      </c>
      <c r="BT328" s="512">
        <v>50.0</v>
      </c>
      <c r="BU328" s="512">
        <v>68.0</v>
      </c>
      <c r="BV328" s="512">
        <v>29.0</v>
      </c>
      <c r="BW328" s="512">
        <v>91.0</v>
      </c>
      <c r="BX328" s="512">
        <v>62.0</v>
      </c>
      <c r="BY328" s="512">
        <v>63.0</v>
      </c>
      <c r="BZ328" s="512">
        <v>64.0</v>
      </c>
      <c r="CA328" s="512">
        <v>76.0</v>
      </c>
      <c r="CB328" s="512">
        <v>49.0</v>
      </c>
      <c r="CC328" s="512">
        <v>63.0</v>
      </c>
      <c r="CD328" s="512">
        <v>50.0</v>
      </c>
      <c r="CE328" s="512">
        <v>55.0</v>
      </c>
      <c r="CF328" s="512">
        <v>77.0</v>
      </c>
      <c r="CG328" s="512">
        <v>77.0</v>
      </c>
      <c r="CH328" s="512">
        <v>72.0</v>
      </c>
      <c r="CI328" s="512">
        <v>80.0</v>
      </c>
      <c r="CJ328" s="512">
        <v>89.0</v>
      </c>
      <c r="CK328" s="512">
        <v>64.0</v>
      </c>
      <c r="CL328" s="512">
        <v>82.0</v>
      </c>
      <c r="CM328" s="512"/>
      <c r="CN328" s="561">
        <v>97.0</v>
      </c>
      <c r="CO328" s="561">
        <v>83.0</v>
      </c>
      <c r="CP328" s="561">
        <v>64.0</v>
      </c>
      <c r="CQ328" s="561">
        <v>87.0</v>
      </c>
      <c r="CR328" s="561">
        <v>90.0</v>
      </c>
      <c r="CS328" s="561">
        <v>66.0</v>
      </c>
      <c r="CT328" s="561">
        <v>152.0</v>
      </c>
      <c r="CU328" s="561">
        <v>56.0</v>
      </c>
      <c r="CV328" s="561">
        <v>134.0</v>
      </c>
      <c r="CW328" s="561">
        <v>124.0</v>
      </c>
      <c r="CX328" s="561">
        <v>100.0</v>
      </c>
      <c r="CY328" s="561">
        <v>88.0</v>
      </c>
      <c r="CZ328" s="561">
        <v>59.0</v>
      </c>
      <c r="DA328" s="561">
        <v>40.0</v>
      </c>
      <c r="DB328" s="561">
        <v>149.0</v>
      </c>
      <c r="DC328" s="561"/>
      <c r="DD328" s="561">
        <v>139.0</v>
      </c>
      <c r="DE328" s="561">
        <v>125.0</v>
      </c>
      <c r="DF328" s="561">
        <v>91.0</v>
      </c>
      <c r="DG328" s="561">
        <v>105.0</v>
      </c>
      <c r="DH328" s="561">
        <v>114.0</v>
      </c>
      <c r="DI328" s="561">
        <v>74.0</v>
      </c>
      <c r="DJ328" s="561">
        <v>113.0</v>
      </c>
      <c r="DK328" s="561">
        <v>115.0</v>
      </c>
      <c r="DL328" s="561"/>
      <c r="DM328" s="561">
        <v>116.0</v>
      </c>
      <c r="DN328" s="561">
        <v>86.0</v>
      </c>
      <c r="DO328" s="561">
        <v>59.0</v>
      </c>
      <c r="DP328" s="561">
        <v>126.0</v>
      </c>
      <c r="DQ328" s="561">
        <v>115.0</v>
      </c>
      <c r="DR328" s="561"/>
      <c r="DS328" s="520" t="s">
        <v>347</v>
      </c>
      <c r="DT328" s="574">
        <f>DC330+DG330+DJ330+DK330+DN330</f>
        <v>-337.89</v>
      </c>
      <c r="DU328" s="574">
        <f>100*3</f>
        <v>300</v>
      </c>
      <c r="DW328" s="574">
        <f t="shared" ref="DW328:DW329" si="14">SUM(CN328:DR328)</f>
        <v>2767</v>
      </c>
      <c r="DX328" s="530">
        <f t="shared" ref="DX328:DX329" si="15">DW328/30</f>
        <v>92.23333333</v>
      </c>
    </row>
    <row r="329" hidden="1">
      <c r="A329" s="521" t="s">
        <v>290</v>
      </c>
      <c r="B329" s="525"/>
      <c r="C329" s="525"/>
      <c r="D329" s="525"/>
      <c r="E329" s="525"/>
      <c r="F329" s="525"/>
      <c r="G329" s="525"/>
      <c r="H329" s="525"/>
      <c r="I329" s="525"/>
      <c r="J329" s="525"/>
      <c r="K329" s="525"/>
      <c r="L329" s="525"/>
      <c r="M329" s="525"/>
      <c r="N329" s="525"/>
      <c r="O329" s="525"/>
      <c r="P329" s="525"/>
      <c r="Q329" s="525"/>
      <c r="R329" s="525"/>
      <c r="S329" s="525"/>
      <c r="T329" s="525"/>
      <c r="U329" s="525"/>
      <c r="V329" s="525"/>
      <c r="W329" s="525"/>
      <c r="X329" s="525"/>
      <c r="Y329" s="525"/>
      <c r="Z329" s="525"/>
      <c r="AA329" s="525"/>
      <c r="AB329" s="525"/>
      <c r="AC329" s="525"/>
      <c r="AD329" s="525"/>
      <c r="AE329" s="525"/>
      <c r="AF329" s="525"/>
      <c r="AG329" s="525"/>
      <c r="AH329" s="525"/>
      <c r="AI329" s="525"/>
      <c r="AJ329" s="525"/>
      <c r="AK329" s="525"/>
      <c r="AL329" s="525"/>
      <c r="AM329" s="525"/>
      <c r="AN329" s="525"/>
      <c r="AO329" s="525"/>
      <c r="AP329" s="525"/>
      <c r="AQ329" s="525"/>
      <c r="AR329" s="525"/>
      <c r="AS329" s="525"/>
      <c r="AT329" s="525"/>
      <c r="AU329" s="525"/>
      <c r="AV329" s="525"/>
      <c r="AW329" s="525"/>
      <c r="AX329" s="525"/>
      <c r="AY329" s="525"/>
      <c r="AZ329" s="525"/>
      <c r="BA329" s="525"/>
      <c r="BB329" s="525"/>
      <c r="BC329" s="525"/>
      <c r="BD329" s="525"/>
      <c r="BE329" s="525"/>
      <c r="BF329" s="525"/>
      <c r="BG329" s="525"/>
      <c r="BH329" s="525"/>
      <c r="BI329" s="525"/>
      <c r="BJ329" s="525"/>
      <c r="BK329" s="512">
        <v>8.0</v>
      </c>
      <c r="BL329" s="512">
        <v>9.0</v>
      </c>
      <c r="BM329" s="512">
        <v>16.0</v>
      </c>
      <c r="BN329" s="512">
        <v>12.0</v>
      </c>
      <c r="BO329" s="512">
        <v>12.0</v>
      </c>
      <c r="BP329" s="512">
        <v>18.0</v>
      </c>
      <c r="BQ329" s="512">
        <v>20.0</v>
      </c>
      <c r="BR329" s="512">
        <v>6.0</v>
      </c>
      <c r="BS329" s="512">
        <v>18.0</v>
      </c>
      <c r="BT329" s="512">
        <v>20.0</v>
      </c>
      <c r="BU329" s="512">
        <v>24.0</v>
      </c>
      <c r="BV329" s="512">
        <v>14.0</v>
      </c>
      <c r="BW329" s="512">
        <v>32.0</v>
      </c>
      <c r="BX329" s="512">
        <v>25.0</v>
      </c>
      <c r="BY329" s="512">
        <v>22.0</v>
      </c>
      <c r="BZ329" s="512">
        <v>29.0</v>
      </c>
      <c r="CA329" s="512">
        <v>18.0</v>
      </c>
      <c r="CB329" s="512">
        <v>23.0</v>
      </c>
      <c r="CC329" s="512">
        <v>26.0</v>
      </c>
      <c r="CD329" s="512">
        <v>22.0</v>
      </c>
      <c r="CE329" s="512">
        <v>23.0</v>
      </c>
      <c r="CF329" s="512">
        <v>36.0</v>
      </c>
      <c r="CG329" s="512">
        <v>36.0</v>
      </c>
      <c r="CH329" s="512">
        <v>23.0</v>
      </c>
      <c r="CI329" s="512">
        <v>36.0</v>
      </c>
      <c r="CJ329" s="512">
        <v>37.0</v>
      </c>
      <c r="CK329" s="512">
        <v>20.0</v>
      </c>
      <c r="CL329" s="512">
        <v>36.0</v>
      </c>
      <c r="CM329" s="552">
        <f>SUM(BK329:CL329)/28</f>
        <v>22.17857143</v>
      </c>
      <c r="CN329" s="561">
        <v>43.0</v>
      </c>
      <c r="CO329" s="561">
        <v>32.0</v>
      </c>
      <c r="CP329" s="561">
        <v>28.0</v>
      </c>
      <c r="CQ329" s="561">
        <v>39.0</v>
      </c>
      <c r="CR329" s="561">
        <v>40.0</v>
      </c>
      <c r="CS329" s="561">
        <v>26.0</v>
      </c>
      <c r="CT329" s="561">
        <v>51.0</v>
      </c>
      <c r="CU329" s="561">
        <v>22.0</v>
      </c>
      <c r="CV329" s="561">
        <v>51.0</v>
      </c>
      <c r="CW329" s="561">
        <v>53.0</v>
      </c>
      <c r="CX329" s="561">
        <v>35.0</v>
      </c>
      <c r="CY329" s="561">
        <v>30.0</v>
      </c>
      <c r="CZ329" s="561">
        <v>20.0</v>
      </c>
      <c r="DA329" s="561">
        <v>22.0</v>
      </c>
      <c r="DB329" s="561">
        <v>63.0</v>
      </c>
      <c r="DC329" s="561"/>
      <c r="DD329" s="561">
        <v>44.0</v>
      </c>
      <c r="DE329" s="561">
        <v>43.0</v>
      </c>
      <c r="DF329" s="561">
        <v>41.0</v>
      </c>
      <c r="DG329" s="561">
        <v>38.0</v>
      </c>
      <c r="DH329" s="561"/>
      <c r="DI329" s="584">
        <v>41.0</v>
      </c>
      <c r="DJ329" s="561">
        <v>48.0</v>
      </c>
      <c r="DK329" s="561">
        <v>49.0</v>
      </c>
      <c r="DL329" s="561"/>
      <c r="DM329" s="561">
        <v>48.0</v>
      </c>
      <c r="DN329" s="561">
        <v>38.0</v>
      </c>
      <c r="DO329" s="561">
        <v>38.0</v>
      </c>
      <c r="DP329" s="561">
        <v>42.0</v>
      </c>
      <c r="DQ329" s="561">
        <v>43.0</v>
      </c>
      <c r="DR329" s="314"/>
      <c r="DS329" s="520" t="s">
        <v>339</v>
      </c>
      <c r="DT329" s="574">
        <f>DF330</f>
        <v>32.87</v>
      </c>
      <c r="DU329" s="520">
        <v>0.0</v>
      </c>
      <c r="DW329" s="574">
        <f t="shared" si="14"/>
        <v>1068</v>
      </c>
      <c r="DX329" s="530">
        <f t="shared" si="15"/>
        <v>35.6</v>
      </c>
    </row>
    <row r="330" hidden="1">
      <c r="A330" s="502" t="s">
        <v>291</v>
      </c>
      <c r="B330" s="525"/>
      <c r="C330" s="525"/>
      <c r="D330" s="525"/>
      <c r="E330" s="525"/>
      <c r="F330" s="525"/>
      <c r="G330" s="525"/>
      <c r="H330" s="525"/>
      <c r="I330" s="525"/>
      <c r="J330" s="525"/>
      <c r="K330" s="525"/>
      <c r="L330" s="525"/>
      <c r="M330" s="525"/>
      <c r="N330" s="525"/>
      <c r="O330" s="525"/>
      <c r="P330" s="525"/>
      <c r="Q330" s="525"/>
      <c r="R330" s="525"/>
      <c r="S330" s="525"/>
      <c r="T330" s="525"/>
      <c r="U330" s="525"/>
      <c r="V330" s="525"/>
      <c r="W330" s="525"/>
      <c r="X330" s="525"/>
      <c r="Y330" s="525"/>
      <c r="Z330" s="525"/>
      <c r="AA330" s="525"/>
      <c r="AB330" s="525"/>
      <c r="AC330" s="525"/>
      <c r="AD330" s="525"/>
      <c r="AE330" s="525"/>
      <c r="AF330" s="525"/>
      <c r="AG330" s="525"/>
      <c r="AH330" s="525"/>
      <c r="AI330" s="525"/>
      <c r="AJ330" s="525"/>
      <c r="AK330" s="525"/>
      <c r="AL330" s="525"/>
      <c r="AM330" s="525"/>
      <c r="AN330" s="525"/>
      <c r="AO330" s="525"/>
      <c r="AP330" s="525"/>
      <c r="AQ330" s="525"/>
      <c r="AR330" s="525"/>
      <c r="AS330" s="525"/>
      <c r="AT330" s="525"/>
      <c r="AU330" s="525"/>
      <c r="AV330" s="525"/>
      <c r="AW330" s="525"/>
      <c r="AX330" s="525"/>
      <c r="AY330" s="525"/>
      <c r="AZ330" s="525"/>
      <c r="BA330" s="525"/>
      <c r="BB330" s="525"/>
      <c r="BC330" s="525"/>
      <c r="BD330" s="525"/>
      <c r="BE330" s="525"/>
      <c r="BF330" s="525"/>
      <c r="BG330" s="525"/>
      <c r="BH330" s="525"/>
      <c r="BI330" s="525"/>
      <c r="BJ330" s="525"/>
      <c r="BK330" s="529">
        <v>10.85</v>
      </c>
      <c r="BL330" s="529">
        <v>8.12</v>
      </c>
      <c r="BM330" s="529">
        <v>8.91</v>
      </c>
      <c r="BN330" s="529">
        <v>12.38</v>
      </c>
      <c r="BO330" s="529">
        <v>10.65</v>
      </c>
      <c r="BP330" s="529">
        <v>10.65</v>
      </c>
      <c r="BQ330" s="529">
        <v>11.69</v>
      </c>
      <c r="BR330" s="529">
        <v>13.24</v>
      </c>
      <c r="BS330" s="529">
        <v>20.49</v>
      </c>
      <c r="BT330" s="529">
        <v>9.99</v>
      </c>
      <c r="BU330" s="529">
        <v>18.07</v>
      </c>
      <c r="BV330" s="529">
        <v>2.6</v>
      </c>
      <c r="BW330" s="529">
        <v>15.52</v>
      </c>
      <c r="BX330" s="529">
        <v>-84.66</v>
      </c>
      <c r="BY330" s="529">
        <v>-0.49</v>
      </c>
      <c r="BZ330" s="529">
        <v>29.94</v>
      </c>
      <c r="CA330" s="529">
        <v>10.04</v>
      </c>
      <c r="CB330" s="529">
        <v>12.42</v>
      </c>
      <c r="CC330" s="529">
        <v>-21.42</v>
      </c>
      <c r="CD330" s="529">
        <v>18.39</v>
      </c>
      <c r="CE330" s="529">
        <v>14.56</v>
      </c>
      <c r="CF330" s="529">
        <v>-79.95</v>
      </c>
      <c r="CG330" s="529">
        <v>34.0</v>
      </c>
      <c r="CH330" s="529">
        <v>39.31</v>
      </c>
      <c r="CI330" s="529">
        <v>25.66</v>
      </c>
      <c r="CJ330" s="529">
        <v>-74.91</v>
      </c>
      <c r="CK330" s="529">
        <v>-183.09</v>
      </c>
      <c r="CL330" s="529">
        <v>-114.25</v>
      </c>
      <c r="CM330" s="529"/>
      <c r="CN330" s="537">
        <v>32.31</v>
      </c>
      <c r="CO330" s="537">
        <v>38.95</v>
      </c>
      <c r="CP330" s="537">
        <v>23.52</v>
      </c>
      <c r="CQ330" s="537">
        <v>33.45</v>
      </c>
      <c r="CR330" s="537">
        <v>31.03</v>
      </c>
      <c r="CS330" s="537">
        <v>34.13</v>
      </c>
      <c r="CT330" s="537">
        <v>27.06</v>
      </c>
      <c r="CU330" s="537">
        <v>34.33</v>
      </c>
      <c r="CV330" s="512">
        <v>52.42</v>
      </c>
      <c r="CW330" s="537">
        <v>38.778</v>
      </c>
      <c r="CX330" s="537">
        <v>47.22</v>
      </c>
      <c r="CY330" s="537">
        <v>16.74</v>
      </c>
      <c r="CZ330" s="539"/>
      <c r="DA330" s="537">
        <v>31.57</v>
      </c>
      <c r="DB330" s="537">
        <v>-564.44</v>
      </c>
      <c r="DC330" s="537">
        <v>-488.38</v>
      </c>
      <c r="DD330" s="537">
        <v>37.57</v>
      </c>
      <c r="DE330" s="537">
        <v>37.8</v>
      </c>
      <c r="DF330" s="537">
        <v>32.87</v>
      </c>
      <c r="DG330" s="537">
        <v>53.12</v>
      </c>
      <c r="DH330" s="537">
        <v>-238.49</v>
      </c>
      <c r="DI330" s="537">
        <v>-79.55</v>
      </c>
      <c r="DJ330" s="537">
        <v>39.36</v>
      </c>
      <c r="DK330" s="537">
        <v>35.94</v>
      </c>
      <c r="DL330" s="537">
        <v>-214.83</v>
      </c>
      <c r="DM330" s="537">
        <v>-262.57</v>
      </c>
      <c r="DN330" s="537">
        <v>22.07</v>
      </c>
      <c r="DO330" s="537">
        <v>-108.3</v>
      </c>
      <c r="DP330" s="537">
        <v>-166.98</v>
      </c>
      <c r="DQ330" s="537">
        <v>39.07</v>
      </c>
      <c r="DR330" s="537"/>
      <c r="DS330" s="586" t="s">
        <v>191</v>
      </c>
      <c r="DT330" s="574">
        <f>DO330</f>
        <v>-108.3</v>
      </c>
      <c r="DU330" s="586">
        <v>0.0</v>
      </c>
      <c r="DX330" s="530"/>
    </row>
    <row r="331" hidden="1">
      <c r="A331" s="531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589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X331" s="530"/>
    </row>
    <row r="332" hidden="1">
      <c r="A332" s="531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5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X332" s="530"/>
    </row>
    <row r="333" hidden="1">
      <c r="A333" s="500" t="s">
        <v>49</v>
      </c>
      <c r="CN333" s="546" t="s">
        <v>353</v>
      </c>
      <c r="CO333" s="546" t="s">
        <v>353</v>
      </c>
      <c r="CP333" s="546" t="s">
        <v>380</v>
      </c>
      <c r="CQ333" s="546" t="s">
        <v>380</v>
      </c>
      <c r="CR333" s="546" t="s">
        <v>388</v>
      </c>
      <c r="CS333" s="546" t="s">
        <v>388</v>
      </c>
      <c r="CT333" s="546" t="s">
        <v>380</v>
      </c>
      <c r="CU333" s="546" t="s">
        <v>380</v>
      </c>
      <c r="CV333" s="546" t="s">
        <v>388</v>
      </c>
      <c r="CW333" s="582" t="s">
        <v>389</v>
      </c>
      <c r="CX333" s="582" t="s">
        <v>380</v>
      </c>
      <c r="CY333" s="546" t="s">
        <v>380</v>
      </c>
      <c r="CZ333" s="546" t="s">
        <v>365</v>
      </c>
      <c r="DA333" s="546" t="s">
        <v>365</v>
      </c>
      <c r="DB333" s="546" t="s">
        <v>380</v>
      </c>
      <c r="DC333" s="546" t="s">
        <v>380</v>
      </c>
      <c r="DD333" s="546" t="s">
        <v>365</v>
      </c>
      <c r="DE333" s="546" t="s">
        <v>365</v>
      </c>
      <c r="DF333" s="546" t="s">
        <v>380</v>
      </c>
      <c r="DG333" s="546" t="s">
        <v>380</v>
      </c>
      <c r="DH333" s="546" t="s">
        <v>365</v>
      </c>
      <c r="DI333" s="546" t="s">
        <v>365</v>
      </c>
      <c r="DJ333" s="546" t="s">
        <v>380</v>
      </c>
      <c r="DK333" s="546" t="s">
        <v>380</v>
      </c>
      <c r="DL333" s="546" t="s">
        <v>380</v>
      </c>
      <c r="DM333" s="588" t="s">
        <v>390</v>
      </c>
      <c r="DN333" s="546" t="s">
        <v>380</v>
      </c>
      <c r="DO333" s="546" t="s">
        <v>380</v>
      </c>
      <c r="DP333" s="546" t="s">
        <v>319</v>
      </c>
      <c r="DQ333" s="546" t="s">
        <v>354</v>
      </c>
      <c r="DR333" s="105"/>
      <c r="DT333" s="586" t="s">
        <v>384</v>
      </c>
      <c r="DU333" s="586" t="s">
        <v>332</v>
      </c>
      <c r="DX333" s="530"/>
    </row>
    <row r="334" hidden="1">
      <c r="A334" s="502" t="s">
        <v>288</v>
      </c>
      <c r="CN334" s="541">
        <v>45962.0</v>
      </c>
      <c r="CO334" s="541">
        <v>45963.0</v>
      </c>
      <c r="CP334" s="541">
        <v>45964.0</v>
      </c>
      <c r="CQ334" s="541">
        <v>45965.0</v>
      </c>
      <c r="CR334" s="541">
        <v>45966.0</v>
      </c>
      <c r="CS334" s="541">
        <v>45967.0</v>
      </c>
      <c r="CT334" s="541">
        <v>45968.0</v>
      </c>
      <c r="CU334" s="541">
        <v>45969.0</v>
      </c>
      <c r="CV334" s="541">
        <v>45970.0</v>
      </c>
      <c r="CW334" s="587">
        <v>45971.0</v>
      </c>
      <c r="CX334" s="587">
        <v>45972.0</v>
      </c>
      <c r="CY334" s="542">
        <v>45973.0</v>
      </c>
      <c r="CZ334" s="542">
        <v>45974.0</v>
      </c>
      <c r="DA334" s="542">
        <v>45975.0</v>
      </c>
      <c r="DB334" s="542">
        <v>45976.0</v>
      </c>
      <c r="DC334" s="542">
        <v>45977.0</v>
      </c>
      <c r="DD334" s="542">
        <v>45978.0</v>
      </c>
      <c r="DE334" s="542">
        <v>45979.0</v>
      </c>
      <c r="DF334" s="542">
        <v>45980.0</v>
      </c>
      <c r="DG334" s="542">
        <v>45981.0</v>
      </c>
      <c r="DH334" s="542">
        <v>45982.0</v>
      </c>
      <c r="DI334" s="542">
        <v>45983.0</v>
      </c>
      <c r="DJ334" s="542">
        <v>45984.0</v>
      </c>
      <c r="DK334" s="542">
        <v>45985.0</v>
      </c>
      <c r="DL334" s="542">
        <v>45986.0</v>
      </c>
      <c r="DM334" s="542">
        <v>45987.0</v>
      </c>
      <c r="DN334" s="542">
        <v>45988.0</v>
      </c>
      <c r="DO334" s="542">
        <v>45989.0</v>
      </c>
      <c r="DP334" s="542">
        <v>45990.0</v>
      </c>
      <c r="DQ334" s="542">
        <v>45991.0</v>
      </c>
      <c r="DR334" s="542"/>
      <c r="DS334" s="520" t="s">
        <v>334</v>
      </c>
      <c r="DT334" s="574">
        <f>DD337+DE337+DH337+DI337+DL337</f>
        <v>361.53</v>
      </c>
      <c r="DU334" s="574">
        <f>100*7</f>
        <v>700</v>
      </c>
      <c r="DX334" s="530"/>
    </row>
    <row r="335" hidden="1">
      <c r="A335" s="502" t="s">
        <v>289</v>
      </c>
      <c r="CN335" s="561">
        <v>160.0</v>
      </c>
      <c r="CO335" s="561">
        <v>112.0</v>
      </c>
      <c r="CP335" s="561">
        <v>136.0</v>
      </c>
      <c r="CQ335" s="561">
        <v>156.0</v>
      </c>
      <c r="CR335" s="561">
        <v>143.0</v>
      </c>
      <c r="CS335" s="561">
        <v>124.0</v>
      </c>
      <c r="CT335" s="561">
        <v>133.0</v>
      </c>
      <c r="CU335" s="561">
        <v>151.0</v>
      </c>
      <c r="CV335" s="561">
        <v>144.0</v>
      </c>
      <c r="CW335" s="561">
        <v>157.0</v>
      </c>
      <c r="CX335" s="561">
        <v>124.0</v>
      </c>
      <c r="CY335" s="561">
        <v>86.0</v>
      </c>
      <c r="CZ335" s="561">
        <v>95.0</v>
      </c>
      <c r="DA335" s="561">
        <v>108.0</v>
      </c>
      <c r="DB335" s="561">
        <v>163.0</v>
      </c>
      <c r="DC335" s="561">
        <v>204.0</v>
      </c>
      <c r="DD335" s="561">
        <v>213.0</v>
      </c>
      <c r="DE335" s="561">
        <v>171.0</v>
      </c>
      <c r="DF335" s="561">
        <v>104.0</v>
      </c>
      <c r="DG335" s="561">
        <v>140.0</v>
      </c>
      <c r="DH335" s="561">
        <v>201.0</v>
      </c>
      <c r="DI335" s="561">
        <v>139.0</v>
      </c>
      <c r="DJ335" s="561">
        <v>166.0</v>
      </c>
      <c r="DK335" s="561">
        <v>201.0</v>
      </c>
      <c r="DL335" s="561">
        <v>162.0</v>
      </c>
      <c r="DM335" s="561">
        <v>150.0</v>
      </c>
      <c r="DN335" s="561">
        <v>163.0</v>
      </c>
      <c r="DO335" s="561">
        <v>172.0</v>
      </c>
      <c r="DP335" s="561">
        <v>129.0</v>
      </c>
      <c r="DQ335" s="561">
        <v>104.0</v>
      </c>
      <c r="DR335" s="561"/>
      <c r="DS335" s="520" t="s">
        <v>376</v>
      </c>
      <c r="DT335" s="574">
        <f>DO337+DN337+DK337+DJ337+DG337+DF337+DC337</f>
        <v>585.91</v>
      </c>
      <c r="DU335" s="574">
        <f>9*100</f>
        <v>900</v>
      </c>
      <c r="DW335" s="574">
        <f>SUM(CN335:DR335)</f>
        <v>4411</v>
      </c>
      <c r="DX335" s="530">
        <f t="shared" ref="DX335:DX336" si="16">DW335/30</f>
        <v>147.0333333</v>
      </c>
    </row>
    <row r="336" hidden="1">
      <c r="A336" s="521" t="s">
        <v>290</v>
      </c>
      <c r="CN336" s="561">
        <v>67.0</v>
      </c>
      <c r="CO336" s="561">
        <v>43.0</v>
      </c>
      <c r="CP336" s="561">
        <v>60.0</v>
      </c>
      <c r="CQ336" s="561">
        <v>55.0</v>
      </c>
      <c r="CR336" s="561">
        <v>60.0</v>
      </c>
      <c r="CS336" s="561">
        <v>43.0</v>
      </c>
      <c r="CT336" s="561">
        <v>54.0</v>
      </c>
      <c r="CU336" s="561">
        <v>51.0</v>
      </c>
      <c r="CV336" s="561">
        <v>58.0</v>
      </c>
      <c r="CW336" s="561">
        <v>61.0</v>
      </c>
      <c r="CX336" s="561">
        <v>47.0</v>
      </c>
      <c r="CY336" s="561">
        <v>37.0</v>
      </c>
      <c r="CZ336" s="561">
        <v>40.0</v>
      </c>
      <c r="DA336" s="561">
        <v>51.0</v>
      </c>
      <c r="DB336" s="561">
        <v>62.0</v>
      </c>
      <c r="DC336" s="561">
        <v>74.0</v>
      </c>
      <c r="DD336" s="561">
        <v>69.0</v>
      </c>
      <c r="DE336" s="561">
        <v>61.0</v>
      </c>
      <c r="DF336" s="561">
        <v>43.0</v>
      </c>
      <c r="DG336" s="561">
        <v>67.0</v>
      </c>
      <c r="DH336" s="561">
        <v>67.0</v>
      </c>
      <c r="DI336" s="561">
        <v>51.0</v>
      </c>
      <c r="DJ336" s="561">
        <v>55.0</v>
      </c>
      <c r="DK336" s="561">
        <v>68.0</v>
      </c>
      <c r="DL336" s="561">
        <v>59.0</v>
      </c>
      <c r="DM336" s="561">
        <v>50.0</v>
      </c>
      <c r="DN336" s="561">
        <v>62.0</v>
      </c>
      <c r="DO336" s="561">
        <v>62.0</v>
      </c>
      <c r="DP336" s="561">
        <v>49.0</v>
      </c>
      <c r="DQ336" s="561">
        <v>46.0</v>
      </c>
      <c r="DR336" s="561"/>
      <c r="DS336" s="520" t="s">
        <v>337</v>
      </c>
      <c r="DT336" s="574">
        <f>DQ337</f>
        <v>112.56</v>
      </c>
      <c r="DU336" s="574">
        <f>100</f>
        <v>100</v>
      </c>
      <c r="DW336" s="574">
        <f>SUM(A336:DR336)</f>
        <v>1672</v>
      </c>
      <c r="DX336" s="530">
        <f t="shared" si="16"/>
        <v>55.73333333</v>
      </c>
    </row>
    <row r="337" hidden="1">
      <c r="A337" s="502" t="s">
        <v>291</v>
      </c>
      <c r="CN337" s="537">
        <v>101.83</v>
      </c>
      <c r="CO337" s="537">
        <v>110.07</v>
      </c>
      <c r="CP337" s="537">
        <v>57.5</v>
      </c>
      <c r="CQ337" s="537">
        <v>53.87</v>
      </c>
      <c r="CR337" s="537">
        <v>-216.4</v>
      </c>
      <c r="CS337" s="537">
        <v>78.49</v>
      </c>
      <c r="CT337" s="537">
        <v>51.53</v>
      </c>
      <c r="CU337" s="537">
        <v>10.56</v>
      </c>
      <c r="CV337" s="512">
        <v>93.1</v>
      </c>
      <c r="CW337" s="537">
        <v>62.37</v>
      </c>
      <c r="CX337" s="537">
        <v>54.19</v>
      </c>
      <c r="CY337" s="537">
        <v>27.35</v>
      </c>
      <c r="CZ337" s="537">
        <v>10.57</v>
      </c>
      <c r="DA337" s="513">
        <v>124.18</v>
      </c>
      <c r="DB337" s="537">
        <v>-177.6</v>
      </c>
      <c r="DC337" s="537">
        <v>157.18</v>
      </c>
      <c r="DD337" s="537">
        <v>68.71</v>
      </c>
      <c r="DE337" s="537">
        <v>69.13</v>
      </c>
      <c r="DF337" s="537">
        <v>68.66</v>
      </c>
      <c r="DG337" s="537">
        <v>64.93</v>
      </c>
      <c r="DH337" s="537">
        <v>54.75</v>
      </c>
      <c r="DI337" s="537">
        <v>78.39</v>
      </c>
      <c r="DJ337" s="537">
        <v>56.58</v>
      </c>
      <c r="DK337" s="537">
        <v>98.13</v>
      </c>
      <c r="DL337" s="537">
        <v>90.55</v>
      </c>
      <c r="DM337" s="537">
        <v>37.08</v>
      </c>
      <c r="DN337" s="537">
        <v>90.86</v>
      </c>
      <c r="DO337" s="537">
        <v>49.57</v>
      </c>
      <c r="DP337" s="537">
        <v>54.92</v>
      </c>
      <c r="DQ337" s="537">
        <v>112.56</v>
      </c>
      <c r="DR337" s="537"/>
      <c r="DS337" s="520" t="s">
        <v>335</v>
      </c>
      <c r="DT337" s="574">
        <f>DP337</f>
        <v>54.92</v>
      </c>
      <c r="DU337" s="520">
        <v>100.0</v>
      </c>
      <c r="DX337" s="530"/>
    </row>
    <row r="338" hidden="1">
      <c r="A338" s="531"/>
      <c r="DX338" s="530"/>
    </row>
    <row r="339">
      <c r="A339" s="551" t="s">
        <v>391</v>
      </c>
      <c r="CN339" s="590"/>
      <c r="DX339" s="530"/>
    </row>
    <row r="340" hidden="1">
      <c r="A340" s="500" t="s">
        <v>2</v>
      </c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  <c r="AT340" s="118"/>
      <c r="AU340" s="118"/>
      <c r="AV340" s="118"/>
      <c r="AW340" s="118"/>
      <c r="AX340" s="118"/>
      <c r="AY340" s="118"/>
      <c r="AZ340" s="118"/>
      <c r="BA340" s="118"/>
      <c r="BB340" s="118"/>
      <c r="BC340" s="118"/>
      <c r="BD340" s="118"/>
      <c r="BE340" s="118"/>
      <c r="BF340" s="118"/>
      <c r="BG340" s="118"/>
      <c r="BH340" s="118"/>
      <c r="BI340" s="118"/>
      <c r="BJ340" s="118"/>
      <c r="BK340" s="118"/>
      <c r="BL340" s="118"/>
      <c r="BM340" s="118"/>
      <c r="BN340" s="118"/>
      <c r="BO340" s="118"/>
      <c r="BP340" s="118"/>
      <c r="BQ340" s="118"/>
      <c r="BR340" s="118"/>
      <c r="BS340" s="118"/>
      <c r="BT340" s="118"/>
      <c r="BU340" s="118"/>
      <c r="BV340" s="118"/>
      <c r="BW340" s="118"/>
      <c r="BX340" s="118"/>
      <c r="BY340" s="118"/>
      <c r="BZ340" s="118"/>
      <c r="CA340" s="118"/>
      <c r="CB340" s="118"/>
      <c r="CC340" s="118"/>
      <c r="CD340" s="118"/>
      <c r="CE340" s="118"/>
      <c r="CF340" s="118"/>
      <c r="CG340" s="118"/>
      <c r="CH340" s="118"/>
      <c r="CI340" s="118"/>
      <c r="CJ340" s="118"/>
      <c r="CK340" s="118"/>
      <c r="CL340" s="118"/>
      <c r="CM340" s="118"/>
      <c r="CN340" s="546" t="s">
        <v>383</v>
      </c>
      <c r="CO340" s="546" t="s">
        <v>383</v>
      </c>
      <c r="CP340" s="546" t="s">
        <v>383</v>
      </c>
      <c r="CQ340" s="546" t="s">
        <v>351</v>
      </c>
      <c r="CR340" s="546" t="s">
        <v>351</v>
      </c>
      <c r="CS340" s="546" t="s">
        <v>383</v>
      </c>
      <c r="CT340" s="546" t="s">
        <v>383</v>
      </c>
      <c r="CU340" s="546" t="s">
        <v>351</v>
      </c>
      <c r="CV340" s="546" t="s">
        <v>392</v>
      </c>
      <c r="CW340" s="546" t="s">
        <v>383</v>
      </c>
      <c r="CX340" s="546" t="s">
        <v>383</v>
      </c>
      <c r="CY340" s="546" t="s">
        <v>351</v>
      </c>
      <c r="CZ340" s="546" t="s">
        <v>351</v>
      </c>
      <c r="DA340" s="546" t="s">
        <v>393</v>
      </c>
      <c r="DB340" s="546" t="s">
        <v>383</v>
      </c>
      <c r="DC340" s="546" t="s">
        <v>351</v>
      </c>
      <c r="DD340" s="546" t="s">
        <v>351</v>
      </c>
      <c r="DE340" s="546" t="s">
        <v>351</v>
      </c>
      <c r="DF340" s="546" t="s">
        <v>394</v>
      </c>
      <c r="DG340" s="546" t="s">
        <v>360</v>
      </c>
      <c r="DH340" s="546" t="s">
        <v>360</v>
      </c>
      <c r="DI340" s="546" t="s">
        <v>351</v>
      </c>
      <c r="DJ340" s="546" t="s">
        <v>394</v>
      </c>
      <c r="DK340" s="546" t="s">
        <v>351</v>
      </c>
      <c r="DL340" s="546" t="s">
        <v>351</v>
      </c>
      <c r="DM340" s="546" t="s">
        <v>395</v>
      </c>
      <c r="DN340" s="546" t="s">
        <v>360</v>
      </c>
      <c r="DO340" s="546" t="s">
        <v>351</v>
      </c>
      <c r="DP340" s="546" t="s">
        <v>351</v>
      </c>
      <c r="DQ340" s="546" t="s">
        <v>395</v>
      </c>
      <c r="DR340" s="546" t="s">
        <v>351</v>
      </c>
      <c r="DT340" s="520" t="s">
        <v>384</v>
      </c>
      <c r="DU340" s="520" t="s">
        <v>332</v>
      </c>
      <c r="DW340" s="520" t="s">
        <v>384</v>
      </c>
      <c r="DX340" s="520" t="s">
        <v>332</v>
      </c>
    </row>
    <row r="341" hidden="1">
      <c r="A341" s="502" t="s">
        <v>288</v>
      </c>
      <c r="B341" s="525"/>
      <c r="C341" s="525"/>
      <c r="D341" s="525"/>
      <c r="E341" s="525"/>
      <c r="F341" s="525"/>
      <c r="G341" s="525"/>
      <c r="H341" s="525"/>
      <c r="I341" s="525"/>
      <c r="J341" s="525"/>
      <c r="K341" s="525"/>
      <c r="L341" s="525"/>
      <c r="M341" s="525"/>
      <c r="N341" s="525"/>
      <c r="O341" s="525"/>
      <c r="P341" s="525"/>
      <c r="Q341" s="525"/>
      <c r="R341" s="525"/>
      <c r="S341" s="525"/>
      <c r="T341" s="525"/>
      <c r="U341" s="525"/>
      <c r="V341" s="525"/>
      <c r="W341" s="525"/>
      <c r="X341" s="525"/>
      <c r="Y341" s="525"/>
      <c r="Z341" s="525"/>
      <c r="AA341" s="525"/>
      <c r="AB341" s="525"/>
      <c r="AC341" s="525"/>
      <c r="AD341" s="525"/>
      <c r="AE341" s="525"/>
      <c r="AF341" s="525"/>
      <c r="AG341" s="525"/>
      <c r="AH341" s="525"/>
      <c r="AI341" s="525"/>
      <c r="AJ341" s="525"/>
      <c r="AK341" s="525"/>
      <c r="AL341" s="525"/>
      <c r="AM341" s="525"/>
      <c r="AN341" s="525"/>
      <c r="AO341" s="525"/>
      <c r="AP341" s="525"/>
      <c r="AQ341" s="525"/>
      <c r="AR341" s="525"/>
      <c r="AS341" s="525"/>
      <c r="AT341" s="525"/>
      <c r="AU341" s="525"/>
      <c r="AV341" s="525"/>
      <c r="AW341" s="525"/>
      <c r="AX341" s="525"/>
      <c r="AY341" s="525"/>
      <c r="AZ341" s="525"/>
      <c r="BA341" s="525"/>
      <c r="BB341" s="525"/>
      <c r="BC341" s="525"/>
      <c r="BD341" s="525"/>
      <c r="BE341" s="525"/>
      <c r="BF341" s="525"/>
      <c r="BG341" s="525"/>
      <c r="BH341" s="525"/>
      <c r="BI341" s="525"/>
      <c r="BJ341" s="525"/>
      <c r="BK341" s="541">
        <v>45689.0</v>
      </c>
      <c r="BL341" s="541">
        <v>45690.0</v>
      </c>
      <c r="BM341" s="541">
        <v>45691.0</v>
      </c>
      <c r="BN341" s="541">
        <v>45692.0</v>
      </c>
      <c r="BO341" s="541">
        <v>45693.0</v>
      </c>
      <c r="BP341" s="541">
        <v>45694.0</v>
      </c>
      <c r="BQ341" s="541">
        <v>45695.0</v>
      </c>
      <c r="BR341" s="541">
        <v>45696.0</v>
      </c>
      <c r="BS341" s="541">
        <v>45697.0</v>
      </c>
      <c r="BT341" s="541">
        <v>45698.0</v>
      </c>
      <c r="BU341" s="541">
        <v>45699.0</v>
      </c>
      <c r="BV341" s="541">
        <v>45700.0</v>
      </c>
      <c r="BW341" s="541">
        <v>45701.0</v>
      </c>
      <c r="BX341" s="541">
        <v>45702.0</v>
      </c>
      <c r="BY341" s="541">
        <v>45703.0</v>
      </c>
      <c r="BZ341" s="541">
        <v>45704.0</v>
      </c>
      <c r="CA341" s="541">
        <v>45705.0</v>
      </c>
      <c r="CB341" s="541">
        <v>45706.0</v>
      </c>
      <c r="CC341" s="541">
        <v>45707.0</v>
      </c>
      <c r="CD341" s="541">
        <v>45708.0</v>
      </c>
      <c r="CE341" s="541">
        <v>45709.0</v>
      </c>
      <c r="CF341" s="541">
        <v>45710.0</v>
      </c>
      <c r="CG341" s="541">
        <v>45711.0</v>
      </c>
      <c r="CH341" s="541">
        <v>45712.0</v>
      </c>
      <c r="CI341" s="541">
        <v>45713.0</v>
      </c>
      <c r="CJ341" s="541">
        <v>45714.0</v>
      </c>
      <c r="CK341" s="541">
        <v>45715.0</v>
      </c>
      <c r="CL341" s="541">
        <v>45716.0</v>
      </c>
      <c r="CM341" s="541"/>
      <c r="CN341" s="541">
        <v>45992.0</v>
      </c>
      <c r="CO341" s="541">
        <v>45993.0</v>
      </c>
      <c r="CP341" s="541">
        <v>45994.0</v>
      </c>
      <c r="CQ341" s="541">
        <v>45995.0</v>
      </c>
      <c r="CR341" s="541">
        <v>45996.0</v>
      </c>
      <c r="CS341" s="541">
        <v>45997.0</v>
      </c>
      <c r="CT341" s="541">
        <v>45998.0</v>
      </c>
      <c r="CU341" s="541">
        <v>45999.0</v>
      </c>
      <c r="CV341" s="541">
        <v>46000.0</v>
      </c>
      <c r="CW341" s="541">
        <v>46001.0</v>
      </c>
      <c r="CX341" s="541">
        <v>46002.0</v>
      </c>
      <c r="CY341" s="541">
        <v>46003.0</v>
      </c>
      <c r="CZ341" s="541">
        <v>46004.0</v>
      </c>
      <c r="DA341" s="541">
        <v>46005.0</v>
      </c>
      <c r="DB341" s="541">
        <v>46006.0</v>
      </c>
      <c r="DC341" s="541">
        <v>46007.0</v>
      </c>
      <c r="DD341" s="541">
        <v>46008.0</v>
      </c>
      <c r="DE341" s="541">
        <v>46009.0</v>
      </c>
      <c r="DF341" s="541">
        <v>46010.0</v>
      </c>
      <c r="DG341" s="541">
        <v>46011.0</v>
      </c>
      <c r="DH341" s="541">
        <v>46012.0</v>
      </c>
      <c r="DI341" s="541">
        <v>46013.0</v>
      </c>
      <c r="DJ341" s="541">
        <v>46014.0</v>
      </c>
      <c r="DK341" s="541">
        <v>46015.0</v>
      </c>
      <c r="DL341" s="541">
        <v>46016.0</v>
      </c>
      <c r="DM341" s="541">
        <v>46017.0</v>
      </c>
      <c r="DN341" s="541">
        <v>46018.0</v>
      </c>
      <c r="DO341" s="541">
        <v>46019.0</v>
      </c>
      <c r="DP341" s="541">
        <v>46020.0</v>
      </c>
      <c r="DQ341" s="541">
        <v>46021.0</v>
      </c>
      <c r="DR341" s="541">
        <v>46022.0</v>
      </c>
      <c r="DS341" s="520" t="s">
        <v>308</v>
      </c>
      <c r="DT341" s="574">
        <f>CQ344+CR344+CU344+CY344+CZ344+CV344/2</f>
        <v>503.675</v>
      </c>
      <c r="DU341" s="574">
        <f>100*7</f>
        <v>700</v>
      </c>
      <c r="DW341" s="574">
        <f>DC344+DD344+DE344+DI344+DK344+DL344+DM344+DO344+DP344+DR344</f>
        <v>1035.36</v>
      </c>
      <c r="DX341" s="530">
        <f>100*20</f>
        <v>2000</v>
      </c>
    </row>
    <row r="342" hidden="1">
      <c r="A342" s="502" t="s">
        <v>289</v>
      </c>
      <c r="B342" s="525"/>
      <c r="C342" s="525"/>
      <c r="D342" s="525"/>
      <c r="E342" s="525"/>
      <c r="F342" s="525"/>
      <c r="G342" s="525"/>
      <c r="H342" s="525"/>
      <c r="I342" s="525"/>
      <c r="J342" s="525"/>
      <c r="K342" s="525"/>
      <c r="L342" s="525"/>
      <c r="M342" s="525"/>
      <c r="N342" s="525"/>
      <c r="O342" s="525"/>
      <c r="P342" s="525"/>
      <c r="Q342" s="525"/>
      <c r="R342" s="525"/>
      <c r="S342" s="525"/>
      <c r="T342" s="525"/>
      <c r="U342" s="525"/>
      <c r="V342" s="525"/>
      <c r="W342" s="525"/>
      <c r="X342" s="525"/>
      <c r="Y342" s="525"/>
      <c r="Z342" s="525"/>
      <c r="AA342" s="525"/>
      <c r="AB342" s="525"/>
      <c r="AC342" s="525"/>
      <c r="AD342" s="525"/>
      <c r="AE342" s="525"/>
      <c r="AF342" s="525"/>
      <c r="AG342" s="525"/>
      <c r="AH342" s="525"/>
      <c r="AI342" s="525"/>
      <c r="AJ342" s="525"/>
      <c r="AK342" s="525"/>
      <c r="AL342" s="525"/>
      <c r="AM342" s="525"/>
      <c r="AN342" s="525"/>
      <c r="AO342" s="525"/>
      <c r="AP342" s="525"/>
      <c r="AQ342" s="525"/>
      <c r="AR342" s="525"/>
      <c r="AS342" s="525"/>
      <c r="AT342" s="525"/>
      <c r="AU342" s="525"/>
      <c r="AV342" s="525"/>
      <c r="AW342" s="525"/>
      <c r="AX342" s="525"/>
      <c r="AY342" s="525"/>
      <c r="AZ342" s="525"/>
      <c r="BA342" s="525"/>
      <c r="BB342" s="525"/>
      <c r="BC342" s="525"/>
      <c r="BD342" s="525"/>
      <c r="BE342" s="525"/>
      <c r="BF342" s="525"/>
      <c r="BG342" s="525"/>
      <c r="BH342" s="525"/>
      <c r="BI342" s="525"/>
      <c r="BJ342" s="525"/>
      <c r="BK342" s="512">
        <v>67.0</v>
      </c>
      <c r="BL342" s="512">
        <v>133.0</v>
      </c>
      <c r="BM342" s="525"/>
      <c r="BN342" s="512">
        <v>100.0</v>
      </c>
      <c r="BO342" s="512">
        <v>130.0</v>
      </c>
      <c r="BP342" s="512">
        <v>162.0</v>
      </c>
      <c r="BQ342" s="512">
        <v>219.0</v>
      </c>
      <c r="BR342" s="512">
        <v>120.0</v>
      </c>
      <c r="BS342" s="512">
        <v>198.0</v>
      </c>
      <c r="BT342" s="512">
        <v>128.0</v>
      </c>
      <c r="BU342" s="512">
        <v>214.0</v>
      </c>
      <c r="BV342" s="512">
        <v>159.0</v>
      </c>
      <c r="BW342" s="512">
        <v>159.0</v>
      </c>
      <c r="BX342" s="512">
        <v>148.0</v>
      </c>
      <c r="BY342" s="512">
        <v>141.0</v>
      </c>
      <c r="BZ342" s="512">
        <v>125.0</v>
      </c>
      <c r="CA342" s="512">
        <v>160.0</v>
      </c>
      <c r="CB342" s="512">
        <v>188.0</v>
      </c>
      <c r="CC342" s="512">
        <v>189.0</v>
      </c>
      <c r="CD342" s="512">
        <v>177.0</v>
      </c>
      <c r="CE342" s="512">
        <v>175.0</v>
      </c>
      <c r="CF342" s="512">
        <v>172.0</v>
      </c>
      <c r="CG342" s="512">
        <v>204.0</v>
      </c>
      <c r="CH342" s="512">
        <v>198.0</v>
      </c>
      <c r="CI342" s="512">
        <v>163.0</v>
      </c>
      <c r="CJ342" s="512">
        <v>177.0</v>
      </c>
      <c r="CK342" s="512">
        <v>156.0</v>
      </c>
      <c r="CL342" s="512">
        <v>177.0</v>
      </c>
      <c r="CM342" s="512"/>
      <c r="CN342" s="561">
        <v>195.0</v>
      </c>
      <c r="CO342" s="561">
        <v>156.0</v>
      </c>
      <c r="CP342" s="561">
        <v>193.0</v>
      </c>
      <c r="CQ342" s="561">
        <v>160.0</v>
      </c>
      <c r="CR342" s="561">
        <v>195.0</v>
      </c>
      <c r="CS342" s="561">
        <v>307.0</v>
      </c>
      <c r="CT342" s="561">
        <v>147.0</v>
      </c>
      <c r="CU342" s="561">
        <v>165.0</v>
      </c>
      <c r="CV342" s="591">
        <v>198.0</v>
      </c>
      <c r="CW342" s="591">
        <v>241.0</v>
      </c>
      <c r="CX342" s="591">
        <v>354.0</v>
      </c>
      <c r="CY342" s="591">
        <v>232.0</v>
      </c>
      <c r="CZ342" s="591">
        <v>242.0</v>
      </c>
      <c r="DA342" s="591">
        <v>230.0</v>
      </c>
      <c r="DB342" s="561">
        <v>221.0</v>
      </c>
      <c r="DC342" s="561">
        <v>231.0</v>
      </c>
      <c r="DD342" s="561">
        <v>224.0</v>
      </c>
      <c r="DE342" s="561">
        <v>297.0</v>
      </c>
      <c r="DF342" s="561">
        <v>262.0</v>
      </c>
      <c r="DG342" s="561">
        <v>261.0</v>
      </c>
      <c r="DH342" s="561">
        <v>258.0</v>
      </c>
      <c r="DI342" s="561">
        <v>297.0</v>
      </c>
      <c r="DJ342" s="561">
        <v>262.0</v>
      </c>
      <c r="DK342" s="561">
        <v>177.0</v>
      </c>
      <c r="DL342" s="561">
        <v>195.0</v>
      </c>
      <c r="DM342" s="561">
        <v>369.0</v>
      </c>
      <c r="DN342" s="561">
        <v>265.0</v>
      </c>
      <c r="DO342" s="561">
        <v>271.0</v>
      </c>
      <c r="DP342" s="561">
        <v>372.0</v>
      </c>
      <c r="DQ342" s="561">
        <v>329.0</v>
      </c>
      <c r="DR342" s="561">
        <v>180.0</v>
      </c>
      <c r="DS342" s="520" t="s">
        <v>385</v>
      </c>
      <c r="DT342" s="574">
        <f>CN344+CO344+CP344+CS344+CT344+CV344/2+CW344+CX344+DB344</f>
        <v>466.355</v>
      </c>
      <c r="DU342" s="574">
        <f>14*100</f>
        <v>1400</v>
      </c>
      <c r="DW342" s="520" t="s">
        <v>389</v>
      </c>
      <c r="DX342" s="510" t="s">
        <v>389</v>
      </c>
      <c r="DZ342" s="574">
        <f t="shared" ref="DZ342:DZ343" si="17">SUM(CN342:DR342)</f>
        <v>7486</v>
      </c>
      <c r="EA342" s="530">
        <f t="shared" ref="EA342:EA343" si="18">DZ342/31</f>
        <v>241.483871</v>
      </c>
    </row>
    <row r="343" hidden="1">
      <c r="A343" s="521" t="s">
        <v>290</v>
      </c>
      <c r="B343" s="525"/>
      <c r="C343" s="525"/>
      <c r="D343" s="525"/>
      <c r="E343" s="525"/>
      <c r="F343" s="525"/>
      <c r="G343" s="525"/>
      <c r="H343" s="525"/>
      <c r="I343" s="525"/>
      <c r="J343" s="525"/>
      <c r="K343" s="525"/>
      <c r="L343" s="525"/>
      <c r="M343" s="525"/>
      <c r="N343" s="525"/>
      <c r="O343" s="525"/>
      <c r="P343" s="525"/>
      <c r="Q343" s="525"/>
      <c r="R343" s="525"/>
      <c r="S343" s="525"/>
      <c r="T343" s="525"/>
      <c r="U343" s="525"/>
      <c r="V343" s="525"/>
      <c r="W343" s="525"/>
      <c r="X343" s="525"/>
      <c r="Y343" s="525"/>
      <c r="Z343" s="525"/>
      <c r="AA343" s="525"/>
      <c r="AB343" s="525"/>
      <c r="AC343" s="525"/>
      <c r="AD343" s="525"/>
      <c r="AE343" s="525"/>
      <c r="AF343" s="525"/>
      <c r="AG343" s="525"/>
      <c r="AH343" s="525"/>
      <c r="AI343" s="525"/>
      <c r="AJ343" s="525"/>
      <c r="AK343" s="525"/>
      <c r="AL343" s="525"/>
      <c r="AM343" s="525"/>
      <c r="AN343" s="525"/>
      <c r="AO343" s="525"/>
      <c r="AP343" s="525"/>
      <c r="AQ343" s="525"/>
      <c r="AR343" s="525"/>
      <c r="AS343" s="525"/>
      <c r="AT343" s="525"/>
      <c r="AU343" s="525"/>
      <c r="AV343" s="525"/>
      <c r="AW343" s="525"/>
      <c r="AX343" s="525"/>
      <c r="AY343" s="525"/>
      <c r="AZ343" s="525"/>
      <c r="BA343" s="525"/>
      <c r="BB343" s="525"/>
      <c r="BC343" s="525"/>
      <c r="BD343" s="525"/>
      <c r="BE343" s="525"/>
      <c r="BF343" s="525"/>
      <c r="BG343" s="525"/>
      <c r="BH343" s="525"/>
      <c r="BI343" s="525"/>
      <c r="BJ343" s="525"/>
      <c r="BK343" s="512">
        <v>36.0</v>
      </c>
      <c r="BL343" s="512">
        <v>53.0</v>
      </c>
      <c r="BM343" s="525"/>
      <c r="BN343" s="512">
        <v>40.0</v>
      </c>
      <c r="BO343" s="512">
        <v>50.0</v>
      </c>
      <c r="BP343" s="512">
        <v>56.0</v>
      </c>
      <c r="BQ343" s="512">
        <v>70.0</v>
      </c>
      <c r="BR343" s="512">
        <v>51.0</v>
      </c>
      <c r="BS343" s="512">
        <v>63.0</v>
      </c>
      <c r="BT343" s="512">
        <v>62.0</v>
      </c>
      <c r="BU343" s="512">
        <v>68.0</v>
      </c>
      <c r="BV343" s="512">
        <v>65.0</v>
      </c>
      <c r="BW343" s="512">
        <v>64.0</v>
      </c>
      <c r="BX343" s="512">
        <v>64.0</v>
      </c>
      <c r="BY343" s="512">
        <v>67.0</v>
      </c>
      <c r="BZ343" s="512">
        <v>56.0</v>
      </c>
      <c r="CA343" s="512">
        <v>65.0</v>
      </c>
      <c r="CB343" s="512">
        <v>68.0</v>
      </c>
      <c r="CC343" s="512">
        <v>72.0</v>
      </c>
      <c r="CD343" s="512">
        <v>67.0</v>
      </c>
      <c r="CE343" s="512">
        <v>72.0</v>
      </c>
      <c r="CF343" s="512">
        <v>72.0</v>
      </c>
      <c r="CG343" s="512">
        <v>81.0</v>
      </c>
      <c r="CH343" s="512">
        <v>81.0</v>
      </c>
      <c r="CI343" s="512">
        <v>67.0</v>
      </c>
      <c r="CJ343" s="512">
        <v>64.0</v>
      </c>
      <c r="CK343" s="512">
        <v>66.0</v>
      </c>
      <c r="CL343" s="512">
        <v>58.0</v>
      </c>
      <c r="CM343" s="552">
        <f>SUM(BK343:CL343)/28</f>
        <v>60.64285714</v>
      </c>
      <c r="CN343" s="561">
        <v>73.0</v>
      </c>
      <c r="CO343" s="561">
        <v>59.0</v>
      </c>
      <c r="CP343" s="561">
        <v>63.0</v>
      </c>
      <c r="CQ343" s="561">
        <v>71.0</v>
      </c>
      <c r="CR343" s="561">
        <v>61.0</v>
      </c>
      <c r="CS343" s="561">
        <v>76.0</v>
      </c>
      <c r="CT343" s="561">
        <v>61.0</v>
      </c>
      <c r="CU343" s="561">
        <v>60.0</v>
      </c>
      <c r="CV343" s="591">
        <v>74.0</v>
      </c>
      <c r="CW343" s="591">
        <v>79.0</v>
      </c>
      <c r="CX343" s="591">
        <v>95.0</v>
      </c>
      <c r="CY343" s="591">
        <v>74.0</v>
      </c>
      <c r="CZ343" s="591">
        <v>67.0</v>
      </c>
      <c r="DA343" s="591">
        <v>81.0</v>
      </c>
      <c r="DB343" s="561">
        <v>77.0</v>
      </c>
      <c r="DC343" s="561">
        <v>73.0</v>
      </c>
      <c r="DD343" s="561">
        <v>84.0</v>
      </c>
      <c r="DE343" s="561">
        <v>97.0</v>
      </c>
      <c r="DF343" s="561">
        <v>83.0</v>
      </c>
      <c r="DG343" s="561">
        <v>69.0</v>
      </c>
      <c r="DH343" s="561">
        <v>81.0</v>
      </c>
      <c r="DI343" s="561">
        <v>96.0</v>
      </c>
      <c r="DJ343" s="561">
        <v>92.0</v>
      </c>
      <c r="DK343" s="561">
        <v>71.0</v>
      </c>
      <c r="DL343" s="561">
        <v>74.0</v>
      </c>
      <c r="DM343" s="561">
        <v>111.0</v>
      </c>
      <c r="DN343" s="561">
        <v>95.0</v>
      </c>
      <c r="DO343" s="561">
        <v>95.0</v>
      </c>
      <c r="DP343" s="561">
        <v>114.0</v>
      </c>
      <c r="DQ343" s="561">
        <v>113.0</v>
      </c>
      <c r="DR343" s="561">
        <v>84.0</v>
      </c>
      <c r="DS343" s="520" t="s">
        <v>375</v>
      </c>
      <c r="DT343" s="520">
        <v>0.0</v>
      </c>
      <c r="DU343" s="520">
        <v>100.0</v>
      </c>
      <c r="DW343" s="574">
        <f>DG344+DH344+DN344</f>
        <v>390.61</v>
      </c>
      <c r="DX343" s="530">
        <f>100*10</f>
        <v>1000</v>
      </c>
      <c r="DZ343" s="574">
        <f t="shared" si="17"/>
        <v>2503</v>
      </c>
      <c r="EA343" s="530">
        <f t="shared" si="18"/>
        <v>80.74193548</v>
      </c>
    </row>
    <row r="344" hidden="1">
      <c r="A344" s="553" t="s">
        <v>291</v>
      </c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  <c r="AI344" s="529"/>
      <c r="AJ344" s="529"/>
      <c r="AK344" s="529"/>
      <c r="AL344" s="529"/>
      <c r="AM344" s="529"/>
      <c r="AN344" s="529"/>
      <c r="AO344" s="529"/>
      <c r="AP344" s="529"/>
      <c r="AQ344" s="529"/>
      <c r="AR344" s="529"/>
      <c r="AS344" s="529"/>
      <c r="AT344" s="529"/>
      <c r="AU344" s="529"/>
      <c r="AV344" s="529"/>
      <c r="AW344" s="529"/>
      <c r="AX344" s="529"/>
      <c r="AY344" s="529"/>
      <c r="AZ344" s="529"/>
      <c r="BA344" s="529"/>
      <c r="BB344" s="529"/>
      <c r="BC344" s="529"/>
      <c r="BD344" s="529"/>
      <c r="BE344" s="529"/>
      <c r="BF344" s="529"/>
      <c r="BG344" s="529"/>
      <c r="BH344" s="529"/>
      <c r="BI344" s="529"/>
      <c r="BJ344" s="529"/>
      <c r="BK344" s="529">
        <v>22.22</v>
      </c>
      <c r="BL344" s="529">
        <v>34.11</v>
      </c>
      <c r="BM344" s="529">
        <v>-190.84</v>
      </c>
      <c r="BN344" s="529">
        <v>38.2</v>
      </c>
      <c r="BO344" s="529">
        <v>33.08</v>
      </c>
      <c r="BP344" s="529">
        <v>48.91</v>
      </c>
      <c r="BQ344" s="529">
        <v>44.55</v>
      </c>
      <c r="BR344" s="529">
        <v>30.32</v>
      </c>
      <c r="BS344" s="529">
        <v>-78.02</v>
      </c>
      <c r="BT344" s="529">
        <v>49.19</v>
      </c>
      <c r="BU344" s="529">
        <v>51.41</v>
      </c>
      <c r="BV344" s="529">
        <v>53.58</v>
      </c>
      <c r="BW344" s="529">
        <v>51.03</v>
      </c>
      <c r="BX344" s="529">
        <v>39.79</v>
      </c>
      <c r="BY344" s="529">
        <v>43.96</v>
      </c>
      <c r="BZ344" s="529">
        <v>43.84</v>
      </c>
      <c r="CA344" s="550">
        <v>45.98</v>
      </c>
      <c r="CB344" s="550">
        <v>40.67</v>
      </c>
      <c r="CC344" s="550">
        <v>47.82</v>
      </c>
      <c r="CD344" s="550">
        <v>63.99</v>
      </c>
      <c r="CE344" s="550">
        <v>-209.27</v>
      </c>
      <c r="CF344" s="550">
        <v>73.03</v>
      </c>
      <c r="CG344" s="550">
        <v>65.24</v>
      </c>
      <c r="CH344" s="550">
        <v>-52.31</v>
      </c>
      <c r="CI344" s="550">
        <v>55.56</v>
      </c>
      <c r="CJ344" s="550">
        <v>37.49</v>
      </c>
      <c r="CK344" s="550">
        <v>42.2</v>
      </c>
      <c r="CL344" s="537">
        <v>57.35</v>
      </c>
      <c r="CM344" s="554"/>
      <c r="CN344" s="537">
        <v>56.43</v>
      </c>
      <c r="CO344" s="537">
        <v>51.55</v>
      </c>
      <c r="CP344" s="592">
        <v>54.57</v>
      </c>
      <c r="CQ344" s="537">
        <v>87.78</v>
      </c>
      <c r="CR344" s="537">
        <v>74.92</v>
      </c>
      <c r="CS344" s="537">
        <v>80.6</v>
      </c>
      <c r="CT344" s="537">
        <v>62.3</v>
      </c>
      <c r="CU344" s="537">
        <v>107.41</v>
      </c>
      <c r="CV344" s="536">
        <v>85.99</v>
      </c>
      <c r="CW344" s="593">
        <v>98.88</v>
      </c>
      <c r="CX344" s="593">
        <v>68.56</v>
      </c>
      <c r="CY344" s="593">
        <v>118.92</v>
      </c>
      <c r="CZ344" s="593">
        <v>71.65</v>
      </c>
      <c r="DA344" s="593">
        <v>-343.19</v>
      </c>
      <c r="DB344" s="537">
        <v>-49.53</v>
      </c>
      <c r="DC344" s="537">
        <v>63.15</v>
      </c>
      <c r="DD344" s="537">
        <v>113.12</v>
      </c>
      <c r="DE344" s="537">
        <v>133.05</v>
      </c>
      <c r="DF344" s="537">
        <v>-453.57</v>
      </c>
      <c r="DG344" s="537">
        <v>126.27</v>
      </c>
      <c r="DH344" s="537">
        <v>91.41</v>
      </c>
      <c r="DI344" s="537">
        <v>101.85</v>
      </c>
      <c r="DJ344" s="537">
        <v>73.05</v>
      </c>
      <c r="DK344" s="537">
        <v>114.03</v>
      </c>
      <c r="DL344" s="537">
        <v>103.16</v>
      </c>
      <c r="DM344" s="537">
        <v>94.71</v>
      </c>
      <c r="DN344" s="537">
        <v>172.93</v>
      </c>
      <c r="DO344" s="537">
        <v>103.74</v>
      </c>
      <c r="DP344" s="537">
        <v>127.36</v>
      </c>
      <c r="DQ344" s="537">
        <v>74.31</v>
      </c>
      <c r="DR344" s="537">
        <v>81.19</v>
      </c>
      <c r="DS344" s="520" t="s">
        <v>347</v>
      </c>
      <c r="DT344" s="520">
        <v>0.0</v>
      </c>
      <c r="DU344" s="520">
        <v>100.0</v>
      </c>
      <c r="DX344" s="530"/>
    </row>
    <row r="345" hidden="1">
      <c r="A345" s="531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  <c r="AT345" s="118"/>
      <c r="AU345" s="118"/>
      <c r="AV345" s="118"/>
      <c r="AW345" s="118"/>
      <c r="AX345" s="118"/>
      <c r="AY345" s="118"/>
      <c r="AZ345" s="118"/>
      <c r="BA345" s="118"/>
      <c r="BB345" s="118"/>
      <c r="BC345" s="118"/>
      <c r="BD345" s="118"/>
      <c r="BE345" s="118"/>
      <c r="BF345" s="118"/>
      <c r="BG345" s="118"/>
      <c r="BH345" s="118"/>
      <c r="BI345" s="118"/>
      <c r="BJ345" s="118"/>
      <c r="BK345" s="118"/>
      <c r="BL345" s="118"/>
      <c r="BM345" s="118"/>
      <c r="BN345" s="118"/>
      <c r="BO345" s="118"/>
      <c r="BP345" s="118"/>
      <c r="BQ345" s="118"/>
      <c r="BR345" s="118"/>
      <c r="BS345" s="118"/>
      <c r="BT345" s="118"/>
      <c r="BU345" s="118"/>
      <c r="BV345" s="118"/>
      <c r="BW345" s="118"/>
      <c r="BX345" s="118"/>
      <c r="BY345" s="118"/>
      <c r="BZ345" s="118"/>
      <c r="CA345" s="118"/>
      <c r="CB345" s="118"/>
      <c r="CC345" s="118"/>
      <c r="CD345" s="118"/>
      <c r="CE345" s="118"/>
      <c r="CF345" s="118"/>
      <c r="CG345" s="118"/>
      <c r="CH345" s="118"/>
      <c r="CI345" s="118"/>
      <c r="CJ345" s="118"/>
      <c r="CK345" s="118"/>
      <c r="CL345" s="118"/>
      <c r="CM345" s="499"/>
      <c r="CN345" s="118"/>
      <c r="CO345" s="546"/>
      <c r="CP345" s="594"/>
      <c r="CQ345" s="118"/>
      <c r="CR345" s="546"/>
      <c r="CS345" s="118"/>
      <c r="CT345" s="118"/>
      <c r="CU345" s="546"/>
      <c r="CV345" s="577"/>
      <c r="CW345" s="577"/>
      <c r="CX345" s="577"/>
      <c r="CY345" s="577"/>
      <c r="CZ345" s="577"/>
      <c r="DA345" s="577"/>
      <c r="DB345" s="118"/>
      <c r="DC345" s="118"/>
      <c r="DD345" s="118"/>
      <c r="DE345" s="118"/>
      <c r="DF345" s="118"/>
      <c r="DG345" s="118"/>
      <c r="DH345" s="118"/>
      <c r="DI345" s="118"/>
      <c r="DJ345" s="118"/>
      <c r="DK345" s="118"/>
      <c r="DL345" s="118"/>
      <c r="DM345" s="118"/>
      <c r="DN345" s="118"/>
      <c r="DO345" s="118"/>
      <c r="DP345" s="118"/>
      <c r="DQ345" s="118"/>
      <c r="DR345" s="118"/>
      <c r="DS345" s="520" t="s">
        <v>315</v>
      </c>
      <c r="DW345" s="574">
        <f>DF344+DJ344</f>
        <v>-380.52</v>
      </c>
      <c r="DX345" s="530">
        <f>100*4</f>
        <v>400</v>
      </c>
    </row>
    <row r="346" hidden="1">
      <c r="A346" s="531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  <c r="AT346" s="118"/>
      <c r="AU346" s="118"/>
      <c r="AV346" s="118"/>
      <c r="AW346" s="118"/>
      <c r="AX346" s="118"/>
      <c r="AY346" s="118"/>
      <c r="AZ346" s="118"/>
      <c r="BA346" s="118"/>
      <c r="BB346" s="118"/>
      <c r="BC346" s="118"/>
      <c r="BD346" s="118"/>
      <c r="BE346" s="118"/>
      <c r="BF346" s="118"/>
      <c r="BG346" s="118"/>
      <c r="BH346" s="118"/>
      <c r="BI346" s="118"/>
      <c r="BJ346" s="118"/>
      <c r="BK346" s="118"/>
      <c r="BL346" s="118"/>
      <c r="BM346" s="118"/>
      <c r="BN346" s="118"/>
      <c r="BO346" s="118"/>
      <c r="BP346" s="118"/>
      <c r="BQ346" s="118"/>
      <c r="BR346" s="118"/>
      <c r="BS346" s="118"/>
      <c r="BT346" s="118"/>
      <c r="BU346" s="118"/>
      <c r="BV346" s="118"/>
      <c r="BW346" s="118"/>
      <c r="BX346" s="118"/>
      <c r="BY346" s="118"/>
      <c r="BZ346" s="118"/>
      <c r="CA346" s="118"/>
      <c r="CB346" s="118"/>
      <c r="CC346" s="118"/>
      <c r="CD346" s="118"/>
      <c r="CE346" s="118"/>
      <c r="CF346" s="118"/>
      <c r="CG346" s="118"/>
      <c r="CH346" s="118"/>
      <c r="CI346" s="118"/>
      <c r="CJ346" s="118"/>
      <c r="CK346" s="118"/>
      <c r="CL346" s="118"/>
      <c r="CM346" s="499"/>
      <c r="CN346" s="118"/>
      <c r="CO346" s="118"/>
      <c r="CP346" s="118"/>
      <c r="CQ346" s="118"/>
      <c r="CR346" s="118"/>
      <c r="CS346" s="118"/>
      <c r="CT346" s="118"/>
      <c r="CU346" s="118"/>
      <c r="CV346" s="577"/>
      <c r="CW346" s="577"/>
      <c r="CX346" s="577"/>
      <c r="CY346" s="577"/>
      <c r="CZ346" s="577"/>
      <c r="DA346" s="577"/>
      <c r="DB346" s="118"/>
      <c r="DC346" s="118"/>
      <c r="DD346" s="118"/>
      <c r="DE346" s="118"/>
      <c r="DF346" s="118"/>
      <c r="DG346" s="118"/>
      <c r="DH346" s="118"/>
      <c r="DI346" s="118"/>
      <c r="DJ346" s="118"/>
      <c r="DK346" s="118"/>
      <c r="DL346" s="118"/>
      <c r="DM346" s="118"/>
      <c r="DN346" s="118"/>
      <c r="DO346" s="118"/>
      <c r="DP346" s="118"/>
      <c r="DQ346" s="118"/>
      <c r="DR346" s="118"/>
      <c r="DX346" s="530"/>
    </row>
    <row r="347" hidden="1">
      <c r="A347" s="500" t="s">
        <v>8</v>
      </c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  <c r="AT347" s="118"/>
      <c r="AU347" s="118"/>
      <c r="AV347" s="118"/>
      <c r="AW347" s="118"/>
      <c r="AX347" s="118"/>
      <c r="AY347" s="118"/>
      <c r="AZ347" s="118"/>
      <c r="BA347" s="118"/>
      <c r="BB347" s="118"/>
      <c r="BC347" s="118"/>
      <c r="BD347" s="118"/>
      <c r="BE347" s="118"/>
      <c r="BF347" s="118"/>
      <c r="BG347" s="118"/>
      <c r="BH347" s="118"/>
      <c r="BI347" s="118"/>
      <c r="BJ347" s="118"/>
      <c r="BK347" s="118"/>
      <c r="BL347" s="118"/>
      <c r="BM347" s="118"/>
      <c r="BN347" s="118"/>
      <c r="BO347" s="118"/>
      <c r="BP347" s="118"/>
      <c r="BQ347" s="118"/>
      <c r="BR347" s="118"/>
      <c r="BS347" s="118"/>
      <c r="BT347" s="118"/>
      <c r="BU347" s="118"/>
      <c r="BV347" s="118"/>
      <c r="BW347" s="118"/>
      <c r="BX347" s="118"/>
      <c r="BY347" s="118"/>
      <c r="BZ347" s="118"/>
      <c r="CA347" s="118"/>
      <c r="CB347" s="118"/>
      <c r="CC347" s="118"/>
      <c r="CD347" s="118"/>
      <c r="CE347" s="118"/>
      <c r="CF347" s="118"/>
      <c r="CG347" s="118"/>
      <c r="CH347" s="118"/>
      <c r="CI347" s="118"/>
      <c r="CJ347" s="118"/>
      <c r="CK347" s="118"/>
      <c r="CL347" s="118"/>
      <c r="CM347" s="499"/>
      <c r="CN347" s="546" t="s">
        <v>370</v>
      </c>
      <c r="CO347" s="546" t="s">
        <v>370</v>
      </c>
      <c r="CP347" s="546" t="s">
        <v>355</v>
      </c>
      <c r="CQ347" s="546" t="s">
        <v>355</v>
      </c>
      <c r="CR347" s="546" t="s">
        <v>355</v>
      </c>
      <c r="CS347" s="546" t="s">
        <v>370</v>
      </c>
      <c r="CT347" s="546" t="s">
        <v>370</v>
      </c>
      <c r="CU347" s="546" t="s">
        <v>355</v>
      </c>
      <c r="CV347" s="546" t="s">
        <v>355</v>
      </c>
      <c r="CW347" s="546" t="s">
        <v>355</v>
      </c>
      <c r="CX347" s="546" t="s">
        <v>370</v>
      </c>
      <c r="CY347" s="546" t="s">
        <v>370</v>
      </c>
      <c r="CZ347" s="546" t="s">
        <v>355</v>
      </c>
      <c r="DA347" s="546" t="s">
        <v>355</v>
      </c>
      <c r="DB347" s="546" t="s">
        <v>355</v>
      </c>
      <c r="DC347" s="546" t="s">
        <v>353</v>
      </c>
      <c r="DD347" s="546" t="s">
        <v>370</v>
      </c>
      <c r="DE347" s="546" t="s">
        <v>355</v>
      </c>
      <c r="DF347" s="546" t="s">
        <v>355</v>
      </c>
      <c r="DG347" s="546" t="s">
        <v>355</v>
      </c>
      <c r="DH347" s="546" t="s">
        <v>370</v>
      </c>
      <c r="DI347" s="546" t="s">
        <v>370</v>
      </c>
      <c r="DJ347" s="546" t="s">
        <v>355</v>
      </c>
      <c r="DK347" s="546" t="s">
        <v>355</v>
      </c>
      <c r="DL347" s="546" t="s">
        <v>355</v>
      </c>
      <c r="DM347" s="546" t="s">
        <v>396</v>
      </c>
      <c r="DN347" s="546" t="s">
        <v>355</v>
      </c>
      <c r="DO347" s="546" t="s">
        <v>355</v>
      </c>
      <c r="DP347" s="546" t="s">
        <v>355</v>
      </c>
      <c r="DQ347" s="546" t="s">
        <v>396</v>
      </c>
      <c r="DR347" s="546" t="s">
        <v>355</v>
      </c>
      <c r="DT347" s="520" t="s">
        <v>384</v>
      </c>
      <c r="DU347" s="520" t="s">
        <v>332</v>
      </c>
      <c r="DW347" s="520" t="s">
        <v>384</v>
      </c>
      <c r="DX347" s="520" t="s">
        <v>332</v>
      </c>
    </row>
    <row r="348" hidden="1">
      <c r="A348" s="502" t="s">
        <v>288</v>
      </c>
      <c r="B348" s="525"/>
      <c r="C348" s="525"/>
      <c r="D348" s="525"/>
      <c r="E348" s="525"/>
      <c r="F348" s="525"/>
      <c r="G348" s="525"/>
      <c r="H348" s="525"/>
      <c r="I348" s="525"/>
      <c r="J348" s="525"/>
      <c r="K348" s="525"/>
      <c r="L348" s="525"/>
      <c r="M348" s="525"/>
      <c r="N348" s="525"/>
      <c r="O348" s="525"/>
      <c r="P348" s="525"/>
      <c r="Q348" s="525"/>
      <c r="R348" s="525"/>
      <c r="S348" s="525"/>
      <c r="T348" s="525"/>
      <c r="U348" s="525"/>
      <c r="V348" s="525"/>
      <c r="W348" s="525"/>
      <c r="X348" s="525"/>
      <c r="Y348" s="525"/>
      <c r="Z348" s="525"/>
      <c r="AA348" s="525"/>
      <c r="AB348" s="525"/>
      <c r="AC348" s="525"/>
      <c r="AD348" s="525"/>
      <c r="AE348" s="525"/>
      <c r="AF348" s="525"/>
      <c r="AG348" s="525"/>
      <c r="AH348" s="525"/>
      <c r="AI348" s="525"/>
      <c r="AJ348" s="525"/>
      <c r="AK348" s="525"/>
      <c r="AL348" s="525"/>
      <c r="AM348" s="525"/>
      <c r="AN348" s="525"/>
      <c r="AO348" s="525"/>
      <c r="AP348" s="525"/>
      <c r="AQ348" s="525"/>
      <c r="AR348" s="525"/>
      <c r="AS348" s="525"/>
      <c r="AT348" s="525"/>
      <c r="AU348" s="525"/>
      <c r="AV348" s="525"/>
      <c r="AW348" s="525"/>
      <c r="AX348" s="525"/>
      <c r="AY348" s="525"/>
      <c r="AZ348" s="525"/>
      <c r="BA348" s="525"/>
      <c r="BB348" s="525"/>
      <c r="BC348" s="525"/>
      <c r="BD348" s="525"/>
      <c r="BE348" s="525"/>
      <c r="BF348" s="525"/>
      <c r="BG348" s="525"/>
      <c r="BH348" s="525"/>
      <c r="BI348" s="525"/>
      <c r="BJ348" s="525"/>
      <c r="BK348" s="541">
        <v>45689.0</v>
      </c>
      <c r="BL348" s="503">
        <v>45690.0</v>
      </c>
      <c r="BM348" s="503">
        <v>45691.0</v>
      </c>
      <c r="BN348" s="541">
        <v>45692.0</v>
      </c>
      <c r="BO348" s="541">
        <v>45693.0</v>
      </c>
      <c r="BP348" s="541">
        <v>45694.0</v>
      </c>
      <c r="BQ348" s="541">
        <v>45695.0</v>
      </c>
      <c r="BR348" s="541">
        <v>45696.0</v>
      </c>
      <c r="BS348" s="541">
        <v>45697.0</v>
      </c>
      <c r="BT348" s="541">
        <v>45698.0</v>
      </c>
      <c r="BU348" s="541">
        <v>45699.0</v>
      </c>
      <c r="BV348" s="541">
        <v>45700.0</v>
      </c>
      <c r="BW348" s="541">
        <v>45701.0</v>
      </c>
      <c r="BX348" s="541">
        <v>45702.0</v>
      </c>
      <c r="BY348" s="541">
        <v>45703.0</v>
      </c>
      <c r="BZ348" s="541">
        <v>45704.0</v>
      </c>
      <c r="CA348" s="541">
        <v>45705.0</v>
      </c>
      <c r="CB348" s="541">
        <v>45706.0</v>
      </c>
      <c r="CC348" s="541">
        <v>45707.0</v>
      </c>
      <c r="CD348" s="541">
        <v>45708.0</v>
      </c>
      <c r="CE348" s="541">
        <v>45709.0</v>
      </c>
      <c r="CF348" s="541">
        <v>45710.0</v>
      </c>
      <c r="CG348" s="541">
        <v>45711.0</v>
      </c>
      <c r="CH348" s="541">
        <v>45712.0</v>
      </c>
      <c r="CI348" s="541">
        <v>45713.0</v>
      </c>
      <c r="CJ348" s="541">
        <v>45714.0</v>
      </c>
      <c r="CK348" s="541">
        <v>45715.0</v>
      </c>
      <c r="CL348" s="541">
        <v>45716.0</v>
      </c>
      <c r="CM348" s="552"/>
      <c r="CN348" s="541">
        <v>45992.0</v>
      </c>
      <c r="CO348" s="541">
        <v>45993.0</v>
      </c>
      <c r="CP348" s="541">
        <v>45994.0</v>
      </c>
      <c r="CQ348" s="541">
        <v>45995.0</v>
      </c>
      <c r="CR348" s="541">
        <v>45996.0</v>
      </c>
      <c r="CS348" s="541">
        <v>45997.0</v>
      </c>
      <c r="CT348" s="541">
        <v>45998.0</v>
      </c>
      <c r="CU348" s="541">
        <v>45999.0</v>
      </c>
      <c r="CV348" s="541">
        <v>46000.0</v>
      </c>
      <c r="CW348" s="541">
        <v>46001.0</v>
      </c>
      <c r="CX348" s="541">
        <v>46002.0</v>
      </c>
      <c r="CY348" s="541">
        <v>46003.0</v>
      </c>
      <c r="CZ348" s="541">
        <v>46004.0</v>
      </c>
      <c r="DA348" s="541">
        <v>46005.0</v>
      </c>
      <c r="DB348" s="541">
        <v>46006.0</v>
      </c>
      <c r="DC348" s="541">
        <v>46007.0</v>
      </c>
      <c r="DD348" s="541">
        <v>46008.0</v>
      </c>
      <c r="DE348" s="541">
        <v>46009.0</v>
      </c>
      <c r="DF348" s="541">
        <v>46010.0</v>
      </c>
      <c r="DG348" s="541">
        <v>46011.0</v>
      </c>
      <c r="DH348" s="541">
        <v>46012.0</v>
      </c>
      <c r="DI348" s="541">
        <v>46013.0</v>
      </c>
      <c r="DJ348" s="541">
        <v>46014.0</v>
      </c>
      <c r="DK348" s="541">
        <v>46015.0</v>
      </c>
      <c r="DL348" s="541">
        <v>46016.0</v>
      </c>
      <c r="DM348" s="541">
        <v>46017.0</v>
      </c>
      <c r="DN348" s="541">
        <v>46018.0</v>
      </c>
      <c r="DO348" s="541">
        <v>46019.0</v>
      </c>
      <c r="DP348" s="541">
        <v>46020.0</v>
      </c>
      <c r="DQ348" s="541">
        <v>46021.0</v>
      </c>
      <c r="DR348" s="541">
        <v>46022.0</v>
      </c>
      <c r="DS348" s="520" t="s">
        <v>374</v>
      </c>
      <c r="DT348" s="574">
        <f>CN351+CO351+CS351+CT351++CX351+CY351</f>
        <v>744.05</v>
      </c>
      <c r="DU348" s="574">
        <f>19*100</f>
        <v>1900</v>
      </c>
      <c r="DW348" s="574">
        <f>DD351+DH351+DI351+DQ35</f>
        <v>524.5</v>
      </c>
      <c r="DX348" s="530">
        <f>100*11</f>
        <v>1100</v>
      </c>
      <c r="DZ348" s="574">
        <f t="shared" ref="DZ348:DZ349" si="19">SUM(CN349:DR349)</f>
        <v>11685</v>
      </c>
      <c r="EA348" s="530">
        <f t="shared" ref="EA348:EA349" si="20">DZ348/31</f>
        <v>376.9354839</v>
      </c>
    </row>
    <row r="349" hidden="1">
      <c r="A349" s="502" t="s">
        <v>289</v>
      </c>
      <c r="B349" s="525"/>
      <c r="C349" s="525"/>
      <c r="D349" s="525"/>
      <c r="E349" s="525"/>
      <c r="F349" s="525"/>
      <c r="G349" s="525"/>
      <c r="H349" s="525"/>
      <c r="I349" s="525"/>
      <c r="J349" s="525"/>
      <c r="K349" s="525"/>
      <c r="L349" s="525"/>
      <c r="M349" s="525"/>
      <c r="N349" s="525"/>
      <c r="O349" s="525"/>
      <c r="P349" s="525"/>
      <c r="Q349" s="525"/>
      <c r="R349" s="525"/>
      <c r="S349" s="525"/>
      <c r="T349" s="525"/>
      <c r="U349" s="525"/>
      <c r="V349" s="525"/>
      <c r="W349" s="525"/>
      <c r="X349" s="525"/>
      <c r="Y349" s="525"/>
      <c r="Z349" s="525"/>
      <c r="AA349" s="525"/>
      <c r="AB349" s="525"/>
      <c r="AC349" s="525"/>
      <c r="AD349" s="525"/>
      <c r="AE349" s="525"/>
      <c r="AF349" s="525"/>
      <c r="AG349" s="525"/>
      <c r="AH349" s="525"/>
      <c r="AI349" s="525"/>
      <c r="AJ349" s="525"/>
      <c r="AK349" s="525"/>
      <c r="AL349" s="525"/>
      <c r="AM349" s="525"/>
      <c r="AN349" s="525"/>
      <c r="AO349" s="525"/>
      <c r="AP349" s="525"/>
      <c r="AQ349" s="525"/>
      <c r="AR349" s="525"/>
      <c r="AS349" s="525"/>
      <c r="AT349" s="525"/>
      <c r="AU349" s="525"/>
      <c r="AV349" s="525"/>
      <c r="AW349" s="525"/>
      <c r="AX349" s="525"/>
      <c r="AY349" s="525"/>
      <c r="AZ349" s="525"/>
      <c r="BA349" s="525"/>
      <c r="BB349" s="525"/>
      <c r="BC349" s="525"/>
      <c r="BD349" s="525"/>
      <c r="BE349" s="525"/>
      <c r="BF349" s="525"/>
      <c r="BG349" s="525"/>
      <c r="BH349" s="525"/>
      <c r="BI349" s="525"/>
      <c r="BJ349" s="525"/>
      <c r="BK349" s="525"/>
      <c r="BL349" s="518">
        <v>196.0</v>
      </c>
      <c r="BM349" s="518">
        <v>147.0</v>
      </c>
      <c r="BN349" s="525"/>
      <c r="BO349" s="525"/>
      <c r="BP349" s="512">
        <v>193.0</v>
      </c>
      <c r="BQ349" s="512">
        <v>202.0</v>
      </c>
      <c r="BR349" s="512">
        <v>239.0</v>
      </c>
      <c r="BS349" s="525"/>
      <c r="BT349" s="512">
        <v>181.0</v>
      </c>
      <c r="BU349" s="525"/>
      <c r="BV349" s="512">
        <v>292.0</v>
      </c>
      <c r="BW349" s="512">
        <v>258.0</v>
      </c>
      <c r="BX349" s="512">
        <v>267.0</v>
      </c>
      <c r="BY349" s="512">
        <v>214.0</v>
      </c>
      <c r="BZ349" s="512">
        <v>234.0</v>
      </c>
      <c r="CA349" s="512">
        <v>271.0</v>
      </c>
      <c r="CB349" s="512">
        <v>222.0</v>
      </c>
      <c r="CC349" s="512">
        <v>298.0</v>
      </c>
      <c r="CD349" s="512">
        <v>290.0</v>
      </c>
      <c r="CE349" s="512">
        <v>261.0</v>
      </c>
      <c r="CF349" s="512">
        <v>274.0</v>
      </c>
      <c r="CG349" s="512">
        <v>285.0</v>
      </c>
      <c r="CH349" s="512">
        <v>196.0</v>
      </c>
      <c r="CI349" s="512">
        <v>198.0</v>
      </c>
      <c r="CJ349" s="512">
        <v>274.0</v>
      </c>
      <c r="CK349" s="512">
        <v>197.0</v>
      </c>
      <c r="CL349" s="512">
        <v>246.0</v>
      </c>
      <c r="CM349" s="552"/>
      <c r="CN349" s="561">
        <v>313.0</v>
      </c>
      <c r="CO349" s="561">
        <v>259.0</v>
      </c>
      <c r="CP349" s="561">
        <v>345.0</v>
      </c>
      <c r="CQ349" s="561">
        <v>259.0</v>
      </c>
      <c r="CR349" s="561">
        <v>374.0</v>
      </c>
      <c r="CS349" s="561">
        <v>359.0</v>
      </c>
      <c r="CT349" s="561">
        <v>353.0</v>
      </c>
      <c r="CU349" s="561">
        <v>330.0</v>
      </c>
      <c r="CV349" s="591">
        <v>309.0</v>
      </c>
      <c r="CW349" s="591">
        <v>420.0</v>
      </c>
      <c r="CX349" s="591">
        <v>414.0</v>
      </c>
      <c r="CY349" s="591">
        <v>407.0</v>
      </c>
      <c r="CZ349" s="591">
        <v>463.0</v>
      </c>
      <c r="DA349" s="591">
        <v>381.0</v>
      </c>
      <c r="DB349" s="561">
        <v>371.0</v>
      </c>
      <c r="DC349" s="561">
        <v>432.0</v>
      </c>
      <c r="DD349" s="561">
        <v>389.0</v>
      </c>
      <c r="DE349" s="561">
        <v>477.0</v>
      </c>
      <c r="DF349" s="561">
        <v>329.0</v>
      </c>
      <c r="DG349" s="561">
        <v>324.0</v>
      </c>
      <c r="DH349" s="561">
        <v>426.0</v>
      </c>
      <c r="DI349" s="561">
        <v>412.0</v>
      </c>
      <c r="DJ349" s="561">
        <v>439.0</v>
      </c>
      <c r="DK349" s="513">
        <v>317.0</v>
      </c>
      <c r="DL349" s="561">
        <v>383.0</v>
      </c>
      <c r="DM349" s="512">
        <v>366.0</v>
      </c>
      <c r="DN349" s="561">
        <v>399.0</v>
      </c>
      <c r="DO349" s="561">
        <v>345.0</v>
      </c>
      <c r="DP349" s="561">
        <v>504.0</v>
      </c>
      <c r="DQ349" s="561">
        <v>445.0</v>
      </c>
      <c r="DR349" s="561">
        <v>341.0</v>
      </c>
      <c r="DS349" s="520" t="s">
        <v>338</v>
      </c>
      <c r="DT349" s="574">
        <f>CP351+CQ351+CR351+CU351+CV351+CW351+CZ351+DA351+DB351</f>
        <v>1273.26</v>
      </c>
      <c r="DU349" s="574">
        <f>100*28</f>
        <v>2800</v>
      </c>
      <c r="DW349" s="574">
        <f>DE351+DF351+DG351+DJ351+DK351+DL351+DN351+DO351+DP351+DR351</f>
        <v>1776.11</v>
      </c>
      <c r="DX349" s="530">
        <f>100*(3+3+5+3+3+3+4+3+3+4)</f>
        <v>3400</v>
      </c>
      <c r="DZ349" s="574">
        <f t="shared" si="19"/>
        <v>3906</v>
      </c>
      <c r="EA349" s="530">
        <f t="shared" si="20"/>
        <v>126</v>
      </c>
    </row>
    <row r="350" hidden="1">
      <c r="A350" s="521" t="s">
        <v>290</v>
      </c>
      <c r="B350" s="525"/>
      <c r="C350" s="525"/>
      <c r="D350" s="525"/>
      <c r="E350" s="525"/>
      <c r="F350" s="525"/>
      <c r="G350" s="525"/>
      <c r="H350" s="525"/>
      <c r="I350" s="525"/>
      <c r="J350" s="525"/>
      <c r="K350" s="525"/>
      <c r="L350" s="525"/>
      <c r="M350" s="525"/>
      <c r="N350" s="525"/>
      <c r="O350" s="525"/>
      <c r="P350" s="525"/>
      <c r="Q350" s="525"/>
      <c r="R350" s="525"/>
      <c r="S350" s="525"/>
      <c r="T350" s="525"/>
      <c r="U350" s="525"/>
      <c r="V350" s="525"/>
      <c r="W350" s="525"/>
      <c r="X350" s="525"/>
      <c r="Y350" s="525"/>
      <c r="Z350" s="525"/>
      <c r="AA350" s="525"/>
      <c r="AB350" s="525"/>
      <c r="AC350" s="525"/>
      <c r="AD350" s="525"/>
      <c r="AE350" s="525"/>
      <c r="AF350" s="525"/>
      <c r="AG350" s="525"/>
      <c r="AH350" s="525"/>
      <c r="AI350" s="525"/>
      <c r="AJ350" s="525"/>
      <c r="AK350" s="525"/>
      <c r="AL350" s="525"/>
      <c r="AM350" s="525"/>
      <c r="AN350" s="525"/>
      <c r="AO350" s="525"/>
      <c r="AP350" s="525"/>
      <c r="AQ350" s="525"/>
      <c r="AR350" s="525"/>
      <c r="AS350" s="525"/>
      <c r="AT350" s="525"/>
      <c r="AU350" s="525"/>
      <c r="AV350" s="525"/>
      <c r="AW350" s="525"/>
      <c r="AX350" s="525"/>
      <c r="AY350" s="525"/>
      <c r="AZ350" s="525"/>
      <c r="BA350" s="525"/>
      <c r="BB350" s="525"/>
      <c r="BC350" s="525"/>
      <c r="BD350" s="525"/>
      <c r="BE350" s="525"/>
      <c r="BF350" s="525"/>
      <c r="BG350" s="525"/>
      <c r="BH350" s="525"/>
      <c r="BI350" s="525"/>
      <c r="BJ350" s="525"/>
      <c r="BK350" s="525"/>
      <c r="BL350" s="518">
        <v>82.0</v>
      </c>
      <c r="BM350" s="518">
        <v>67.0</v>
      </c>
      <c r="BN350" s="525"/>
      <c r="BO350" s="525"/>
      <c r="BP350" s="512">
        <v>71.0</v>
      </c>
      <c r="BQ350" s="512">
        <v>80.0</v>
      </c>
      <c r="BR350" s="512">
        <v>95.0</v>
      </c>
      <c r="BS350" s="525"/>
      <c r="BT350" s="512">
        <v>73.0</v>
      </c>
      <c r="BU350" s="525"/>
      <c r="BV350" s="512">
        <v>96.0</v>
      </c>
      <c r="BW350" s="512">
        <v>98.0</v>
      </c>
      <c r="BX350" s="512">
        <v>104.0</v>
      </c>
      <c r="BY350" s="512">
        <v>88.0</v>
      </c>
      <c r="BZ350" s="512">
        <v>86.0</v>
      </c>
      <c r="CA350" s="512">
        <v>101.0</v>
      </c>
      <c r="CB350" s="512">
        <v>88.0</v>
      </c>
      <c r="CC350" s="512">
        <v>106.0</v>
      </c>
      <c r="CD350" s="512">
        <v>103.0</v>
      </c>
      <c r="CE350" s="512">
        <v>89.0</v>
      </c>
      <c r="CF350" s="512">
        <v>119.0</v>
      </c>
      <c r="CG350" s="512">
        <v>116.0</v>
      </c>
      <c r="CH350" s="512">
        <v>86.0</v>
      </c>
      <c r="CI350" s="512">
        <v>89.0</v>
      </c>
      <c r="CJ350" s="512">
        <v>103.0</v>
      </c>
      <c r="CK350" s="512">
        <v>82.0</v>
      </c>
      <c r="CL350" s="512">
        <v>92.0</v>
      </c>
      <c r="CM350" s="552">
        <f>SUM(BK350:CL350)/22</f>
        <v>96.09090909</v>
      </c>
      <c r="CN350" s="561">
        <v>119.0</v>
      </c>
      <c r="CO350" s="561">
        <v>107.0</v>
      </c>
      <c r="CP350" s="561">
        <v>118.0</v>
      </c>
      <c r="CQ350" s="561">
        <v>91.0</v>
      </c>
      <c r="CR350" s="561">
        <v>118.0</v>
      </c>
      <c r="CS350" s="561">
        <v>132.0</v>
      </c>
      <c r="CT350" s="561">
        <v>110.0</v>
      </c>
      <c r="CU350" s="561">
        <v>125.0</v>
      </c>
      <c r="CV350" s="591">
        <v>103.0</v>
      </c>
      <c r="CW350" s="591">
        <v>150.0</v>
      </c>
      <c r="CX350" s="591">
        <v>131.0</v>
      </c>
      <c r="CY350" s="591">
        <v>128.0</v>
      </c>
      <c r="CZ350" s="591">
        <v>129.0</v>
      </c>
      <c r="DA350" s="591">
        <v>137.0</v>
      </c>
      <c r="DB350" s="561">
        <v>123.0</v>
      </c>
      <c r="DC350" s="561">
        <v>122.0</v>
      </c>
      <c r="DD350" s="561">
        <v>144.0</v>
      </c>
      <c r="DE350" s="561">
        <v>153.0</v>
      </c>
      <c r="DF350" s="561">
        <v>119.0</v>
      </c>
      <c r="DG350" s="561">
        <v>118.0</v>
      </c>
      <c r="DH350" s="561">
        <v>120.0</v>
      </c>
      <c r="DI350" s="561">
        <v>147.0</v>
      </c>
      <c r="DJ350" s="561">
        <v>141.0</v>
      </c>
      <c r="DK350" s="513">
        <v>124.0</v>
      </c>
      <c r="DL350" s="561"/>
      <c r="DM350" s="561">
        <v>142.0</v>
      </c>
      <c r="DN350" s="561">
        <v>144.0</v>
      </c>
      <c r="DO350" s="561">
        <v>124.0</v>
      </c>
      <c r="DP350" s="561">
        <v>169.0</v>
      </c>
      <c r="DQ350" s="561">
        <v>173.0</v>
      </c>
      <c r="DR350" s="561">
        <v>145.0</v>
      </c>
      <c r="DS350" s="520" t="s">
        <v>314</v>
      </c>
      <c r="DW350" s="574">
        <f>DC351</f>
        <v>117.91</v>
      </c>
      <c r="DX350" s="530">
        <f>400</f>
        <v>400</v>
      </c>
    </row>
    <row r="351" hidden="1">
      <c r="A351" s="502" t="s">
        <v>291</v>
      </c>
      <c r="B351" s="525"/>
      <c r="C351" s="525"/>
      <c r="D351" s="525"/>
      <c r="E351" s="525"/>
      <c r="F351" s="525"/>
      <c r="G351" s="525"/>
      <c r="H351" s="525"/>
      <c r="I351" s="525"/>
      <c r="J351" s="525"/>
      <c r="K351" s="525"/>
      <c r="L351" s="525"/>
      <c r="M351" s="525"/>
      <c r="N351" s="525"/>
      <c r="O351" s="525"/>
      <c r="P351" s="525"/>
      <c r="Q351" s="525"/>
      <c r="R351" s="525"/>
      <c r="S351" s="525"/>
      <c r="T351" s="525"/>
      <c r="U351" s="525"/>
      <c r="V351" s="525"/>
      <c r="W351" s="525"/>
      <c r="X351" s="525"/>
      <c r="Y351" s="525"/>
      <c r="Z351" s="525"/>
      <c r="AA351" s="525"/>
      <c r="AB351" s="525"/>
      <c r="AC351" s="525"/>
      <c r="AD351" s="525"/>
      <c r="AE351" s="525"/>
      <c r="AF351" s="525"/>
      <c r="AG351" s="525"/>
      <c r="AH351" s="525"/>
      <c r="AI351" s="525"/>
      <c r="AJ351" s="525"/>
      <c r="AK351" s="525"/>
      <c r="AL351" s="525"/>
      <c r="AM351" s="525"/>
      <c r="AN351" s="525"/>
      <c r="AO351" s="525"/>
      <c r="AP351" s="525"/>
      <c r="AQ351" s="525"/>
      <c r="AR351" s="525"/>
      <c r="AS351" s="525"/>
      <c r="AT351" s="525"/>
      <c r="AU351" s="525"/>
      <c r="AV351" s="525"/>
      <c r="AW351" s="525"/>
      <c r="AX351" s="525"/>
      <c r="AY351" s="525"/>
      <c r="AZ351" s="525"/>
      <c r="BA351" s="525"/>
      <c r="BB351" s="525"/>
      <c r="BC351" s="525"/>
      <c r="BD351" s="525"/>
      <c r="BE351" s="525"/>
      <c r="BF351" s="525"/>
      <c r="BG351" s="525"/>
      <c r="BH351" s="525"/>
      <c r="BI351" s="525"/>
      <c r="BJ351" s="525"/>
      <c r="BK351" s="529">
        <v>-167.68</v>
      </c>
      <c r="BL351" s="529">
        <v>-89.36</v>
      </c>
      <c r="BM351" s="529">
        <v>-26.1</v>
      </c>
      <c r="BN351" s="529">
        <v>-389.28</v>
      </c>
      <c r="BO351" s="529">
        <v>54.9</v>
      </c>
      <c r="BP351" s="529">
        <v>22.93</v>
      </c>
      <c r="BQ351" s="529">
        <v>-66.7</v>
      </c>
      <c r="BR351" s="529">
        <v>-203.56</v>
      </c>
      <c r="BS351" s="529">
        <v>-359.15</v>
      </c>
      <c r="BT351" s="529">
        <v>-10.32</v>
      </c>
      <c r="BU351" s="529">
        <v>-130.74</v>
      </c>
      <c r="BV351" s="529">
        <v>82.49</v>
      </c>
      <c r="BW351" s="529">
        <v>14.18</v>
      </c>
      <c r="BX351" s="529">
        <v>93.65</v>
      </c>
      <c r="BY351" s="529">
        <v>96.27</v>
      </c>
      <c r="BZ351" s="529">
        <v>-478.47</v>
      </c>
      <c r="CA351" s="529">
        <v>-2.11</v>
      </c>
      <c r="CB351" s="529">
        <v>81.53</v>
      </c>
      <c r="CC351" s="529">
        <v>-45.15</v>
      </c>
      <c r="CD351" s="529">
        <v>92.28</v>
      </c>
      <c r="CE351" s="529">
        <v>-294.99</v>
      </c>
      <c r="CF351" s="529">
        <v>121.62</v>
      </c>
      <c r="CG351" s="529">
        <v>109.56</v>
      </c>
      <c r="CH351" s="529">
        <v>-81.66</v>
      </c>
      <c r="CI351" s="529">
        <v>-103.42</v>
      </c>
      <c r="CJ351" s="529">
        <v>72.17</v>
      </c>
      <c r="CK351" s="529">
        <v>106.47</v>
      </c>
      <c r="CL351" s="512">
        <v>7.22</v>
      </c>
      <c r="CM351" s="525"/>
      <c r="CN351" s="537">
        <v>73.0</v>
      </c>
      <c r="CO351" s="537">
        <v>11.5</v>
      </c>
      <c r="CP351" s="537">
        <v>96.8</v>
      </c>
      <c r="CQ351" s="537">
        <v>152.2</v>
      </c>
      <c r="CR351" s="537">
        <v>79.54</v>
      </c>
      <c r="CS351" s="537">
        <v>140.14</v>
      </c>
      <c r="CT351" s="537">
        <v>197.1</v>
      </c>
      <c r="CU351" s="537">
        <v>128.59</v>
      </c>
      <c r="CV351" s="536">
        <v>137.92</v>
      </c>
      <c r="CW351" s="593">
        <v>171.88</v>
      </c>
      <c r="CX351" s="593">
        <v>136.71</v>
      </c>
      <c r="CY351" s="593">
        <v>185.6</v>
      </c>
      <c r="CZ351" s="593">
        <v>140.32</v>
      </c>
      <c r="DA351" s="593">
        <v>182.76</v>
      </c>
      <c r="DB351" s="537">
        <v>183.25</v>
      </c>
      <c r="DC351" s="537">
        <v>117.91</v>
      </c>
      <c r="DD351" s="537">
        <v>173.4</v>
      </c>
      <c r="DE351" s="537">
        <v>197.54</v>
      </c>
      <c r="DF351" s="537">
        <v>163.83</v>
      </c>
      <c r="DG351" s="537">
        <v>159.89</v>
      </c>
      <c r="DH351" s="537">
        <v>158.71</v>
      </c>
      <c r="DI351" s="537">
        <v>192.39</v>
      </c>
      <c r="DJ351" s="537">
        <v>187.56</v>
      </c>
      <c r="DK351" s="537">
        <v>113.0</v>
      </c>
      <c r="DL351" s="537">
        <v>199.96</v>
      </c>
      <c r="DM351" s="537">
        <v>176.69</v>
      </c>
      <c r="DN351" s="561">
        <v>240.89</v>
      </c>
      <c r="DO351" s="537">
        <v>150.44</v>
      </c>
      <c r="DP351" s="537">
        <v>171.68</v>
      </c>
      <c r="DQ351" s="537">
        <v>147.17</v>
      </c>
      <c r="DR351" s="537">
        <v>191.32</v>
      </c>
      <c r="DS351" s="520" t="s">
        <v>397</v>
      </c>
      <c r="DW351" s="574">
        <f>DM351+DQ351</f>
        <v>323.86</v>
      </c>
      <c r="DX351" s="530">
        <f>700</f>
        <v>700</v>
      </c>
    </row>
    <row r="352" hidden="1">
      <c r="A352" s="531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  <c r="AT352" s="118"/>
      <c r="AU352" s="118"/>
      <c r="AV352" s="118"/>
      <c r="AW352" s="118"/>
      <c r="AX352" s="118"/>
      <c r="AY352" s="118"/>
      <c r="AZ352" s="118"/>
      <c r="BA352" s="118"/>
      <c r="BB352" s="118"/>
      <c r="BC352" s="118"/>
      <c r="BD352" s="118"/>
      <c r="BE352" s="118"/>
      <c r="BF352" s="118"/>
      <c r="BG352" s="118"/>
      <c r="BH352" s="118"/>
      <c r="BI352" s="118"/>
      <c r="BJ352" s="118"/>
      <c r="BK352" s="118"/>
      <c r="BL352" s="118"/>
      <c r="BM352" s="118"/>
      <c r="BN352" s="118"/>
      <c r="BO352" s="118"/>
      <c r="BP352" s="118"/>
      <c r="BQ352" s="118"/>
      <c r="BR352" s="118"/>
      <c r="BS352" s="118"/>
      <c r="BT352" s="118"/>
      <c r="BU352" s="118"/>
      <c r="BV352" s="118"/>
      <c r="BW352" s="118"/>
      <c r="BX352" s="118"/>
      <c r="BY352" s="118"/>
      <c r="BZ352" s="118"/>
      <c r="CA352" s="118"/>
      <c r="CB352" s="118"/>
      <c r="CC352" s="118"/>
      <c r="CD352" s="118"/>
      <c r="CE352" s="118"/>
      <c r="CF352" s="118"/>
      <c r="CG352" s="118"/>
      <c r="CH352" s="118"/>
      <c r="CI352" s="118"/>
      <c r="CJ352" s="118"/>
      <c r="CK352" s="118"/>
      <c r="CL352" s="118"/>
      <c r="CM352" s="118"/>
      <c r="CN352" s="118"/>
      <c r="CO352" s="118"/>
      <c r="CP352" s="118"/>
      <c r="CQ352" s="118"/>
      <c r="CR352" s="118"/>
      <c r="CS352" s="577"/>
      <c r="CT352" s="118"/>
      <c r="CU352" s="118"/>
      <c r="CV352" s="577"/>
      <c r="CW352" s="577"/>
      <c r="CX352" s="577"/>
      <c r="CY352" s="577"/>
      <c r="CZ352" s="577"/>
      <c r="DA352" s="577"/>
      <c r="DB352" s="118"/>
      <c r="DC352" s="118"/>
      <c r="DD352" s="118"/>
      <c r="DE352" s="118"/>
      <c r="DF352" s="118"/>
      <c r="DG352" s="118"/>
      <c r="DH352" s="118"/>
      <c r="DI352" s="10"/>
      <c r="DJ352" s="118"/>
      <c r="DK352" s="118"/>
      <c r="DL352" s="118"/>
      <c r="DM352" s="118"/>
      <c r="DN352" s="118"/>
      <c r="DO352" s="118"/>
      <c r="DP352" s="118"/>
      <c r="DQ352" s="118"/>
      <c r="DR352" s="118"/>
      <c r="DX352" s="530"/>
    </row>
    <row r="353" hidden="1">
      <c r="A353" s="531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  <c r="AT353" s="118"/>
      <c r="AU353" s="118"/>
      <c r="AV353" s="118"/>
      <c r="AW353" s="118"/>
      <c r="AX353" s="118"/>
      <c r="AY353" s="118"/>
      <c r="AZ353" s="118"/>
      <c r="BA353" s="118"/>
      <c r="BB353" s="118"/>
      <c r="BC353" s="118"/>
      <c r="BD353" s="118"/>
      <c r="BE353" s="118"/>
      <c r="BF353" s="118"/>
      <c r="BG353" s="118"/>
      <c r="BH353" s="118"/>
      <c r="BI353" s="118"/>
      <c r="BJ353" s="118"/>
      <c r="BK353" s="118"/>
      <c r="BL353" s="118"/>
      <c r="BM353" s="118"/>
      <c r="BN353" s="118"/>
      <c r="BO353" s="118"/>
      <c r="BP353" s="118"/>
      <c r="BQ353" s="118"/>
      <c r="BR353" s="118"/>
      <c r="BS353" s="118"/>
      <c r="BT353" s="118"/>
      <c r="BU353" s="118"/>
      <c r="BV353" s="118"/>
      <c r="BW353" s="118"/>
      <c r="BX353" s="118"/>
      <c r="BY353" s="118"/>
      <c r="BZ353" s="118"/>
      <c r="CA353" s="118"/>
      <c r="CB353" s="118"/>
      <c r="CC353" s="118"/>
      <c r="CD353" s="118"/>
      <c r="CE353" s="118"/>
      <c r="CF353" s="118"/>
      <c r="CG353" s="118"/>
      <c r="CH353" s="118"/>
      <c r="CI353" s="118"/>
      <c r="CJ353" s="118"/>
      <c r="CK353" s="118"/>
      <c r="CL353" s="118"/>
      <c r="CM353" s="118"/>
      <c r="CN353" s="118"/>
      <c r="CO353" s="118"/>
      <c r="CP353" s="118"/>
      <c r="CQ353" s="118"/>
      <c r="CR353" s="118"/>
      <c r="CS353" s="118"/>
      <c r="CT353" s="118"/>
      <c r="CU353" s="118"/>
      <c r="CV353" s="577"/>
      <c r="CW353" s="577"/>
      <c r="CX353" s="577"/>
      <c r="CY353" s="577"/>
      <c r="CZ353" s="577"/>
      <c r="DA353" s="577"/>
      <c r="DB353" s="118"/>
      <c r="DC353" s="118"/>
      <c r="DD353" s="118"/>
      <c r="DE353" s="118"/>
      <c r="DF353" s="118"/>
      <c r="DG353" s="118"/>
      <c r="DH353" s="118"/>
      <c r="DI353" s="118"/>
      <c r="DJ353" s="118"/>
      <c r="DK353" s="118"/>
      <c r="DL353" s="118"/>
      <c r="DM353" s="118"/>
      <c r="DN353" s="118"/>
      <c r="DO353" s="118"/>
      <c r="DP353" s="118"/>
      <c r="DQ353" s="118"/>
      <c r="DR353" s="118"/>
      <c r="DX353" s="530"/>
    </row>
    <row r="354" hidden="1">
      <c r="A354" s="500" t="s">
        <v>12</v>
      </c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  <c r="AT354" s="118"/>
      <c r="AU354" s="118"/>
      <c r="AV354" s="118"/>
      <c r="AW354" s="118"/>
      <c r="AX354" s="118"/>
      <c r="AY354" s="118"/>
      <c r="AZ354" s="118"/>
      <c r="BA354" s="118"/>
      <c r="BB354" s="118"/>
      <c r="BC354" s="118"/>
      <c r="BD354" s="118"/>
      <c r="BE354" s="118"/>
      <c r="BF354" s="118"/>
      <c r="BG354" s="118"/>
      <c r="BH354" s="118"/>
      <c r="BI354" s="118"/>
      <c r="BJ354" s="118"/>
      <c r="BK354" s="118"/>
      <c r="BL354" s="118"/>
      <c r="BM354" s="118"/>
      <c r="BN354" s="118"/>
      <c r="BO354" s="118"/>
      <c r="BP354" s="118"/>
      <c r="BQ354" s="118"/>
      <c r="BR354" s="118"/>
      <c r="BS354" s="118"/>
      <c r="BT354" s="118"/>
      <c r="BU354" s="118"/>
      <c r="BV354" s="118"/>
      <c r="BW354" s="118"/>
      <c r="BX354" s="118"/>
      <c r="BY354" s="118"/>
      <c r="BZ354" s="118"/>
      <c r="CA354" s="118"/>
      <c r="CB354" s="118"/>
      <c r="CC354" s="118"/>
      <c r="CD354" s="118"/>
      <c r="CE354" s="118"/>
      <c r="CF354" s="118"/>
      <c r="CG354" s="118"/>
      <c r="CH354" s="118"/>
      <c r="CI354" s="118"/>
      <c r="CJ354" s="118"/>
      <c r="CK354" s="118"/>
      <c r="CL354" s="118"/>
      <c r="CM354" s="118"/>
      <c r="CN354" s="546" t="s">
        <v>353</v>
      </c>
      <c r="CO354" s="546" t="s">
        <v>355</v>
      </c>
      <c r="CP354" s="546" t="s">
        <v>355</v>
      </c>
      <c r="CQ354" s="546" t="s">
        <v>355</v>
      </c>
      <c r="CR354" s="546" t="s">
        <v>353</v>
      </c>
      <c r="CS354" s="546" t="s">
        <v>354</v>
      </c>
      <c r="CT354" s="546" t="s">
        <v>355</v>
      </c>
      <c r="CU354" s="546" t="s">
        <v>355</v>
      </c>
      <c r="CV354" s="546" t="s">
        <v>353</v>
      </c>
      <c r="CW354" s="546" t="s">
        <v>355</v>
      </c>
      <c r="CX354" s="546" t="s">
        <v>398</v>
      </c>
      <c r="CY354" s="546" t="s">
        <v>355</v>
      </c>
      <c r="CZ354" s="546" t="s">
        <v>353</v>
      </c>
      <c r="DA354" s="546" t="s">
        <v>355</v>
      </c>
      <c r="DB354" s="546" t="s">
        <v>355</v>
      </c>
      <c r="DC354" s="546" t="s">
        <v>195</v>
      </c>
      <c r="DD354" s="546" t="s">
        <v>195</v>
      </c>
      <c r="DE354" s="546" t="s">
        <v>195</v>
      </c>
      <c r="DF354" s="546" t="s">
        <v>355</v>
      </c>
      <c r="DG354" s="546" t="s">
        <v>370</v>
      </c>
      <c r="DH354" s="546" t="s">
        <v>399</v>
      </c>
      <c r="DI354" s="546" t="s">
        <v>195</v>
      </c>
      <c r="DJ354" s="546" t="s">
        <v>355</v>
      </c>
      <c r="DK354" s="546" t="s">
        <v>355</v>
      </c>
      <c r="DL354" s="546" t="s">
        <v>396</v>
      </c>
      <c r="DM354" s="546" t="s">
        <v>318</v>
      </c>
      <c r="DN354" s="546" t="s">
        <v>355</v>
      </c>
      <c r="DO354" s="546" t="s">
        <v>355</v>
      </c>
      <c r="DP354" s="546" t="s">
        <v>318</v>
      </c>
      <c r="DQ354" s="546" t="s">
        <v>318</v>
      </c>
      <c r="DR354" s="546" t="s">
        <v>355</v>
      </c>
      <c r="DT354" s="520" t="s">
        <v>384</v>
      </c>
      <c r="DU354" s="520" t="s">
        <v>332</v>
      </c>
      <c r="DW354" s="520" t="s">
        <v>384</v>
      </c>
      <c r="DX354" s="520" t="s">
        <v>332</v>
      </c>
    </row>
    <row r="355" hidden="1">
      <c r="A355" s="502" t="s">
        <v>288</v>
      </c>
      <c r="B355" s="525"/>
      <c r="C355" s="525"/>
      <c r="D355" s="525"/>
      <c r="E355" s="525"/>
      <c r="F355" s="525"/>
      <c r="G355" s="525"/>
      <c r="H355" s="525"/>
      <c r="I355" s="525"/>
      <c r="J355" s="525"/>
      <c r="K355" s="525"/>
      <c r="L355" s="525"/>
      <c r="M355" s="525"/>
      <c r="N355" s="525"/>
      <c r="O355" s="525"/>
      <c r="P355" s="525"/>
      <c r="Q355" s="525"/>
      <c r="R355" s="525"/>
      <c r="S355" s="525"/>
      <c r="T355" s="525"/>
      <c r="U355" s="525"/>
      <c r="V355" s="525"/>
      <c r="W355" s="525"/>
      <c r="X355" s="525"/>
      <c r="Y355" s="525"/>
      <c r="Z355" s="525"/>
      <c r="AA355" s="525"/>
      <c r="AB355" s="525"/>
      <c r="AC355" s="525"/>
      <c r="AD355" s="525"/>
      <c r="AE355" s="525"/>
      <c r="AF355" s="525"/>
      <c r="AG355" s="525"/>
      <c r="AH355" s="525"/>
      <c r="AI355" s="525"/>
      <c r="AJ355" s="525"/>
      <c r="AK355" s="525"/>
      <c r="AL355" s="525"/>
      <c r="AM355" s="525"/>
      <c r="AN355" s="525"/>
      <c r="AO355" s="525"/>
      <c r="AP355" s="525"/>
      <c r="AQ355" s="525"/>
      <c r="AR355" s="525"/>
      <c r="AS355" s="525"/>
      <c r="AT355" s="525"/>
      <c r="AU355" s="525"/>
      <c r="AV355" s="525"/>
      <c r="AW355" s="525"/>
      <c r="AX355" s="525"/>
      <c r="AY355" s="525"/>
      <c r="AZ355" s="525"/>
      <c r="BA355" s="525"/>
      <c r="BB355" s="525"/>
      <c r="BC355" s="525"/>
      <c r="BD355" s="525"/>
      <c r="BE355" s="525"/>
      <c r="BF355" s="525"/>
      <c r="BG355" s="525"/>
      <c r="BH355" s="525"/>
      <c r="BI355" s="525"/>
      <c r="BJ355" s="525"/>
      <c r="BK355" s="541">
        <v>45689.0</v>
      </c>
      <c r="BL355" s="541">
        <v>45690.0</v>
      </c>
      <c r="BM355" s="541">
        <v>45691.0</v>
      </c>
      <c r="BN355" s="541">
        <v>45692.0</v>
      </c>
      <c r="BO355" s="541">
        <v>45693.0</v>
      </c>
      <c r="BP355" s="541">
        <v>45694.0</v>
      </c>
      <c r="BQ355" s="541">
        <v>45695.0</v>
      </c>
      <c r="BR355" s="541">
        <v>45696.0</v>
      </c>
      <c r="BS355" s="541">
        <v>45697.0</v>
      </c>
      <c r="BT355" s="541">
        <v>45698.0</v>
      </c>
      <c r="BU355" s="541">
        <v>45699.0</v>
      </c>
      <c r="BV355" s="541">
        <v>45700.0</v>
      </c>
      <c r="BW355" s="541">
        <v>45701.0</v>
      </c>
      <c r="BX355" s="541">
        <v>45702.0</v>
      </c>
      <c r="BY355" s="541">
        <v>45703.0</v>
      </c>
      <c r="BZ355" s="541">
        <v>45704.0</v>
      </c>
      <c r="CA355" s="541">
        <v>45705.0</v>
      </c>
      <c r="CB355" s="541">
        <v>45706.0</v>
      </c>
      <c r="CC355" s="541">
        <v>45707.0</v>
      </c>
      <c r="CD355" s="541">
        <v>45708.0</v>
      </c>
      <c r="CE355" s="541">
        <v>45709.0</v>
      </c>
      <c r="CF355" s="541">
        <v>45710.0</v>
      </c>
      <c r="CG355" s="541">
        <v>45711.0</v>
      </c>
      <c r="CH355" s="541">
        <v>45712.0</v>
      </c>
      <c r="CI355" s="541">
        <v>45713.0</v>
      </c>
      <c r="CJ355" s="541">
        <v>45714.0</v>
      </c>
      <c r="CK355" s="541">
        <v>45715.0</v>
      </c>
      <c r="CL355" s="541">
        <v>45716.0</v>
      </c>
      <c r="CM355" s="563"/>
      <c r="CN355" s="541">
        <v>45992.0</v>
      </c>
      <c r="CO355" s="541">
        <v>45993.0</v>
      </c>
      <c r="CP355" s="541">
        <v>45994.0</v>
      </c>
      <c r="CQ355" s="541">
        <v>45995.0</v>
      </c>
      <c r="CR355" s="541">
        <v>45996.0</v>
      </c>
      <c r="CS355" s="541">
        <v>45997.0</v>
      </c>
      <c r="CT355" s="541">
        <v>45998.0</v>
      </c>
      <c r="CU355" s="541">
        <v>45999.0</v>
      </c>
      <c r="CV355" s="541">
        <v>46000.0</v>
      </c>
      <c r="CW355" s="541">
        <v>46001.0</v>
      </c>
      <c r="CX355" s="541">
        <v>46002.0</v>
      </c>
      <c r="CY355" s="541">
        <v>46003.0</v>
      </c>
      <c r="CZ355" s="541">
        <v>46004.0</v>
      </c>
      <c r="DA355" s="541">
        <v>46005.0</v>
      </c>
      <c r="DB355" s="541">
        <v>46006.0</v>
      </c>
      <c r="DC355" s="541">
        <v>46007.0</v>
      </c>
      <c r="DD355" s="541">
        <v>46008.0</v>
      </c>
      <c r="DE355" s="541">
        <v>46009.0</v>
      </c>
      <c r="DF355" s="541">
        <v>46010.0</v>
      </c>
      <c r="DG355" s="541">
        <v>46011.0</v>
      </c>
      <c r="DH355" s="541">
        <v>46012.0</v>
      </c>
      <c r="DI355" s="541">
        <v>46013.0</v>
      </c>
      <c r="DJ355" s="541">
        <v>46014.0</v>
      </c>
      <c r="DK355" s="541">
        <v>46015.0</v>
      </c>
      <c r="DL355" s="541">
        <v>46016.0</v>
      </c>
      <c r="DM355" s="541">
        <v>46017.0</v>
      </c>
      <c r="DN355" s="541">
        <v>46018.0</v>
      </c>
      <c r="DO355" s="541">
        <v>46019.0</v>
      </c>
      <c r="DP355" s="541">
        <v>46020.0</v>
      </c>
      <c r="DQ355" s="541">
        <v>46021.0</v>
      </c>
      <c r="DR355" s="541">
        <v>46022.0</v>
      </c>
      <c r="DS355" s="520" t="s">
        <v>320</v>
      </c>
      <c r="DT355" s="574">
        <f>CO358+CP358+CQ358+CT358+CU358+CW358+CY358+DA358+DB358</f>
        <v>1076.62</v>
      </c>
      <c r="DU355" s="574">
        <f>19*100</f>
        <v>1900</v>
      </c>
      <c r="DW355" s="574">
        <f>DF358+DJ358+DK358+DN358+DO358+DR358</f>
        <v>839.3</v>
      </c>
      <c r="DX355" s="530">
        <f>100*(2+3+3+2+3+2)</f>
        <v>1500</v>
      </c>
    </row>
    <row r="356" hidden="1">
      <c r="A356" s="502" t="s">
        <v>289</v>
      </c>
      <c r="B356" s="525"/>
      <c r="C356" s="525"/>
      <c r="D356" s="525"/>
      <c r="E356" s="525"/>
      <c r="F356" s="525"/>
      <c r="G356" s="525"/>
      <c r="H356" s="525"/>
      <c r="I356" s="525"/>
      <c r="J356" s="525"/>
      <c r="K356" s="525"/>
      <c r="L356" s="525"/>
      <c r="M356" s="525"/>
      <c r="N356" s="525"/>
      <c r="O356" s="525"/>
      <c r="P356" s="525"/>
      <c r="Q356" s="525"/>
      <c r="R356" s="525"/>
      <c r="S356" s="525"/>
      <c r="T356" s="525"/>
      <c r="U356" s="525"/>
      <c r="V356" s="525"/>
      <c r="W356" s="525"/>
      <c r="X356" s="525"/>
      <c r="Y356" s="525"/>
      <c r="Z356" s="525"/>
      <c r="AA356" s="525"/>
      <c r="AB356" s="525"/>
      <c r="AC356" s="525"/>
      <c r="AD356" s="525"/>
      <c r="AE356" s="525"/>
      <c r="AF356" s="525"/>
      <c r="AG356" s="525"/>
      <c r="AH356" s="525"/>
      <c r="AI356" s="525"/>
      <c r="AJ356" s="525"/>
      <c r="AK356" s="525"/>
      <c r="AL356" s="525"/>
      <c r="AM356" s="525"/>
      <c r="AN356" s="525"/>
      <c r="AO356" s="525"/>
      <c r="AP356" s="525"/>
      <c r="AQ356" s="525"/>
      <c r="AR356" s="525"/>
      <c r="AS356" s="525"/>
      <c r="AT356" s="525"/>
      <c r="AU356" s="525"/>
      <c r="AV356" s="525"/>
      <c r="AW356" s="525"/>
      <c r="AX356" s="525"/>
      <c r="AY356" s="525"/>
      <c r="AZ356" s="525"/>
      <c r="BA356" s="525"/>
      <c r="BB356" s="525"/>
      <c r="BC356" s="525"/>
      <c r="BD356" s="525"/>
      <c r="BE356" s="525"/>
      <c r="BF356" s="525"/>
      <c r="BG356" s="525"/>
      <c r="BH356" s="525"/>
      <c r="BI356" s="525"/>
      <c r="BJ356" s="525"/>
      <c r="BK356" s="512">
        <v>99.0</v>
      </c>
      <c r="BL356" s="512">
        <v>117.0</v>
      </c>
      <c r="BM356" s="512">
        <v>121.0</v>
      </c>
      <c r="BN356" s="512">
        <v>105.0</v>
      </c>
      <c r="BO356" s="512">
        <v>97.0</v>
      </c>
      <c r="BP356" s="512">
        <v>98.0</v>
      </c>
      <c r="BQ356" s="512">
        <v>110.0</v>
      </c>
      <c r="BR356" s="512">
        <v>141.0</v>
      </c>
      <c r="BS356" s="512">
        <v>157.0</v>
      </c>
      <c r="BT356" s="512">
        <v>98.0</v>
      </c>
      <c r="BU356" s="512">
        <v>130.0</v>
      </c>
      <c r="BV356" s="512">
        <v>130.0</v>
      </c>
      <c r="BW356" s="512">
        <v>153.0</v>
      </c>
      <c r="BX356" s="512">
        <v>131.0</v>
      </c>
      <c r="BY356" s="512">
        <v>126.0</v>
      </c>
      <c r="BZ356" s="512">
        <v>160.0</v>
      </c>
      <c r="CA356" s="512">
        <v>151.0</v>
      </c>
      <c r="CB356" s="512">
        <v>99.0</v>
      </c>
      <c r="CC356" s="512">
        <v>125.0</v>
      </c>
      <c r="CD356" s="512">
        <v>168.0</v>
      </c>
      <c r="CE356" s="512">
        <v>164.0</v>
      </c>
      <c r="CF356" s="512">
        <v>174.0</v>
      </c>
      <c r="CG356" s="512">
        <v>161.0</v>
      </c>
      <c r="CH356" s="512">
        <v>117.0</v>
      </c>
      <c r="CI356" s="512">
        <v>139.0</v>
      </c>
      <c r="CJ356" s="512">
        <v>131.0</v>
      </c>
      <c r="CK356" s="512">
        <v>98.0</v>
      </c>
      <c r="CL356" s="512">
        <v>196.0</v>
      </c>
      <c r="CM356" s="514"/>
      <c r="CN356" s="561">
        <v>185.0</v>
      </c>
      <c r="CO356" s="561">
        <v>143.0</v>
      </c>
      <c r="CP356" s="561">
        <v>261.0</v>
      </c>
      <c r="CQ356" s="561">
        <v>192.0</v>
      </c>
      <c r="CR356" s="561">
        <v>241.0</v>
      </c>
      <c r="CS356" s="561">
        <v>280.0</v>
      </c>
      <c r="CT356" s="561">
        <v>251.0</v>
      </c>
      <c r="CU356" s="561">
        <v>175.0</v>
      </c>
      <c r="CV356" s="591">
        <v>255.0</v>
      </c>
      <c r="CW356" s="591">
        <v>346.0</v>
      </c>
      <c r="CX356" s="591">
        <v>324.0</v>
      </c>
      <c r="CY356" s="591">
        <v>304.0</v>
      </c>
      <c r="CZ356" s="591">
        <v>301.0</v>
      </c>
      <c r="DA356" s="591">
        <v>373.0</v>
      </c>
      <c r="DB356" s="561">
        <v>287.0</v>
      </c>
      <c r="DC356" s="561">
        <v>204.0</v>
      </c>
      <c r="DD356" s="561"/>
      <c r="DE356" s="561">
        <v>309.0</v>
      </c>
      <c r="DF356" s="561">
        <v>295.0</v>
      </c>
      <c r="DG356" s="561">
        <v>257.0</v>
      </c>
      <c r="DH356" s="561">
        <v>188.0</v>
      </c>
      <c r="DI356" s="561">
        <v>368.0</v>
      </c>
      <c r="DJ356" s="561">
        <v>320.0</v>
      </c>
      <c r="DK356" s="561">
        <v>296.0</v>
      </c>
      <c r="DL356" s="561">
        <v>300.0</v>
      </c>
      <c r="DM356" s="561">
        <v>360.0</v>
      </c>
      <c r="DN356" s="561">
        <v>323.0</v>
      </c>
      <c r="DO356" s="561">
        <v>387.0</v>
      </c>
      <c r="DP356" s="561">
        <v>312.0</v>
      </c>
      <c r="DQ356" s="561">
        <v>282.0</v>
      </c>
      <c r="DR356" s="561">
        <v>270.0</v>
      </c>
      <c r="DS356" s="520" t="s">
        <v>314</v>
      </c>
      <c r="DT356" s="574">
        <f>CZ358+CV358+CR358+CN358</f>
        <v>329.98</v>
      </c>
      <c r="DU356" s="574">
        <f>100*9</f>
        <v>900</v>
      </c>
      <c r="DX356" s="530"/>
      <c r="DZ356" s="574">
        <f t="shared" ref="DZ356:DZ357" si="21">SUM(CN356:DR356)</f>
        <v>8389</v>
      </c>
      <c r="EA356" s="530">
        <f t="shared" ref="EA356:EA357" si="22">DZ356/31</f>
        <v>270.6129032</v>
      </c>
    </row>
    <row r="357" hidden="1">
      <c r="A357" s="521" t="s">
        <v>290</v>
      </c>
      <c r="B357" s="525"/>
      <c r="C357" s="525"/>
      <c r="D357" s="525"/>
      <c r="E357" s="525"/>
      <c r="F357" s="525"/>
      <c r="G357" s="525"/>
      <c r="H357" s="525"/>
      <c r="I357" s="525"/>
      <c r="J357" s="525"/>
      <c r="K357" s="525"/>
      <c r="L357" s="525"/>
      <c r="M357" s="525"/>
      <c r="N357" s="525"/>
      <c r="O357" s="525"/>
      <c r="P357" s="525"/>
      <c r="Q357" s="525"/>
      <c r="R357" s="525"/>
      <c r="S357" s="525"/>
      <c r="T357" s="525"/>
      <c r="U357" s="525"/>
      <c r="V357" s="525"/>
      <c r="W357" s="525"/>
      <c r="X357" s="525"/>
      <c r="Y357" s="525"/>
      <c r="Z357" s="525"/>
      <c r="AA357" s="525"/>
      <c r="AB357" s="525"/>
      <c r="AC357" s="525"/>
      <c r="AD357" s="525"/>
      <c r="AE357" s="525"/>
      <c r="AF357" s="525"/>
      <c r="AG357" s="525"/>
      <c r="AH357" s="525"/>
      <c r="AI357" s="525"/>
      <c r="AJ357" s="525"/>
      <c r="AK357" s="525"/>
      <c r="AL357" s="525"/>
      <c r="AM357" s="525"/>
      <c r="AN357" s="525"/>
      <c r="AO357" s="525"/>
      <c r="AP357" s="525"/>
      <c r="AQ357" s="525"/>
      <c r="AR357" s="525"/>
      <c r="AS357" s="525"/>
      <c r="AT357" s="525"/>
      <c r="AU357" s="525"/>
      <c r="AV357" s="525"/>
      <c r="AW357" s="525"/>
      <c r="AX357" s="525"/>
      <c r="AY357" s="525"/>
      <c r="AZ357" s="525"/>
      <c r="BA357" s="525"/>
      <c r="BB357" s="525"/>
      <c r="BC357" s="525"/>
      <c r="BD357" s="525"/>
      <c r="BE357" s="525"/>
      <c r="BF357" s="525"/>
      <c r="BG357" s="525"/>
      <c r="BH357" s="525"/>
      <c r="BI357" s="525"/>
      <c r="BJ357" s="525"/>
      <c r="BK357" s="512">
        <v>44.0</v>
      </c>
      <c r="BL357" s="512">
        <v>55.0</v>
      </c>
      <c r="BM357" s="512">
        <v>47.0</v>
      </c>
      <c r="BN357" s="512">
        <v>39.0</v>
      </c>
      <c r="BO357" s="512">
        <v>54.0</v>
      </c>
      <c r="BP357" s="512">
        <v>46.0</v>
      </c>
      <c r="BQ357" s="512">
        <v>51.0</v>
      </c>
      <c r="BR357" s="512">
        <v>48.0</v>
      </c>
      <c r="BS357" s="512">
        <v>55.0</v>
      </c>
      <c r="BT357" s="512">
        <v>41.0</v>
      </c>
      <c r="BU357" s="512">
        <v>57.0</v>
      </c>
      <c r="BV357" s="512">
        <v>57.0</v>
      </c>
      <c r="BW357" s="512">
        <v>59.0</v>
      </c>
      <c r="BX357" s="512">
        <v>41.0</v>
      </c>
      <c r="BY357" s="512">
        <v>52.0</v>
      </c>
      <c r="BZ357" s="512">
        <v>61.0</v>
      </c>
      <c r="CA357" s="512">
        <v>52.0</v>
      </c>
      <c r="CB357" s="512">
        <v>38.0</v>
      </c>
      <c r="CC357" s="512">
        <v>53.0</v>
      </c>
      <c r="CD357" s="512">
        <v>77.0</v>
      </c>
      <c r="CE357" s="512">
        <v>59.0</v>
      </c>
      <c r="CF357" s="512">
        <v>70.0</v>
      </c>
      <c r="CG357" s="512">
        <v>77.0</v>
      </c>
      <c r="CH357" s="512">
        <v>47.0</v>
      </c>
      <c r="CI357" s="512">
        <v>51.0</v>
      </c>
      <c r="CJ357" s="512">
        <v>54.0</v>
      </c>
      <c r="CK357" s="512">
        <v>43.0</v>
      </c>
      <c r="CL357" s="512">
        <v>75.0</v>
      </c>
      <c r="CM357" s="566">
        <f>SUM(BK357:CL357)/28</f>
        <v>53.67857143</v>
      </c>
      <c r="CN357" s="561">
        <v>76.0</v>
      </c>
      <c r="CO357" s="561">
        <v>64.0</v>
      </c>
      <c r="CP357" s="561">
        <v>89.0</v>
      </c>
      <c r="CQ357" s="561">
        <v>72.0</v>
      </c>
      <c r="CR357" s="561">
        <v>87.0</v>
      </c>
      <c r="CS357" s="561">
        <v>92.0</v>
      </c>
      <c r="CT357" s="561">
        <v>96.0</v>
      </c>
      <c r="CU357" s="561">
        <v>69.0</v>
      </c>
      <c r="CV357" s="591">
        <v>89.0</v>
      </c>
      <c r="CW357" s="591">
        <v>102.0</v>
      </c>
      <c r="CX357" s="591">
        <v>108.0</v>
      </c>
      <c r="CY357" s="591">
        <v>96.0</v>
      </c>
      <c r="CZ357" s="591">
        <v>104.0</v>
      </c>
      <c r="DA357" s="591">
        <v>111.0</v>
      </c>
      <c r="DB357" s="561">
        <v>101.0</v>
      </c>
      <c r="DC357" s="561">
        <v>74.0</v>
      </c>
      <c r="DD357" s="561"/>
      <c r="DE357" s="561">
        <v>93.0</v>
      </c>
      <c r="DF357" s="561">
        <v>99.0</v>
      </c>
      <c r="DG357" s="561">
        <v>79.0</v>
      </c>
      <c r="DH357" s="561">
        <v>63.0</v>
      </c>
      <c r="DI357" s="561">
        <v>99.0</v>
      </c>
      <c r="DJ357" s="561">
        <v>98.0</v>
      </c>
      <c r="DK357" s="561">
        <v>101.0</v>
      </c>
      <c r="DL357" s="561">
        <v>92.0</v>
      </c>
      <c r="DM357" s="561">
        <v>112.0</v>
      </c>
      <c r="DN357" s="561">
        <v>116.0</v>
      </c>
      <c r="DO357" s="561">
        <v>126.0</v>
      </c>
      <c r="DP357" s="561">
        <v>113.0</v>
      </c>
      <c r="DQ357" s="561">
        <v>115.0</v>
      </c>
      <c r="DR357" s="561">
        <v>114.0</v>
      </c>
      <c r="DS357" s="520" t="s">
        <v>337</v>
      </c>
      <c r="DT357" s="574">
        <f>CS358</f>
        <v>80.85</v>
      </c>
      <c r="DU357" s="520">
        <v>200.0</v>
      </c>
      <c r="DX357" s="530"/>
      <c r="DZ357" s="574">
        <f t="shared" si="21"/>
        <v>2850</v>
      </c>
      <c r="EA357" s="530">
        <f t="shared" si="22"/>
        <v>91.93548387</v>
      </c>
    </row>
    <row r="358" hidden="1">
      <c r="A358" s="502" t="s">
        <v>291</v>
      </c>
      <c r="B358" s="537"/>
      <c r="C358" s="537"/>
      <c r="D358" s="537"/>
      <c r="E358" s="537"/>
      <c r="F358" s="537"/>
      <c r="G358" s="537"/>
      <c r="H358" s="537"/>
      <c r="I358" s="537"/>
      <c r="J358" s="537"/>
      <c r="K358" s="537"/>
      <c r="L358" s="537"/>
      <c r="M358" s="537"/>
      <c r="N358" s="537"/>
      <c r="O358" s="537"/>
      <c r="P358" s="537"/>
      <c r="Q358" s="537"/>
      <c r="R358" s="537"/>
      <c r="S358" s="537"/>
      <c r="T358" s="537"/>
      <c r="U358" s="537"/>
      <c r="V358" s="537"/>
      <c r="W358" s="537"/>
      <c r="X358" s="537"/>
      <c r="Y358" s="537"/>
      <c r="Z358" s="537"/>
      <c r="AA358" s="537"/>
      <c r="AB358" s="537"/>
      <c r="AC358" s="537"/>
      <c r="AD358" s="537"/>
      <c r="AE358" s="537"/>
      <c r="AF358" s="537"/>
      <c r="AG358" s="537"/>
      <c r="AH358" s="537"/>
      <c r="AI358" s="537"/>
      <c r="AJ358" s="537"/>
      <c r="AK358" s="537"/>
      <c r="AL358" s="537"/>
      <c r="AM358" s="537"/>
      <c r="AN358" s="537"/>
      <c r="AO358" s="537"/>
      <c r="AP358" s="537"/>
      <c r="AQ358" s="537"/>
      <c r="AR358" s="537"/>
      <c r="AS358" s="537"/>
      <c r="AT358" s="537"/>
      <c r="AU358" s="537"/>
      <c r="AV358" s="537"/>
      <c r="AW358" s="537"/>
      <c r="AX358" s="537"/>
      <c r="AY358" s="537"/>
      <c r="AZ358" s="537"/>
      <c r="BA358" s="537"/>
      <c r="BB358" s="537"/>
      <c r="BC358" s="537"/>
      <c r="BD358" s="537"/>
      <c r="BE358" s="537"/>
      <c r="BF358" s="537"/>
      <c r="BG358" s="537"/>
      <c r="BH358" s="537"/>
      <c r="BI358" s="537"/>
      <c r="BJ358" s="537"/>
      <c r="BK358" s="537">
        <v>-295.52</v>
      </c>
      <c r="BL358" s="537">
        <v>-42.77</v>
      </c>
      <c r="BM358" s="537">
        <v>24.22</v>
      </c>
      <c r="BN358" s="537">
        <v>-438.28</v>
      </c>
      <c r="BO358" s="537">
        <v>35.84</v>
      </c>
      <c r="BP358" s="537">
        <v>-15.94</v>
      </c>
      <c r="BQ358" s="537">
        <v>33.53</v>
      </c>
      <c r="BR358" s="537">
        <v>48.55</v>
      </c>
      <c r="BS358" s="537">
        <v>-179.22</v>
      </c>
      <c r="BT358" s="537">
        <v>-2.05</v>
      </c>
      <c r="BU358" s="537">
        <v>54.16</v>
      </c>
      <c r="BV358" s="537">
        <v>-203.07</v>
      </c>
      <c r="BW358" s="537">
        <v>53.0</v>
      </c>
      <c r="BX358" s="537">
        <v>35.32</v>
      </c>
      <c r="BY358" s="537">
        <v>52.07</v>
      </c>
      <c r="BZ358" s="537">
        <v>38.49</v>
      </c>
      <c r="CA358" s="537">
        <v>54.6</v>
      </c>
      <c r="CB358" s="537">
        <v>43.14</v>
      </c>
      <c r="CC358" s="537">
        <v>-87.46</v>
      </c>
      <c r="CD358" s="537">
        <v>47.24</v>
      </c>
      <c r="CE358" s="537">
        <v>-66.14</v>
      </c>
      <c r="CF358" s="537">
        <v>54.48</v>
      </c>
      <c r="CG358" s="537">
        <v>59.5</v>
      </c>
      <c r="CH358" s="537">
        <v>-90.39</v>
      </c>
      <c r="CI358" s="537">
        <v>50.36</v>
      </c>
      <c r="CJ358" s="537">
        <v>32.76</v>
      </c>
      <c r="CK358" s="537">
        <v>-310.39</v>
      </c>
      <c r="CL358" s="537">
        <v>-88.51</v>
      </c>
      <c r="CM358" s="537"/>
      <c r="CN358" s="537">
        <v>39.73</v>
      </c>
      <c r="CO358" s="537">
        <v>79.41</v>
      </c>
      <c r="CP358" s="537">
        <v>85.03</v>
      </c>
      <c r="CQ358" s="537">
        <v>113.76</v>
      </c>
      <c r="CR358" s="537">
        <v>75.05</v>
      </c>
      <c r="CS358" s="537">
        <v>80.85</v>
      </c>
      <c r="CT358" s="537">
        <v>103.81</v>
      </c>
      <c r="CU358" s="537">
        <v>97.67</v>
      </c>
      <c r="CV358" s="536">
        <v>139.06</v>
      </c>
      <c r="CW358" s="593">
        <v>150.96</v>
      </c>
      <c r="CX358" s="593">
        <v>72.44</v>
      </c>
      <c r="CY358" s="593">
        <v>148.97</v>
      </c>
      <c r="CZ358" s="595">
        <v>76.14</v>
      </c>
      <c r="DA358" s="593">
        <v>156.95</v>
      </c>
      <c r="DB358" s="537">
        <v>140.06</v>
      </c>
      <c r="DC358" s="537">
        <v>-116.9</v>
      </c>
      <c r="DD358" s="513">
        <v>-400.97</v>
      </c>
      <c r="DE358" s="537">
        <v>-424.69</v>
      </c>
      <c r="DF358" s="537">
        <v>148.16</v>
      </c>
      <c r="DG358" s="537">
        <v>106.86</v>
      </c>
      <c r="DH358" s="537">
        <v>154.44</v>
      </c>
      <c r="DI358" s="537">
        <v>-407.75</v>
      </c>
      <c r="DJ358" s="537">
        <v>155.31</v>
      </c>
      <c r="DK358" s="537">
        <v>106.93</v>
      </c>
      <c r="DL358" s="537">
        <v>118.98</v>
      </c>
      <c r="DM358" s="537">
        <v>206.77</v>
      </c>
      <c r="DN358" s="537">
        <v>180.99</v>
      </c>
      <c r="DO358" s="537">
        <v>106.73</v>
      </c>
      <c r="DP358" s="537">
        <v>133.42</v>
      </c>
      <c r="DQ358" s="537">
        <v>66.57</v>
      </c>
      <c r="DR358" s="537">
        <v>141.18</v>
      </c>
      <c r="DS358" s="520" t="s">
        <v>377</v>
      </c>
      <c r="DW358" s="574">
        <f>DQ358+DP358+DM358</f>
        <v>406.76</v>
      </c>
      <c r="DX358" s="530">
        <f>800</f>
        <v>800</v>
      </c>
    </row>
    <row r="359" hidden="1">
      <c r="A359" s="531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  <c r="AT359" s="118"/>
      <c r="AU359" s="118"/>
      <c r="AV359" s="118"/>
      <c r="AW359" s="118"/>
      <c r="AX359" s="118"/>
      <c r="AY359" s="118"/>
      <c r="AZ359" s="118"/>
      <c r="BA359" s="118"/>
      <c r="BB359" s="118"/>
      <c r="BC359" s="118"/>
      <c r="BD359" s="118"/>
      <c r="BE359" s="118"/>
      <c r="BF359" s="118"/>
      <c r="BG359" s="118"/>
      <c r="BH359" s="118"/>
      <c r="BI359" s="118"/>
      <c r="BJ359" s="118"/>
      <c r="BK359" s="118"/>
      <c r="BL359" s="118"/>
      <c r="BM359" s="118"/>
      <c r="BN359" s="118"/>
      <c r="BO359" s="118"/>
      <c r="BP359" s="118"/>
      <c r="BQ359" s="118"/>
      <c r="BR359" s="118"/>
      <c r="BS359" s="118"/>
      <c r="BT359" s="118"/>
      <c r="BU359" s="118"/>
      <c r="BV359" s="118"/>
      <c r="BW359" s="118"/>
      <c r="BX359" s="118"/>
      <c r="BY359" s="118"/>
      <c r="BZ359" s="118"/>
      <c r="CA359" s="118"/>
      <c r="CB359" s="118"/>
      <c r="CC359" s="118"/>
      <c r="CD359" s="118"/>
      <c r="CE359" s="118"/>
      <c r="CF359" s="118"/>
      <c r="CG359" s="118"/>
      <c r="CH359" s="118"/>
      <c r="CI359" s="118"/>
      <c r="CJ359" s="118"/>
      <c r="CK359" s="118"/>
      <c r="CL359" s="118"/>
      <c r="CM359" s="118"/>
      <c r="CN359" s="118"/>
      <c r="CO359" s="546"/>
      <c r="CP359" s="118"/>
      <c r="CQ359" s="118"/>
      <c r="CR359" s="118"/>
      <c r="CS359" s="546"/>
      <c r="CT359" s="118"/>
      <c r="CU359" s="118"/>
      <c r="CV359" s="577"/>
      <c r="CW359" s="577"/>
      <c r="CX359" s="577"/>
      <c r="CY359" s="577"/>
      <c r="CZ359" s="577"/>
      <c r="DA359" s="577"/>
      <c r="DB359" s="118"/>
      <c r="DC359" s="118"/>
      <c r="DD359" s="118"/>
      <c r="DE359" s="118"/>
      <c r="DF359" s="118"/>
      <c r="DG359" s="118"/>
      <c r="DH359" s="118"/>
      <c r="DI359" s="118"/>
      <c r="DJ359" s="118"/>
      <c r="DK359" s="118"/>
      <c r="DL359" s="118"/>
      <c r="DM359" s="118"/>
      <c r="DN359" s="118"/>
      <c r="DO359" s="118"/>
      <c r="DP359" s="118"/>
      <c r="DQ359" s="118"/>
      <c r="DR359" s="118"/>
      <c r="DS359" s="520" t="s">
        <v>374</v>
      </c>
      <c r="DW359" s="574">
        <f>DG358</f>
        <v>106.86</v>
      </c>
      <c r="DX359" s="510">
        <v>200.0</v>
      </c>
    </row>
    <row r="360" hidden="1">
      <c r="A360" s="531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  <c r="AT360" s="118"/>
      <c r="AU360" s="118"/>
      <c r="AV360" s="118"/>
      <c r="AW360" s="118"/>
      <c r="AX360" s="118"/>
      <c r="AY360" s="118"/>
      <c r="AZ360" s="118"/>
      <c r="BA360" s="118"/>
      <c r="BB360" s="118"/>
      <c r="BC360" s="118"/>
      <c r="BD360" s="118"/>
      <c r="BE360" s="118"/>
      <c r="BF360" s="118"/>
      <c r="BG360" s="118"/>
      <c r="BH360" s="118"/>
      <c r="BI360" s="118"/>
      <c r="BJ360" s="118"/>
      <c r="BK360" s="118"/>
      <c r="BL360" s="118"/>
      <c r="BM360" s="118"/>
      <c r="BN360" s="118"/>
      <c r="BO360" s="118"/>
      <c r="BP360" s="118"/>
      <c r="BQ360" s="118"/>
      <c r="BR360" s="118"/>
      <c r="BS360" s="118"/>
      <c r="BT360" s="118"/>
      <c r="BU360" s="118"/>
      <c r="BV360" s="118"/>
      <c r="BW360" s="118"/>
      <c r="BX360" s="118"/>
      <c r="BY360" s="118"/>
      <c r="BZ360" s="118"/>
      <c r="CA360" s="118"/>
      <c r="CB360" s="118"/>
      <c r="CC360" s="118"/>
      <c r="CD360" s="118"/>
      <c r="CE360" s="118"/>
      <c r="CF360" s="118"/>
      <c r="CG360" s="118"/>
      <c r="CH360" s="118"/>
      <c r="CI360" s="118"/>
      <c r="CJ360" s="118"/>
      <c r="CK360" s="118"/>
      <c r="CL360" s="118"/>
      <c r="CM360" s="118"/>
      <c r="CN360" s="118"/>
      <c r="CO360" s="118"/>
      <c r="CP360" s="118"/>
      <c r="CQ360" s="118"/>
      <c r="CR360" s="118"/>
      <c r="CS360" s="118"/>
      <c r="CT360" s="118"/>
      <c r="CU360" s="118"/>
      <c r="CV360" s="577"/>
      <c r="CW360" s="577"/>
      <c r="CX360" s="577"/>
      <c r="CY360" s="577"/>
      <c r="CZ360" s="577"/>
      <c r="DA360" s="577"/>
      <c r="DB360" s="118"/>
      <c r="DC360" s="118"/>
      <c r="DD360" s="118"/>
      <c r="DE360" s="118"/>
      <c r="DF360" s="118"/>
      <c r="DG360" s="118"/>
      <c r="DH360" s="118"/>
      <c r="DI360" s="118"/>
      <c r="DJ360" s="118"/>
      <c r="DK360" s="118"/>
      <c r="DL360" s="118"/>
      <c r="DM360" s="118"/>
      <c r="DN360" s="118"/>
      <c r="DO360" s="118"/>
      <c r="DP360" s="118"/>
      <c r="DQ360" s="118"/>
      <c r="DR360" s="118"/>
      <c r="DS360" s="520" t="s">
        <v>315</v>
      </c>
      <c r="DW360" s="574">
        <f>DC358+DD358+DE358+DI358</f>
        <v>-1350.31</v>
      </c>
      <c r="DX360" s="510">
        <v>800.0</v>
      </c>
    </row>
    <row r="361" hidden="1">
      <c r="A361" s="500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  <c r="AT361" s="118"/>
      <c r="AU361" s="118"/>
      <c r="AV361" s="118"/>
      <c r="AW361" s="118"/>
      <c r="AX361" s="118"/>
      <c r="AY361" s="118"/>
      <c r="AZ361" s="118"/>
      <c r="BA361" s="118"/>
      <c r="BB361" s="118"/>
      <c r="BC361" s="118"/>
      <c r="BD361" s="118"/>
      <c r="BE361" s="118"/>
      <c r="BF361" s="118"/>
      <c r="BG361" s="118"/>
      <c r="BH361" s="118"/>
      <c r="BI361" s="118"/>
      <c r="BJ361" s="118"/>
      <c r="BK361" s="118"/>
      <c r="BL361" s="118"/>
      <c r="BM361" s="118"/>
      <c r="BN361" s="118"/>
      <c r="BO361" s="118"/>
      <c r="BP361" s="118"/>
      <c r="BQ361" s="118"/>
      <c r="BR361" s="118"/>
      <c r="BS361" s="118"/>
      <c r="BT361" s="118"/>
      <c r="BU361" s="118"/>
      <c r="BV361" s="118"/>
      <c r="BW361" s="118"/>
      <c r="BX361" s="118"/>
      <c r="BY361" s="118"/>
      <c r="BZ361" s="118"/>
      <c r="CA361" s="118"/>
      <c r="CB361" s="118"/>
      <c r="CC361" s="118"/>
      <c r="CD361" s="118"/>
      <c r="CE361" s="118"/>
      <c r="CF361" s="118"/>
      <c r="CG361" s="118"/>
      <c r="CH361" s="118"/>
      <c r="CI361" s="118"/>
      <c r="CJ361" s="118"/>
      <c r="CK361" s="118"/>
      <c r="CL361" s="118"/>
      <c r="CM361" s="118"/>
      <c r="CN361" s="546"/>
      <c r="CO361" s="546"/>
      <c r="CP361" s="546"/>
      <c r="CQ361" s="546"/>
      <c r="CR361" s="546"/>
      <c r="CS361" s="546"/>
      <c r="CT361" s="546"/>
      <c r="CU361" s="546"/>
      <c r="CV361" s="546"/>
      <c r="CW361" s="546"/>
      <c r="CX361" s="546"/>
      <c r="CY361" s="546"/>
      <c r="CZ361" s="546"/>
      <c r="DA361" s="546"/>
      <c r="DB361" s="546"/>
      <c r="DC361" s="546"/>
      <c r="DD361" s="546"/>
      <c r="DE361" s="546"/>
      <c r="DF361" s="546"/>
      <c r="DG361" s="546"/>
      <c r="DH361" s="546"/>
      <c r="DI361" s="546"/>
      <c r="DJ361" s="546"/>
      <c r="DK361" s="544"/>
      <c r="DL361" s="544"/>
      <c r="DM361" s="546"/>
      <c r="DN361" s="544"/>
      <c r="DO361" s="544"/>
      <c r="DP361" s="546"/>
      <c r="DQ361" s="546"/>
      <c r="DR361" s="546"/>
      <c r="DS361" s="520" t="s">
        <v>397</v>
      </c>
      <c r="DT361" s="520"/>
      <c r="DU361" s="520"/>
      <c r="DW361" s="520">
        <f>DL358</f>
        <v>118.98</v>
      </c>
      <c r="DX361" s="520">
        <v>300.0</v>
      </c>
    </row>
    <row r="362" hidden="1">
      <c r="A362" s="500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  <c r="AT362" s="118"/>
      <c r="AU362" s="118"/>
      <c r="AV362" s="118"/>
      <c r="AW362" s="118"/>
      <c r="AX362" s="118"/>
      <c r="AY362" s="118"/>
      <c r="AZ362" s="118"/>
      <c r="BA362" s="118"/>
      <c r="BB362" s="118"/>
      <c r="BC362" s="118"/>
      <c r="BD362" s="118"/>
      <c r="BE362" s="118"/>
      <c r="BF362" s="118"/>
      <c r="BG362" s="118"/>
      <c r="BH362" s="118"/>
      <c r="BI362" s="118"/>
      <c r="BJ362" s="118"/>
      <c r="BK362" s="118"/>
      <c r="BL362" s="118"/>
      <c r="BM362" s="118"/>
      <c r="BN362" s="118"/>
      <c r="BO362" s="118"/>
      <c r="BP362" s="118"/>
      <c r="BQ362" s="118"/>
      <c r="BR362" s="118"/>
      <c r="BS362" s="118"/>
      <c r="BT362" s="118"/>
      <c r="BU362" s="118"/>
      <c r="BV362" s="118"/>
      <c r="BW362" s="118"/>
      <c r="BX362" s="118"/>
      <c r="BY362" s="118"/>
      <c r="BZ362" s="118"/>
      <c r="CA362" s="118"/>
      <c r="CB362" s="118"/>
      <c r="CC362" s="118"/>
      <c r="CD362" s="118"/>
      <c r="CE362" s="118"/>
      <c r="CF362" s="118"/>
      <c r="CG362" s="118"/>
      <c r="CH362" s="118"/>
      <c r="CI362" s="118"/>
      <c r="CJ362" s="118"/>
      <c r="CK362" s="118"/>
      <c r="CL362" s="118"/>
      <c r="CM362" s="118"/>
      <c r="CN362" s="546"/>
      <c r="CO362" s="546"/>
      <c r="CP362" s="546"/>
      <c r="CQ362" s="546"/>
      <c r="CR362" s="546"/>
      <c r="CS362" s="546"/>
      <c r="CT362" s="546"/>
      <c r="CU362" s="546"/>
      <c r="CV362" s="546"/>
      <c r="CW362" s="546"/>
      <c r="CX362" s="546"/>
      <c r="CY362" s="546"/>
      <c r="CZ362" s="546"/>
      <c r="DA362" s="546"/>
      <c r="DB362" s="546"/>
      <c r="DC362" s="546"/>
      <c r="DD362" s="546"/>
      <c r="DE362" s="546"/>
      <c r="DF362" s="546"/>
      <c r="DG362" s="546"/>
      <c r="DH362" s="546"/>
      <c r="DI362" s="546"/>
      <c r="DJ362" s="546"/>
      <c r="DK362" s="544"/>
      <c r="DL362" s="544"/>
      <c r="DM362" s="546"/>
      <c r="DN362" s="544"/>
      <c r="DO362" s="544"/>
      <c r="DP362" s="546"/>
      <c r="DQ362" s="546"/>
      <c r="DR362" s="546"/>
      <c r="DT362" s="520"/>
      <c r="DU362" s="520"/>
      <c r="DW362" s="520"/>
      <c r="DX362" s="520"/>
    </row>
    <row r="363" hidden="1">
      <c r="A363" s="500" t="s">
        <v>295</v>
      </c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  <c r="AT363" s="118"/>
      <c r="AU363" s="118"/>
      <c r="AV363" s="118"/>
      <c r="AW363" s="118"/>
      <c r="AX363" s="118"/>
      <c r="AY363" s="118"/>
      <c r="AZ363" s="118"/>
      <c r="BA363" s="118"/>
      <c r="BB363" s="118"/>
      <c r="BC363" s="118"/>
      <c r="BD363" s="118"/>
      <c r="BE363" s="118"/>
      <c r="BF363" s="118"/>
      <c r="BG363" s="118"/>
      <c r="BH363" s="118"/>
      <c r="BI363" s="118"/>
      <c r="BJ363" s="118"/>
      <c r="BK363" s="118"/>
      <c r="BL363" s="118"/>
      <c r="BM363" s="118"/>
      <c r="BN363" s="118"/>
      <c r="BO363" s="118"/>
      <c r="BP363" s="118"/>
      <c r="BQ363" s="118"/>
      <c r="BR363" s="118"/>
      <c r="BS363" s="118"/>
      <c r="BT363" s="118"/>
      <c r="BU363" s="118"/>
      <c r="BV363" s="118"/>
      <c r="BW363" s="118"/>
      <c r="BX363" s="118"/>
      <c r="BY363" s="118"/>
      <c r="BZ363" s="118"/>
      <c r="CA363" s="118"/>
      <c r="CB363" s="118"/>
      <c r="CC363" s="118"/>
      <c r="CD363" s="118"/>
      <c r="CE363" s="118"/>
      <c r="CF363" s="118"/>
      <c r="CG363" s="118"/>
      <c r="CH363" s="118"/>
      <c r="CI363" s="118"/>
      <c r="CJ363" s="118"/>
      <c r="CK363" s="118"/>
      <c r="CL363" s="118"/>
      <c r="CM363" s="118"/>
      <c r="CN363" s="546" t="s">
        <v>358</v>
      </c>
      <c r="CO363" s="546" t="s">
        <v>358</v>
      </c>
      <c r="CP363" s="546" t="s">
        <v>400</v>
      </c>
      <c r="CQ363" s="546" t="s">
        <v>400</v>
      </c>
      <c r="CR363" s="546" t="s">
        <v>358</v>
      </c>
      <c r="CS363" s="546" t="s">
        <v>358</v>
      </c>
      <c r="CT363" s="546" t="s">
        <v>191</v>
      </c>
      <c r="CU363" s="546" t="s">
        <v>191</v>
      </c>
      <c r="CV363" s="546" t="s">
        <v>191</v>
      </c>
      <c r="CW363" s="546" t="s">
        <v>358</v>
      </c>
      <c r="CX363" s="546" t="s">
        <v>400</v>
      </c>
      <c r="CY363" s="546" t="s">
        <v>400</v>
      </c>
      <c r="CZ363" s="546" t="s">
        <v>191</v>
      </c>
      <c r="DA363" s="546" t="s">
        <v>191</v>
      </c>
      <c r="DB363" s="546" t="s">
        <v>400</v>
      </c>
      <c r="DC363" s="546" t="s">
        <v>400</v>
      </c>
      <c r="DD363" s="546" t="s">
        <v>191</v>
      </c>
      <c r="DE363" s="546" t="s">
        <v>191</v>
      </c>
      <c r="DF363" s="546" t="s">
        <v>396</v>
      </c>
      <c r="DG363" s="546" t="s">
        <v>396</v>
      </c>
      <c r="DH363" s="546" t="s">
        <v>191</v>
      </c>
      <c r="DI363" s="546" t="s">
        <v>191</v>
      </c>
      <c r="DJ363" s="546" t="s">
        <v>191</v>
      </c>
      <c r="DK363" s="546" t="s">
        <v>195</v>
      </c>
      <c r="DL363" s="546" t="s">
        <v>195</v>
      </c>
      <c r="DM363" s="546" t="s">
        <v>191</v>
      </c>
      <c r="DN363" s="546" t="s">
        <v>401</v>
      </c>
      <c r="DO363" s="546" t="s">
        <v>195</v>
      </c>
      <c r="DP363" s="546" t="s">
        <v>191</v>
      </c>
      <c r="DQ363" s="546" t="s">
        <v>162</v>
      </c>
      <c r="DR363" s="546" t="s">
        <v>191</v>
      </c>
      <c r="DT363" s="520" t="s">
        <v>384</v>
      </c>
      <c r="DU363" s="520" t="s">
        <v>332</v>
      </c>
      <c r="DW363" s="520" t="s">
        <v>384</v>
      </c>
      <c r="DX363" s="520" t="s">
        <v>332</v>
      </c>
    </row>
    <row r="364" hidden="1">
      <c r="A364" s="502" t="s">
        <v>288</v>
      </c>
      <c r="B364" s="525"/>
      <c r="C364" s="525"/>
      <c r="D364" s="525"/>
      <c r="E364" s="525"/>
      <c r="F364" s="525"/>
      <c r="G364" s="525"/>
      <c r="H364" s="525"/>
      <c r="I364" s="525"/>
      <c r="J364" s="525"/>
      <c r="K364" s="525"/>
      <c r="L364" s="525"/>
      <c r="M364" s="525"/>
      <c r="N364" s="525"/>
      <c r="O364" s="525"/>
      <c r="P364" s="525"/>
      <c r="Q364" s="525"/>
      <c r="R364" s="525"/>
      <c r="S364" s="525"/>
      <c r="T364" s="525"/>
      <c r="U364" s="525"/>
      <c r="V364" s="525"/>
      <c r="W364" s="525"/>
      <c r="X364" s="525"/>
      <c r="Y364" s="525"/>
      <c r="Z364" s="525"/>
      <c r="AA364" s="525"/>
      <c r="AB364" s="525"/>
      <c r="AC364" s="525"/>
      <c r="AD364" s="525"/>
      <c r="AE364" s="525"/>
      <c r="AF364" s="525"/>
      <c r="AG364" s="525"/>
      <c r="AH364" s="525"/>
      <c r="AI364" s="525"/>
      <c r="AJ364" s="525"/>
      <c r="AK364" s="525"/>
      <c r="AL364" s="525"/>
      <c r="AM364" s="525"/>
      <c r="AN364" s="525"/>
      <c r="AO364" s="525"/>
      <c r="AP364" s="525"/>
      <c r="AQ364" s="525"/>
      <c r="AR364" s="525"/>
      <c r="AS364" s="525"/>
      <c r="AT364" s="525"/>
      <c r="AU364" s="525"/>
      <c r="AV364" s="525"/>
      <c r="AW364" s="525"/>
      <c r="AX364" s="525"/>
      <c r="AY364" s="525"/>
      <c r="AZ364" s="525"/>
      <c r="BA364" s="525"/>
      <c r="BB364" s="525"/>
      <c r="BC364" s="525"/>
      <c r="BD364" s="525"/>
      <c r="BE364" s="525"/>
      <c r="BF364" s="525"/>
      <c r="BG364" s="525"/>
      <c r="BH364" s="525"/>
      <c r="BI364" s="525"/>
      <c r="BJ364" s="525"/>
      <c r="BK364" s="541">
        <v>45689.0</v>
      </c>
      <c r="BL364" s="541">
        <v>45690.0</v>
      </c>
      <c r="BM364" s="541">
        <v>45691.0</v>
      </c>
      <c r="BN364" s="541">
        <v>45692.0</v>
      </c>
      <c r="BO364" s="541">
        <v>45693.0</v>
      </c>
      <c r="BP364" s="541">
        <v>45694.0</v>
      </c>
      <c r="BQ364" s="541">
        <v>45695.0</v>
      </c>
      <c r="BR364" s="541">
        <v>45696.0</v>
      </c>
      <c r="BS364" s="541">
        <v>45697.0</v>
      </c>
      <c r="BT364" s="541">
        <v>45698.0</v>
      </c>
      <c r="BU364" s="541">
        <v>45699.0</v>
      </c>
      <c r="BV364" s="541">
        <v>45700.0</v>
      </c>
      <c r="BW364" s="541">
        <v>45701.0</v>
      </c>
      <c r="BX364" s="541">
        <v>45702.0</v>
      </c>
      <c r="BY364" s="541">
        <v>45703.0</v>
      </c>
      <c r="BZ364" s="541">
        <v>45704.0</v>
      </c>
      <c r="CA364" s="541">
        <v>45705.0</v>
      </c>
      <c r="CB364" s="541">
        <v>45706.0</v>
      </c>
      <c r="CC364" s="541">
        <v>45707.0</v>
      </c>
      <c r="CD364" s="541">
        <v>45708.0</v>
      </c>
      <c r="CE364" s="541">
        <v>45709.0</v>
      </c>
      <c r="CF364" s="541">
        <v>45710.0</v>
      </c>
      <c r="CG364" s="541">
        <v>45711.0</v>
      </c>
      <c r="CH364" s="541">
        <v>45712.0</v>
      </c>
      <c r="CI364" s="541">
        <v>45713.0</v>
      </c>
      <c r="CJ364" s="541">
        <v>45714.0</v>
      </c>
      <c r="CK364" s="541">
        <v>45715.0</v>
      </c>
      <c r="CL364" s="541">
        <v>45716.0</v>
      </c>
      <c r="CM364" s="541"/>
      <c r="CN364" s="541">
        <v>45992.0</v>
      </c>
      <c r="CO364" s="541">
        <v>45993.0</v>
      </c>
      <c r="CP364" s="541">
        <v>45994.0</v>
      </c>
      <c r="CQ364" s="541">
        <v>45995.0</v>
      </c>
      <c r="CR364" s="541">
        <v>45996.0</v>
      </c>
      <c r="CS364" s="541">
        <v>45997.0</v>
      </c>
      <c r="CT364" s="541">
        <v>45998.0</v>
      </c>
      <c r="CU364" s="541">
        <v>45999.0</v>
      </c>
      <c r="CV364" s="541">
        <v>46000.0</v>
      </c>
      <c r="CW364" s="541">
        <v>46001.0</v>
      </c>
      <c r="CX364" s="541">
        <v>46002.0</v>
      </c>
      <c r="CY364" s="541">
        <v>46003.0</v>
      </c>
      <c r="CZ364" s="541">
        <v>46004.0</v>
      </c>
      <c r="DA364" s="541">
        <v>46005.0</v>
      </c>
      <c r="DB364" s="541">
        <v>46006.0</v>
      </c>
      <c r="DC364" s="541">
        <v>46007.0</v>
      </c>
      <c r="DD364" s="541">
        <v>46008.0</v>
      </c>
      <c r="DE364" s="541">
        <v>46009.0</v>
      </c>
      <c r="DF364" s="541">
        <v>46010.0</v>
      </c>
      <c r="DG364" s="541">
        <v>46011.0</v>
      </c>
      <c r="DH364" s="541">
        <v>46012.0</v>
      </c>
      <c r="DI364" s="541">
        <v>46013.0</v>
      </c>
      <c r="DJ364" s="541">
        <v>46014.0</v>
      </c>
      <c r="DK364" s="541">
        <v>46015.0</v>
      </c>
      <c r="DL364" s="541">
        <v>46016.0</v>
      </c>
      <c r="DM364" s="541">
        <v>46017.0</v>
      </c>
      <c r="DN364" s="541">
        <v>46018.0</v>
      </c>
      <c r="DO364" s="541">
        <v>46019.0</v>
      </c>
      <c r="DP364" s="541">
        <v>46020.0</v>
      </c>
      <c r="DQ364" s="541">
        <v>46021.0</v>
      </c>
      <c r="DR364" s="541">
        <v>46022.0</v>
      </c>
      <c r="DS364" s="520" t="s">
        <v>347</v>
      </c>
      <c r="DT364" s="574">
        <f>CN367+CO367+CR367+CS367+CW367</f>
        <v>-51.6</v>
      </c>
      <c r="DU364" s="574">
        <f>400</f>
        <v>400</v>
      </c>
      <c r="DX364" s="530"/>
    </row>
    <row r="365" hidden="1">
      <c r="A365" s="502" t="s">
        <v>289</v>
      </c>
      <c r="B365" s="525"/>
      <c r="C365" s="525"/>
      <c r="D365" s="525"/>
      <c r="E365" s="525"/>
      <c r="F365" s="525"/>
      <c r="G365" s="525"/>
      <c r="H365" s="525"/>
      <c r="I365" s="525"/>
      <c r="J365" s="525"/>
      <c r="K365" s="525"/>
      <c r="L365" s="525"/>
      <c r="M365" s="525"/>
      <c r="N365" s="525"/>
      <c r="O365" s="525"/>
      <c r="P365" s="525"/>
      <c r="Q365" s="525"/>
      <c r="R365" s="525"/>
      <c r="S365" s="525"/>
      <c r="T365" s="525"/>
      <c r="U365" s="525"/>
      <c r="V365" s="525"/>
      <c r="W365" s="525"/>
      <c r="X365" s="525"/>
      <c r="Y365" s="525"/>
      <c r="Z365" s="525"/>
      <c r="AA365" s="525"/>
      <c r="AB365" s="525"/>
      <c r="AC365" s="525"/>
      <c r="AD365" s="525"/>
      <c r="AE365" s="525"/>
      <c r="AF365" s="525"/>
      <c r="AG365" s="525"/>
      <c r="AH365" s="525"/>
      <c r="AI365" s="525"/>
      <c r="AJ365" s="525"/>
      <c r="AK365" s="525"/>
      <c r="AL365" s="525"/>
      <c r="AM365" s="525"/>
      <c r="AN365" s="525"/>
      <c r="AO365" s="525"/>
      <c r="AP365" s="525"/>
      <c r="AQ365" s="525"/>
      <c r="AR365" s="525"/>
      <c r="AS365" s="525"/>
      <c r="AT365" s="525"/>
      <c r="AU365" s="525"/>
      <c r="AV365" s="525"/>
      <c r="AW365" s="525"/>
      <c r="AX365" s="525"/>
      <c r="AY365" s="525"/>
      <c r="AZ365" s="525"/>
      <c r="BA365" s="525"/>
      <c r="BB365" s="525"/>
      <c r="BC365" s="525"/>
      <c r="BD365" s="525"/>
      <c r="BE365" s="525"/>
      <c r="BF365" s="525"/>
      <c r="BG365" s="525"/>
      <c r="BH365" s="525"/>
      <c r="BI365" s="525"/>
      <c r="BJ365" s="525"/>
      <c r="BK365" s="512">
        <v>12.0</v>
      </c>
      <c r="BL365" s="512">
        <v>16.0</v>
      </c>
      <c r="BM365" s="512">
        <v>37.0</v>
      </c>
      <c r="BN365" s="512">
        <v>24.0</v>
      </c>
      <c r="BO365" s="512">
        <v>23.0</v>
      </c>
      <c r="BP365" s="512">
        <v>48.0</v>
      </c>
      <c r="BQ365" s="512">
        <v>38.0</v>
      </c>
      <c r="BR365" s="512">
        <v>13.0</v>
      </c>
      <c r="BS365" s="512">
        <v>61.0</v>
      </c>
      <c r="BT365" s="512">
        <v>50.0</v>
      </c>
      <c r="BU365" s="512">
        <v>68.0</v>
      </c>
      <c r="BV365" s="512">
        <v>29.0</v>
      </c>
      <c r="BW365" s="512">
        <v>91.0</v>
      </c>
      <c r="BX365" s="512">
        <v>62.0</v>
      </c>
      <c r="BY365" s="512">
        <v>63.0</v>
      </c>
      <c r="BZ365" s="512">
        <v>64.0</v>
      </c>
      <c r="CA365" s="512">
        <v>76.0</v>
      </c>
      <c r="CB365" s="512">
        <v>49.0</v>
      </c>
      <c r="CC365" s="512">
        <v>63.0</v>
      </c>
      <c r="CD365" s="512">
        <v>50.0</v>
      </c>
      <c r="CE365" s="512">
        <v>55.0</v>
      </c>
      <c r="CF365" s="512">
        <v>77.0</v>
      </c>
      <c r="CG365" s="512">
        <v>77.0</v>
      </c>
      <c r="CH365" s="512">
        <v>72.0</v>
      </c>
      <c r="CI365" s="512">
        <v>80.0</v>
      </c>
      <c r="CJ365" s="512">
        <v>89.0</v>
      </c>
      <c r="CK365" s="512">
        <v>64.0</v>
      </c>
      <c r="CL365" s="512">
        <v>82.0</v>
      </c>
      <c r="CM365" s="512"/>
      <c r="CN365" s="561">
        <v>115.0</v>
      </c>
      <c r="CO365" s="561">
        <v>117.0</v>
      </c>
      <c r="CP365" s="561">
        <v>95.0</v>
      </c>
      <c r="CQ365" s="561"/>
      <c r="CR365" s="561">
        <v>128.0</v>
      </c>
      <c r="CS365" s="561">
        <v>86.0</v>
      </c>
      <c r="CT365" s="561">
        <v>70.0</v>
      </c>
      <c r="CU365" s="561">
        <v>105.0</v>
      </c>
      <c r="CV365" s="591">
        <v>194.0</v>
      </c>
      <c r="CW365" s="591">
        <v>157.0</v>
      </c>
      <c r="CX365" s="591">
        <v>160.0</v>
      </c>
      <c r="CY365" s="591">
        <v>120.0</v>
      </c>
      <c r="CZ365" s="591">
        <v>193.0</v>
      </c>
      <c r="DA365" s="591">
        <v>173.0</v>
      </c>
      <c r="DB365" s="561"/>
      <c r="DC365" s="561">
        <v>194.0</v>
      </c>
      <c r="DD365" s="561">
        <v>162.0</v>
      </c>
      <c r="DE365" s="561">
        <v>165.0</v>
      </c>
      <c r="DF365" s="561">
        <v>150.0</v>
      </c>
      <c r="DG365" s="561">
        <v>94.0</v>
      </c>
      <c r="DH365" s="561">
        <v>237.0</v>
      </c>
      <c r="DI365" s="561">
        <v>206.0</v>
      </c>
      <c r="DJ365" s="561">
        <v>232.0</v>
      </c>
      <c r="DK365" s="561"/>
      <c r="DL365" s="561"/>
      <c r="DM365" s="561">
        <v>179.0</v>
      </c>
      <c r="DN365" s="561"/>
      <c r="DO365" s="561"/>
      <c r="DP365" s="561">
        <v>179.0</v>
      </c>
      <c r="DQ365" s="561">
        <v>165.0</v>
      </c>
      <c r="DR365" s="561">
        <v>147.0</v>
      </c>
      <c r="DS365" s="520" t="s">
        <v>402</v>
      </c>
      <c r="DT365" s="574">
        <f>CT367+CU367+CV367+CZ367+DA367</f>
        <v>-514.46</v>
      </c>
      <c r="DU365" s="574">
        <f>100*4</f>
        <v>400</v>
      </c>
      <c r="DW365" s="574">
        <f>DD367+DE367+DH367+DI367+DJ367+DM367+DP367+DR367</f>
        <v>-779.93</v>
      </c>
      <c r="DX365" s="530">
        <f>100*11</f>
        <v>1100</v>
      </c>
      <c r="DZ365" s="574">
        <f t="shared" ref="DZ365:DZ366" si="23">SUM(CN365:DR365)</f>
        <v>3823</v>
      </c>
      <c r="EA365" s="530">
        <f t="shared" ref="EA365:EA366" si="24">DZ365/31</f>
        <v>123.3225806</v>
      </c>
    </row>
    <row r="366" hidden="1">
      <c r="A366" s="521" t="s">
        <v>290</v>
      </c>
      <c r="B366" s="525"/>
      <c r="C366" s="525"/>
      <c r="D366" s="525"/>
      <c r="E366" s="525"/>
      <c r="F366" s="525"/>
      <c r="G366" s="525"/>
      <c r="H366" s="525"/>
      <c r="I366" s="525"/>
      <c r="J366" s="525"/>
      <c r="K366" s="525"/>
      <c r="L366" s="525"/>
      <c r="M366" s="525"/>
      <c r="N366" s="525"/>
      <c r="O366" s="525"/>
      <c r="P366" s="525"/>
      <c r="Q366" s="525"/>
      <c r="R366" s="525"/>
      <c r="S366" s="525"/>
      <c r="T366" s="525"/>
      <c r="U366" s="525"/>
      <c r="V366" s="525"/>
      <c r="W366" s="525"/>
      <c r="X366" s="525"/>
      <c r="Y366" s="525"/>
      <c r="Z366" s="525"/>
      <c r="AA366" s="525"/>
      <c r="AB366" s="525"/>
      <c r="AC366" s="525"/>
      <c r="AD366" s="525"/>
      <c r="AE366" s="525"/>
      <c r="AF366" s="525"/>
      <c r="AG366" s="525"/>
      <c r="AH366" s="525"/>
      <c r="AI366" s="525"/>
      <c r="AJ366" s="525"/>
      <c r="AK366" s="525"/>
      <c r="AL366" s="525"/>
      <c r="AM366" s="525"/>
      <c r="AN366" s="525"/>
      <c r="AO366" s="525"/>
      <c r="AP366" s="525"/>
      <c r="AQ366" s="525"/>
      <c r="AR366" s="525"/>
      <c r="AS366" s="525"/>
      <c r="AT366" s="525"/>
      <c r="AU366" s="525"/>
      <c r="AV366" s="525"/>
      <c r="AW366" s="525"/>
      <c r="AX366" s="525"/>
      <c r="AY366" s="525"/>
      <c r="AZ366" s="525"/>
      <c r="BA366" s="525"/>
      <c r="BB366" s="525"/>
      <c r="BC366" s="525"/>
      <c r="BD366" s="525"/>
      <c r="BE366" s="525"/>
      <c r="BF366" s="525"/>
      <c r="BG366" s="525"/>
      <c r="BH366" s="525"/>
      <c r="BI366" s="525"/>
      <c r="BJ366" s="525"/>
      <c r="BK366" s="512">
        <v>8.0</v>
      </c>
      <c r="BL366" s="512">
        <v>9.0</v>
      </c>
      <c r="BM366" s="512">
        <v>16.0</v>
      </c>
      <c r="BN366" s="512">
        <v>12.0</v>
      </c>
      <c r="BO366" s="512">
        <v>12.0</v>
      </c>
      <c r="BP366" s="512">
        <v>18.0</v>
      </c>
      <c r="BQ366" s="512">
        <v>20.0</v>
      </c>
      <c r="BR366" s="512">
        <v>6.0</v>
      </c>
      <c r="BS366" s="512">
        <v>18.0</v>
      </c>
      <c r="BT366" s="512">
        <v>20.0</v>
      </c>
      <c r="BU366" s="512">
        <v>24.0</v>
      </c>
      <c r="BV366" s="512">
        <v>14.0</v>
      </c>
      <c r="BW366" s="512">
        <v>32.0</v>
      </c>
      <c r="BX366" s="512">
        <v>25.0</v>
      </c>
      <c r="BY366" s="512">
        <v>22.0</v>
      </c>
      <c r="BZ366" s="512">
        <v>29.0</v>
      </c>
      <c r="CA366" s="512">
        <v>18.0</v>
      </c>
      <c r="CB366" s="512">
        <v>23.0</v>
      </c>
      <c r="CC366" s="512">
        <v>26.0</v>
      </c>
      <c r="CD366" s="512">
        <v>22.0</v>
      </c>
      <c r="CE366" s="512">
        <v>23.0</v>
      </c>
      <c r="CF366" s="512">
        <v>36.0</v>
      </c>
      <c r="CG366" s="512">
        <v>36.0</v>
      </c>
      <c r="CH366" s="512">
        <v>23.0</v>
      </c>
      <c r="CI366" s="512">
        <v>36.0</v>
      </c>
      <c r="CJ366" s="512">
        <v>37.0</v>
      </c>
      <c r="CK366" s="512">
        <v>20.0</v>
      </c>
      <c r="CL366" s="512">
        <v>36.0</v>
      </c>
      <c r="CM366" s="552">
        <f>SUM(BK366:CL366)/28</f>
        <v>22.17857143</v>
      </c>
      <c r="CN366" s="561">
        <v>41.0</v>
      </c>
      <c r="CO366" s="561">
        <v>48.0</v>
      </c>
      <c r="CP366" s="561">
        <v>34.0</v>
      </c>
      <c r="CQ366" s="561"/>
      <c r="CR366" s="561">
        <v>44.0</v>
      </c>
      <c r="CS366" s="561">
        <v>35.0</v>
      </c>
      <c r="CT366" s="561">
        <v>28.0</v>
      </c>
      <c r="CU366" s="561">
        <v>42.0</v>
      </c>
      <c r="CV366" s="591">
        <v>66.0</v>
      </c>
      <c r="CW366" s="591">
        <v>60.0</v>
      </c>
      <c r="CX366" s="591">
        <v>57.0</v>
      </c>
      <c r="CY366" s="591">
        <v>39.0</v>
      </c>
      <c r="CZ366" s="591">
        <v>50.0</v>
      </c>
      <c r="DA366" s="591">
        <v>53.0</v>
      </c>
      <c r="DB366" s="561"/>
      <c r="DC366" s="561">
        <v>69.0</v>
      </c>
      <c r="DD366" s="561">
        <v>59.0</v>
      </c>
      <c r="DE366" s="561">
        <v>55.0</v>
      </c>
      <c r="DF366" s="561">
        <v>53.0</v>
      </c>
      <c r="DG366" s="561">
        <v>41.0</v>
      </c>
      <c r="DH366" s="561">
        <v>72.0</v>
      </c>
      <c r="DI366" s="584">
        <v>56.0</v>
      </c>
      <c r="DJ366" s="561">
        <v>61.0</v>
      </c>
      <c r="DK366" s="561"/>
      <c r="DL366" s="561"/>
      <c r="DM366" s="561">
        <v>58.0</v>
      </c>
      <c r="DN366" s="561"/>
      <c r="DO366" s="561"/>
      <c r="DP366" s="561">
        <v>66.0</v>
      </c>
      <c r="DQ366" s="561">
        <v>65.0</v>
      </c>
      <c r="DR366" s="561">
        <v>67.0</v>
      </c>
      <c r="DS366" s="520" t="s">
        <v>387</v>
      </c>
      <c r="DT366" s="574">
        <f>CP367+CQ367+CX367+CY367+DB367+DC367</f>
        <v>-1493.67</v>
      </c>
      <c r="DU366" s="574">
        <f>0</f>
        <v>0</v>
      </c>
      <c r="DX366" s="530"/>
      <c r="DZ366" s="574">
        <f t="shared" si="23"/>
        <v>1319</v>
      </c>
      <c r="EA366" s="530">
        <f t="shared" si="24"/>
        <v>42.5483871</v>
      </c>
    </row>
    <row r="367" hidden="1">
      <c r="A367" s="502" t="s">
        <v>291</v>
      </c>
      <c r="B367" s="525"/>
      <c r="C367" s="525"/>
      <c r="D367" s="525"/>
      <c r="E367" s="525"/>
      <c r="F367" s="525"/>
      <c r="G367" s="525"/>
      <c r="H367" s="525"/>
      <c r="I367" s="525"/>
      <c r="J367" s="525"/>
      <c r="K367" s="525"/>
      <c r="L367" s="525"/>
      <c r="M367" s="525"/>
      <c r="N367" s="525"/>
      <c r="O367" s="525"/>
      <c r="P367" s="525"/>
      <c r="Q367" s="525"/>
      <c r="R367" s="525"/>
      <c r="S367" s="525"/>
      <c r="T367" s="525"/>
      <c r="U367" s="525"/>
      <c r="V367" s="525"/>
      <c r="W367" s="525"/>
      <c r="X367" s="525"/>
      <c r="Y367" s="525"/>
      <c r="Z367" s="525"/>
      <c r="AA367" s="525"/>
      <c r="AB367" s="525"/>
      <c r="AC367" s="525"/>
      <c r="AD367" s="525"/>
      <c r="AE367" s="525"/>
      <c r="AF367" s="525"/>
      <c r="AG367" s="525"/>
      <c r="AH367" s="525"/>
      <c r="AI367" s="525"/>
      <c r="AJ367" s="525"/>
      <c r="AK367" s="525"/>
      <c r="AL367" s="525"/>
      <c r="AM367" s="525"/>
      <c r="AN367" s="525"/>
      <c r="AO367" s="525"/>
      <c r="AP367" s="525"/>
      <c r="AQ367" s="525"/>
      <c r="AR367" s="525"/>
      <c r="AS367" s="525"/>
      <c r="AT367" s="525"/>
      <c r="AU367" s="525"/>
      <c r="AV367" s="525"/>
      <c r="AW367" s="525"/>
      <c r="AX367" s="525"/>
      <c r="AY367" s="525"/>
      <c r="AZ367" s="525"/>
      <c r="BA367" s="525"/>
      <c r="BB367" s="525"/>
      <c r="BC367" s="525"/>
      <c r="BD367" s="525"/>
      <c r="BE367" s="525"/>
      <c r="BF367" s="525"/>
      <c r="BG367" s="525"/>
      <c r="BH367" s="525"/>
      <c r="BI367" s="525"/>
      <c r="BJ367" s="525"/>
      <c r="BK367" s="529">
        <v>10.85</v>
      </c>
      <c r="BL367" s="529">
        <v>8.12</v>
      </c>
      <c r="BM367" s="529">
        <v>8.91</v>
      </c>
      <c r="BN367" s="529">
        <v>12.38</v>
      </c>
      <c r="BO367" s="529">
        <v>10.65</v>
      </c>
      <c r="BP367" s="529">
        <v>10.65</v>
      </c>
      <c r="BQ367" s="529">
        <v>11.69</v>
      </c>
      <c r="BR367" s="529">
        <v>13.24</v>
      </c>
      <c r="BS367" s="529">
        <v>20.49</v>
      </c>
      <c r="BT367" s="529">
        <v>9.99</v>
      </c>
      <c r="BU367" s="529">
        <v>18.07</v>
      </c>
      <c r="BV367" s="529">
        <v>2.6</v>
      </c>
      <c r="BW367" s="529">
        <v>15.52</v>
      </c>
      <c r="BX367" s="529">
        <v>-84.66</v>
      </c>
      <c r="BY367" s="529">
        <v>-0.49</v>
      </c>
      <c r="BZ367" s="529">
        <v>29.94</v>
      </c>
      <c r="CA367" s="529">
        <v>10.04</v>
      </c>
      <c r="CB367" s="529">
        <v>12.42</v>
      </c>
      <c r="CC367" s="529">
        <v>-21.42</v>
      </c>
      <c r="CD367" s="529">
        <v>18.39</v>
      </c>
      <c r="CE367" s="529">
        <v>14.56</v>
      </c>
      <c r="CF367" s="529">
        <v>-79.95</v>
      </c>
      <c r="CG367" s="529">
        <v>34.0</v>
      </c>
      <c r="CH367" s="529">
        <v>39.31</v>
      </c>
      <c r="CI367" s="529">
        <v>25.66</v>
      </c>
      <c r="CJ367" s="529">
        <v>-74.91</v>
      </c>
      <c r="CK367" s="529">
        <v>-183.09</v>
      </c>
      <c r="CL367" s="529">
        <v>-114.25</v>
      </c>
      <c r="CM367" s="529"/>
      <c r="CN367" s="537">
        <v>36.22</v>
      </c>
      <c r="CO367" s="537">
        <v>34.2</v>
      </c>
      <c r="CP367" s="537">
        <v>-193.23</v>
      </c>
      <c r="CQ367" s="537">
        <v>-236.24</v>
      </c>
      <c r="CR367" s="537">
        <v>37.02</v>
      </c>
      <c r="CS367" s="537">
        <v>38.21</v>
      </c>
      <c r="CT367" s="537">
        <v>-121.01</v>
      </c>
      <c r="CU367" s="537">
        <v>49.41</v>
      </c>
      <c r="CV367" s="536">
        <v>-204.6</v>
      </c>
      <c r="CW367" s="593">
        <v>-197.25</v>
      </c>
      <c r="CX367" s="593">
        <v>-114.89</v>
      </c>
      <c r="CY367" s="593">
        <v>-149.35</v>
      </c>
      <c r="CZ367" s="595">
        <v>-165.3</v>
      </c>
      <c r="DA367" s="593">
        <v>-72.96</v>
      </c>
      <c r="DB367" s="537">
        <v>-411.66</v>
      </c>
      <c r="DC367" s="537">
        <v>-388.3</v>
      </c>
      <c r="DD367" s="537">
        <v>79.8</v>
      </c>
      <c r="DE367" s="537">
        <v>-291.75</v>
      </c>
      <c r="DF367" s="537">
        <v>59.95</v>
      </c>
      <c r="DG367" s="537">
        <v>82.27</v>
      </c>
      <c r="DH367" s="537">
        <v>-94.18</v>
      </c>
      <c r="DI367" s="537">
        <v>-99.8</v>
      </c>
      <c r="DJ367" s="537">
        <v>-45.65</v>
      </c>
      <c r="DK367" s="537">
        <v>83.11</v>
      </c>
      <c r="DL367" s="537">
        <v>79.34</v>
      </c>
      <c r="DM367" s="537">
        <v>-180.26</v>
      </c>
      <c r="DN367" s="537">
        <v>106.25</v>
      </c>
      <c r="DO367" s="537">
        <v>61.47</v>
      </c>
      <c r="DP367" s="537">
        <v>-215.27</v>
      </c>
      <c r="DQ367" s="537">
        <v>63.18</v>
      </c>
      <c r="DR367" s="537">
        <v>67.18</v>
      </c>
      <c r="DS367" s="520" t="s">
        <v>315</v>
      </c>
      <c r="DW367" s="574">
        <f>DK367+DL367+DO367</f>
        <v>223.92</v>
      </c>
      <c r="DX367" s="520">
        <v>0.0</v>
      </c>
    </row>
    <row r="368" hidden="1">
      <c r="A368" s="531"/>
      <c r="CP368" s="10"/>
      <c r="CQ368" s="10"/>
      <c r="CR368" s="10"/>
      <c r="CS368" s="10"/>
      <c r="CT368" s="10"/>
      <c r="CU368" s="10"/>
      <c r="CV368" s="596"/>
      <c r="CW368" s="596"/>
      <c r="CX368" s="596"/>
      <c r="CY368" s="596"/>
      <c r="CZ368" s="596"/>
      <c r="DA368" s="596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520" t="s">
        <v>314</v>
      </c>
      <c r="DW368" s="574">
        <f>DQ367</f>
        <v>63.18</v>
      </c>
      <c r="DX368" s="530">
        <f>100</f>
        <v>100</v>
      </c>
    </row>
    <row r="369" hidden="1">
      <c r="A369" s="531"/>
      <c r="CN369" s="105"/>
      <c r="CO369" s="105"/>
      <c r="CP369" s="10"/>
      <c r="CQ369" s="105"/>
      <c r="CR369" s="10"/>
      <c r="CS369" s="10"/>
      <c r="CT369" s="10"/>
      <c r="CU369" s="10"/>
      <c r="CV369" s="596"/>
      <c r="CW369" s="596"/>
      <c r="CX369" s="597"/>
      <c r="CY369" s="596"/>
      <c r="CZ369" s="596"/>
      <c r="DA369" s="596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520" t="s">
        <v>397</v>
      </c>
      <c r="DW369" s="574">
        <f>DF367+DG367</f>
        <v>142.22</v>
      </c>
      <c r="DX369" s="530">
        <f>200</f>
        <v>200</v>
      </c>
    </row>
    <row r="370" hidden="1">
      <c r="A370" s="500"/>
      <c r="CN370" s="546"/>
      <c r="CO370" s="546"/>
      <c r="CP370" s="546"/>
      <c r="CQ370" s="546"/>
      <c r="CR370" s="546"/>
      <c r="CS370" s="546"/>
      <c r="CT370" s="546"/>
      <c r="CU370" s="546"/>
      <c r="CV370" s="546"/>
      <c r="CW370" s="546"/>
      <c r="CX370" s="546"/>
      <c r="CY370" s="546"/>
      <c r="CZ370" s="546"/>
      <c r="DA370" s="546"/>
      <c r="DB370" s="546"/>
      <c r="DC370" s="546"/>
      <c r="DD370" s="546"/>
      <c r="DE370" s="546"/>
      <c r="DF370" s="546"/>
      <c r="DG370" s="546"/>
      <c r="DH370" s="546"/>
      <c r="DI370" s="546"/>
      <c r="DJ370" s="546"/>
      <c r="DK370" s="546"/>
      <c r="DL370" s="546"/>
      <c r="DM370" s="546"/>
      <c r="DN370" s="546"/>
      <c r="DO370" s="546"/>
      <c r="DP370" s="546"/>
      <c r="DQ370" s="546"/>
      <c r="DR370" s="546"/>
      <c r="DT370" s="520"/>
      <c r="DU370" s="520"/>
      <c r="DW370" s="520"/>
      <c r="DX370" s="520"/>
    </row>
    <row r="371" hidden="1">
      <c r="A371" s="500" t="s">
        <v>49</v>
      </c>
      <c r="CN371" s="546" t="s">
        <v>380</v>
      </c>
      <c r="CO371" s="546" t="s">
        <v>380</v>
      </c>
      <c r="CP371" s="546" t="s">
        <v>191</v>
      </c>
      <c r="CQ371" s="546" t="s">
        <v>191</v>
      </c>
      <c r="CR371" s="546" t="s">
        <v>365</v>
      </c>
      <c r="CS371" s="546" t="s">
        <v>365</v>
      </c>
      <c r="CT371" s="546" t="s">
        <v>380</v>
      </c>
      <c r="CU371" s="546" t="s">
        <v>380</v>
      </c>
      <c r="CV371" s="546" t="s">
        <v>365</v>
      </c>
      <c r="CW371" s="546" t="s">
        <v>365</v>
      </c>
      <c r="CX371" s="546" t="s">
        <v>380</v>
      </c>
      <c r="CY371" s="546" t="s">
        <v>380</v>
      </c>
      <c r="CZ371" s="546" t="s">
        <v>195</v>
      </c>
      <c r="DA371" s="546" t="s">
        <v>353</v>
      </c>
      <c r="DB371" s="546" t="s">
        <v>380</v>
      </c>
      <c r="DC371" s="546" t="s">
        <v>380</v>
      </c>
      <c r="DD371" s="546" t="s">
        <v>365</v>
      </c>
      <c r="DE371" s="546" t="s">
        <v>365</v>
      </c>
      <c r="DF371" s="546" t="s">
        <v>353</v>
      </c>
      <c r="DG371" s="581" t="s">
        <v>403</v>
      </c>
      <c r="DH371" s="546" t="s">
        <v>365</v>
      </c>
      <c r="DI371" s="546" t="s">
        <v>365</v>
      </c>
      <c r="DJ371" s="546" t="s">
        <v>380</v>
      </c>
      <c r="DK371" s="546" t="s">
        <v>380</v>
      </c>
      <c r="DL371" s="546" t="s">
        <v>365</v>
      </c>
      <c r="DM371" s="546" t="s">
        <v>365</v>
      </c>
      <c r="DN371" s="546" t="s">
        <v>380</v>
      </c>
      <c r="DO371" s="546" t="s">
        <v>380</v>
      </c>
      <c r="DP371" s="546" t="s">
        <v>365</v>
      </c>
      <c r="DQ371" s="546" t="s">
        <v>365</v>
      </c>
      <c r="DR371" s="546" t="s">
        <v>380</v>
      </c>
      <c r="DT371" s="520" t="s">
        <v>384</v>
      </c>
      <c r="DU371" s="520" t="s">
        <v>332</v>
      </c>
      <c r="DW371" s="520" t="s">
        <v>384</v>
      </c>
      <c r="DX371" s="520" t="s">
        <v>332</v>
      </c>
    </row>
    <row r="372" hidden="1">
      <c r="A372" s="502" t="s">
        <v>288</v>
      </c>
      <c r="CN372" s="541">
        <v>45992.0</v>
      </c>
      <c r="CO372" s="541">
        <v>45993.0</v>
      </c>
      <c r="CP372" s="541">
        <v>45994.0</v>
      </c>
      <c r="CQ372" s="541">
        <v>45995.0</v>
      </c>
      <c r="CR372" s="541">
        <v>45996.0</v>
      </c>
      <c r="CS372" s="541">
        <v>45997.0</v>
      </c>
      <c r="CT372" s="541">
        <v>45998.0</v>
      </c>
      <c r="CU372" s="541">
        <v>45999.0</v>
      </c>
      <c r="CV372" s="541">
        <v>46000.0</v>
      </c>
      <c r="CW372" s="541">
        <v>46001.0</v>
      </c>
      <c r="CX372" s="541">
        <v>46002.0</v>
      </c>
      <c r="CY372" s="541">
        <v>46003.0</v>
      </c>
      <c r="CZ372" s="541">
        <v>46004.0</v>
      </c>
      <c r="DA372" s="541">
        <v>46005.0</v>
      </c>
      <c r="DB372" s="541">
        <v>46006.0</v>
      </c>
      <c r="DC372" s="541">
        <v>46007.0</v>
      </c>
      <c r="DD372" s="541">
        <v>46008.0</v>
      </c>
      <c r="DE372" s="541">
        <v>46009.0</v>
      </c>
      <c r="DF372" s="541">
        <v>46010.0</v>
      </c>
      <c r="DG372" s="570">
        <v>46011.0</v>
      </c>
      <c r="DH372" s="541">
        <v>46012.0</v>
      </c>
      <c r="DI372" s="598">
        <v>46013.0</v>
      </c>
      <c r="DJ372" s="541">
        <v>46014.0</v>
      </c>
      <c r="DK372" s="541">
        <v>46015.0</v>
      </c>
      <c r="DL372" s="541">
        <v>46016.0</v>
      </c>
      <c r="DM372" s="541">
        <v>46017.0</v>
      </c>
      <c r="DN372" s="541">
        <v>46018.0</v>
      </c>
      <c r="DO372" s="541">
        <v>46019.0</v>
      </c>
      <c r="DP372" s="541">
        <v>46020.0</v>
      </c>
      <c r="DQ372" s="541">
        <v>46021.0</v>
      </c>
      <c r="DR372" s="541">
        <v>46022.0</v>
      </c>
      <c r="DS372" s="520" t="s">
        <v>376</v>
      </c>
      <c r="DT372" s="574">
        <f>CN375+CO375+CT375+CU375+CX375+CY375+DB375</f>
        <v>508.24</v>
      </c>
      <c r="DU372" s="520">
        <v>1000.0</v>
      </c>
      <c r="DW372" s="574">
        <f>DC375+DJ375+DK375+DN375+DO375+DR375</f>
        <v>574.56</v>
      </c>
      <c r="DX372" s="530">
        <f>100*9</f>
        <v>900</v>
      </c>
    </row>
    <row r="373" hidden="1">
      <c r="A373" s="502" t="s">
        <v>289</v>
      </c>
      <c r="CN373" s="561">
        <v>172.0</v>
      </c>
      <c r="CO373" s="561">
        <v>160.0</v>
      </c>
      <c r="CP373" s="561">
        <v>146.0</v>
      </c>
      <c r="CQ373" s="561">
        <v>99.0</v>
      </c>
      <c r="CR373" s="561">
        <v>223.0</v>
      </c>
      <c r="CS373" s="561">
        <v>211.0</v>
      </c>
      <c r="CT373" s="561">
        <v>143.0</v>
      </c>
      <c r="CU373" s="561">
        <v>168.0</v>
      </c>
      <c r="CV373" s="561">
        <v>222.0</v>
      </c>
      <c r="CW373" s="561">
        <v>194.0</v>
      </c>
      <c r="CX373" s="561">
        <v>202.0</v>
      </c>
      <c r="CY373" s="561">
        <v>226.0</v>
      </c>
      <c r="CZ373" s="561">
        <v>152.0</v>
      </c>
      <c r="DA373" s="561">
        <v>216.0</v>
      </c>
      <c r="DB373" s="561">
        <v>225.0</v>
      </c>
      <c r="DC373" s="561">
        <v>192.0</v>
      </c>
      <c r="DD373" s="561">
        <v>197.0</v>
      </c>
      <c r="DE373" s="561">
        <v>227.0</v>
      </c>
      <c r="DF373" s="561">
        <v>176.0</v>
      </c>
      <c r="DG373" s="571">
        <v>159.0</v>
      </c>
      <c r="DH373" s="561">
        <v>188.0</v>
      </c>
      <c r="DI373" s="561">
        <v>235.0</v>
      </c>
      <c r="DJ373" s="561">
        <v>206.0</v>
      </c>
      <c r="DK373" s="520">
        <v>175.0</v>
      </c>
      <c r="DL373" s="561">
        <v>230.0</v>
      </c>
      <c r="DM373" s="561">
        <v>222.0</v>
      </c>
      <c r="DN373" s="561">
        <v>289.0</v>
      </c>
      <c r="DO373" s="561">
        <v>220.0</v>
      </c>
      <c r="DP373" s="561">
        <v>302.0</v>
      </c>
      <c r="DQ373" s="561">
        <v>232.0</v>
      </c>
      <c r="DR373" s="561">
        <v>144.0</v>
      </c>
      <c r="DS373" s="520" t="s">
        <v>334</v>
      </c>
      <c r="DT373" s="574">
        <f>CR375+CS375+CV375+CW375</f>
        <v>-413.33</v>
      </c>
      <c r="DU373" s="574">
        <f>100*7</f>
        <v>700</v>
      </c>
      <c r="DW373" s="574">
        <f>DD375+DE375+DH375+DI375+DL375+DM375+DP375+DQ375</f>
        <v>629.92</v>
      </c>
      <c r="DX373" s="530">
        <f>100*15</f>
        <v>1500</v>
      </c>
      <c r="DZ373" s="574">
        <f t="shared" ref="DZ373:DZ374" si="25">SUM(CN373:DR373)</f>
        <v>6153</v>
      </c>
      <c r="EA373" s="530">
        <f t="shared" ref="EA373:EA374" si="26">DZ373/31</f>
        <v>198.483871</v>
      </c>
    </row>
    <row r="374" hidden="1">
      <c r="A374" s="521" t="s">
        <v>290</v>
      </c>
      <c r="CN374" s="561">
        <v>45.0</v>
      </c>
      <c r="CO374" s="561">
        <v>57.0</v>
      </c>
      <c r="CP374" s="561">
        <v>53.0</v>
      </c>
      <c r="CQ374" s="561">
        <v>46.0</v>
      </c>
      <c r="CR374" s="561">
        <v>58.0</v>
      </c>
      <c r="CS374" s="561">
        <v>78.0</v>
      </c>
      <c r="CT374" s="561">
        <v>51.0</v>
      </c>
      <c r="CU374" s="561">
        <v>59.0</v>
      </c>
      <c r="CV374" s="561">
        <v>69.0</v>
      </c>
      <c r="CW374" s="561">
        <v>61.0</v>
      </c>
      <c r="CX374" s="561">
        <v>59.0</v>
      </c>
      <c r="CY374" s="561">
        <v>74.0</v>
      </c>
      <c r="CZ374" s="561">
        <v>60.0</v>
      </c>
      <c r="DA374" s="561">
        <v>81.0</v>
      </c>
      <c r="DB374" s="561">
        <v>60.0</v>
      </c>
      <c r="DC374" s="561">
        <v>60.0</v>
      </c>
      <c r="DD374" s="561">
        <v>80.0</v>
      </c>
      <c r="DE374" s="561">
        <v>65.0</v>
      </c>
      <c r="DF374" s="561">
        <v>55.0</v>
      </c>
      <c r="DG374" s="571">
        <v>51.0</v>
      </c>
      <c r="DH374" s="561">
        <v>63.0</v>
      </c>
      <c r="DI374" s="561">
        <v>82.0</v>
      </c>
      <c r="DJ374" s="561">
        <v>65.0</v>
      </c>
      <c r="DK374" s="561">
        <v>63.0</v>
      </c>
      <c r="DL374" s="561">
        <v>75.0</v>
      </c>
      <c r="DM374" s="561">
        <v>67.0</v>
      </c>
      <c r="DN374" s="561">
        <v>88.0</v>
      </c>
      <c r="DO374" s="561">
        <v>69.0</v>
      </c>
      <c r="DP374" s="561">
        <v>90.0</v>
      </c>
      <c r="DQ374" s="561">
        <v>94.0</v>
      </c>
      <c r="DR374" s="561">
        <v>69.0</v>
      </c>
      <c r="DS374" s="520" t="s">
        <v>402</v>
      </c>
      <c r="DT374" s="574">
        <f>CP375+CQ375</f>
        <v>-546.78</v>
      </c>
      <c r="DU374" s="520">
        <v>100.0</v>
      </c>
      <c r="DX374" s="530"/>
      <c r="DZ374" s="574">
        <f t="shared" si="25"/>
        <v>2047</v>
      </c>
      <c r="EA374" s="530">
        <f t="shared" si="26"/>
        <v>66.03225806</v>
      </c>
    </row>
    <row r="375" hidden="1">
      <c r="A375" s="502" t="s">
        <v>291</v>
      </c>
      <c r="CN375" s="537">
        <v>33.62</v>
      </c>
      <c r="CO375" s="537">
        <v>63.85</v>
      </c>
      <c r="CP375" s="537">
        <v>-622.3</v>
      </c>
      <c r="CQ375" s="537">
        <v>75.52</v>
      </c>
      <c r="CR375" s="537">
        <v>-126.32</v>
      </c>
      <c r="CS375" s="537">
        <v>67.96</v>
      </c>
      <c r="CT375" s="537">
        <v>83.09</v>
      </c>
      <c r="CU375" s="537">
        <v>66.74</v>
      </c>
      <c r="CV375" s="512">
        <v>-436.32</v>
      </c>
      <c r="CW375" s="537">
        <v>81.35</v>
      </c>
      <c r="CX375" s="537">
        <v>61.78</v>
      </c>
      <c r="CY375" s="537">
        <v>95.43</v>
      </c>
      <c r="CZ375" s="537">
        <v>-370.93</v>
      </c>
      <c r="DA375" s="513">
        <v>-277.08</v>
      </c>
      <c r="DB375" s="537">
        <v>103.73</v>
      </c>
      <c r="DC375" s="537">
        <v>102.14</v>
      </c>
      <c r="DD375" s="537">
        <v>84.3</v>
      </c>
      <c r="DE375" s="537">
        <v>-69.16</v>
      </c>
      <c r="DF375" s="537">
        <v>102.31</v>
      </c>
      <c r="DG375" s="572">
        <v>114.12</v>
      </c>
      <c r="DH375" s="537">
        <v>165.6</v>
      </c>
      <c r="DI375" s="537">
        <v>65.11</v>
      </c>
      <c r="DJ375" s="537">
        <v>104.86</v>
      </c>
      <c r="DK375" s="537">
        <v>82.03</v>
      </c>
      <c r="DL375" s="537">
        <v>104.95</v>
      </c>
      <c r="DM375" s="537">
        <v>102.54</v>
      </c>
      <c r="DN375" s="537">
        <v>125.75</v>
      </c>
      <c r="DO375" s="537">
        <v>90.03</v>
      </c>
      <c r="DP375" s="537">
        <v>127.68</v>
      </c>
      <c r="DQ375" s="537">
        <v>48.9</v>
      </c>
      <c r="DR375" s="537">
        <v>69.75</v>
      </c>
      <c r="DS375" s="520" t="s">
        <v>315</v>
      </c>
      <c r="DT375" s="574">
        <f>CZ375</f>
        <v>-370.93</v>
      </c>
      <c r="DU375" s="520">
        <v>100.0</v>
      </c>
      <c r="DX375" s="530"/>
    </row>
    <row r="376" hidden="1">
      <c r="A376" s="531"/>
      <c r="DS376" s="520" t="s">
        <v>314</v>
      </c>
      <c r="DT376" s="574">
        <f>DA375</f>
        <v>-277.08</v>
      </c>
      <c r="DU376" s="520">
        <v>200.0</v>
      </c>
      <c r="DW376" s="574">
        <f>DF375</f>
        <v>102.31</v>
      </c>
      <c r="DX376" s="510">
        <v>100.0</v>
      </c>
    </row>
    <row r="377">
      <c r="A377" s="551" t="s">
        <v>404</v>
      </c>
      <c r="DX377" s="530"/>
    </row>
    <row r="378" hidden="1">
      <c r="A378" s="500" t="s">
        <v>2</v>
      </c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  <c r="AT378" s="118"/>
      <c r="AU378" s="118"/>
      <c r="AV378" s="118"/>
      <c r="AW378" s="118"/>
      <c r="AX378" s="118"/>
      <c r="AY378" s="118"/>
      <c r="AZ378" s="118"/>
      <c r="BA378" s="118"/>
      <c r="BB378" s="118"/>
      <c r="BC378" s="118"/>
      <c r="BD378" s="118"/>
      <c r="BE378" s="118"/>
      <c r="BF378" s="118"/>
      <c r="BG378" s="118"/>
      <c r="BH378" s="118"/>
      <c r="BI378" s="118"/>
      <c r="BJ378" s="118"/>
      <c r="BK378" s="118"/>
      <c r="BL378" s="118"/>
      <c r="BM378" s="118"/>
      <c r="BN378" s="118"/>
      <c r="BO378" s="118"/>
      <c r="BP378" s="118"/>
      <c r="BQ378" s="118"/>
      <c r="BR378" s="118"/>
      <c r="BS378" s="118"/>
      <c r="BT378" s="118"/>
      <c r="BU378" s="118"/>
      <c r="BV378" s="118"/>
      <c r="BW378" s="118"/>
      <c r="BX378" s="118"/>
      <c r="BY378" s="118"/>
      <c r="BZ378" s="118"/>
      <c r="CA378" s="118"/>
      <c r="CB378" s="118"/>
      <c r="CC378" s="118"/>
      <c r="CD378" s="118"/>
      <c r="CE378" s="118"/>
      <c r="CF378" s="118"/>
      <c r="CG378" s="118"/>
      <c r="CH378" s="118"/>
      <c r="CI378" s="118"/>
      <c r="CJ378" s="118"/>
      <c r="CK378" s="118"/>
      <c r="CL378" s="118"/>
      <c r="CM378" s="118"/>
      <c r="CN378" s="546" t="s">
        <v>351</v>
      </c>
      <c r="CO378" s="546" t="s">
        <v>353</v>
      </c>
      <c r="CP378" s="546" t="s">
        <v>353</v>
      </c>
      <c r="CQ378" s="546" t="s">
        <v>351</v>
      </c>
      <c r="CR378" s="546" t="s">
        <v>360</v>
      </c>
      <c r="CS378" s="546" t="s">
        <v>319</v>
      </c>
      <c r="CT378" s="546" t="s">
        <v>319</v>
      </c>
      <c r="CU378" s="546" t="s">
        <v>351</v>
      </c>
      <c r="CV378" s="546" t="s">
        <v>351</v>
      </c>
      <c r="CW378" s="546" t="s">
        <v>318</v>
      </c>
      <c r="CX378" s="546" t="s">
        <v>318</v>
      </c>
      <c r="CY378" s="546" t="s">
        <v>351</v>
      </c>
      <c r="CZ378" s="546" t="s">
        <v>351</v>
      </c>
      <c r="DA378" s="546" t="s">
        <v>318</v>
      </c>
      <c r="DB378" s="546" t="s">
        <v>318</v>
      </c>
      <c r="DC378" s="546" t="s">
        <v>351</v>
      </c>
      <c r="DD378" s="546" t="s">
        <v>360</v>
      </c>
      <c r="DE378" s="546" t="s">
        <v>395</v>
      </c>
      <c r="DF378" s="546" t="s">
        <v>318</v>
      </c>
      <c r="DG378" s="546" t="s">
        <v>351</v>
      </c>
      <c r="DH378" s="546" t="s">
        <v>351</v>
      </c>
      <c r="DI378" s="546" t="s">
        <v>405</v>
      </c>
      <c r="DJ378" s="546" t="s">
        <v>405</v>
      </c>
      <c r="DK378" s="546" t="s">
        <v>360</v>
      </c>
      <c r="DL378" s="546" t="s">
        <v>351</v>
      </c>
      <c r="DM378" s="546" t="s">
        <v>405</v>
      </c>
      <c r="DN378" s="546" t="s">
        <v>405</v>
      </c>
      <c r="DO378" s="546" t="s">
        <v>351</v>
      </c>
      <c r="DP378" s="546" t="s">
        <v>406</v>
      </c>
      <c r="DQ378" s="546" t="s">
        <v>405</v>
      </c>
      <c r="DR378" s="599"/>
      <c r="DT378" s="520" t="s">
        <v>384</v>
      </c>
      <c r="DU378" s="520" t="s">
        <v>332</v>
      </c>
      <c r="DW378" s="520" t="s">
        <v>384</v>
      </c>
      <c r="DX378" s="520" t="s">
        <v>332</v>
      </c>
    </row>
    <row r="379" hidden="1">
      <c r="A379" s="502" t="s">
        <v>288</v>
      </c>
      <c r="B379" s="525"/>
      <c r="C379" s="525"/>
      <c r="D379" s="525"/>
      <c r="E379" s="525"/>
      <c r="F379" s="525"/>
      <c r="G379" s="525"/>
      <c r="H379" s="525"/>
      <c r="I379" s="525"/>
      <c r="J379" s="525"/>
      <c r="K379" s="525"/>
      <c r="L379" s="525"/>
      <c r="M379" s="525"/>
      <c r="N379" s="525"/>
      <c r="O379" s="525"/>
      <c r="P379" s="525"/>
      <c r="Q379" s="525"/>
      <c r="R379" s="525"/>
      <c r="S379" s="525"/>
      <c r="T379" s="525"/>
      <c r="U379" s="525"/>
      <c r="V379" s="525"/>
      <c r="W379" s="525"/>
      <c r="X379" s="525"/>
      <c r="Y379" s="525"/>
      <c r="Z379" s="525"/>
      <c r="AA379" s="525"/>
      <c r="AB379" s="525"/>
      <c r="AC379" s="525"/>
      <c r="AD379" s="525"/>
      <c r="AE379" s="525"/>
      <c r="AF379" s="525"/>
      <c r="AG379" s="525"/>
      <c r="AH379" s="525"/>
      <c r="AI379" s="525"/>
      <c r="AJ379" s="525"/>
      <c r="AK379" s="525"/>
      <c r="AL379" s="525"/>
      <c r="AM379" s="525"/>
      <c r="AN379" s="525"/>
      <c r="AO379" s="525"/>
      <c r="AP379" s="525"/>
      <c r="AQ379" s="525"/>
      <c r="AR379" s="525"/>
      <c r="AS379" s="525"/>
      <c r="AT379" s="525"/>
      <c r="AU379" s="525"/>
      <c r="AV379" s="525"/>
      <c r="AW379" s="525"/>
      <c r="AX379" s="525"/>
      <c r="AY379" s="525"/>
      <c r="AZ379" s="525"/>
      <c r="BA379" s="525"/>
      <c r="BB379" s="525"/>
      <c r="BC379" s="525"/>
      <c r="BD379" s="525"/>
      <c r="BE379" s="525"/>
      <c r="BF379" s="525"/>
      <c r="BG379" s="525"/>
      <c r="BH379" s="525"/>
      <c r="BI379" s="525"/>
      <c r="BJ379" s="525"/>
      <c r="BK379" s="541">
        <v>45689.0</v>
      </c>
      <c r="BL379" s="541">
        <v>45690.0</v>
      </c>
      <c r="BM379" s="541">
        <v>45691.0</v>
      </c>
      <c r="BN379" s="541">
        <v>45692.0</v>
      </c>
      <c r="BO379" s="541">
        <v>45693.0</v>
      </c>
      <c r="BP379" s="541">
        <v>45694.0</v>
      </c>
      <c r="BQ379" s="541">
        <v>45695.0</v>
      </c>
      <c r="BR379" s="541">
        <v>45696.0</v>
      </c>
      <c r="BS379" s="541">
        <v>45697.0</v>
      </c>
      <c r="BT379" s="541">
        <v>45698.0</v>
      </c>
      <c r="BU379" s="541">
        <v>45699.0</v>
      </c>
      <c r="BV379" s="541">
        <v>45700.0</v>
      </c>
      <c r="BW379" s="541">
        <v>45701.0</v>
      </c>
      <c r="BX379" s="541">
        <v>45702.0</v>
      </c>
      <c r="BY379" s="541">
        <v>45703.0</v>
      </c>
      <c r="BZ379" s="541">
        <v>45704.0</v>
      </c>
      <c r="CA379" s="541">
        <v>45705.0</v>
      </c>
      <c r="CB379" s="541">
        <v>45706.0</v>
      </c>
      <c r="CC379" s="541">
        <v>45707.0</v>
      </c>
      <c r="CD379" s="541">
        <v>45708.0</v>
      </c>
      <c r="CE379" s="541">
        <v>45709.0</v>
      </c>
      <c r="CF379" s="541">
        <v>45710.0</v>
      </c>
      <c r="CG379" s="541">
        <v>45711.0</v>
      </c>
      <c r="CH379" s="541">
        <v>45712.0</v>
      </c>
      <c r="CI379" s="541">
        <v>45713.0</v>
      </c>
      <c r="CJ379" s="541">
        <v>45714.0</v>
      </c>
      <c r="CK379" s="541">
        <v>45715.0</v>
      </c>
      <c r="CL379" s="541">
        <v>45716.0</v>
      </c>
      <c r="CM379" s="541"/>
      <c r="CN379" s="600">
        <v>46024.0</v>
      </c>
      <c r="CO379" s="600">
        <v>46025.0</v>
      </c>
      <c r="CP379" s="600">
        <v>46026.0</v>
      </c>
      <c r="CQ379" s="600">
        <v>46027.0</v>
      </c>
      <c r="CR379" s="600">
        <v>46028.0</v>
      </c>
      <c r="CS379" s="600">
        <v>46029.0</v>
      </c>
      <c r="CT379" s="600">
        <v>46030.0</v>
      </c>
      <c r="CU379" s="600">
        <v>46031.0</v>
      </c>
      <c r="CV379" s="600">
        <v>46032.0</v>
      </c>
      <c r="CW379" s="600">
        <v>46033.0</v>
      </c>
      <c r="CX379" s="600">
        <v>46034.0</v>
      </c>
      <c r="CY379" s="600">
        <v>46035.0</v>
      </c>
      <c r="CZ379" s="600">
        <v>46036.0</v>
      </c>
      <c r="DA379" s="600">
        <v>46037.0</v>
      </c>
      <c r="DB379" s="600">
        <v>46038.0</v>
      </c>
      <c r="DC379" s="600">
        <v>46039.0</v>
      </c>
      <c r="DD379" s="600">
        <v>46040.0</v>
      </c>
      <c r="DE379" s="600">
        <v>46041.0</v>
      </c>
      <c r="DF379" s="600">
        <v>46042.0</v>
      </c>
      <c r="DG379" s="600">
        <v>46043.0</v>
      </c>
      <c r="DH379" s="600">
        <v>46044.0</v>
      </c>
      <c r="DI379" s="600">
        <v>46045.0</v>
      </c>
      <c r="DJ379" s="600">
        <v>46046.0</v>
      </c>
      <c r="DK379" s="600">
        <v>46047.0</v>
      </c>
      <c r="DL379" s="600">
        <v>46048.0</v>
      </c>
      <c r="DM379" s="600">
        <v>46049.0</v>
      </c>
      <c r="DN379" s="600">
        <v>46050.0</v>
      </c>
      <c r="DO379" s="600">
        <v>46051.0</v>
      </c>
      <c r="DP379" s="600">
        <v>46052.0</v>
      </c>
      <c r="DQ379" s="600">
        <v>46053.0</v>
      </c>
      <c r="DR379" s="544"/>
      <c r="DS379" s="520" t="s">
        <v>308</v>
      </c>
      <c r="DT379" s="574">
        <f>CQ382+CU382+CV382+CY382+CZ382</f>
        <v>195.64</v>
      </c>
      <c r="DU379" s="574">
        <f>100*6</f>
        <v>600</v>
      </c>
      <c r="DW379" s="574">
        <f>DC382+DE382/2+DG382+DH382+DL382+DO382+DP382/2</f>
        <v>246.786</v>
      </c>
      <c r="DX379" s="530">
        <f>100*5</f>
        <v>500</v>
      </c>
    </row>
    <row r="380" hidden="1">
      <c r="A380" s="502" t="s">
        <v>289</v>
      </c>
      <c r="B380" s="525"/>
      <c r="C380" s="525"/>
      <c r="D380" s="525"/>
      <c r="E380" s="525"/>
      <c r="F380" s="525"/>
      <c r="G380" s="525"/>
      <c r="H380" s="525"/>
      <c r="I380" s="525"/>
      <c r="J380" s="525"/>
      <c r="K380" s="525"/>
      <c r="L380" s="525"/>
      <c r="M380" s="525"/>
      <c r="N380" s="525"/>
      <c r="O380" s="525"/>
      <c r="P380" s="525"/>
      <c r="Q380" s="525"/>
      <c r="R380" s="525"/>
      <c r="S380" s="525"/>
      <c r="T380" s="525"/>
      <c r="U380" s="525"/>
      <c r="V380" s="525"/>
      <c r="W380" s="525"/>
      <c r="X380" s="525"/>
      <c r="Y380" s="525"/>
      <c r="Z380" s="525"/>
      <c r="AA380" s="525"/>
      <c r="AB380" s="525"/>
      <c r="AC380" s="525"/>
      <c r="AD380" s="525"/>
      <c r="AE380" s="525"/>
      <c r="AF380" s="525"/>
      <c r="AG380" s="525"/>
      <c r="AH380" s="525"/>
      <c r="AI380" s="525"/>
      <c r="AJ380" s="525"/>
      <c r="AK380" s="525"/>
      <c r="AL380" s="525"/>
      <c r="AM380" s="525"/>
      <c r="AN380" s="525"/>
      <c r="AO380" s="525"/>
      <c r="AP380" s="525"/>
      <c r="AQ380" s="525"/>
      <c r="AR380" s="525"/>
      <c r="AS380" s="525"/>
      <c r="AT380" s="525"/>
      <c r="AU380" s="525"/>
      <c r="AV380" s="525"/>
      <c r="AW380" s="525"/>
      <c r="AX380" s="525"/>
      <c r="AY380" s="525"/>
      <c r="AZ380" s="525"/>
      <c r="BA380" s="525"/>
      <c r="BB380" s="525"/>
      <c r="BC380" s="525"/>
      <c r="BD380" s="525"/>
      <c r="BE380" s="525"/>
      <c r="BF380" s="525"/>
      <c r="BG380" s="525"/>
      <c r="BH380" s="525"/>
      <c r="BI380" s="525"/>
      <c r="BJ380" s="525"/>
      <c r="BK380" s="512">
        <v>67.0</v>
      </c>
      <c r="BL380" s="512">
        <v>133.0</v>
      </c>
      <c r="BM380" s="525"/>
      <c r="BN380" s="512">
        <v>100.0</v>
      </c>
      <c r="BO380" s="512">
        <v>130.0</v>
      </c>
      <c r="BP380" s="512">
        <v>162.0</v>
      </c>
      <c r="BQ380" s="512">
        <v>219.0</v>
      </c>
      <c r="BR380" s="512">
        <v>120.0</v>
      </c>
      <c r="BS380" s="512">
        <v>198.0</v>
      </c>
      <c r="BT380" s="512">
        <v>128.0</v>
      </c>
      <c r="BU380" s="512">
        <v>214.0</v>
      </c>
      <c r="BV380" s="512">
        <v>159.0</v>
      </c>
      <c r="BW380" s="512">
        <v>159.0</v>
      </c>
      <c r="BX380" s="512">
        <v>148.0</v>
      </c>
      <c r="BY380" s="512">
        <v>141.0</v>
      </c>
      <c r="BZ380" s="512">
        <v>125.0</v>
      </c>
      <c r="CA380" s="512">
        <v>160.0</v>
      </c>
      <c r="CB380" s="512">
        <v>188.0</v>
      </c>
      <c r="CC380" s="512">
        <v>189.0</v>
      </c>
      <c r="CD380" s="512">
        <v>177.0</v>
      </c>
      <c r="CE380" s="512">
        <v>175.0</v>
      </c>
      <c r="CF380" s="512">
        <v>172.0</v>
      </c>
      <c r="CG380" s="512">
        <v>204.0</v>
      </c>
      <c r="CH380" s="512">
        <v>198.0</v>
      </c>
      <c r="CI380" s="512">
        <v>163.0</v>
      </c>
      <c r="CJ380" s="512">
        <v>177.0</v>
      </c>
      <c r="CK380" s="512">
        <v>156.0</v>
      </c>
      <c r="CL380" s="512">
        <v>177.0</v>
      </c>
      <c r="CM380" s="512"/>
      <c r="CN380" s="561">
        <v>172.0</v>
      </c>
      <c r="CO380" s="561">
        <v>83.0</v>
      </c>
      <c r="CP380" s="561">
        <v>141.0</v>
      </c>
      <c r="CQ380" s="561">
        <v>118.0</v>
      </c>
      <c r="CR380" s="561">
        <v>165.0</v>
      </c>
      <c r="CS380" s="561">
        <v>114.0</v>
      </c>
      <c r="CT380" s="561">
        <v>164.0</v>
      </c>
      <c r="CU380" s="561">
        <v>143.0</v>
      </c>
      <c r="CV380" s="591">
        <v>123.0</v>
      </c>
      <c r="CW380" s="591">
        <v>93.0</v>
      </c>
      <c r="CX380" s="591">
        <v>123.0</v>
      </c>
      <c r="CY380" s="591">
        <v>156.0</v>
      </c>
      <c r="CZ380" s="591">
        <v>148.0</v>
      </c>
      <c r="DA380" s="591">
        <v>162.0</v>
      </c>
      <c r="DB380" s="561">
        <v>187.0</v>
      </c>
      <c r="DC380" s="561">
        <v>163.0</v>
      </c>
      <c r="DD380" s="561">
        <v>175.0</v>
      </c>
      <c r="DE380" s="561">
        <v>216.0</v>
      </c>
      <c r="DF380" s="561">
        <v>185.0</v>
      </c>
      <c r="DG380" s="561">
        <v>189.0</v>
      </c>
      <c r="DH380" s="561">
        <v>164.0</v>
      </c>
      <c r="DI380" s="561">
        <v>132.0</v>
      </c>
      <c r="DJ380" s="561">
        <v>246.0</v>
      </c>
      <c r="DK380" s="561">
        <v>217.0</v>
      </c>
      <c r="DL380" s="561">
        <v>234.0</v>
      </c>
      <c r="DM380" s="561">
        <v>145.0</v>
      </c>
      <c r="DN380" s="561">
        <v>214.0</v>
      </c>
      <c r="DO380" s="561">
        <v>181.0</v>
      </c>
      <c r="DP380" s="561">
        <v>181.0</v>
      </c>
      <c r="DQ380" s="561">
        <v>161.0</v>
      </c>
      <c r="DR380" s="105"/>
      <c r="DS380" s="520" t="s">
        <v>375</v>
      </c>
      <c r="DT380" s="574">
        <f>CR382</f>
        <v>59.35</v>
      </c>
      <c r="DU380" s="574">
        <f>100</f>
        <v>100</v>
      </c>
      <c r="DW380" s="574">
        <f>DD382+DK382</f>
        <v>105.31</v>
      </c>
      <c r="DX380" s="510">
        <f>300</f>
        <v>300</v>
      </c>
      <c r="DZ380" s="574">
        <f t="shared" ref="DZ380:DZ381" si="27">SUM(CN380:DR380)</f>
        <v>4895</v>
      </c>
      <c r="EA380" s="530">
        <f t="shared" ref="EA380:EA381" si="28">DZ380/31</f>
        <v>157.9032258</v>
      </c>
    </row>
    <row r="381" hidden="1">
      <c r="A381" s="521" t="s">
        <v>290</v>
      </c>
      <c r="B381" s="525"/>
      <c r="C381" s="525"/>
      <c r="D381" s="525"/>
      <c r="E381" s="525"/>
      <c r="F381" s="525"/>
      <c r="G381" s="525"/>
      <c r="H381" s="525"/>
      <c r="I381" s="525"/>
      <c r="J381" s="525"/>
      <c r="K381" s="525"/>
      <c r="L381" s="525"/>
      <c r="M381" s="525"/>
      <c r="N381" s="525"/>
      <c r="O381" s="525"/>
      <c r="P381" s="525"/>
      <c r="Q381" s="525"/>
      <c r="R381" s="525"/>
      <c r="S381" s="525"/>
      <c r="T381" s="525"/>
      <c r="U381" s="525"/>
      <c r="V381" s="525"/>
      <c r="W381" s="525"/>
      <c r="X381" s="525"/>
      <c r="Y381" s="525"/>
      <c r="Z381" s="525"/>
      <c r="AA381" s="525"/>
      <c r="AB381" s="525"/>
      <c r="AC381" s="525"/>
      <c r="AD381" s="525"/>
      <c r="AE381" s="525"/>
      <c r="AF381" s="525"/>
      <c r="AG381" s="525"/>
      <c r="AH381" s="525"/>
      <c r="AI381" s="525"/>
      <c r="AJ381" s="525"/>
      <c r="AK381" s="525"/>
      <c r="AL381" s="525"/>
      <c r="AM381" s="525"/>
      <c r="AN381" s="525"/>
      <c r="AO381" s="525"/>
      <c r="AP381" s="525"/>
      <c r="AQ381" s="525"/>
      <c r="AR381" s="525"/>
      <c r="AS381" s="525"/>
      <c r="AT381" s="525"/>
      <c r="AU381" s="525"/>
      <c r="AV381" s="525"/>
      <c r="AW381" s="525"/>
      <c r="AX381" s="525"/>
      <c r="AY381" s="525"/>
      <c r="AZ381" s="525"/>
      <c r="BA381" s="525"/>
      <c r="BB381" s="525"/>
      <c r="BC381" s="525"/>
      <c r="BD381" s="525"/>
      <c r="BE381" s="525"/>
      <c r="BF381" s="525"/>
      <c r="BG381" s="525"/>
      <c r="BH381" s="525"/>
      <c r="BI381" s="525"/>
      <c r="BJ381" s="525"/>
      <c r="BK381" s="512">
        <v>36.0</v>
      </c>
      <c r="BL381" s="512">
        <v>53.0</v>
      </c>
      <c r="BM381" s="525"/>
      <c r="BN381" s="512">
        <v>40.0</v>
      </c>
      <c r="BO381" s="512">
        <v>50.0</v>
      </c>
      <c r="BP381" s="512">
        <v>56.0</v>
      </c>
      <c r="BQ381" s="512">
        <v>70.0</v>
      </c>
      <c r="BR381" s="512">
        <v>51.0</v>
      </c>
      <c r="BS381" s="512">
        <v>63.0</v>
      </c>
      <c r="BT381" s="512">
        <v>62.0</v>
      </c>
      <c r="BU381" s="512">
        <v>68.0</v>
      </c>
      <c r="BV381" s="512">
        <v>65.0</v>
      </c>
      <c r="BW381" s="512">
        <v>64.0</v>
      </c>
      <c r="BX381" s="512">
        <v>64.0</v>
      </c>
      <c r="BY381" s="512">
        <v>67.0</v>
      </c>
      <c r="BZ381" s="512">
        <v>56.0</v>
      </c>
      <c r="CA381" s="512">
        <v>65.0</v>
      </c>
      <c r="CB381" s="512">
        <v>68.0</v>
      </c>
      <c r="CC381" s="512">
        <v>72.0</v>
      </c>
      <c r="CD381" s="512">
        <v>67.0</v>
      </c>
      <c r="CE381" s="512">
        <v>72.0</v>
      </c>
      <c r="CF381" s="512">
        <v>72.0</v>
      </c>
      <c r="CG381" s="512">
        <v>81.0</v>
      </c>
      <c r="CH381" s="512">
        <v>81.0</v>
      </c>
      <c r="CI381" s="512">
        <v>67.0</v>
      </c>
      <c r="CJ381" s="512">
        <v>64.0</v>
      </c>
      <c r="CK381" s="512">
        <v>66.0</v>
      </c>
      <c r="CL381" s="512">
        <v>58.0</v>
      </c>
      <c r="CM381" s="552">
        <f>SUM(BK381:CL381)/28</f>
        <v>60.64285714</v>
      </c>
      <c r="CN381" s="561">
        <v>71.0</v>
      </c>
      <c r="CO381" s="561">
        <v>52.0</v>
      </c>
      <c r="CP381" s="561">
        <v>58.0</v>
      </c>
      <c r="CQ381" s="561">
        <v>60.0</v>
      </c>
      <c r="CR381" s="561">
        <v>76.0</v>
      </c>
      <c r="CS381" s="561">
        <v>52.0</v>
      </c>
      <c r="CT381" s="561">
        <v>72.0</v>
      </c>
      <c r="CU381" s="561">
        <v>64.0</v>
      </c>
      <c r="CV381" s="591">
        <v>50.0</v>
      </c>
      <c r="CW381" s="591">
        <v>46.0</v>
      </c>
      <c r="CX381" s="591">
        <v>59.0</v>
      </c>
      <c r="CY381" s="591">
        <v>70.0</v>
      </c>
      <c r="CZ381" s="591">
        <v>57.0</v>
      </c>
      <c r="DA381" s="591">
        <v>72.0</v>
      </c>
      <c r="DB381" s="561">
        <v>83.0</v>
      </c>
      <c r="DC381" s="561">
        <v>68.0</v>
      </c>
      <c r="DD381" s="561">
        <v>61.0</v>
      </c>
      <c r="DE381" s="561">
        <v>79.0</v>
      </c>
      <c r="DF381" s="561">
        <v>75.0</v>
      </c>
      <c r="DG381" s="561">
        <v>68.0</v>
      </c>
      <c r="DH381" s="561">
        <v>49.0</v>
      </c>
      <c r="DI381" s="561">
        <v>63.0</v>
      </c>
      <c r="DJ381" s="561">
        <v>79.0</v>
      </c>
      <c r="DK381" s="561">
        <v>93.0</v>
      </c>
      <c r="DL381" s="561">
        <v>84.0</v>
      </c>
      <c r="DM381" s="561"/>
      <c r="DN381" s="561">
        <v>85.0</v>
      </c>
      <c r="DO381" s="561">
        <v>64.0</v>
      </c>
      <c r="DP381" s="561">
        <v>80.0</v>
      </c>
      <c r="DQ381" s="561">
        <v>56.0</v>
      </c>
      <c r="DR381" s="105"/>
      <c r="DS381" s="520" t="s">
        <v>335</v>
      </c>
      <c r="DT381" s="574">
        <f>CS382+CT382</f>
        <v>105.2</v>
      </c>
      <c r="DU381" s="574">
        <f t="shared" ref="DU381:DU382" si="29">100*2</f>
        <v>200</v>
      </c>
      <c r="DW381" s="574">
        <f>DI382+DJ382+DM382+DN382+DQ382</f>
        <v>56.06</v>
      </c>
      <c r="DX381" s="530">
        <f>100*7</f>
        <v>700</v>
      </c>
      <c r="DY381" s="520" t="s">
        <v>407</v>
      </c>
      <c r="DZ381" s="574">
        <f t="shared" si="27"/>
        <v>1946</v>
      </c>
      <c r="EA381" s="530">
        <f t="shared" si="28"/>
        <v>62.77419355</v>
      </c>
    </row>
    <row r="382" hidden="1">
      <c r="A382" s="553" t="s">
        <v>291</v>
      </c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  <c r="AI382" s="529"/>
      <c r="AJ382" s="529"/>
      <c r="AK382" s="529"/>
      <c r="AL382" s="529"/>
      <c r="AM382" s="529"/>
      <c r="AN382" s="529"/>
      <c r="AO382" s="529"/>
      <c r="AP382" s="529"/>
      <c r="AQ382" s="529"/>
      <c r="AR382" s="529"/>
      <c r="AS382" s="529"/>
      <c r="AT382" s="529"/>
      <c r="AU382" s="529"/>
      <c r="AV382" s="529"/>
      <c r="AW382" s="529"/>
      <c r="AX382" s="529"/>
      <c r="AY382" s="529"/>
      <c r="AZ382" s="529"/>
      <c r="BA382" s="529"/>
      <c r="BB382" s="529"/>
      <c r="BC382" s="529"/>
      <c r="BD382" s="529"/>
      <c r="BE382" s="529"/>
      <c r="BF382" s="529"/>
      <c r="BG382" s="529"/>
      <c r="BH382" s="529"/>
      <c r="BI382" s="529"/>
      <c r="BJ382" s="529"/>
      <c r="BK382" s="529">
        <v>22.22</v>
      </c>
      <c r="BL382" s="529">
        <v>34.11</v>
      </c>
      <c r="BM382" s="529">
        <v>-190.84</v>
      </c>
      <c r="BN382" s="529">
        <v>38.2</v>
      </c>
      <c r="BO382" s="529">
        <v>33.08</v>
      </c>
      <c r="BP382" s="529">
        <v>48.91</v>
      </c>
      <c r="BQ382" s="529">
        <v>44.55</v>
      </c>
      <c r="BR382" s="529">
        <v>30.32</v>
      </c>
      <c r="BS382" s="529">
        <v>-78.02</v>
      </c>
      <c r="BT382" s="529">
        <v>49.19</v>
      </c>
      <c r="BU382" s="529">
        <v>51.41</v>
      </c>
      <c r="BV382" s="529">
        <v>53.58</v>
      </c>
      <c r="BW382" s="529">
        <v>51.03</v>
      </c>
      <c r="BX382" s="529">
        <v>39.79</v>
      </c>
      <c r="BY382" s="529">
        <v>43.96</v>
      </c>
      <c r="BZ382" s="529">
        <v>43.84</v>
      </c>
      <c r="CA382" s="550">
        <v>45.98</v>
      </c>
      <c r="CB382" s="550">
        <v>40.67</v>
      </c>
      <c r="CC382" s="550">
        <v>47.82</v>
      </c>
      <c r="CD382" s="550">
        <v>63.99</v>
      </c>
      <c r="CE382" s="550">
        <v>-209.27</v>
      </c>
      <c r="CF382" s="550">
        <v>73.03</v>
      </c>
      <c r="CG382" s="550">
        <v>65.24</v>
      </c>
      <c r="CH382" s="550">
        <v>-52.31</v>
      </c>
      <c r="CI382" s="550">
        <v>55.56</v>
      </c>
      <c r="CJ382" s="550">
        <v>37.49</v>
      </c>
      <c r="CK382" s="550">
        <v>42.2</v>
      </c>
      <c r="CL382" s="537">
        <v>57.35</v>
      </c>
      <c r="CM382" s="554"/>
      <c r="CN382" s="537"/>
      <c r="CO382" s="537">
        <v>17.29</v>
      </c>
      <c r="CP382" s="537">
        <v>45.61</v>
      </c>
      <c r="CQ382" s="537">
        <v>12.93</v>
      </c>
      <c r="CR382" s="537">
        <v>59.35</v>
      </c>
      <c r="CS382" s="537">
        <v>75.29</v>
      </c>
      <c r="CT382" s="537">
        <v>29.91</v>
      </c>
      <c r="CU382" s="537">
        <v>65.43</v>
      </c>
      <c r="CV382" s="536">
        <v>15.25</v>
      </c>
      <c r="CW382" s="593">
        <v>46.02</v>
      </c>
      <c r="CX382" s="593">
        <v>46.28</v>
      </c>
      <c r="CY382" s="593">
        <v>64.23</v>
      </c>
      <c r="CZ382" s="593">
        <v>37.8</v>
      </c>
      <c r="DA382" s="593">
        <v>36.98</v>
      </c>
      <c r="DB382" s="537">
        <v>-95.46</v>
      </c>
      <c r="DC382" s="537">
        <v>45.82</v>
      </c>
      <c r="DD382" s="537">
        <v>68.47</v>
      </c>
      <c r="DE382" s="537">
        <v>39.79</v>
      </c>
      <c r="DF382" s="537">
        <v>35.77</v>
      </c>
      <c r="DG382" s="537">
        <v>43.72</v>
      </c>
      <c r="DH382" s="537">
        <v>44.59</v>
      </c>
      <c r="DI382" s="537">
        <v>22.23</v>
      </c>
      <c r="DJ382" s="537">
        <v>75.58</v>
      </c>
      <c r="DK382" s="537">
        <v>36.84</v>
      </c>
      <c r="DL382" s="537">
        <v>41.711</v>
      </c>
      <c r="DM382" s="537">
        <v>40.98</v>
      </c>
      <c r="DN382" s="537">
        <v>25.25</v>
      </c>
      <c r="DO382" s="537">
        <v>37.48</v>
      </c>
      <c r="DP382" s="537">
        <v>27.14</v>
      </c>
      <c r="DQ382" s="537">
        <v>-107.98</v>
      </c>
      <c r="DR382" s="594"/>
      <c r="DS382" s="520" t="s">
        <v>339</v>
      </c>
      <c r="DT382" s="574">
        <f>CX382+CW382+DA382</f>
        <v>129.28</v>
      </c>
      <c r="DU382" s="574">
        <f t="shared" si="29"/>
        <v>200</v>
      </c>
      <c r="DW382" s="574">
        <f>DB382+DF382</f>
        <v>-59.69</v>
      </c>
      <c r="DX382" s="510">
        <v>200.0</v>
      </c>
    </row>
    <row r="383" hidden="1">
      <c r="A383" s="531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  <c r="AT383" s="118"/>
      <c r="AU383" s="118"/>
      <c r="AV383" s="118"/>
      <c r="AW383" s="118"/>
      <c r="AX383" s="118"/>
      <c r="AY383" s="118"/>
      <c r="AZ383" s="118"/>
      <c r="BA383" s="118"/>
      <c r="BB383" s="118"/>
      <c r="BC383" s="118"/>
      <c r="BD383" s="118"/>
      <c r="BE383" s="118"/>
      <c r="BF383" s="118"/>
      <c r="BG383" s="118"/>
      <c r="BH383" s="118"/>
      <c r="BI383" s="118"/>
      <c r="BJ383" s="118"/>
      <c r="BK383" s="118"/>
      <c r="BL383" s="118"/>
      <c r="BM383" s="118"/>
      <c r="BN383" s="118"/>
      <c r="BO383" s="118"/>
      <c r="BP383" s="118"/>
      <c r="BQ383" s="118"/>
      <c r="BR383" s="118"/>
      <c r="BS383" s="118"/>
      <c r="BT383" s="118"/>
      <c r="BU383" s="118"/>
      <c r="BV383" s="118"/>
      <c r="BW383" s="118"/>
      <c r="BX383" s="118"/>
      <c r="BY383" s="118"/>
      <c r="BZ383" s="118"/>
      <c r="CA383" s="118"/>
      <c r="CB383" s="118"/>
      <c r="CC383" s="118"/>
      <c r="CD383" s="118"/>
      <c r="CE383" s="118"/>
      <c r="CF383" s="118"/>
      <c r="CG383" s="118"/>
      <c r="CH383" s="118"/>
      <c r="CI383" s="118"/>
      <c r="CJ383" s="118"/>
      <c r="CK383" s="118"/>
      <c r="CL383" s="118"/>
      <c r="CM383" s="499"/>
      <c r="CN383" s="118"/>
      <c r="CO383" s="546"/>
      <c r="CP383" s="594"/>
      <c r="CQ383" s="118"/>
      <c r="CR383" s="546"/>
      <c r="CS383" s="118"/>
      <c r="CT383" s="118"/>
      <c r="CU383" s="546"/>
      <c r="CV383" s="577"/>
      <c r="CW383" s="577"/>
      <c r="CX383" s="577"/>
      <c r="CY383" s="577"/>
      <c r="CZ383" s="577"/>
      <c r="DA383" s="577"/>
      <c r="DB383" s="118"/>
      <c r="DC383" s="118"/>
      <c r="DD383" s="118"/>
      <c r="DE383" s="118"/>
      <c r="DF383" s="118"/>
      <c r="DG383" s="118"/>
      <c r="DH383" s="118"/>
      <c r="DI383" s="118"/>
      <c r="DJ383" s="118"/>
      <c r="DK383" s="118"/>
      <c r="DL383" s="118"/>
      <c r="DM383" s="118"/>
      <c r="DN383" s="118"/>
      <c r="DO383" s="118"/>
      <c r="DP383" s="118"/>
      <c r="DQ383" s="118"/>
      <c r="DR383" s="118"/>
      <c r="DS383" s="520" t="s">
        <v>314</v>
      </c>
      <c r="DT383" s="574">
        <f>CP382+CO382</f>
        <v>62.9</v>
      </c>
      <c r="DU383" s="574">
        <f>100</f>
        <v>100</v>
      </c>
      <c r="DX383" s="530"/>
    </row>
    <row r="384" hidden="1">
      <c r="A384" s="531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  <c r="AT384" s="118"/>
      <c r="AU384" s="118"/>
      <c r="AV384" s="118"/>
      <c r="AW384" s="118"/>
      <c r="AX384" s="118"/>
      <c r="AY384" s="118"/>
      <c r="AZ384" s="118"/>
      <c r="BA384" s="118"/>
      <c r="BB384" s="118"/>
      <c r="BC384" s="118"/>
      <c r="BD384" s="118"/>
      <c r="BE384" s="118"/>
      <c r="BF384" s="118"/>
      <c r="BG384" s="118"/>
      <c r="BH384" s="118"/>
      <c r="BI384" s="118"/>
      <c r="BJ384" s="118"/>
      <c r="BK384" s="118"/>
      <c r="BL384" s="118"/>
      <c r="BM384" s="118"/>
      <c r="BN384" s="118"/>
      <c r="BO384" s="118"/>
      <c r="BP384" s="118"/>
      <c r="BQ384" s="118"/>
      <c r="BR384" s="118"/>
      <c r="BS384" s="118"/>
      <c r="BT384" s="118"/>
      <c r="BU384" s="118"/>
      <c r="BV384" s="118"/>
      <c r="BW384" s="118"/>
      <c r="BX384" s="118"/>
      <c r="BY384" s="118"/>
      <c r="BZ384" s="118"/>
      <c r="CA384" s="118"/>
      <c r="CB384" s="118"/>
      <c r="CC384" s="118"/>
      <c r="CD384" s="118"/>
      <c r="CE384" s="118"/>
      <c r="CF384" s="118"/>
      <c r="CG384" s="118"/>
      <c r="CH384" s="118"/>
      <c r="CI384" s="118"/>
      <c r="CJ384" s="118"/>
      <c r="CK384" s="118"/>
      <c r="CL384" s="118"/>
      <c r="CM384" s="499"/>
      <c r="CN384" s="118"/>
      <c r="CO384" s="118"/>
      <c r="CP384" s="118"/>
      <c r="CQ384" s="118"/>
      <c r="CR384" s="118"/>
      <c r="CS384" s="118"/>
      <c r="CT384" s="118"/>
      <c r="CU384" s="118"/>
      <c r="CV384" s="577"/>
      <c r="CW384" s="577"/>
      <c r="CX384" s="577"/>
      <c r="CY384" s="577"/>
      <c r="CZ384" s="577"/>
      <c r="DA384" s="577"/>
      <c r="DB384" s="118"/>
      <c r="DC384" s="118"/>
      <c r="DD384" s="118"/>
      <c r="DE384" s="118"/>
      <c r="DF384" s="118"/>
      <c r="DG384" s="118"/>
      <c r="DH384" s="118"/>
      <c r="DI384" s="118"/>
      <c r="DJ384" s="118"/>
      <c r="DK384" s="118"/>
      <c r="DL384" s="118"/>
      <c r="DM384" s="118"/>
      <c r="DN384" s="118"/>
      <c r="DO384" s="118"/>
      <c r="DP384" s="118"/>
      <c r="DQ384" s="118"/>
      <c r="DR384" s="118"/>
      <c r="DX384" s="530"/>
    </row>
    <row r="385" hidden="1">
      <c r="A385" s="500" t="s">
        <v>8</v>
      </c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  <c r="AT385" s="118"/>
      <c r="AU385" s="118"/>
      <c r="AV385" s="118"/>
      <c r="AW385" s="118"/>
      <c r="AX385" s="118"/>
      <c r="AY385" s="118"/>
      <c r="AZ385" s="118"/>
      <c r="BA385" s="118"/>
      <c r="BB385" s="118"/>
      <c r="BC385" s="118"/>
      <c r="BD385" s="118"/>
      <c r="BE385" s="118"/>
      <c r="BF385" s="118"/>
      <c r="BG385" s="118"/>
      <c r="BH385" s="118"/>
      <c r="BI385" s="118"/>
      <c r="BJ385" s="118"/>
      <c r="BK385" s="118"/>
      <c r="BL385" s="118"/>
      <c r="BM385" s="118"/>
      <c r="BN385" s="118"/>
      <c r="BO385" s="118"/>
      <c r="BP385" s="118"/>
      <c r="BQ385" s="118"/>
      <c r="BR385" s="118"/>
      <c r="BS385" s="118"/>
      <c r="BT385" s="118"/>
      <c r="BU385" s="118"/>
      <c r="BV385" s="118"/>
      <c r="BW385" s="118"/>
      <c r="BX385" s="118"/>
      <c r="BY385" s="118"/>
      <c r="BZ385" s="118"/>
      <c r="CA385" s="118"/>
      <c r="CB385" s="118"/>
      <c r="CC385" s="118"/>
      <c r="CD385" s="118"/>
      <c r="CE385" s="118"/>
      <c r="CF385" s="118"/>
      <c r="CG385" s="118"/>
      <c r="CH385" s="118"/>
      <c r="CI385" s="118"/>
      <c r="CJ385" s="118"/>
      <c r="CK385" s="118"/>
      <c r="CL385" s="118"/>
      <c r="CM385" s="499"/>
      <c r="CN385" s="546" t="s">
        <v>355</v>
      </c>
      <c r="CO385" s="546" t="s">
        <v>355</v>
      </c>
      <c r="CP385" s="546" t="s">
        <v>370</v>
      </c>
      <c r="CQ385" s="546" t="s">
        <v>370</v>
      </c>
      <c r="CR385" s="546" t="s">
        <v>355</v>
      </c>
      <c r="CS385" s="546" t="s">
        <v>353</v>
      </c>
      <c r="CT385" s="546" t="s">
        <v>355</v>
      </c>
      <c r="CU385" s="546" t="s">
        <v>370</v>
      </c>
      <c r="CV385" s="546" t="s">
        <v>370</v>
      </c>
      <c r="CW385" s="546" t="s">
        <v>355</v>
      </c>
      <c r="CX385" s="546" t="s">
        <v>355</v>
      </c>
      <c r="CY385" s="546" t="s">
        <v>355</v>
      </c>
      <c r="CZ385" s="546" t="s">
        <v>408</v>
      </c>
      <c r="DA385" s="546" t="s">
        <v>370</v>
      </c>
      <c r="DB385" s="546" t="s">
        <v>370</v>
      </c>
      <c r="DC385" s="546" t="s">
        <v>355</v>
      </c>
      <c r="DD385" s="546" t="s">
        <v>355</v>
      </c>
      <c r="DE385" s="546" t="s">
        <v>355</v>
      </c>
      <c r="DF385" s="546" t="s">
        <v>370</v>
      </c>
      <c r="DG385" s="546" t="s">
        <v>370</v>
      </c>
      <c r="DH385" s="546" t="s">
        <v>355</v>
      </c>
      <c r="DI385" s="546" t="s">
        <v>355</v>
      </c>
      <c r="DJ385" s="546" t="s">
        <v>355</v>
      </c>
      <c r="DK385" s="546" t="s">
        <v>370</v>
      </c>
      <c r="DL385" s="546" t="s">
        <v>355</v>
      </c>
      <c r="DM385" s="546" t="s">
        <v>355</v>
      </c>
      <c r="DN385" s="546" t="s">
        <v>318</v>
      </c>
      <c r="DO385" s="546" t="s">
        <v>318</v>
      </c>
      <c r="DP385" s="546" t="s">
        <v>370</v>
      </c>
      <c r="DQ385" s="546" t="s">
        <v>355</v>
      </c>
      <c r="DR385" s="546"/>
      <c r="DT385" s="520" t="s">
        <v>384</v>
      </c>
      <c r="DU385" s="520" t="s">
        <v>332</v>
      </c>
      <c r="DW385" s="520" t="s">
        <v>384</v>
      </c>
      <c r="DX385" s="520" t="s">
        <v>332</v>
      </c>
    </row>
    <row r="386" hidden="1">
      <c r="A386" s="502" t="s">
        <v>288</v>
      </c>
      <c r="B386" s="525"/>
      <c r="C386" s="525"/>
      <c r="D386" s="525"/>
      <c r="E386" s="525"/>
      <c r="F386" s="525"/>
      <c r="G386" s="525"/>
      <c r="H386" s="525"/>
      <c r="I386" s="525"/>
      <c r="J386" s="525"/>
      <c r="K386" s="525"/>
      <c r="L386" s="525"/>
      <c r="M386" s="525"/>
      <c r="N386" s="525"/>
      <c r="O386" s="525"/>
      <c r="P386" s="525"/>
      <c r="Q386" s="525"/>
      <c r="R386" s="525"/>
      <c r="S386" s="525"/>
      <c r="T386" s="525"/>
      <c r="U386" s="525"/>
      <c r="V386" s="525"/>
      <c r="W386" s="525"/>
      <c r="X386" s="525"/>
      <c r="Y386" s="525"/>
      <c r="Z386" s="525"/>
      <c r="AA386" s="525"/>
      <c r="AB386" s="525"/>
      <c r="AC386" s="525"/>
      <c r="AD386" s="525"/>
      <c r="AE386" s="525"/>
      <c r="AF386" s="525"/>
      <c r="AG386" s="525"/>
      <c r="AH386" s="525"/>
      <c r="AI386" s="525"/>
      <c r="AJ386" s="525"/>
      <c r="AK386" s="525"/>
      <c r="AL386" s="525"/>
      <c r="AM386" s="525"/>
      <c r="AN386" s="525"/>
      <c r="AO386" s="525"/>
      <c r="AP386" s="525"/>
      <c r="AQ386" s="525"/>
      <c r="AR386" s="525"/>
      <c r="AS386" s="525"/>
      <c r="AT386" s="525"/>
      <c r="AU386" s="525"/>
      <c r="AV386" s="525"/>
      <c r="AW386" s="525"/>
      <c r="AX386" s="525"/>
      <c r="AY386" s="525"/>
      <c r="AZ386" s="525"/>
      <c r="BA386" s="525"/>
      <c r="BB386" s="525"/>
      <c r="BC386" s="525"/>
      <c r="BD386" s="525"/>
      <c r="BE386" s="525"/>
      <c r="BF386" s="525"/>
      <c r="BG386" s="525"/>
      <c r="BH386" s="525"/>
      <c r="BI386" s="525"/>
      <c r="BJ386" s="525"/>
      <c r="BK386" s="541">
        <v>45689.0</v>
      </c>
      <c r="BL386" s="503">
        <v>45690.0</v>
      </c>
      <c r="BM386" s="503">
        <v>45691.0</v>
      </c>
      <c r="BN386" s="541">
        <v>45692.0</v>
      </c>
      <c r="BO386" s="541">
        <v>45693.0</v>
      </c>
      <c r="BP386" s="541">
        <v>45694.0</v>
      </c>
      <c r="BQ386" s="541">
        <v>45695.0</v>
      </c>
      <c r="BR386" s="541">
        <v>45696.0</v>
      </c>
      <c r="BS386" s="541">
        <v>45697.0</v>
      </c>
      <c r="BT386" s="541">
        <v>45698.0</v>
      </c>
      <c r="BU386" s="541">
        <v>45699.0</v>
      </c>
      <c r="BV386" s="541">
        <v>45700.0</v>
      </c>
      <c r="BW386" s="541">
        <v>45701.0</v>
      </c>
      <c r="BX386" s="541">
        <v>45702.0</v>
      </c>
      <c r="BY386" s="541">
        <v>45703.0</v>
      </c>
      <c r="BZ386" s="541">
        <v>45704.0</v>
      </c>
      <c r="CA386" s="541">
        <v>45705.0</v>
      </c>
      <c r="CB386" s="541">
        <v>45706.0</v>
      </c>
      <c r="CC386" s="541">
        <v>45707.0</v>
      </c>
      <c r="CD386" s="541">
        <v>45708.0</v>
      </c>
      <c r="CE386" s="541">
        <v>45709.0</v>
      </c>
      <c r="CF386" s="541">
        <v>45710.0</v>
      </c>
      <c r="CG386" s="541">
        <v>45711.0</v>
      </c>
      <c r="CH386" s="541">
        <v>45712.0</v>
      </c>
      <c r="CI386" s="541">
        <v>45713.0</v>
      </c>
      <c r="CJ386" s="541">
        <v>45714.0</v>
      </c>
      <c r="CK386" s="541">
        <v>45715.0</v>
      </c>
      <c r="CL386" s="541">
        <v>45716.0</v>
      </c>
      <c r="CM386" s="552"/>
      <c r="CN386" s="600">
        <v>46024.0</v>
      </c>
      <c r="CO386" s="600">
        <v>46025.0</v>
      </c>
      <c r="CP386" s="600">
        <v>46026.0</v>
      </c>
      <c r="CQ386" s="600">
        <v>46027.0</v>
      </c>
      <c r="CR386" s="600">
        <v>46028.0</v>
      </c>
      <c r="CS386" s="600">
        <v>46029.0</v>
      </c>
      <c r="CT386" s="600">
        <v>46030.0</v>
      </c>
      <c r="CU386" s="600">
        <v>46031.0</v>
      </c>
      <c r="CV386" s="600">
        <v>46032.0</v>
      </c>
      <c r="CW386" s="600">
        <v>46033.0</v>
      </c>
      <c r="CX386" s="600">
        <v>46034.0</v>
      </c>
      <c r="CY386" s="600">
        <v>46035.0</v>
      </c>
      <c r="CZ386" s="600">
        <v>46036.0</v>
      </c>
      <c r="DA386" s="600">
        <v>46037.0</v>
      </c>
      <c r="DB386" s="600">
        <v>46038.0</v>
      </c>
      <c r="DC386" s="600">
        <v>46039.0</v>
      </c>
      <c r="DD386" s="600">
        <v>46040.0</v>
      </c>
      <c r="DE386" s="600">
        <v>46041.0</v>
      </c>
      <c r="DF386" s="600">
        <v>46042.0</v>
      </c>
      <c r="DG386" s="600">
        <v>46043.0</v>
      </c>
      <c r="DH386" s="600">
        <v>46044.0</v>
      </c>
      <c r="DI386" s="600">
        <v>46045.0</v>
      </c>
      <c r="DJ386" s="600">
        <v>46046.0</v>
      </c>
      <c r="DK386" s="600">
        <v>46047.0</v>
      </c>
      <c r="DL386" s="600">
        <v>46048.0</v>
      </c>
      <c r="DM386" s="600">
        <v>46049.0</v>
      </c>
      <c r="DN386" s="600">
        <v>46050.0</v>
      </c>
      <c r="DO386" s="600">
        <v>46051.0</v>
      </c>
      <c r="DP386" s="600">
        <v>46052.0</v>
      </c>
      <c r="DQ386" s="600">
        <v>46053.0</v>
      </c>
      <c r="DR386" s="544"/>
      <c r="DS386" s="520" t="s">
        <v>374</v>
      </c>
      <c r="DT386" s="574">
        <f>CP389+CQ389+CU389+CV389+DA389+100</f>
        <v>398.53</v>
      </c>
      <c r="DU386" s="574">
        <f>100*7</f>
        <v>700</v>
      </c>
      <c r="DW386" s="574">
        <f>DP389+DK389+DG389+DF389+DB389</f>
        <v>382.94</v>
      </c>
      <c r="DX386" s="510">
        <v>1100.0</v>
      </c>
      <c r="DZ386" s="574">
        <f t="shared" ref="DZ386:DZ387" si="30">SUM(CN387:DR387)</f>
        <v>7142</v>
      </c>
      <c r="EA386" s="530">
        <f t="shared" ref="EA386:EA387" si="31">DZ386/31</f>
        <v>230.3870968</v>
      </c>
    </row>
    <row r="387" hidden="1">
      <c r="A387" s="502" t="s">
        <v>289</v>
      </c>
      <c r="B387" s="525"/>
      <c r="C387" s="525"/>
      <c r="D387" s="525"/>
      <c r="E387" s="525"/>
      <c r="F387" s="525"/>
      <c r="G387" s="525"/>
      <c r="H387" s="525"/>
      <c r="I387" s="525"/>
      <c r="J387" s="525"/>
      <c r="K387" s="525"/>
      <c r="L387" s="525"/>
      <c r="M387" s="525"/>
      <c r="N387" s="525"/>
      <c r="O387" s="525"/>
      <c r="P387" s="525"/>
      <c r="Q387" s="525"/>
      <c r="R387" s="525"/>
      <c r="S387" s="525"/>
      <c r="T387" s="525"/>
      <c r="U387" s="525"/>
      <c r="V387" s="525"/>
      <c r="W387" s="525"/>
      <c r="X387" s="525"/>
      <c r="Y387" s="525"/>
      <c r="Z387" s="525"/>
      <c r="AA387" s="525"/>
      <c r="AB387" s="525"/>
      <c r="AC387" s="525"/>
      <c r="AD387" s="525"/>
      <c r="AE387" s="525"/>
      <c r="AF387" s="525"/>
      <c r="AG387" s="525"/>
      <c r="AH387" s="525"/>
      <c r="AI387" s="525"/>
      <c r="AJ387" s="525"/>
      <c r="AK387" s="525"/>
      <c r="AL387" s="525"/>
      <c r="AM387" s="525"/>
      <c r="AN387" s="525"/>
      <c r="AO387" s="525"/>
      <c r="AP387" s="525"/>
      <c r="AQ387" s="525"/>
      <c r="AR387" s="525"/>
      <c r="AS387" s="525"/>
      <c r="AT387" s="525"/>
      <c r="AU387" s="525"/>
      <c r="AV387" s="525"/>
      <c r="AW387" s="525"/>
      <c r="AX387" s="525"/>
      <c r="AY387" s="525"/>
      <c r="AZ387" s="525"/>
      <c r="BA387" s="525"/>
      <c r="BB387" s="525"/>
      <c r="BC387" s="525"/>
      <c r="BD387" s="525"/>
      <c r="BE387" s="525"/>
      <c r="BF387" s="525"/>
      <c r="BG387" s="525"/>
      <c r="BH387" s="525"/>
      <c r="BI387" s="525"/>
      <c r="BJ387" s="525"/>
      <c r="BK387" s="525"/>
      <c r="BL387" s="518">
        <v>196.0</v>
      </c>
      <c r="BM387" s="518">
        <v>147.0</v>
      </c>
      <c r="BN387" s="525"/>
      <c r="BO387" s="525"/>
      <c r="BP387" s="512">
        <v>193.0</v>
      </c>
      <c r="BQ387" s="512">
        <v>202.0</v>
      </c>
      <c r="BR387" s="512">
        <v>239.0</v>
      </c>
      <c r="BS387" s="525"/>
      <c r="BT387" s="512">
        <v>181.0</v>
      </c>
      <c r="BU387" s="525"/>
      <c r="BV387" s="512">
        <v>292.0</v>
      </c>
      <c r="BW387" s="512">
        <v>258.0</v>
      </c>
      <c r="BX387" s="512">
        <v>267.0</v>
      </c>
      <c r="BY387" s="512">
        <v>214.0</v>
      </c>
      <c r="BZ387" s="512">
        <v>234.0</v>
      </c>
      <c r="CA387" s="512">
        <v>271.0</v>
      </c>
      <c r="CB387" s="512">
        <v>222.0</v>
      </c>
      <c r="CC387" s="512">
        <v>298.0</v>
      </c>
      <c r="CD387" s="512">
        <v>290.0</v>
      </c>
      <c r="CE387" s="512">
        <v>261.0</v>
      </c>
      <c r="CF387" s="512">
        <v>274.0</v>
      </c>
      <c r="CG387" s="512">
        <v>285.0</v>
      </c>
      <c r="CH387" s="512">
        <v>196.0</v>
      </c>
      <c r="CI387" s="512">
        <v>198.0</v>
      </c>
      <c r="CJ387" s="512">
        <v>274.0</v>
      </c>
      <c r="CK387" s="512">
        <v>197.0</v>
      </c>
      <c r="CL387" s="512">
        <v>246.0</v>
      </c>
      <c r="CM387" s="552"/>
      <c r="CN387" s="561">
        <v>270.0</v>
      </c>
      <c r="CO387" s="561">
        <v>156.0</v>
      </c>
      <c r="CP387" s="561">
        <v>199.0</v>
      </c>
      <c r="CQ387" s="561">
        <v>199.0</v>
      </c>
      <c r="CR387" s="561">
        <v>207.0</v>
      </c>
      <c r="CS387" s="561">
        <v>188.0</v>
      </c>
      <c r="CT387" s="561">
        <v>259.0</v>
      </c>
      <c r="CU387" s="561">
        <v>234.0</v>
      </c>
      <c r="CV387" s="591">
        <v>187.0</v>
      </c>
      <c r="CW387" s="591">
        <v>181.0</v>
      </c>
      <c r="CX387" s="591">
        <v>144.0</v>
      </c>
      <c r="CY387" s="591">
        <v>292.0</v>
      </c>
      <c r="CZ387" s="591">
        <v>252.0</v>
      </c>
      <c r="DA387" s="591">
        <v>192.0</v>
      </c>
      <c r="DB387" s="561">
        <v>292.0</v>
      </c>
      <c r="DC387" s="561">
        <v>269.0</v>
      </c>
      <c r="DD387" s="561">
        <v>187.0</v>
      </c>
      <c r="DE387" s="561">
        <v>231.0</v>
      </c>
      <c r="DF387" s="561">
        <v>232.0</v>
      </c>
      <c r="DG387" s="561">
        <v>224.0</v>
      </c>
      <c r="DH387" s="561">
        <v>278.0</v>
      </c>
      <c r="DI387" s="561">
        <v>295.0</v>
      </c>
      <c r="DJ387" s="561">
        <v>278.0</v>
      </c>
      <c r="DK387" s="513">
        <v>366.0</v>
      </c>
      <c r="DL387" s="561">
        <v>256.0</v>
      </c>
      <c r="DM387" s="512">
        <v>242.0</v>
      </c>
      <c r="DN387" s="561">
        <v>271.0</v>
      </c>
      <c r="DO387" s="561">
        <v>245.0</v>
      </c>
      <c r="DP387" s="561">
        <v>264.0</v>
      </c>
      <c r="DQ387" s="561">
        <v>252.0</v>
      </c>
      <c r="DR387" s="105"/>
      <c r="DS387" s="520" t="s">
        <v>409</v>
      </c>
      <c r="DT387" s="574">
        <f>100+CY389+CX389+CW389+CT389+CR389+CO389</f>
        <v>564.51</v>
      </c>
      <c r="DU387" s="574">
        <f>1200</f>
        <v>1200</v>
      </c>
      <c r="DW387" s="574">
        <f>DQ389+DM389+DL389+DJ389+DI389+DH389+DE389+DD389+DC389</f>
        <v>542.62</v>
      </c>
      <c r="DX387" s="510">
        <v>1700.0</v>
      </c>
      <c r="DZ387" s="574">
        <f t="shared" si="30"/>
        <v>3014</v>
      </c>
      <c r="EA387" s="530">
        <f t="shared" si="31"/>
        <v>97.22580645</v>
      </c>
    </row>
    <row r="388" hidden="1">
      <c r="A388" s="521" t="s">
        <v>290</v>
      </c>
      <c r="B388" s="525"/>
      <c r="C388" s="525"/>
      <c r="D388" s="525"/>
      <c r="E388" s="525"/>
      <c r="F388" s="525"/>
      <c r="G388" s="525"/>
      <c r="H388" s="525"/>
      <c r="I388" s="525"/>
      <c r="J388" s="525"/>
      <c r="K388" s="525"/>
      <c r="L388" s="525"/>
      <c r="M388" s="525"/>
      <c r="N388" s="525"/>
      <c r="O388" s="525"/>
      <c r="P388" s="525"/>
      <c r="Q388" s="525"/>
      <c r="R388" s="525"/>
      <c r="S388" s="525"/>
      <c r="T388" s="525"/>
      <c r="U388" s="525"/>
      <c r="V388" s="525"/>
      <c r="W388" s="525"/>
      <c r="X388" s="525"/>
      <c r="Y388" s="525"/>
      <c r="Z388" s="525"/>
      <c r="AA388" s="525"/>
      <c r="AB388" s="525"/>
      <c r="AC388" s="525"/>
      <c r="AD388" s="525"/>
      <c r="AE388" s="525"/>
      <c r="AF388" s="525"/>
      <c r="AG388" s="525"/>
      <c r="AH388" s="525"/>
      <c r="AI388" s="525"/>
      <c r="AJ388" s="525"/>
      <c r="AK388" s="525"/>
      <c r="AL388" s="525"/>
      <c r="AM388" s="525"/>
      <c r="AN388" s="525"/>
      <c r="AO388" s="525"/>
      <c r="AP388" s="525"/>
      <c r="AQ388" s="525"/>
      <c r="AR388" s="525"/>
      <c r="AS388" s="525"/>
      <c r="AT388" s="525"/>
      <c r="AU388" s="525"/>
      <c r="AV388" s="525"/>
      <c r="AW388" s="525"/>
      <c r="AX388" s="525"/>
      <c r="AY388" s="525"/>
      <c r="AZ388" s="525"/>
      <c r="BA388" s="525"/>
      <c r="BB388" s="525"/>
      <c r="BC388" s="525"/>
      <c r="BD388" s="525"/>
      <c r="BE388" s="525"/>
      <c r="BF388" s="525"/>
      <c r="BG388" s="525"/>
      <c r="BH388" s="525"/>
      <c r="BI388" s="525"/>
      <c r="BJ388" s="525"/>
      <c r="BK388" s="525"/>
      <c r="BL388" s="518">
        <v>82.0</v>
      </c>
      <c r="BM388" s="518">
        <v>67.0</v>
      </c>
      <c r="BN388" s="525"/>
      <c r="BO388" s="525"/>
      <c r="BP388" s="512">
        <v>71.0</v>
      </c>
      <c r="BQ388" s="512">
        <v>80.0</v>
      </c>
      <c r="BR388" s="512">
        <v>95.0</v>
      </c>
      <c r="BS388" s="525"/>
      <c r="BT388" s="512">
        <v>73.0</v>
      </c>
      <c r="BU388" s="525"/>
      <c r="BV388" s="512">
        <v>96.0</v>
      </c>
      <c r="BW388" s="512">
        <v>98.0</v>
      </c>
      <c r="BX388" s="512">
        <v>104.0</v>
      </c>
      <c r="BY388" s="512">
        <v>88.0</v>
      </c>
      <c r="BZ388" s="512">
        <v>86.0</v>
      </c>
      <c r="CA388" s="512">
        <v>101.0</v>
      </c>
      <c r="CB388" s="512">
        <v>88.0</v>
      </c>
      <c r="CC388" s="512">
        <v>106.0</v>
      </c>
      <c r="CD388" s="512">
        <v>103.0</v>
      </c>
      <c r="CE388" s="512">
        <v>89.0</v>
      </c>
      <c r="CF388" s="512">
        <v>119.0</v>
      </c>
      <c r="CG388" s="512">
        <v>116.0</v>
      </c>
      <c r="CH388" s="512">
        <v>86.0</v>
      </c>
      <c r="CI388" s="512">
        <v>89.0</v>
      </c>
      <c r="CJ388" s="512">
        <v>103.0</v>
      </c>
      <c r="CK388" s="512">
        <v>82.0</v>
      </c>
      <c r="CL388" s="512">
        <v>92.0</v>
      </c>
      <c r="CM388" s="552">
        <f>SUM(BK388:CL388)/22</f>
        <v>96.09090909</v>
      </c>
      <c r="CN388" s="561">
        <v>121.0</v>
      </c>
      <c r="CO388" s="561">
        <v>82.0</v>
      </c>
      <c r="CP388" s="561">
        <v>93.0</v>
      </c>
      <c r="CQ388" s="561">
        <v>99.0</v>
      </c>
      <c r="CR388" s="561">
        <v>90.0</v>
      </c>
      <c r="CS388" s="561">
        <v>82.0</v>
      </c>
      <c r="CT388" s="561">
        <v>110.0</v>
      </c>
      <c r="CU388" s="561">
        <v>100.0</v>
      </c>
      <c r="CV388" s="591">
        <v>82.0</v>
      </c>
      <c r="CW388" s="591">
        <v>93.0</v>
      </c>
      <c r="CX388" s="591">
        <v>66.0</v>
      </c>
      <c r="CY388" s="591">
        <v>98.0</v>
      </c>
      <c r="CZ388" s="591">
        <v>102.0</v>
      </c>
      <c r="DA388" s="591">
        <v>92.0</v>
      </c>
      <c r="DB388" s="561">
        <v>123.0</v>
      </c>
      <c r="DC388" s="561">
        <v>103.0</v>
      </c>
      <c r="DD388" s="561">
        <v>92.0</v>
      </c>
      <c r="DE388" s="561">
        <v>98.0</v>
      </c>
      <c r="DF388" s="561">
        <v>99.0</v>
      </c>
      <c r="DG388" s="561">
        <v>97.0</v>
      </c>
      <c r="DH388" s="561">
        <v>105.0</v>
      </c>
      <c r="DI388" s="561">
        <v>123.0</v>
      </c>
      <c r="DJ388" s="561">
        <v>112.0</v>
      </c>
      <c r="DK388" s="513">
        <v>123.0</v>
      </c>
      <c r="DL388" s="561">
        <v>109.0</v>
      </c>
      <c r="DM388" s="561">
        <v>104.0</v>
      </c>
      <c r="DN388" s="561">
        <v>106.0</v>
      </c>
      <c r="DO388" s="561">
        <v>109.0</v>
      </c>
      <c r="DP388" s="561">
        <v>105.0</v>
      </c>
      <c r="DQ388" s="561">
        <v>96.0</v>
      </c>
      <c r="DR388" s="105"/>
      <c r="DS388" s="520" t="s">
        <v>314</v>
      </c>
      <c r="DT388" s="574">
        <f>CS389</f>
        <v>53.38</v>
      </c>
      <c r="DU388" s="574">
        <f>100</f>
        <v>100</v>
      </c>
      <c r="DX388" s="530"/>
    </row>
    <row r="389" hidden="1">
      <c r="A389" s="502" t="s">
        <v>291</v>
      </c>
      <c r="B389" s="525"/>
      <c r="C389" s="525"/>
      <c r="D389" s="525"/>
      <c r="E389" s="525"/>
      <c r="F389" s="525"/>
      <c r="G389" s="525"/>
      <c r="H389" s="525"/>
      <c r="I389" s="525"/>
      <c r="J389" s="525"/>
      <c r="K389" s="525"/>
      <c r="L389" s="525"/>
      <c r="M389" s="525"/>
      <c r="N389" s="525"/>
      <c r="O389" s="525"/>
      <c r="P389" s="525"/>
      <c r="Q389" s="525"/>
      <c r="R389" s="525"/>
      <c r="S389" s="525"/>
      <c r="T389" s="525"/>
      <c r="U389" s="525"/>
      <c r="V389" s="525"/>
      <c r="W389" s="525"/>
      <c r="X389" s="525"/>
      <c r="Y389" s="525"/>
      <c r="Z389" s="525"/>
      <c r="AA389" s="525"/>
      <c r="AB389" s="525"/>
      <c r="AC389" s="525"/>
      <c r="AD389" s="525"/>
      <c r="AE389" s="525"/>
      <c r="AF389" s="525"/>
      <c r="AG389" s="525"/>
      <c r="AH389" s="525"/>
      <c r="AI389" s="525"/>
      <c r="AJ389" s="525"/>
      <c r="AK389" s="525"/>
      <c r="AL389" s="525"/>
      <c r="AM389" s="525"/>
      <c r="AN389" s="525"/>
      <c r="AO389" s="525"/>
      <c r="AP389" s="525"/>
      <c r="AQ389" s="525"/>
      <c r="AR389" s="525"/>
      <c r="AS389" s="525"/>
      <c r="AT389" s="525"/>
      <c r="AU389" s="525"/>
      <c r="AV389" s="525"/>
      <c r="AW389" s="525"/>
      <c r="AX389" s="525"/>
      <c r="AY389" s="525"/>
      <c r="AZ389" s="525"/>
      <c r="BA389" s="525"/>
      <c r="BB389" s="525"/>
      <c r="BC389" s="525"/>
      <c r="BD389" s="525"/>
      <c r="BE389" s="525"/>
      <c r="BF389" s="525"/>
      <c r="BG389" s="525"/>
      <c r="BH389" s="525"/>
      <c r="BI389" s="525"/>
      <c r="BJ389" s="525"/>
      <c r="BK389" s="529">
        <v>-167.68</v>
      </c>
      <c r="BL389" s="529">
        <v>-89.36</v>
      </c>
      <c r="BM389" s="529">
        <v>-26.1</v>
      </c>
      <c r="BN389" s="529">
        <v>-389.28</v>
      </c>
      <c r="BO389" s="529">
        <v>54.9</v>
      </c>
      <c r="BP389" s="529">
        <v>22.93</v>
      </c>
      <c r="BQ389" s="529">
        <v>-66.7</v>
      </c>
      <c r="BR389" s="529">
        <v>-203.56</v>
      </c>
      <c r="BS389" s="529">
        <v>-359.15</v>
      </c>
      <c r="BT389" s="529">
        <v>-10.32</v>
      </c>
      <c r="BU389" s="529">
        <v>-130.74</v>
      </c>
      <c r="BV389" s="529">
        <v>82.49</v>
      </c>
      <c r="BW389" s="529">
        <v>14.18</v>
      </c>
      <c r="BX389" s="529">
        <v>93.65</v>
      </c>
      <c r="BY389" s="529">
        <v>96.27</v>
      </c>
      <c r="BZ389" s="529">
        <v>-478.47</v>
      </c>
      <c r="CA389" s="529">
        <v>-2.11</v>
      </c>
      <c r="CB389" s="529">
        <v>81.53</v>
      </c>
      <c r="CC389" s="529">
        <v>-45.15</v>
      </c>
      <c r="CD389" s="529">
        <v>92.28</v>
      </c>
      <c r="CE389" s="529">
        <v>-294.99</v>
      </c>
      <c r="CF389" s="529">
        <v>121.62</v>
      </c>
      <c r="CG389" s="529">
        <v>109.56</v>
      </c>
      <c r="CH389" s="529">
        <v>-81.66</v>
      </c>
      <c r="CI389" s="529">
        <v>-103.42</v>
      </c>
      <c r="CJ389" s="529">
        <v>72.17</v>
      </c>
      <c r="CK389" s="529">
        <v>106.47</v>
      </c>
      <c r="CL389" s="512">
        <v>7.22</v>
      </c>
      <c r="CM389" s="525"/>
      <c r="CN389" s="537"/>
      <c r="CO389" s="537">
        <v>55.43</v>
      </c>
      <c r="CP389" s="537">
        <v>58.52</v>
      </c>
      <c r="CQ389" s="537">
        <v>46.95</v>
      </c>
      <c r="CR389" s="537">
        <v>68.6</v>
      </c>
      <c r="CS389" s="537">
        <v>53.38</v>
      </c>
      <c r="CT389" s="537">
        <v>99.94</v>
      </c>
      <c r="CU389" s="537">
        <v>72.35</v>
      </c>
      <c r="CV389" s="536">
        <v>48.0</v>
      </c>
      <c r="CW389" s="593">
        <v>78.83</v>
      </c>
      <c r="CX389" s="593">
        <v>75.09</v>
      </c>
      <c r="CY389" s="593">
        <v>86.62</v>
      </c>
      <c r="CZ389" s="593">
        <v>59.59</v>
      </c>
      <c r="DA389" s="593">
        <v>72.71</v>
      </c>
      <c r="DB389" s="537">
        <v>96.78</v>
      </c>
      <c r="DC389" s="537">
        <v>-60.84</v>
      </c>
      <c r="DD389" s="537">
        <v>69.39</v>
      </c>
      <c r="DE389" s="537">
        <v>109.93</v>
      </c>
      <c r="DF389" s="537">
        <v>67.53</v>
      </c>
      <c r="DG389" s="537">
        <v>92.31</v>
      </c>
      <c r="DH389" s="537">
        <v>53.9</v>
      </c>
      <c r="DI389" s="537">
        <v>80.83</v>
      </c>
      <c r="DJ389" s="537">
        <v>91.17</v>
      </c>
      <c r="DK389" s="537">
        <v>78.35</v>
      </c>
      <c r="DL389" s="537">
        <v>86.11</v>
      </c>
      <c r="DM389" s="537">
        <v>55.9</v>
      </c>
      <c r="DN389" s="561">
        <v>-68.48</v>
      </c>
      <c r="DO389" s="537">
        <v>72.07</v>
      </c>
      <c r="DP389" s="537">
        <v>47.97</v>
      </c>
      <c r="DQ389" s="537">
        <v>56.23</v>
      </c>
      <c r="DR389" s="594"/>
      <c r="DS389" s="520" t="s">
        <v>339</v>
      </c>
      <c r="DW389" s="574">
        <f>DO389+DN389</f>
        <v>3.59</v>
      </c>
      <c r="DX389" s="510">
        <v>400.0</v>
      </c>
    </row>
    <row r="390" hidden="1">
      <c r="A390" s="531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  <c r="AT390" s="118"/>
      <c r="AU390" s="118"/>
      <c r="AV390" s="118"/>
      <c r="AW390" s="118"/>
      <c r="AX390" s="118"/>
      <c r="AY390" s="118"/>
      <c r="AZ390" s="118"/>
      <c r="BA390" s="118"/>
      <c r="BB390" s="118"/>
      <c r="BC390" s="118"/>
      <c r="BD390" s="118"/>
      <c r="BE390" s="118"/>
      <c r="BF390" s="118"/>
      <c r="BG390" s="118"/>
      <c r="BH390" s="118"/>
      <c r="BI390" s="118"/>
      <c r="BJ390" s="118"/>
      <c r="BK390" s="118"/>
      <c r="BL390" s="118"/>
      <c r="BM390" s="118"/>
      <c r="BN390" s="118"/>
      <c r="BO390" s="118"/>
      <c r="BP390" s="118"/>
      <c r="BQ390" s="118"/>
      <c r="BR390" s="118"/>
      <c r="BS390" s="118"/>
      <c r="BT390" s="118"/>
      <c r="BU390" s="118"/>
      <c r="BV390" s="118"/>
      <c r="BW390" s="118"/>
      <c r="BX390" s="118"/>
      <c r="BY390" s="118"/>
      <c r="BZ390" s="118"/>
      <c r="CA390" s="118"/>
      <c r="CB390" s="118"/>
      <c r="CC390" s="118"/>
      <c r="CD390" s="118"/>
      <c r="CE390" s="118"/>
      <c r="CF390" s="118"/>
      <c r="CG390" s="118"/>
      <c r="CH390" s="118"/>
      <c r="CI390" s="118"/>
      <c r="CJ390" s="118"/>
      <c r="CK390" s="118"/>
      <c r="CL390" s="118"/>
      <c r="CM390" s="118"/>
      <c r="CN390" s="118"/>
      <c r="CO390" s="118"/>
      <c r="CP390" s="118"/>
      <c r="CQ390" s="118"/>
      <c r="CR390" s="118"/>
      <c r="CS390" s="577"/>
      <c r="CT390" s="118"/>
      <c r="CU390" s="118"/>
      <c r="CV390" s="577"/>
      <c r="CW390" s="577"/>
      <c r="CX390" s="577"/>
      <c r="CY390" s="577"/>
      <c r="CZ390" s="577"/>
      <c r="DA390" s="577"/>
      <c r="DB390" s="118"/>
      <c r="DC390" s="118"/>
      <c r="DD390" s="118"/>
      <c r="DE390" s="118"/>
      <c r="DF390" s="118"/>
      <c r="DG390" s="118"/>
      <c r="DH390" s="118"/>
      <c r="DI390" s="10"/>
      <c r="DJ390" s="118"/>
      <c r="DK390" s="118"/>
      <c r="DL390" s="118"/>
      <c r="DM390" s="118"/>
      <c r="DN390" s="118"/>
      <c r="DO390" s="118"/>
      <c r="DP390" s="118"/>
      <c r="DQ390" s="118"/>
      <c r="DR390" s="118"/>
      <c r="DX390" s="530"/>
    </row>
    <row r="391" hidden="1">
      <c r="A391" s="531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  <c r="AT391" s="118"/>
      <c r="AU391" s="118"/>
      <c r="AV391" s="118"/>
      <c r="AW391" s="118"/>
      <c r="AX391" s="118"/>
      <c r="AY391" s="118"/>
      <c r="AZ391" s="118"/>
      <c r="BA391" s="118"/>
      <c r="BB391" s="118"/>
      <c r="BC391" s="118"/>
      <c r="BD391" s="118"/>
      <c r="BE391" s="118"/>
      <c r="BF391" s="118"/>
      <c r="BG391" s="118"/>
      <c r="BH391" s="118"/>
      <c r="BI391" s="118"/>
      <c r="BJ391" s="118"/>
      <c r="BK391" s="118"/>
      <c r="BL391" s="118"/>
      <c r="BM391" s="118"/>
      <c r="BN391" s="118"/>
      <c r="BO391" s="118"/>
      <c r="BP391" s="118"/>
      <c r="BQ391" s="118"/>
      <c r="BR391" s="118"/>
      <c r="BS391" s="118"/>
      <c r="BT391" s="118"/>
      <c r="BU391" s="118"/>
      <c r="BV391" s="118"/>
      <c r="BW391" s="118"/>
      <c r="BX391" s="118"/>
      <c r="BY391" s="118"/>
      <c r="BZ391" s="118"/>
      <c r="CA391" s="118"/>
      <c r="CB391" s="118"/>
      <c r="CC391" s="118"/>
      <c r="CD391" s="118"/>
      <c r="CE391" s="118"/>
      <c r="CF391" s="118"/>
      <c r="CG391" s="118"/>
      <c r="CH391" s="118"/>
      <c r="CI391" s="118"/>
      <c r="CJ391" s="118"/>
      <c r="CK391" s="118"/>
      <c r="CL391" s="118"/>
      <c r="CM391" s="118"/>
      <c r="CN391" s="118"/>
      <c r="CO391" s="118"/>
      <c r="CP391" s="118"/>
      <c r="CQ391" s="118"/>
      <c r="CR391" s="118"/>
      <c r="CS391" s="118"/>
      <c r="CT391" s="118"/>
      <c r="CU391" s="118"/>
      <c r="CV391" s="577"/>
      <c r="CW391" s="577"/>
      <c r="CX391" s="577"/>
      <c r="CY391" s="577"/>
      <c r="CZ391" s="577"/>
      <c r="DA391" s="577"/>
      <c r="DB391" s="118"/>
      <c r="DC391" s="118"/>
      <c r="DD391" s="118"/>
      <c r="DE391" s="118"/>
      <c r="DF391" s="118"/>
      <c r="DG391" s="118"/>
      <c r="DH391" s="118"/>
      <c r="DI391" s="118"/>
      <c r="DJ391" s="118"/>
      <c r="DK391" s="118"/>
      <c r="DL391" s="118"/>
      <c r="DM391" s="118"/>
      <c r="DN391" s="118"/>
      <c r="DO391" s="118"/>
      <c r="DP391" s="118"/>
      <c r="DQ391" s="118"/>
      <c r="DR391" s="118"/>
      <c r="DX391" s="530"/>
    </row>
    <row r="392" hidden="1">
      <c r="A392" s="500" t="s">
        <v>12</v>
      </c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  <c r="AT392" s="118"/>
      <c r="AU392" s="118"/>
      <c r="AV392" s="118"/>
      <c r="AW392" s="118"/>
      <c r="AX392" s="118"/>
      <c r="AY392" s="118"/>
      <c r="AZ392" s="118"/>
      <c r="BA392" s="118"/>
      <c r="BB392" s="118"/>
      <c r="BC392" s="118"/>
      <c r="BD392" s="118"/>
      <c r="BE392" s="118"/>
      <c r="BF392" s="118"/>
      <c r="BG392" s="118"/>
      <c r="BH392" s="118"/>
      <c r="BI392" s="118"/>
      <c r="BJ392" s="118"/>
      <c r="BK392" s="118"/>
      <c r="BL392" s="118"/>
      <c r="BM392" s="118"/>
      <c r="BN392" s="118"/>
      <c r="BO392" s="118"/>
      <c r="BP392" s="118"/>
      <c r="BQ392" s="118"/>
      <c r="BR392" s="118"/>
      <c r="BS392" s="118"/>
      <c r="BT392" s="118"/>
      <c r="BU392" s="118"/>
      <c r="BV392" s="118"/>
      <c r="BW392" s="118"/>
      <c r="BX392" s="118"/>
      <c r="BY392" s="118"/>
      <c r="BZ392" s="118"/>
      <c r="CA392" s="118"/>
      <c r="CB392" s="118"/>
      <c r="CC392" s="118"/>
      <c r="CD392" s="118"/>
      <c r="CE392" s="118"/>
      <c r="CF392" s="118"/>
      <c r="CG392" s="118"/>
      <c r="CH392" s="118"/>
      <c r="CI392" s="118"/>
      <c r="CJ392" s="118"/>
      <c r="CK392" s="118"/>
      <c r="CL392" s="118"/>
      <c r="CM392" s="118"/>
      <c r="CN392" s="546" t="s">
        <v>355</v>
      </c>
      <c r="CO392" s="546" t="s">
        <v>396</v>
      </c>
      <c r="CP392" s="546" t="s">
        <v>396</v>
      </c>
      <c r="CQ392" s="546" t="s">
        <v>355</v>
      </c>
      <c r="CR392" s="546" t="s">
        <v>355</v>
      </c>
      <c r="CS392" s="546" t="s">
        <v>396</v>
      </c>
      <c r="CT392" s="546" t="s">
        <v>396</v>
      </c>
      <c r="CU392" s="546" t="s">
        <v>355</v>
      </c>
      <c r="CV392" s="546" t="s">
        <v>410</v>
      </c>
      <c r="CW392" s="546" t="s">
        <v>396</v>
      </c>
      <c r="CX392" s="546" t="s">
        <v>396</v>
      </c>
      <c r="CY392" s="546" t="s">
        <v>355</v>
      </c>
      <c r="CZ392" s="546" t="s">
        <v>355</v>
      </c>
      <c r="DA392" s="546" t="s">
        <v>396</v>
      </c>
      <c r="DB392" s="546" t="s">
        <v>411</v>
      </c>
      <c r="DC392" s="546" t="s">
        <v>355</v>
      </c>
      <c r="DD392" s="546" t="s">
        <v>355</v>
      </c>
      <c r="DE392" s="546" t="s">
        <v>396</v>
      </c>
      <c r="DF392" s="546" t="s">
        <v>412</v>
      </c>
      <c r="DG392" s="546" t="s">
        <v>355</v>
      </c>
      <c r="DH392" s="546" t="s">
        <v>355</v>
      </c>
      <c r="DI392" s="546" t="s">
        <v>412</v>
      </c>
      <c r="DJ392" s="546" t="s">
        <v>412</v>
      </c>
      <c r="DK392" s="546" t="s">
        <v>355</v>
      </c>
      <c r="DL392" s="546" t="s">
        <v>355</v>
      </c>
      <c r="DM392" s="546" t="s">
        <v>412</v>
      </c>
      <c r="DN392" s="546" t="s">
        <v>412</v>
      </c>
      <c r="DO392" s="546" t="s">
        <v>355</v>
      </c>
      <c r="DP392" s="546" t="s">
        <v>355</v>
      </c>
      <c r="DQ392" s="546" t="s">
        <v>412</v>
      </c>
      <c r="DR392" s="546"/>
      <c r="DT392" s="520" t="s">
        <v>384</v>
      </c>
      <c r="DU392" s="520" t="s">
        <v>332</v>
      </c>
      <c r="DW392" s="520" t="s">
        <v>384</v>
      </c>
      <c r="DX392" s="520" t="s">
        <v>332</v>
      </c>
    </row>
    <row r="393" hidden="1">
      <c r="A393" s="502" t="s">
        <v>288</v>
      </c>
      <c r="B393" s="525"/>
      <c r="C393" s="525"/>
      <c r="D393" s="525"/>
      <c r="E393" s="525"/>
      <c r="F393" s="525"/>
      <c r="G393" s="525"/>
      <c r="H393" s="525"/>
      <c r="I393" s="525"/>
      <c r="J393" s="525"/>
      <c r="K393" s="525"/>
      <c r="L393" s="525"/>
      <c r="M393" s="525"/>
      <c r="N393" s="525"/>
      <c r="O393" s="525"/>
      <c r="P393" s="525"/>
      <c r="Q393" s="525"/>
      <c r="R393" s="525"/>
      <c r="S393" s="525"/>
      <c r="T393" s="525"/>
      <c r="U393" s="525"/>
      <c r="V393" s="525"/>
      <c r="W393" s="525"/>
      <c r="X393" s="525"/>
      <c r="Y393" s="525"/>
      <c r="Z393" s="525"/>
      <c r="AA393" s="525"/>
      <c r="AB393" s="525"/>
      <c r="AC393" s="525"/>
      <c r="AD393" s="525"/>
      <c r="AE393" s="525"/>
      <c r="AF393" s="525"/>
      <c r="AG393" s="525"/>
      <c r="AH393" s="525"/>
      <c r="AI393" s="525"/>
      <c r="AJ393" s="525"/>
      <c r="AK393" s="525"/>
      <c r="AL393" s="525"/>
      <c r="AM393" s="525"/>
      <c r="AN393" s="525"/>
      <c r="AO393" s="525"/>
      <c r="AP393" s="525"/>
      <c r="AQ393" s="525"/>
      <c r="AR393" s="525"/>
      <c r="AS393" s="525"/>
      <c r="AT393" s="525"/>
      <c r="AU393" s="525"/>
      <c r="AV393" s="525"/>
      <c r="AW393" s="525"/>
      <c r="AX393" s="525"/>
      <c r="AY393" s="525"/>
      <c r="AZ393" s="525"/>
      <c r="BA393" s="525"/>
      <c r="BB393" s="525"/>
      <c r="BC393" s="525"/>
      <c r="BD393" s="525"/>
      <c r="BE393" s="525"/>
      <c r="BF393" s="525"/>
      <c r="BG393" s="525"/>
      <c r="BH393" s="525"/>
      <c r="BI393" s="525"/>
      <c r="BJ393" s="525"/>
      <c r="BK393" s="541">
        <v>45689.0</v>
      </c>
      <c r="BL393" s="541">
        <v>45690.0</v>
      </c>
      <c r="BM393" s="541">
        <v>45691.0</v>
      </c>
      <c r="BN393" s="541">
        <v>45692.0</v>
      </c>
      <c r="BO393" s="541">
        <v>45693.0</v>
      </c>
      <c r="BP393" s="541">
        <v>45694.0</v>
      </c>
      <c r="BQ393" s="541">
        <v>45695.0</v>
      </c>
      <c r="BR393" s="541">
        <v>45696.0</v>
      </c>
      <c r="BS393" s="541">
        <v>45697.0</v>
      </c>
      <c r="BT393" s="541">
        <v>45698.0</v>
      </c>
      <c r="BU393" s="541">
        <v>45699.0</v>
      </c>
      <c r="BV393" s="541">
        <v>45700.0</v>
      </c>
      <c r="BW393" s="541">
        <v>45701.0</v>
      </c>
      <c r="BX393" s="541">
        <v>45702.0</v>
      </c>
      <c r="BY393" s="541">
        <v>45703.0</v>
      </c>
      <c r="BZ393" s="541">
        <v>45704.0</v>
      </c>
      <c r="CA393" s="541">
        <v>45705.0</v>
      </c>
      <c r="CB393" s="541">
        <v>45706.0</v>
      </c>
      <c r="CC393" s="541">
        <v>45707.0</v>
      </c>
      <c r="CD393" s="541">
        <v>45708.0</v>
      </c>
      <c r="CE393" s="541">
        <v>45709.0</v>
      </c>
      <c r="CF393" s="541">
        <v>45710.0</v>
      </c>
      <c r="CG393" s="541">
        <v>45711.0</v>
      </c>
      <c r="CH393" s="541">
        <v>45712.0</v>
      </c>
      <c r="CI393" s="541">
        <v>45713.0</v>
      </c>
      <c r="CJ393" s="541">
        <v>45714.0</v>
      </c>
      <c r="CK393" s="541">
        <v>45715.0</v>
      </c>
      <c r="CL393" s="541">
        <v>45716.0</v>
      </c>
      <c r="CM393" s="541"/>
      <c r="CN393" s="600">
        <v>46024.0</v>
      </c>
      <c r="CO393" s="600">
        <v>46025.0</v>
      </c>
      <c r="CP393" s="600">
        <v>46026.0</v>
      </c>
      <c r="CQ393" s="600">
        <v>46027.0</v>
      </c>
      <c r="CR393" s="600">
        <v>46028.0</v>
      </c>
      <c r="CS393" s="600">
        <v>46029.0</v>
      </c>
      <c r="CT393" s="600">
        <v>46030.0</v>
      </c>
      <c r="CU393" s="600">
        <v>46031.0</v>
      </c>
      <c r="CV393" s="600">
        <v>46032.0</v>
      </c>
      <c r="CW393" s="600">
        <v>46033.0</v>
      </c>
      <c r="CX393" s="600">
        <v>46034.0</v>
      </c>
      <c r="CY393" s="600">
        <v>46035.0</v>
      </c>
      <c r="CZ393" s="600">
        <v>46036.0</v>
      </c>
      <c r="DA393" s="600">
        <v>46037.0</v>
      </c>
      <c r="DB393" s="600">
        <v>46038.0</v>
      </c>
      <c r="DC393" s="600">
        <v>46039.0</v>
      </c>
      <c r="DD393" s="600">
        <v>46040.0</v>
      </c>
      <c r="DE393" s="600">
        <v>46041.0</v>
      </c>
      <c r="DF393" s="600">
        <v>46042.0</v>
      </c>
      <c r="DG393" s="600">
        <v>46043.0</v>
      </c>
      <c r="DH393" s="600">
        <v>46044.0</v>
      </c>
      <c r="DI393" s="600">
        <v>46045.0</v>
      </c>
      <c r="DJ393" s="600">
        <v>46046.0</v>
      </c>
      <c r="DK393" s="600">
        <v>46047.0</v>
      </c>
      <c r="DL393" s="600">
        <v>46048.0</v>
      </c>
      <c r="DM393" s="600">
        <v>46049.0</v>
      </c>
      <c r="DN393" s="600">
        <v>46050.0</v>
      </c>
      <c r="DO393" s="600">
        <v>46051.0</v>
      </c>
      <c r="DP393" s="600">
        <v>46052.0</v>
      </c>
      <c r="DQ393" s="600">
        <v>46053.0</v>
      </c>
      <c r="DR393" s="544"/>
      <c r="DS393" s="520" t="s">
        <v>320</v>
      </c>
      <c r="DT393" s="574">
        <f>CQ396+CR396+CU396+CY396+CZ396</f>
        <v>251.7</v>
      </c>
      <c r="DU393" s="574">
        <f>100*5</f>
        <v>500</v>
      </c>
      <c r="DW393" s="574">
        <f>DP396+DO396+DL396+DK396+DH396+DG396+DD396+DC396</f>
        <v>469.75</v>
      </c>
      <c r="DX393" s="510">
        <v>1200.0</v>
      </c>
    </row>
    <row r="394" hidden="1">
      <c r="A394" s="502" t="s">
        <v>289</v>
      </c>
      <c r="B394" s="525"/>
      <c r="C394" s="525"/>
      <c r="D394" s="525"/>
      <c r="E394" s="525"/>
      <c r="F394" s="525"/>
      <c r="G394" s="525"/>
      <c r="H394" s="525"/>
      <c r="I394" s="525"/>
      <c r="J394" s="525"/>
      <c r="K394" s="525"/>
      <c r="L394" s="525"/>
      <c r="M394" s="525"/>
      <c r="N394" s="525"/>
      <c r="O394" s="525"/>
      <c r="P394" s="525"/>
      <c r="Q394" s="525"/>
      <c r="R394" s="525"/>
      <c r="S394" s="525"/>
      <c r="T394" s="525"/>
      <c r="U394" s="525"/>
      <c r="V394" s="525"/>
      <c r="W394" s="525"/>
      <c r="X394" s="525"/>
      <c r="Y394" s="525"/>
      <c r="Z394" s="525"/>
      <c r="AA394" s="525"/>
      <c r="AB394" s="525"/>
      <c r="AC394" s="525"/>
      <c r="AD394" s="525"/>
      <c r="AE394" s="525"/>
      <c r="AF394" s="525"/>
      <c r="AG394" s="525"/>
      <c r="AH394" s="525"/>
      <c r="AI394" s="525"/>
      <c r="AJ394" s="525"/>
      <c r="AK394" s="525"/>
      <c r="AL394" s="525"/>
      <c r="AM394" s="525"/>
      <c r="AN394" s="525"/>
      <c r="AO394" s="525"/>
      <c r="AP394" s="525"/>
      <c r="AQ394" s="525"/>
      <c r="AR394" s="525"/>
      <c r="AS394" s="525"/>
      <c r="AT394" s="525"/>
      <c r="AU394" s="525"/>
      <c r="AV394" s="525"/>
      <c r="AW394" s="525"/>
      <c r="AX394" s="525"/>
      <c r="AY394" s="525"/>
      <c r="AZ394" s="525"/>
      <c r="BA394" s="525"/>
      <c r="BB394" s="525"/>
      <c r="BC394" s="525"/>
      <c r="BD394" s="525"/>
      <c r="BE394" s="525"/>
      <c r="BF394" s="525"/>
      <c r="BG394" s="525"/>
      <c r="BH394" s="525"/>
      <c r="BI394" s="525"/>
      <c r="BJ394" s="525"/>
      <c r="BK394" s="512">
        <v>99.0</v>
      </c>
      <c r="BL394" s="512">
        <v>117.0</v>
      </c>
      <c r="BM394" s="512">
        <v>121.0</v>
      </c>
      <c r="BN394" s="512">
        <v>105.0</v>
      </c>
      <c r="BO394" s="512">
        <v>97.0</v>
      </c>
      <c r="BP394" s="512">
        <v>98.0</v>
      </c>
      <c r="BQ394" s="512">
        <v>110.0</v>
      </c>
      <c r="BR394" s="512">
        <v>141.0</v>
      </c>
      <c r="BS394" s="512">
        <v>157.0</v>
      </c>
      <c r="BT394" s="512">
        <v>98.0</v>
      </c>
      <c r="BU394" s="512">
        <v>130.0</v>
      </c>
      <c r="BV394" s="512">
        <v>130.0</v>
      </c>
      <c r="BW394" s="512">
        <v>153.0</v>
      </c>
      <c r="BX394" s="512">
        <v>131.0</v>
      </c>
      <c r="BY394" s="512">
        <v>126.0</v>
      </c>
      <c r="BZ394" s="512">
        <v>160.0</v>
      </c>
      <c r="CA394" s="512">
        <v>151.0</v>
      </c>
      <c r="CB394" s="512">
        <v>99.0</v>
      </c>
      <c r="CC394" s="512">
        <v>125.0</v>
      </c>
      <c r="CD394" s="512">
        <v>168.0</v>
      </c>
      <c r="CE394" s="512">
        <v>164.0</v>
      </c>
      <c r="CF394" s="512">
        <v>174.0</v>
      </c>
      <c r="CG394" s="512">
        <v>161.0</v>
      </c>
      <c r="CH394" s="512">
        <v>117.0</v>
      </c>
      <c r="CI394" s="512">
        <v>139.0</v>
      </c>
      <c r="CJ394" s="512">
        <v>131.0</v>
      </c>
      <c r="CK394" s="512">
        <v>98.0</v>
      </c>
      <c r="CL394" s="512">
        <v>196.0</v>
      </c>
      <c r="CM394" s="514"/>
      <c r="CN394" s="561">
        <v>53.0</v>
      </c>
      <c r="CO394" s="561">
        <v>187.0</v>
      </c>
      <c r="CP394" s="561">
        <v>176.0</v>
      </c>
      <c r="CQ394" s="561">
        <v>154.0</v>
      </c>
      <c r="CR394" s="561">
        <v>158.0</v>
      </c>
      <c r="CS394" s="561">
        <v>177.0</v>
      </c>
      <c r="CT394" s="561">
        <v>160.0</v>
      </c>
      <c r="CU394" s="561">
        <v>189.0</v>
      </c>
      <c r="CV394" s="591">
        <v>165.0</v>
      </c>
      <c r="CW394" s="591">
        <v>130.0</v>
      </c>
      <c r="CX394" s="591">
        <v>102.0</v>
      </c>
      <c r="CY394" s="591">
        <v>186.0</v>
      </c>
      <c r="CZ394" s="591">
        <v>159.0</v>
      </c>
      <c r="DA394" s="591">
        <v>183.0</v>
      </c>
      <c r="DB394" s="561">
        <v>143.0</v>
      </c>
      <c r="DC394" s="561">
        <v>238.0</v>
      </c>
      <c r="DD394" s="561">
        <v>170.0</v>
      </c>
      <c r="DE394" s="561">
        <v>142.0</v>
      </c>
      <c r="DF394" s="561">
        <v>225.0</v>
      </c>
      <c r="DG394" s="561">
        <v>198.0</v>
      </c>
      <c r="DH394" s="561">
        <v>121.0</v>
      </c>
      <c r="DI394" s="561">
        <v>159.0</v>
      </c>
      <c r="DJ394" s="561">
        <v>202.0</v>
      </c>
      <c r="DK394" s="561">
        <v>243.0</v>
      </c>
      <c r="DL394" s="561">
        <v>216.0</v>
      </c>
      <c r="DM394" s="561">
        <v>191.0</v>
      </c>
      <c r="DN394" s="561">
        <v>221.0</v>
      </c>
      <c r="DO394" s="561">
        <v>153.0</v>
      </c>
      <c r="DP394" s="561">
        <v>237.0</v>
      </c>
      <c r="DQ394" s="561">
        <v>159.0</v>
      </c>
      <c r="DR394" s="105"/>
      <c r="DS394" s="520" t="s">
        <v>314</v>
      </c>
      <c r="DX394" s="530"/>
      <c r="DZ394" s="574">
        <f t="shared" ref="DZ394:DZ395" si="32">SUM(CN394:DR394)</f>
        <v>5197</v>
      </c>
      <c r="EA394" s="530">
        <f t="shared" ref="EA394:EA395" si="33">DZ394/31</f>
        <v>167.6451613</v>
      </c>
    </row>
    <row r="395" hidden="1">
      <c r="A395" s="521" t="s">
        <v>290</v>
      </c>
      <c r="B395" s="525"/>
      <c r="C395" s="525"/>
      <c r="D395" s="525"/>
      <c r="E395" s="525"/>
      <c r="F395" s="525"/>
      <c r="G395" s="525"/>
      <c r="H395" s="525"/>
      <c r="I395" s="525"/>
      <c r="J395" s="525"/>
      <c r="K395" s="525"/>
      <c r="L395" s="525"/>
      <c r="M395" s="525"/>
      <c r="N395" s="525"/>
      <c r="O395" s="525"/>
      <c r="P395" s="525"/>
      <c r="Q395" s="525"/>
      <c r="R395" s="525"/>
      <c r="S395" s="525"/>
      <c r="T395" s="525"/>
      <c r="U395" s="525"/>
      <c r="V395" s="525"/>
      <c r="W395" s="525"/>
      <c r="X395" s="525"/>
      <c r="Y395" s="525"/>
      <c r="Z395" s="525"/>
      <c r="AA395" s="525"/>
      <c r="AB395" s="525"/>
      <c r="AC395" s="525"/>
      <c r="AD395" s="525"/>
      <c r="AE395" s="525"/>
      <c r="AF395" s="525"/>
      <c r="AG395" s="525"/>
      <c r="AH395" s="525"/>
      <c r="AI395" s="525"/>
      <c r="AJ395" s="525"/>
      <c r="AK395" s="525"/>
      <c r="AL395" s="525"/>
      <c r="AM395" s="525"/>
      <c r="AN395" s="525"/>
      <c r="AO395" s="525"/>
      <c r="AP395" s="525"/>
      <c r="AQ395" s="525"/>
      <c r="AR395" s="525"/>
      <c r="AS395" s="525"/>
      <c r="AT395" s="525"/>
      <c r="AU395" s="525"/>
      <c r="AV395" s="525"/>
      <c r="AW395" s="525"/>
      <c r="AX395" s="525"/>
      <c r="AY395" s="525"/>
      <c r="AZ395" s="525"/>
      <c r="BA395" s="525"/>
      <c r="BB395" s="525"/>
      <c r="BC395" s="525"/>
      <c r="BD395" s="525"/>
      <c r="BE395" s="525"/>
      <c r="BF395" s="525"/>
      <c r="BG395" s="525"/>
      <c r="BH395" s="525"/>
      <c r="BI395" s="525"/>
      <c r="BJ395" s="525"/>
      <c r="BK395" s="512">
        <v>44.0</v>
      </c>
      <c r="BL395" s="512">
        <v>55.0</v>
      </c>
      <c r="BM395" s="512">
        <v>47.0</v>
      </c>
      <c r="BN395" s="512">
        <v>39.0</v>
      </c>
      <c r="BO395" s="512">
        <v>54.0</v>
      </c>
      <c r="BP395" s="512">
        <v>46.0</v>
      </c>
      <c r="BQ395" s="512">
        <v>51.0</v>
      </c>
      <c r="BR395" s="512">
        <v>48.0</v>
      </c>
      <c r="BS395" s="512">
        <v>55.0</v>
      </c>
      <c r="BT395" s="512">
        <v>41.0</v>
      </c>
      <c r="BU395" s="512">
        <v>57.0</v>
      </c>
      <c r="BV395" s="512">
        <v>57.0</v>
      </c>
      <c r="BW395" s="512">
        <v>59.0</v>
      </c>
      <c r="BX395" s="512">
        <v>41.0</v>
      </c>
      <c r="BY395" s="512">
        <v>52.0</v>
      </c>
      <c r="BZ395" s="512">
        <v>61.0</v>
      </c>
      <c r="CA395" s="512">
        <v>52.0</v>
      </c>
      <c r="CB395" s="512">
        <v>38.0</v>
      </c>
      <c r="CC395" s="512">
        <v>53.0</v>
      </c>
      <c r="CD395" s="512">
        <v>77.0</v>
      </c>
      <c r="CE395" s="512">
        <v>59.0</v>
      </c>
      <c r="CF395" s="512">
        <v>70.0</v>
      </c>
      <c r="CG395" s="512">
        <v>77.0</v>
      </c>
      <c r="CH395" s="512">
        <v>47.0</v>
      </c>
      <c r="CI395" s="512">
        <v>51.0</v>
      </c>
      <c r="CJ395" s="512">
        <v>54.0</v>
      </c>
      <c r="CK395" s="512">
        <v>43.0</v>
      </c>
      <c r="CL395" s="512">
        <v>75.0</v>
      </c>
      <c r="CM395" s="566">
        <f>SUM(BK395:CL395)/28</f>
        <v>53.67857143</v>
      </c>
      <c r="CN395" s="561">
        <v>34.0</v>
      </c>
      <c r="CO395" s="561">
        <v>84.0</v>
      </c>
      <c r="CP395" s="561">
        <v>78.0</v>
      </c>
      <c r="CQ395" s="561">
        <v>70.0</v>
      </c>
      <c r="CR395" s="561">
        <v>74.0</v>
      </c>
      <c r="CS395" s="561">
        <v>69.0</v>
      </c>
      <c r="CT395" s="561">
        <v>73.0</v>
      </c>
      <c r="CU395" s="561">
        <v>74.0</v>
      </c>
      <c r="CV395" s="591">
        <v>77.0</v>
      </c>
      <c r="CW395" s="591">
        <v>56.0</v>
      </c>
      <c r="CX395" s="591">
        <v>48.0</v>
      </c>
      <c r="CY395" s="591">
        <v>86.0</v>
      </c>
      <c r="CZ395" s="591">
        <v>75.0</v>
      </c>
      <c r="DA395" s="591">
        <v>70.0</v>
      </c>
      <c r="DB395" s="561">
        <v>64.0</v>
      </c>
      <c r="DC395" s="561">
        <v>91.0</v>
      </c>
      <c r="DD395" s="561">
        <v>78.0</v>
      </c>
      <c r="DE395" s="561">
        <v>61.0</v>
      </c>
      <c r="DF395" s="561">
        <v>102.0</v>
      </c>
      <c r="DG395" s="561">
        <v>70.0</v>
      </c>
      <c r="DH395" s="561">
        <v>56.0</v>
      </c>
      <c r="DI395" s="561">
        <v>69.0</v>
      </c>
      <c r="DJ395" s="561">
        <v>86.0</v>
      </c>
      <c r="DK395" s="561">
        <v>94.0</v>
      </c>
      <c r="DL395" s="561">
        <v>80.0</v>
      </c>
      <c r="DM395" s="561">
        <v>82.0</v>
      </c>
      <c r="DN395" s="561">
        <v>88.0</v>
      </c>
      <c r="DO395" s="561">
        <v>66.0</v>
      </c>
      <c r="DP395" s="561">
        <v>87.0</v>
      </c>
      <c r="DQ395" s="561">
        <v>55.0</v>
      </c>
      <c r="DR395" s="105"/>
      <c r="DS395" s="520" t="s">
        <v>337</v>
      </c>
      <c r="DX395" s="530"/>
      <c r="DZ395" s="574">
        <f t="shared" si="32"/>
        <v>2197</v>
      </c>
      <c r="EA395" s="530">
        <f t="shared" si="33"/>
        <v>70.87096774</v>
      </c>
    </row>
    <row r="396" hidden="1">
      <c r="A396" s="502" t="s">
        <v>291</v>
      </c>
      <c r="B396" s="537"/>
      <c r="C396" s="537"/>
      <c r="D396" s="537"/>
      <c r="E396" s="537"/>
      <c r="F396" s="537"/>
      <c r="G396" s="537"/>
      <c r="H396" s="537"/>
      <c r="I396" s="537"/>
      <c r="J396" s="537"/>
      <c r="K396" s="537"/>
      <c r="L396" s="537"/>
      <c r="M396" s="537"/>
      <c r="N396" s="537"/>
      <c r="O396" s="537"/>
      <c r="P396" s="537"/>
      <c r="Q396" s="537"/>
      <c r="R396" s="537"/>
      <c r="S396" s="537"/>
      <c r="T396" s="537"/>
      <c r="U396" s="537"/>
      <c r="V396" s="537"/>
      <c r="W396" s="537"/>
      <c r="X396" s="537"/>
      <c r="Y396" s="537"/>
      <c r="Z396" s="537"/>
      <c r="AA396" s="537"/>
      <c r="AB396" s="537"/>
      <c r="AC396" s="537"/>
      <c r="AD396" s="537"/>
      <c r="AE396" s="537"/>
      <c r="AF396" s="537"/>
      <c r="AG396" s="537"/>
      <c r="AH396" s="537"/>
      <c r="AI396" s="537"/>
      <c r="AJ396" s="537"/>
      <c r="AK396" s="537"/>
      <c r="AL396" s="537"/>
      <c r="AM396" s="537"/>
      <c r="AN396" s="537"/>
      <c r="AO396" s="537"/>
      <c r="AP396" s="537"/>
      <c r="AQ396" s="537"/>
      <c r="AR396" s="537"/>
      <c r="AS396" s="537"/>
      <c r="AT396" s="537"/>
      <c r="AU396" s="537"/>
      <c r="AV396" s="537"/>
      <c r="AW396" s="537"/>
      <c r="AX396" s="537"/>
      <c r="AY396" s="537"/>
      <c r="AZ396" s="537"/>
      <c r="BA396" s="537"/>
      <c r="BB396" s="537"/>
      <c r="BC396" s="537"/>
      <c r="BD396" s="537"/>
      <c r="BE396" s="537"/>
      <c r="BF396" s="537"/>
      <c r="BG396" s="537"/>
      <c r="BH396" s="537"/>
      <c r="BI396" s="537"/>
      <c r="BJ396" s="537"/>
      <c r="BK396" s="537">
        <v>-295.52</v>
      </c>
      <c r="BL396" s="537">
        <v>-42.77</v>
      </c>
      <c r="BM396" s="537">
        <v>24.22</v>
      </c>
      <c r="BN396" s="537">
        <v>-438.28</v>
      </c>
      <c r="BO396" s="537">
        <v>35.84</v>
      </c>
      <c r="BP396" s="537">
        <v>-15.94</v>
      </c>
      <c r="BQ396" s="537">
        <v>33.53</v>
      </c>
      <c r="BR396" s="537">
        <v>48.55</v>
      </c>
      <c r="BS396" s="537">
        <v>-179.22</v>
      </c>
      <c r="BT396" s="537">
        <v>-2.05</v>
      </c>
      <c r="BU396" s="537">
        <v>54.16</v>
      </c>
      <c r="BV396" s="537">
        <v>-203.07</v>
      </c>
      <c r="BW396" s="537">
        <v>53.0</v>
      </c>
      <c r="BX396" s="537">
        <v>35.32</v>
      </c>
      <c r="BY396" s="537">
        <v>52.07</v>
      </c>
      <c r="BZ396" s="537">
        <v>38.49</v>
      </c>
      <c r="CA396" s="537">
        <v>54.6</v>
      </c>
      <c r="CB396" s="537">
        <v>43.14</v>
      </c>
      <c r="CC396" s="537">
        <v>-87.46</v>
      </c>
      <c r="CD396" s="537">
        <v>47.24</v>
      </c>
      <c r="CE396" s="537">
        <v>-66.14</v>
      </c>
      <c r="CF396" s="537">
        <v>54.48</v>
      </c>
      <c r="CG396" s="537">
        <v>59.5</v>
      </c>
      <c r="CH396" s="537">
        <v>-90.39</v>
      </c>
      <c r="CI396" s="537">
        <v>50.36</v>
      </c>
      <c r="CJ396" s="537">
        <v>32.76</v>
      </c>
      <c r="CK396" s="537">
        <v>-310.39</v>
      </c>
      <c r="CL396" s="537">
        <v>-88.51</v>
      </c>
      <c r="CM396" s="537"/>
      <c r="CN396" s="537"/>
      <c r="CO396" s="537">
        <v>51.84</v>
      </c>
      <c r="CP396" s="537">
        <v>38.78</v>
      </c>
      <c r="CQ396" s="537">
        <v>51.0</v>
      </c>
      <c r="CR396" s="537">
        <v>78.73</v>
      </c>
      <c r="CS396" s="537">
        <v>32.3</v>
      </c>
      <c r="CT396" s="537">
        <v>73.05</v>
      </c>
      <c r="CU396" s="537">
        <v>47.67</v>
      </c>
      <c r="CV396" s="536">
        <v>29.53</v>
      </c>
      <c r="CW396" s="593">
        <v>51.5</v>
      </c>
      <c r="CX396" s="593">
        <v>54.33</v>
      </c>
      <c r="CY396" s="593">
        <v>28.23</v>
      </c>
      <c r="CZ396" s="595">
        <v>46.07</v>
      </c>
      <c r="DA396" s="593">
        <v>51.89</v>
      </c>
      <c r="DB396" s="537">
        <v>-171.75</v>
      </c>
      <c r="DC396" s="537">
        <v>57.2</v>
      </c>
      <c r="DD396" s="513">
        <v>90.56</v>
      </c>
      <c r="DE396" s="537">
        <v>48.13</v>
      </c>
      <c r="DF396" s="537">
        <v>41.82</v>
      </c>
      <c r="DG396" s="537">
        <v>66.41</v>
      </c>
      <c r="DH396" s="537">
        <v>53.68</v>
      </c>
      <c r="DI396" s="537">
        <v>49.24</v>
      </c>
      <c r="DJ396" s="537">
        <v>110.23</v>
      </c>
      <c r="DK396" s="537">
        <v>41.92</v>
      </c>
      <c r="DL396" s="537">
        <v>61.92</v>
      </c>
      <c r="DM396" s="537">
        <v>87.74</v>
      </c>
      <c r="DN396" s="537">
        <v>38.16</v>
      </c>
      <c r="DO396" s="537">
        <v>62.13</v>
      </c>
      <c r="DP396" s="537">
        <v>35.93</v>
      </c>
      <c r="DQ396" s="537">
        <v>58.48</v>
      </c>
      <c r="DR396" s="594"/>
      <c r="DS396" s="520" t="s">
        <v>397</v>
      </c>
      <c r="DT396" s="574">
        <f>DA396+CX396+CW396+CT396+CS396+CP396+CO396</f>
        <v>353.69</v>
      </c>
      <c r="DU396" s="574">
        <f>100*7</f>
        <v>700</v>
      </c>
      <c r="DW396" s="574">
        <f>DQ396+DN396+DM396+DJ396+DI396+DF396+DE396</f>
        <v>433.8</v>
      </c>
      <c r="DX396" s="510">
        <v>1000.0</v>
      </c>
    </row>
    <row r="397" hidden="1">
      <c r="A397" s="531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  <c r="AT397" s="118"/>
      <c r="AU397" s="118"/>
      <c r="AV397" s="118"/>
      <c r="AW397" s="118"/>
      <c r="AX397" s="118"/>
      <c r="AY397" s="118"/>
      <c r="AZ397" s="118"/>
      <c r="BA397" s="118"/>
      <c r="BB397" s="118"/>
      <c r="BC397" s="118"/>
      <c r="BD397" s="118"/>
      <c r="BE397" s="118"/>
      <c r="BF397" s="118"/>
      <c r="BG397" s="118"/>
      <c r="BH397" s="118"/>
      <c r="BI397" s="118"/>
      <c r="BJ397" s="118"/>
      <c r="BK397" s="118"/>
      <c r="BL397" s="118"/>
      <c r="BM397" s="118"/>
      <c r="BN397" s="118"/>
      <c r="BO397" s="118"/>
      <c r="BP397" s="118"/>
      <c r="BQ397" s="118"/>
      <c r="BR397" s="118"/>
      <c r="BS397" s="118"/>
      <c r="BT397" s="118"/>
      <c r="BU397" s="118"/>
      <c r="BV397" s="118"/>
      <c r="BW397" s="118"/>
      <c r="BX397" s="118"/>
      <c r="BY397" s="118"/>
      <c r="BZ397" s="118"/>
      <c r="CA397" s="118"/>
      <c r="CB397" s="118"/>
      <c r="CC397" s="118"/>
      <c r="CD397" s="118"/>
      <c r="CE397" s="118"/>
      <c r="CF397" s="118"/>
      <c r="CG397" s="118"/>
      <c r="CH397" s="118"/>
      <c r="CI397" s="118"/>
      <c r="CJ397" s="118"/>
      <c r="CK397" s="118"/>
      <c r="CL397" s="118"/>
      <c r="CM397" s="118"/>
      <c r="CN397" s="118"/>
      <c r="CO397" s="546"/>
      <c r="CP397" s="118"/>
      <c r="CQ397" s="118"/>
      <c r="CR397" s="118"/>
      <c r="CS397" s="546"/>
      <c r="CT397" s="118"/>
      <c r="CU397" s="118"/>
      <c r="CV397" s="577"/>
      <c r="CW397" s="577"/>
      <c r="CX397" s="577"/>
      <c r="CY397" s="577"/>
      <c r="CZ397" s="577"/>
      <c r="DA397" s="577"/>
      <c r="DB397" s="118"/>
      <c r="DC397" s="118"/>
      <c r="DD397" s="118"/>
      <c r="DE397" s="118"/>
      <c r="DF397" s="118"/>
      <c r="DG397" s="118"/>
      <c r="DH397" s="118"/>
      <c r="DI397" s="118"/>
      <c r="DJ397" s="118"/>
      <c r="DK397" s="118"/>
      <c r="DL397" s="118"/>
      <c r="DM397" s="118"/>
      <c r="DN397" s="118"/>
      <c r="DO397" s="118"/>
      <c r="DP397" s="118"/>
      <c r="DQ397" s="118"/>
      <c r="DR397" s="118"/>
      <c r="DS397" s="520" t="s">
        <v>413</v>
      </c>
      <c r="DW397" s="574">
        <f>DB396</f>
        <v>-171.75</v>
      </c>
      <c r="DX397" s="510">
        <f>100</f>
        <v>100</v>
      </c>
    </row>
    <row r="398" hidden="1">
      <c r="A398" s="531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  <c r="AT398" s="118"/>
      <c r="AU398" s="118"/>
      <c r="AV398" s="118"/>
      <c r="AW398" s="118"/>
      <c r="AX398" s="118"/>
      <c r="AY398" s="118"/>
      <c r="AZ398" s="118"/>
      <c r="BA398" s="118"/>
      <c r="BB398" s="118"/>
      <c r="BC398" s="118"/>
      <c r="BD398" s="118"/>
      <c r="BE398" s="118"/>
      <c r="BF398" s="118"/>
      <c r="BG398" s="118"/>
      <c r="BH398" s="118"/>
      <c r="BI398" s="118"/>
      <c r="BJ398" s="118"/>
      <c r="BK398" s="118"/>
      <c r="BL398" s="118"/>
      <c r="BM398" s="118"/>
      <c r="BN398" s="118"/>
      <c r="BO398" s="118"/>
      <c r="BP398" s="118"/>
      <c r="BQ398" s="118"/>
      <c r="BR398" s="118"/>
      <c r="BS398" s="118"/>
      <c r="BT398" s="118"/>
      <c r="BU398" s="118"/>
      <c r="BV398" s="118"/>
      <c r="BW398" s="118"/>
      <c r="BX398" s="118"/>
      <c r="BY398" s="118"/>
      <c r="BZ398" s="118"/>
      <c r="CA398" s="118"/>
      <c r="CB398" s="118"/>
      <c r="CC398" s="118"/>
      <c r="CD398" s="118"/>
      <c r="CE398" s="118"/>
      <c r="CF398" s="118"/>
      <c r="CG398" s="118"/>
      <c r="CH398" s="118"/>
      <c r="CI398" s="118"/>
      <c r="CJ398" s="118"/>
      <c r="CK398" s="118"/>
      <c r="CL398" s="118"/>
      <c r="CM398" s="118"/>
      <c r="CN398" s="118"/>
      <c r="CO398" s="118"/>
      <c r="CP398" s="118"/>
      <c r="CQ398" s="118"/>
      <c r="CR398" s="118"/>
      <c r="CS398" s="118"/>
      <c r="CT398" s="118"/>
      <c r="CU398" s="118"/>
      <c r="CV398" s="577"/>
      <c r="CW398" s="577"/>
      <c r="CX398" s="577"/>
      <c r="CY398" s="577"/>
      <c r="CZ398" s="577"/>
      <c r="DA398" s="577"/>
      <c r="DB398" s="118"/>
      <c r="DC398" s="118"/>
      <c r="DD398" s="118"/>
      <c r="DE398" s="118"/>
      <c r="DF398" s="118"/>
      <c r="DG398" s="118"/>
      <c r="DH398" s="118"/>
      <c r="DI398" s="118"/>
      <c r="DJ398" s="118"/>
      <c r="DK398" s="118"/>
      <c r="DL398" s="118"/>
      <c r="DM398" s="118"/>
      <c r="DN398" s="118"/>
      <c r="DO398" s="118"/>
      <c r="DP398" s="118"/>
      <c r="DQ398" s="118"/>
      <c r="DR398" s="118"/>
      <c r="DX398" s="510"/>
    </row>
    <row r="399" hidden="1">
      <c r="A399" s="500" t="s">
        <v>295</v>
      </c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  <c r="AT399" s="118"/>
      <c r="AU399" s="118"/>
      <c r="AV399" s="118"/>
      <c r="AW399" s="118"/>
      <c r="AX399" s="118"/>
      <c r="AY399" s="118"/>
      <c r="AZ399" s="118"/>
      <c r="BA399" s="118"/>
      <c r="BB399" s="118"/>
      <c r="BC399" s="118"/>
      <c r="BD399" s="118"/>
      <c r="BE399" s="118"/>
      <c r="BF399" s="118"/>
      <c r="BG399" s="118"/>
      <c r="BH399" s="118"/>
      <c r="BI399" s="118"/>
      <c r="BJ399" s="118"/>
      <c r="BK399" s="118"/>
      <c r="BL399" s="118"/>
      <c r="BM399" s="118"/>
      <c r="BN399" s="118"/>
      <c r="BO399" s="118"/>
      <c r="BP399" s="118"/>
      <c r="BQ399" s="118"/>
      <c r="BR399" s="118"/>
      <c r="BS399" s="118"/>
      <c r="BT399" s="118"/>
      <c r="BU399" s="118"/>
      <c r="BV399" s="118"/>
      <c r="BW399" s="118"/>
      <c r="BX399" s="118"/>
      <c r="BY399" s="118"/>
      <c r="BZ399" s="118"/>
      <c r="CA399" s="118"/>
      <c r="CB399" s="118"/>
      <c r="CC399" s="118"/>
      <c r="CD399" s="118"/>
      <c r="CE399" s="118"/>
      <c r="CF399" s="118"/>
      <c r="CG399" s="118"/>
      <c r="CH399" s="118"/>
      <c r="CI399" s="118"/>
      <c r="CJ399" s="118"/>
      <c r="CK399" s="118"/>
      <c r="CL399" s="118"/>
      <c r="CM399" s="118"/>
      <c r="CN399" s="546" t="s">
        <v>216</v>
      </c>
      <c r="CO399" s="546" t="s">
        <v>191</v>
      </c>
      <c r="CP399" s="546" t="s">
        <v>195</v>
      </c>
      <c r="CQ399" s="546" t="s">
        <v>414</v>
      </c>
      <c r="CR399" s="546" t="s">
        <v>216</v>
      </c>
      <c r="CS399" s="546" t="s">
        <v>191</v>
      </c>
      <c r="CT399" s="546" t="s">
        <v>195</v>
      </c>
      <c r="CU399" s="546" t="s">
        <v>195</v>
      </c>
      <c r="CV399" s="546" t="s">
        <v>191</v>
      </c>
      <c r="CW399" s="546" t="s">
        <v>353</v>
      </c>
      <c r="CX399" s="546" t="s">
        <v>191</v>
      </c>
      <c r="CY399" s="546" t="s">
        <v>195</v>
      </c>
      <c r="CZ399" s="546" t="s">
        <v>195</v>
      </c>
      <c r="DA399" s="546" t="s">
        <v>195</v>
      </c>
      <c r="DB399" s="546" t="s">
        <v>191</v>
      </c>
      <c r="DC399" s="546" t="s">
        <v>191</v>
      </c>
      <c r="DD399" s="546" t="s">
        <v>195</v>
      </c>
      <c r="DE399" s="546" t="s">
        <v>195</v>
      </c>
      <c r="DF399" s="601" t="s">
        <v>191</v>
      </c>
      <c r="DG399" s="546" t="s">
        <v>191</v>
      </c>
      <c r="DH399" s="546" t="s">
        <v>195</v>
      </c>
      <c r="DI399" s="546" t="s">
        <v>195</v>
      </c>
      <c r="DJ399" s="546" t="s">
        <v>191</v>
      </c>
      <c r="DK399" s="546" t="s">
        <v>191</v>
      </c>
      <c r="DL399" s="546" t="s">
        <v>195</v>
      </c>
      <c r="DM399" s="546" t="s">
        <v>195</v>
      </c>
      <c r="DN399" s="546" t="s">
        <v>191</v>
      </c>
      <c r="DO399" s="546" t="s">
        <v>191</v>
      </c>
      <c r="DP399" s="546" t="s">
        <v>216</v>
      </c>
      <c r="DQ399" s="546" t="s">
        <v>195</v>
      </c>
      <c r="DR399" s="544"/>
      <c r="DT399" s="520" t="s">
        <v>384</v>
      </c>
      <c r="DU399" s="520" t="s">
        <v>332</v>
      </c>
      <c r="DW399" s="520" t="s">
        <v>384</v>
      </c>
      <c r="DX399" s="520" t="s">
        <v>332</v>
      </c>
    </row>
    <row r="400" hidden="1">
      <c r="A400" s="502" t="s">
        <v>288</v>
      </c>
      <c r="B400" s="525"/>
      <c r="C400" s="525"/>
      <c r="D400" s="525"/>
      <c r="E400" s="525"/>
      <c r="F400" s="525"/>
      <c r="G400" s="525"/>
      <c r="H400" s="525"/>
      <c r="I400" s="525"/>
      <c r="J400" s="525"/>
      <c r="K400" s="525"/>
      <c r="L400" s="525"/>
      <c r="M400" s="525"/>
      <c r="N400" s="525"/>
      <c r="O400" s="525"/>
      <c r="P400" s="525"/>
      <c r="Q400" s="525"/>
      <c r="R400" s="525"/>
      <c r="S400" s="525"/>
      <c r="T400" s="525"/>
      <c r="U400" s="525"/>
      <c r="V400" s="525"/>
      <c r="W400" s="525"/>
      <c r="X400" s="525"/>
      <c r="Y400" s="525"/>
      <c r="Z400" s="525"/>
      <c r="AA400" s="525"/>
      <c r="AB400" s="525"/>
      <c r="AC400" s="525"/>
      <c r="AD400" s="525"/>
      <c r="AE400" s="525"/>
      <c r="AF400" s="525"/>
      <c r="AG400" s="525"/>
      <c r="AH400" s="525"/>
      <c r="AI400" s="525"/>
      <c r="AJ400" s="525"/>
      <c r="AK400" s="525"/>
      <c r="AL400" s="525"/>
      <c r="AM400" s="525"/>
      <c r="AN400" s="525"/>
      <c r="AO400" s="525"/>
      <c r="AP400" s="525"/>
      <c r="AQ400" s="525"/>
      <c r="AR400" s="525"/>
      <c r="AS400" s="525"/>
      <c r="AT400" s="525"/>
      <c r="AU400" s="525"/>
      <c r="AV400" s="525"/>
      <c r="AW400" s="525"/>
      <c r="AX400" s="525"/>
      <c r="AY400" s="525"/>
      <c r="AZ400" s="525"/>
      <c r="BA400" s="525"/>
      <c r="BB400" s="525"/>
      <c r="BC400" s="525"/>
      <c r="BD400" s="525"/>
      <c r="BE400" s="525"/>
      <c r="BF400" s="525"/>
      <c r="BG400" s="525"/>
      <c r="BH400" s="525"/>
      <c r="BI400" s="525"/>
      <c r="BJ400" s="525"/>
      <c r="BK400" s="541">
        <v>45689.0</v>
      </c>
      <c r="BL400" s="541">
        <v>45690.0</v>
      </c>
      <c r="BM400" s="541">
        <v>45691.0</v>
      </c>
      <c r="BN400" s="541">
        <v>45692.0</v>
      </c>
      <c r="BO400" s="541">
        <v>45693.0</v>
      </c>
      <c r="BP400" s="541">
        <v>45694.0</v>
      </c>
      <c r="BQ400" s="541">
        <v>45695.0</v>
      </c>
      <c r="BR400" s="541">
        <v>45696.0</v>
      </c>
      <c r="BS400" s="541">
        <v>45697.0</v>
      </c>
      <c r="BT400" s="541">
        <v>45698.0</v>
      </c>
      <c r="BU400" s="541">
        <v>45699.0</v>
      </c>
      <c r="BV400" s="541">
        <v>45700.0</v>
      </c>
      <c r="BW400" s="541">
        <v>45701.0</v>
      </c>
      <c r="BX400" s="541">
        <v>45702.0</v>
      </c>
      <c r="BY400" s="541">
        <v>45703.0</v>
      </c>
      <c r="BZ400" s="541">
        <v>45704.0</v>
      </c>
      <c r="CA400" s="541">
        <v>45705.0</v>
      </c>
      <c r="CB400" s="541">
        <v>45706.0</v>
      </c>
      <c r="CC400" s="541">
        <v>45707.0</v>
      </c>
      <c r="CD400" s="541">
        <v>45708.0</v>
      </c>
      <c r="CE400" s="541">
        <v>45709.0</v>
      </c>
      <c r="CF400" s="541">
        <v>45710.0</v>
      </c>
      <c r="CG400" s="541">
        <v>45711.0</v>
      </c>
      <c r="CH400" s="541">
        <v>45712.0</v>
      </c>
      <c r="CI400" s="541">
        <v>45713.0</v>
      </c>
      <c r="CJ400" s="541">
        <v>45714.0</v>
      </c>
      <c r="CK400" s="541">
        <v>45715.0</v>
      </c>
      <c r="CL400" s="541">
        <v>45716.0</v>
      </c>
      <c r="CM400" s="541"/>
      <c r="CN400" s="541">
        <v>46024.0</v>
      </c>
      <c r="CO400" s="541">
        <v>46025.0</v>
      </c>
      <c r="CP400" s="541">
        <v>46026.0</v>
      </c>
      <c r="CQ400" s="541">
        <v>46027.0</v>
      </c>
      <c r="CR400" s="541">
        <v>46028.0</v>
      </c>
      <c r="CS400" s="541">
        <v>46029.0</v>
      </c>
      <c r="CT400" s="541">
        <v>46030.0</v>
      </c>
      <c r="CU400" s="541">
        <v>46031.0</v>
      </c>
      <c r="CV400" s="541">
        <v>46032.0</v>
      </c>
      <c r="CW400" s="541">
        <v>46033.0</v>
      </c>
      <c r="CX400" s="541">
        <v>46034.0</v>
      </c>
      <c r="CY400" s="541">
        <v>46035.0</v>
      </c>
      <c r="CZ400" s="541">
        <v>46036.0</v>
      </c>
      <c r="DA400" s="541">
        <v>46037.0</v>
      </c>
      <c r="DB400" s="541">
        <v>46038.0</v>
      </c>
      <c r="DC400" s="541">
        <v>46039.0</v>
      </c>
      <c r="DD400" s="541">
        <v>46040.0</v>
      </c>
      <c r="DE400" s="541">
        <v>46041.0</v>
      </c>
      <c r="DF400" s="541">
        <v>46042.0</v>
      </c>
      <c r="DG400" s="541">
        <v>46043.0</v>
      </c>
      <c r="DH400" s="541">
        <v>46044.0</v>
      </c>
      <c r="DI400" s="541">
        <v>46045.0</v>
      </c>
      <c r="DJ400" s="541">
        <v>46046.0</v>
      </c>
      <c r="DK400" s="541">
        <v>46047.0</v>
      </c>
      <c r="DL400" s="541">
        <v>46048.0</v>
      </c>
      <c r="DM400" s="541">
        <v>46049.0</v>
      </c>
      <c r="DN400" s="541">
        <v>46050.0</v>
      </c>
      <c r="DO400" s="541">
        <v>46051.0</v>
      </c>
      <c r="DP400" s="541">
        <v>46052.0</v>
      </c>
      <c r="DQ400" s="541">
        <v>46053.0</v>
      </c>
      <c r="DR400" s="544"/>
      <c r="DS400" s="520" t="s">
        <v>402</v>
      </c>
      <c r="DT400" s="574">
        <f>CO403+CS403+CV403+CX403</f>
        <v>112.42</v>
      </c>
      <c r="DU400" s="574">
        <f>100</f>
        <v>100</v>
      </c>
      <c r="DW400" s="574">
        <f>DK403+DJ403+DG403+DF403+DC403+DB403</f>
        <v>12.28</v>
      </c>
      <c r="DX400" s="510">
        <v>300.0</v>
      </c>
    </row>
    <row r="401" hidden="1">
      <c r="A401" s="502" t="s">
        <v>289</v>
      </c>
      <c r="B401" s="525"/>
      <c r="C401" s="525"/>
      <c r="D401" s="525"/>
      <c r="E401" s="525"/>
      <c r="F401" s="525"/>
      <c r="G401" s="525"/>
      <c r="H401" s="525"/>
      <c r="I401" s="525"/>
      <c r="J401" s="525"/>
      <c r="K401" s="525"/>
      <c r="L401" s="525"/>
      <c r="M401" s="525"/>
      <c r="N401" s="525"/>
      <c r="O401" s="525"/>
      <c r="P401" s="525"/>
      <c r="Q401" s="525"/>
      <c r="R401" s="525"/>
      <c r="S401" s="525"/>
      <c r="T401" s="525"/>
      <c r="U401" s="525"/>
      <c r="V401" s="525"/>
      <c r="W401" s="525"/>
      <c r="X401" s="525"/>
      <c r="Y401" s="525"/>
      <c r="Z401" s="525"/>
      <c r="AA401" s="525"/>
      <c r="AB401" s="525"/>
      <c r="AC401" s="525"/>
      <c r="AD401" s="525"/>
      <c r="AE401" s="525"/>
      <c r="AF401" s="525"/>
      <c r="AG401" s="525"/>
      <c r="AH401" s="525"/>
      <c r="AI401" s="525"/>
      <c r="AJ401" s="525"/>
      <c r="AK401" s="525"/>
      <c r="AL401" s="525"/>
      <c r="AM401" s="525"/>
      <c r="AN401" s="525"/>
      <c r="AO401" s="525"/>
      <c r="AP401" s="525"/>
      <c r="AQ401" s="525"/>
      <c r="AR401" s="525"/>
      <c r="AS401" s="525"/>
      <c r="AT401" s="525"/>
      <c r="AU401" s="525"/>
      <c r="AV401" s="525"/>
      <c r="AW401" s="525"/>
      <c r="AX401" s="525"/>
      <c r="AY401" s="525"/>
      <c r="AZ401" s="525"/>
      <c r="BA401" s="525"/>
      <c r="BB401" s="525"/>
      <c r="BC401" s="525"/>
      <c r="BD401" s="525"/>
      <c r="BE401" s="525"/>
      <c r="BF401" s="525"/>
      <c r="BG401" s="525"/>
      <c r="BH401" s="525"/>
      <c r="BI401" s="525"/>
      <c r="BJ401" s="525"/>
      <c r="BK401" s="512">
        <v>12.0</v>
      </c>
      <c r="BL401" s="512">
        <v>16.0</v>
      </c>
      <c r="BM401" s="512">
        <v>37.0</v>
      </c>
      <c r="BN401" s="512">
        <v>24.0</v>
      </c>
      <c r="BO401" s="512">
        <v>23.0</v>
      </c>
      <c r="BP401" s="512">
        <v>48.0</v>
      </c>
      <c r="BQ401" s="512">
        <v>38.0</v>
      </c>
      <c r="BR401" s="512">
        <v>13.0</v>
      </c>
      <c r="BS401" s="512">
        <v>61.0</v>
      </c>
      <c r="BT401" s="512">
        <v>50.0</v>
      </c>
      <c r="BU401" s="512">
        <v>68.0</v>
      </c>
      <c r="BV401" s="512">
        <v>29.0</v>
      </c>
      <c r="BW401" s="512">
        <v>91.0</v>
      </c>
      <c r="BX401" s="512">
        <v>62.0</v>
      </c>
      <c r="BY401" s="512">
        <v>63.0</v>
      </c>
      <c r="BZ401" s="512">
        <v>64.0</v>
      </c>
      <c r="CA401" s="512">
        <v>76.0</v>
      </c>
      <c r="CB401" s="512">
        <v>49.0</v>
      </c>
      <c r="CC401" s="512">
        <v>63.0</v>
      </c>
      <c r="CD401" s="512">
        <v>50.0</v>
      </c>
      <c r="CE401" s="512">
        <v>55.0</v>
      </c>
      <c r="CF401" s="512">
        <v>77.0</v>
      </c>
      <c r="CG401" s="512">
        <v>77.0</v>
      </c>
      <c r="CH401" s="512">
        <v>72.0</v>
      </c>
      <c r="CI401" s="512">
        <v>80.0</v>
      </c>
      <c r="CJ401" s="512">
        <v>89.0</v>
      </c>
      <c r="CK401" s="512">
        <v>64.0</v>
      </c>
      <c r="CL401" s="512">
        <v>82.0</v>
      </c>
      <c r="CM401" s="512"/>
      <c r="CN401" s="561">
        <v>27.0</v>
      </c>
      <c r="CO401" s="561">
        <v>126.0</v>
      </c>
      <c r="CP401" s="561">
        <v>75.0</v>
      </c>
      <c r="CQ401" s="561">
        <v>117.0</v>
      </c>
      <c r="CR401" s="561">
        <v>82.0</v>
      </c>
      <c r="CS401" s="561">
        <v>41.0</v>
      </c>
      <c r="CT401" s="561">
        <v>110.0</v>
      </c>
      <c r="CU401" s="561">
        <v>106.0</v>
      </c>
      <c r="CV401" s="591">
        <v>39.0</v>
      </c>
      <c r="CW401" s="591">
        <v>103.0</v>
      </c>
      <c r="CX401" s="591">
        <v>76.0</v>
      </c>
      <c r="CY401" s="591">
        <v>115.0</v>
      </c>
      <c r="CZ401" s="591">
        <v>99.0</v>
      </c>
      <c r="DA401" s="591">
        <v>107.0</v>
      </c>
      <c r="DB401" s="561">
        <v>84.0</v>
      </c>
      <c r="DC401" s="561">
        <v>98.0</v>
      </c>
      <c r="DD401" s="561">
        <v>83.0</v>
      </c>
      <c r="DE401" s="561">
        <v>138.0</v>
      </c>
      <c r="DF401" s="561">
        <v>102.0</v>
      </c>
      <c r="DG401" s="561">
        <v>69.0</v>
      </c>
      <c r="DH401" s="561">
        <v>74.0</v>
      </c>
      <c r="DI401" s="561">
        <v>136.0</v>
      </c>
      <c r="DJ401" s="561">
        <v>103.0</v>
      </c>
      <c r="DK401" s="561">
        <v>105.0</v>
      </c>
      <c r="DL401" s="561">
        <v>67.0</v>
      </c>
      <c r="DM401" s="561">
        <v>135.0</v>
      </c>
      <c r="DN401" s="561">
        <v>88.0</v>
      </c>
      <c r="DO401" s="561">
        <v>87.0</v>
      </c>
      <c r="DP401" s="561">
        <v>57.0</v>
      </c>
      <c r="DQ401" s="561">
        <v>58.0</v>
      </c>
      <c r="DR401" s="105"/>
      <c r="DS401" s="520" t="s">
        <v>339</v>
      </c>
      <c r="DT401" s="574">
        <f>CR403</f>
        <v>32.62</v>
      </c>
      <c r="DW401" s="520">
        <v>0.0</v>
      </c>
      <c r="DX401" s="510">
        <v>0.0</v>
      </c>
      <c r="DZ401" s="574">
        <f t="shared" ref="DZ401:DZ402" si="34">SUM(CN401:DQ401)</f>
        <v>2707</v>
      </c>
      <c r="EA401" s="530">
        <f t="shared" ref="EA401:EA402" si="35">DZ401/31</f>
        <v>87.32258065</v>
      </c>
    </row>
    <row r="402" hidden="1">
      <c r="A402" s="521" t="s">
        <v>290</v>
      </c>
      <c r="B402" s="525"/>
      <c r="C402" s="525"/>
      <c r="D402" s="525"/>
      <c r="E402" s="525"/>
      <c r="F402" s="525"/>
      <c r="G402" s="525"/>
      <c r="H402" s="525"/>
      <c r="I402" s="525"/>
      <c r="J402" s="525"/>
      <c r="K402" s="525"/>
      <c r="L402" s="525"/>
      <c r="M402" s="525"/>
      <c r="N402" s="525"/>
      <c r="O402" s="525"/>
      <c r="P402" s="525"/>
      <c r="Q402" s="525"/>
      <c r="R402" s="525"/>
      <c r="S402" s="525"/>
      <c r="T402" s="525"/>
      <c r="U402" s="525"/>
      <c r="V402" s="525"/>
      <c r="W402" s="525"/>
      <c r="X402" s="525"/>
      <c r="Y402" s="525"/>
      <c r="Z402" s="525"/>
      <c r="AA402" s="525"/>
      <c r="AB402" s="525"/>
      <c r="AC402" s="525"/>
      <c r="AD402" s="525"/>
      <c r="AE402" s="525"/>
      <c r="AF402" s="525"/>
      <c r="AG402" s="525"/>
      <c r="AH402" s="525"/>
      <c r="AI402" s="525"/>
      <c r="AJ402" s="525"/>
      <c r="AK402" s="525"/>
      <c r="AL402" s="525"/>
      <c r="AM402" s="525"/>
      <c r="AN402" s="525"/>
      <c r="AO402" s="525"/>
      <c r="AP402" s="525"/>
      <c r="AQ402" s="525"/>
      <c r="AR402" s="525"/>
      <c r="AS402" s="525"/>
      <c r="AT402" s="525"/>
      <c r="AU402" s="525"/>
      <c r="AV402" s="525"/>
      <c r="AW402" s="525"/>
      <c r="AX402" s="525"/>
      <c r="AY402" s="525"/>
      <c r="AZ402" s="525"/>
      <c r="BA402" s="525"/>
      <c r="BB402" s="525"/>
      <c r="BC402" s="525"/>
      <c r="BD402" s="525"/>
      <c r="BE402" s="525"/>
      <c r="BF402" s="525"/>
      <c r="BG402" s="525"/>
      <c r="BH402" s="525"/>
      <c r="BI402" s="525"/>
      <c r="BJ402" s="525"/>
      <c r="BK402" s="512">
        <v>8.0</v>
      </c>
      <c r="BL402" s="512">
        <v>9.0</v>
      </c>
      <c r="BM402" s="512">
        <v>16.0</v>
      </c>
      <c r="BN402" s="512">
        <v>12.0</v>
      </c>
      <c r="BO402" s="512">
        <v>12.0</v>
      </c>
      <c r="BP402" s="512">
        <v>18.0</v>
      </c>
      <c r="BQ402" s="512">
        <v>20.0</v>
      </c>
      <c r="BR402" s="512">
        <v>6.0</v>
      </c>
      <c r="BS402" s="512">
        <v>18.0</v>
      </c>
      <c r="BT402" s="512">
        <v>20.0</v>
      </c>
      <c r="BU402" s="512">
        <v>24.0</v>
      </c>
      <c r="BV402" s="512">
        <v>14.0</v>
      </c>
      <c r="BW402" s="512">
        <v>32.0</v>
      </c>
      <c r="BX402" s="512">
        <v>25.0</v>
      </c>
      <c r="BY402" s="512">
        <v>22.0</v>
      </c>
      <c r="BZ402" s="512">
        <v>29.0</v>
      </c>
      <c r="CA402" s="512">
        <v>18.0</v>
      </c>
      <c r="CB402" s="512">
        <v>23.0</v>
      </c>
      <c r="CC402" s="512">
        <v>26.0</v>
      </c>
      <c r="CD402" s="512">
        <v>22.0</v>
      </c>
      <c r="CE402" s="512">
        <v>23.0</v>
      </c>
      <c r="CF402" s="512">
        <v>36.0</v>
      </c>
      <c r="CG402" s="512">
        <v>36.0</v>
      </c>
      <c r="CH402" s="512">
        <v>23.0</v>
      </c>
      <c r="CI402" s="512">
        <v>36.0</v>
      </c>
      <c r="CJ402" s="512">
        <v>37.0</v>
      </c>
      <c r="CK402" s="512">
        <v>20.0</v>
      </c>
      <c r="CL402" s="512">
        <v>36.0</v>
      </c>
      <c r="CM402" s="552">
        <f>SUM(BK402:CL402)/28</f>
        <v>22.17857143</v>
      </c>
      <c r="CN402" s="561">
        <v>16.0</v>
      </c>
      <c r="CO402" s="561">
        <v>45.0</v>
      </c>
      <c r="CP402" s="561">
        <v>35.0</v>
      </c>
      <c r="CQ402" s="561">
        <v>40.0</v>
      </c>
      <c r="CR402" s="561">
        <v>30.0</v>
      </c>
      <c r="CS402" s="561">
        <v>15.0</v>
      </c>
      <c r="CT402" s="561">
        <v>49.0</v>
      </c>
      <c r="CU402" s="561">
        <v>47.0</v>
      </c>
      <c r="CV402" s="591">
        <v>21.0</v>
      </c>
      <c r="CW402" s="591">
        <v>43.0</v>
      </c>
      <c r="CX402" s="591">
        <v>29.0</v>
      </c>
      <c r="CY402" s="591">
        <v>39.0</v>
      </c>
      <c r="CZ402" s="591">
        <v>37.0</v>
      </c>
      <c r="DA402" s="591">
        <v>41.0</v>
      </c>
      <c r="DB402" s="561">
        <v>36.0</v>
      </c>
      <c r="DC402" s="561">
        <v>44.0</v>
      </c>
      <c r="DD402" s="561">
        <v>41.0</v>
      </c>
      <c r="DE402" s="561">
        <v>48.0</v>
      </c>
      <c r="DF402" s="561">
        <v>38.0</v>
      </c>
      <c r="DG402" s="561">
        <v>28.0</v>
      </c>
      <c r="DH402" s="561">
        <v>30.0</v>
      </c>
      <c r="DI402" s="584">
        <v>51.0</v>
      </c>
      <c r="DJ402" s="561">
        <v>47.0</v>
      </c>
      <c r="DK402" s="561">
        <v>51.0</v>
      </c>
      <c r="DL402" s="561">
        <v>36.0</v>
      </c>
      <c r="DM402" s="561">
        <v>49.0</v>
      </c>
      <c r="DN402" s="561">
        <v>43.0</v>
      </c>
      <c r="DO402" s="561">
        <v>39.0</v>
      </c>
      <c r="DP402" s="561">
        <v>25.0</v>
      </c>
      <c r="DQ402" s="561">
        <v>30.0</v>
      </c>
      <c r="DR402" s="105"/>
      <c r="DS402" s="520" t="s">
        <v>315</v>
      </c>
      <c r="DT402" s="574">
        <f>CP403+CT403+CY403+CZ403+DA403</f>
        <v>119.94</v>
      </c>
      <c r="DU402" s="574">
        <f>400</f>
        <v>400</v>
      </c>
      <c r="DW402" s="574">
        <f>DM403+DL403+DI403+DH403+DE403+DD403</f>
        <v>168.29</v>
      </c>
      <c r="DX402" s="510">
        <v>300.0</v>
      </c>
      <c r="DZ402" s="574">
        <f t="shared" si="34"/>
        <v>1123</v>
      </c>
      <c r="EA402" s="530">
        <f t="shared" si="35"/>
        <v>36.22580645</v>
      </c>
    </row>
    <row r="403" hidden="1">
      <c r="A403" s="502" t="s">
        <v>291</v>
      </c>
      <c r="B403" s="525"/>
      <c r="C403" s="525"/>
      <c r="D403" s="525"/>
      <c r="E403" s="525"/>
      <c r="F403" s="525"/>
      <c r="G403" s="525"/>
      <c r="H403" s="525"/>
      <c r="I403" s="525"/>
      <c r="J403" s="525"/>
      <c r="K403" s="525"/>
      <c r="L403" s="525"/>
      <c r="M403" s="525"/>
      <c r="N403" s="525"/>
      <c r="O403" s="525"/>
      <c r="P403" s="525"/>
      <c r="Q403" s="525"/>
      <c r="R403" s="525"/>
      <c r="S403" s="525"/>
      <c r="T403" s="525"/>
      <c r="U403" s="525"/>
      <c r="V403" s="525"/>
      <c r="W403" s="525"/>
      <c r="X403" s="525"/>
      <c r="Y403" s="525"/>
      <c r="Z403" s="525"/>
      <c r="AA403" s="525"/>
      <c r="AB403" s="525"/>
      <c r="AC403" s="525"/>
      <c r="AD403" s="525"/>
      <c r="AE403" s="525"/>
      <c r="AF403" s="525"/>
      <c r="AG403" s="525"/>
      <c r="AH403" s="525"/>
      <c r="AI403" s="525"/>
      <c r="AJ403" s="525"/>
      <c r="AK403" s="525"/>
      <c r="AL403" s="525"/>
      <c r="AM403" s="525"/>
      <c r="AN403" s="525"/>
      <c r="AO403" s="525"/>
      <c r="AP403" s="525"/>
      <c r="AQ403" s="525"/>
      <c r="AR403" s="525"/>
      <c r="AS403" s="525"/>
      <c r="AT403" s="525"/>
      <c r="AU403" s="525"/>
      <c r="AV403" s="525"/>
      <c r="AW403" s="525"/>
      <c r="AX403" s="525"/>
      <c r="AY403" s="525"/>
      <c r="AZ403" s="525"/>
      <c r="BA403" s="525"/>
      <c r="BB403" s="525"/>
      <c r="BC403" s="525"/>
      <c r="BD403" s="525"/>
      <c r="BE403" s="525"/>
      <c r="BF403" s="525"/>
      <c r="BG403" s="525"/>
      <c r="BH403" s="525"/>
      <c r="BI403" s="525"/>
      <c r="BJ403" s="525"/>
      <c r="BK403" s="529">
        <v>10.85</v>
      </c>
      <c r="BL403" s="529">
        <v>8.12</v>
      </c>
      <c r="BM403" s="529">
        <v>8.91</v>
      </c>
      <c r="BN403" s="529">
        <v>12.38</v>
      </c>
      <c r="BO403" s="529">
        <v>10.65</v>
      </c>
      <c r="BP403" s="529">
        <v>10.65</v>
      </c>
      <c r="BQ403" s="529">
        <v>11.69</v>
      </c>
      <c r="BR403" s="529">
        <v>13.24</v>
      </c>
      <c r="BS403" s="529">
        <v>20.49</v>
      </c>
      <c r="BT403" s="529">
        <v>9.99</v>
      </c>
      <c r="BU403" s="529">
        <v>18.07</v>
      </c>
      <c r="BV403" s="529">
        <v>2.6</v>
      </c>
      <c r="BW403" s="529">
        <v>15.52</v>
      </c>
      <c r="BX403" s="529">
        <v>-84.66</v>
      </c>
      <c r="BY403" s="529">
        <v>-0.49</v>
      </c>
      <c r="BZ403" s="529">
        <v>29.94</v>
      </c>
      <c r="CA403" s="529">
        <v>10.04</v>
      </c>
      <c r="CB403" s="529">
        <v>12.42</v>
      </c>
      <c r="CC403" s="529">
        <v>-21.42</v>
      </c>
      <c r="CD403" s="529">
        <v>18.39</v>
      </c>
      <c r="CE403" s="529">
        <v>14.56</v>
      </c>
      <c r="CF403" s="529">
        <v>-79.95</v>
      </c>
      <c r="CG403" s="529">
        <v>34.0</v>
      </c>
      <c r="CH403" s="529">
        <v>39.31</v>
      </c>
      <c r="CI403" s="529">
        <v>25.66</v>
      </c>
      <c r="CJ403" s="529">
        <v>-74.91</v>
      </c>
      <c r="CK403" s="529">
        <v>-183.09</v>
      </c>
      <c r="CL403" s="529">
        <v>-114.25</v>
      </c>
      <c r="CM403" s="529"/>
      <c r="CN403" s="537"/>
      <c r="CO403" s="537">
        <v>19.12</v>
      </c>
      <c r="CP403" s="537">
        <v>30.41</v>
      </c>
      <c r="CQ403" s="572">
        <v>-124.8</v>
      </c>
      <c r="CR403" s="537">
        <v>32.62</v>
      </c>
      <c r="CS403" s="537">
        <v>21.5</v>
      </c>
      <c r="CT403" s="537">
        <v>18.18</v>
      </c>
      <c r="CU403" s="572">
        <v>-370.61</v>
      </c>
      <c r="CV403" s="536">
        <v>26.65</v>
      </c>
      <c r="CW403" s="593"/>
      <c r="CX403" s="593">
        <v>45.15</v>
      </c>
      <c r="CY403" s="593">
        <v>28.62</v>
      </c>
      <c r="CZ403" s="595">
        <v>25.39</v>
      </c>
      <c r="DA403" s="593">
        <v>17.34</v>
      </c>
      <c r="DB403" s="537">
        <v>27.69</v>
      </c>
      <c r="DC403" s="537">
        <v>16.77</v>
      </c>
      <c r="DD403" s="537">
        <v>39.53</v>
      </c>
      <c r="DE403" s="537">
        <v>19.59</v>
      </c>
      <c r="DF403" s="537">
        <v>17.49</v>
      </c>
      <c r="DG403" s="537">
        <v>34.13</v>
      </c>
      <c r="DH403" s="537">
        <v>32.97</v>
      </c>
      <c r="DI403" s="537">
        <v>20.01</v>
      </c>
      <c r="DJ403" s="537">
        <v>-104.82</v>
      </c>
      <c r="DK403" s="537">
        <v>21.02</v>
      </c>
      <c r="DL403" s="537">
        <v>27.35</v>
      </c>
      <c r="DM403" s="537">
        <v>28.84</v>
      </c>
      <c r="DN403" s="537"/>
      <c r="DO403" s="537"/>
      <c r="DP403" s="537"/>
      <c r="DQ403" s="537"/>
      <c r="DR403" s="594"/>
      <c r="DS403" s="520" t="s">
        <v>314</v>
      </c>
      <c r="DU403" s="520">
        <v>100.0</v>
      </c>
    </row>
    <row r="404" hidden="1">
      <c r="A404" s="531"/>
      <c r="CP404" s="10"/>
      <c r="CQ404" s="105" t="s">
        <v>415</v>
      </c>
      <c r="CR404" s="10"/>
      <c r="CS404" s="10"/>
      <c r="CT404" s="10"/>
      <c r="CU404" s="105" t="s">
        <v>415</v>
      </c>
      <c r="CV404" s="596"/>
      <c r="CW404" s="596"/>
      <c r="CX404" s="596"/>
      <c r="CY404" s="596"/>
      <c r="CZ404" s="596"/>
      <c r="DA404" s="596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X404" s="530"/>
    </row>
    <row r="405" hidden="1">
      <c r="A405" s="531"/>
      <c r="CN405" s="105"/>
      <c r="CO405" s="105"/>
      <c r="CP405" s="10"/>
      <c r="CQ405" s="105"/>
      <c r="CR405" s="10"/>
      <c r="CS405" s="10"/>
      <c r="CT405" s="10"/>
      <c r="CU405" s="10"/>
      <c r="CV405" s="596"/>
      <c r="CW405" s="596"/>
      <c r="CX405" s="597"/>
      <c r="CY405" s="596"/>
      <c r="CZ405" s="596"/>
      <c r="DA405" s="596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X405" s="530"/>
    </row>
    <row r="406" hidden="1">
      <c r="A406" s="500" t="s">
        <v>49</v>
      </c>
      <c r="CN406" s="546" t="s">
        <v>396</v>
      </c>
      <c r="CO406" s="546" t="s">
        <v>216</v>
      </c>
      <c r="CP406" s="546" t="s">
        <v>380</v>
      </c>
      <c r="CQ406" s="546" t="s">
        <v>380</v>
      </c>
      <c r="CR406" s="546" t="s">
        <v>365</v>
      </c>
      <c r="CS406" s="546" t="s">
        <v>365</v>
      </c>
      <c r="CT406" s="546" t="s">
        <v>216</v>
      </c>
      <c r="CU406" s="546" t="s">
        <v>216</v>
      </c>
      <c r="CV406" s="546" t="s">
        <v>365</v>
      </c>
      <c r="CW406" s="546" t="s">
        <v>416</v>
      </c>
      <c r="CX406" s="546" t="s">
        <v>380</v>
      </c>
      <c r="CY406" s="546" t="s">
        <v>380</v>
      </c>
      <c r="CZ406" s="546" t="s">
        <v>216</v>
      </c>
      <c r="DA406" s="546" t="s">
        <v>380</v>
      </c>
      <c r="DB406" s="546" t="s">
        <v>380</v>
      </c>
      <c r="DC406" s="546" t="s">
        <v>417</v>
      </c>
      <c r="DD406" s="546" t="s">
        <v>417</v>
      </c>
      <c r="DE406" s="546" t="s">
        <v>380</v>
      </c>
      <c r="DF406" s="546" t="s">
        <v>380</v>
      </c>
      <c r="DG406" s="546" t="s">
        <v>417</v>
      </c>
      <c r="DH406" s="546" t="s">
        <v>417</v>
      </c>
      <c r="DI406" s="546" t="s">
        <v>380</v>
      </c>
      <c r="DJ406" s="546" t="s">
        <v>380</v>
      </c>
      <c r="DK406" s="546" t="s">
        <v>417</v>
      </c>
      <c r="DL406" s="546" t="s">
        <v>417</v>
      </c>
      <c r="DM406" s="546" t="s">
        <v>380</v>
      </c>
      <c r="DN406" s="546" t="s">
        <v>380</v>
      </c>
      <c r="DO406" s="546" t="s">
        <v>417</v>
      </c>
      <c r="DP406" s="546" t="s">
        <v>417</v>
      </c>
      <c r="DQ406" s="546" t="s">
        <v>380</v>
      </c>
      <c r="DR406" s="546"/>
      <c r="DT406" s="520"/>
      <c r="DU406" s="520"/>
      <c r="DW406" s="520"/>
      <c r="DX406" s="520"/>
    </row>
    <row r="407" hidden="1">
      <c r="A407" s="502" t="s">
        <v>288</v>
      </c>
      <c r="CN407" s="541">
        <v>46024.0</v>
      </c>
      <c r="CO407" s="541">
        <v>46025.0</v>
      </c>
      <c r="CP407" s="541">
        <v>46026.0</v>
      </c>
      <c r="CQ407" s="541">
        <v>46027.0</v>
      </c>
      <c r="CR407" s="541">
        <v>46028.0</v>
      </c>
      <c r="CS407" s="541">
        <v>46029.0</v>
      </c>
      <c r="CT407" s="541">
        <v>46030.0</v>
      </c>
      <c r="CU407" s="541">
        <v>46031.0</v>
      </c>
      <c r="CV407" s="541">
        <v>46032.0</v>
      </c>
      <c r="CW407" s="541">
        <v>46033.0</v>
      </c>
      <c r="CX407" s="541">
        <v>46034.0</v>
      </c>
      <c r="CY407" s="541">
        <v>46035.0</v>
      </c>
      <c r="CZ407" s="541">
        <v>46036.0</v>
      </c>
      <c r="DA407" s="541">
        <v>46037.0</v>
      </c>
      <c r="DB407" s="541">
        <v>46038.0</v>
      </c>
      <c r="DC407" s="541">
        <v>46039.0</v>
      </c>
      <c r="DD407" s="541">
        <v>46040.0</v>
      </c>
      <c r="DE407" s="541">
        <v>46041.0</v>
      </c>
      <c r="DF407" s="541">
        <v>46042.0</v>
      </c>
      <c r="DG407" s="541">
        <v>46043.0</v>
      </c>
      <c r="DH407" s="541">
        <v>46044.0</v>
      </c>
      <c r="DI407" s="541">
        <v>46045.0</v>
      </c>
      <c r="DJ407" s="541">
        <v>46046.0</v>
      </c>
      <c r="DK407" s="541">
        <v>46047.0</v>
      </c>
      <c r="DL407" s="541">
        <v>46048.0</v>
      </c>
      <c r="DM407" s="541">
        <v>46049.0</v>
      </c>
      <c r="DN407" s="541">
        <v>46050.0</v>
      </c>
      <c r="DO407" s="541">
        <v>46051.0</v>
      </c>
      <c r="DP407" s="541">
        <v>46052.0</v>
      </c>
      <c r="DQ407" s="541">
        <v>46053.0</v>
      </c>
      <c r="DR407" s="544"/>
      <c r="DT407" s="520" t="s">
        <v>384</v>
      </c>
      <c r="DU407" s="520" t="s">
        <v>332</v>
      </c>
      <c r="DW407" s="520" t="s">
        <v>384</v>
      </c>
      <c r="DX407" s="520" t="s">
        <v>332</v>
      </c>
    </row>
    <row r="408" hidden="1">
      <c r="A408" s="502" t="s">
        <v>289</v>
      </c>
      <c r="CN408" s="561">
        <v>164.0</v>
      </c>
      <c r="CO408" s="561">
        <v>123.0</v>
      </c>
      <c r="CP408" s="561">
        <v>90.0</v>
      </c>
      <c r="CQ408" s="561">
        <v>115.0</v>
      </c>
      <c r="CR408" s="561">
        <v>94.0</v>
      </c>
      <c r="CS408" s="561">
        <v>100.0</v>
      </c>
      <c r="CT408" s="561">
        <v>107.0</v>
      </c>
      <c r="CU408" s="561">
        <v>174.0</v>
      </c>
      <c r="CV408" s="561">
        <v>96.0</v>
      </c>
      <c r="CW408" s="561">
        <v>127.0</v>
      </c>
      <c r="CX408" s="561">
        <v>130.0</v>
      </c>
      <c r="CY408" s="561">
        <v>147.0</v>
      </c>
      <c r="CZ408" s="561">
        <v>123.0</v>
      </c>
      <c r="DA408" s="561">
        <v>155.0</v>
      </c>
      <c r="DB408" s="561">
        <v>174.0</v>
      </c>
      <c r="DC408" s="561">
        <v>159.0</v>
      </c>
      <c r="DD408" s="561">
        <v>146.0</v>
      </c>
      <c r="DE408" s="561">
        <v>167.0</v>
      </c>
      <c r="DF408" s="561">
        <v>126.0</v>
      </c>
      <c r="DG408" s="561">
        <v>123.0</v>
      </c>
      <c r="DH408" s="561">
        <v>129.0</v>
      </c>
      <c r="DI408" s="561">
        <v>137.0</v>
      </c>
      <c r="DJ408" s="561">
        <v>133.0</v>
      </c>
      <c r="DK408" s="520">
        <v>224.0</v>
      </c>
      <c r="DL408" s="561">
        <v>138.0</v>
      </c>
      <c r="DM408" s="561">
        <v>146.0</v>
      </c>
      <c r="DN408" s="561">
        <v>148.0</v>
      </c>
      <c r="DO408" s="561">
        <v>183.0</v>
      </c>
      <c r="DP408" s="561">
        <v>183.0</v>
      </c>
      <c r="DQ408" s="561">
        <v>105.0</v>
      </c>
      <c r="DR408" s="105"/>
      <c r="DS408" s="520" t="s">
        <v>376</v>
      </c>
      <c r="DT408" s="574">
        <f>CP410+CQ410+CX410+CY410+DA410</f>
        <v>171.7</v>
      </c>
      <c r="DU408" s="520">
        <v>400.0</v>
      </c>
      <c r="DW408" s="574">
        <f>DQ410+DN410+DM410+DJ410+DI410+DF410+DE410+DB410+DA410+CY410</f>
        <v>440.62</v>
      </c>
      <c r="DX408" s="510">
        <v>1000.0</v>
      </c>
      <c r="DZ408" s="574">
        <f t="shared" ref="DZ408:DZ409" si="36">SUM(CN408:DQ408)</f>
        <v>4166</v>
      </c>
      <c r="EA408" s="530">
        <f t="shared" ref="EA408:EA409" si="37">DZ408/31</f>
        <v>134.3870968</v>
      </c>
    </row>
    <row r="409" hidden="1">
      <c r="A409" s="521" t="s">
        <v>290</v>
      </c>
      <c r="CN409" s="561">
        <v>63.0</v>
      </c>
      <c r="CO409" s="561">
        <v>54.0</v>
      </c>
      <c r="CP409" s="561">
        <v>39.0</v>
      </c>
      <c r="CQ409" s="561">
        <v>53.0</v>
      </c>
      <c r="CR409" s="561">
        <v>47.0</v>
      </c>
      <c r="CS409" s="561">
        <v>39.0</v>
      </c>
      <c r="CT409" s="561">
        <v>56.0</v>
      </c>
      <c r="CU409" s="561">
        <v>68.0</v>
      </c>
      <c r="CV409" s="561">
        <v>44.0</v>
      </c>
      <c r="CW409" s="561">
        <v>39.0</v>
      </c>
      <c r="CX409" s="561">
        <v>61.0</v>
      </c>
      <c r="CY409" s="561">
        <v>61.0</v>
      </c>
      <c r="CZ409" s="561">
        <v>48.0</v>
      </c>
      <c r="DA409" s="561">
        <v>65.0</v>
      </c>
      <c r="DB409" s="561">
        <v>66.0</v>
      </c>
      <c r="DC409" s="561">
        <v>60.0</v>
      </c>
      <c r="DD409" s="561">
        <v>64.0</v>
      </c>
      <c r="DE409" s="561">
        <v>64.0</v>
      </c>
      <c r="DF409" s="561">
        <v>56.0</v>
      </c>
      <c r="DG409" s="561">
        <v>45.0</v>
      </c>
      <c r="DH409" s="561">
        <v>60.0</v>
      </c>
      <c r="DI409" s="561">
        <v>59.0</v>
      </c>
      <c r="DJ409" s="561">
        <v>55.0</v>
      </c>
      <c r="DK409" s="561">
        <v>72.0</v>
      </c>
      <c r="DL409" s="561">
        <v>68.0</v>
      </c>
      <c r="DM409" s="561">
        <v>52.0</v>
      </c>
      <c r="DN409" s="561">
        <v>60.0</v>
      </c>
      <c r="DO409" s="561">
        <v>70.0</v>
      </c>
      <c r="DP409" s="561">
        <v>57.0</v>
      </c>
      <c r="DQ409" s="561">
        <v>42.0</v>
      </c>
      <c r="DR409" s="105"/>
      <c r="DS409" s="520" t="s">
        <v>334</v>
      </c>
      <c r="DT409" s="574">
        <f>CR410+CS410+CV410</f>
        <v>107.88</v>
      </c>
      <c r="DU409" s="520">
        <v>100.0</v>
      </c>
      <c r="DX409" s="530"/>
      <c r="DZ409" s="574">
        <f t="shared" si="36"/>
        <v>1687</v>
      </c>
      <c r="EA409" s="530">
        <f t="shared" si="37"/>
        <v>54.41935484</v>
      </c>
    </row>
    <row r="410" hidden="1">
      <c r="A410" s="502" t="s">
        <v>291</v>
      </c>
      <c r="CN410" s="537"/>
      <c r="CO410" s="537">
        <v>32.75</v>
      </c>
      <c r="CP410" s="537">
        <v>24.18</v>
      </c>
      <c r="CQ410" s="537">
        <v>37.12</v>
      </c>
      <c r="CR410" s="537">
        <v>62.9</v>
      </c>
      <c r="CS410" s="537">
        <v>15.72</v>
      </c>
      <c r="CT410" s="537">
        <v>72.72</v>
      </c>
      <c r="CU410" s="537">
        <v>41.6</v>
      </c>
      <c r="CV410" s="512">
        <v>29.26</v>
      </c>
      <c r="CW410" s="537">
        <v>78.19</v>
      </c>
      <c r="CX410" s="537">
        <v>34.49</v>
      </c>
      <c r="CY410" s="537">
        <v>35.03</v>
      </c>
      <c r="CZ410" s="537">
        <v>5.23</v>
      </c>
      <c r="DA410" s="513">
        <v>40.88</v>
      </c>
      <c r="DB410" s="537">
        <v>84.92</v>
      </c>
      <c r="DC410" s="537">
        <v>-289.65</v>
      </c>
      <c r="DD410" s="537">
        <v>45.61</v>
      </c>
      <c r="DE410" s="537">
        <v>34.38</v>
      </c>
      <c r="DF410" s="537">
        <v>28.88</v>
      </c>
      <c r="DG410" s="537">
        <v>42.15</v>
      </c>
      <c r="DH410" s="537">
        <v>-48.2</v>
      </c>
      <c r="DI410" s="537">
        <v>31.0</v>
      </c>
      <c r="DJ410" s="537">
        <v>78.52</v>
      </c>
      <c r="DK410" s="537">
        <v>-96.68</v>
      </c>
      <c r="DL410" s="537">
        <v>-469.87</v>
      </c>
      <c r="DM410" s="537">
        <v>33.54</v>
      </c>
      <c r="DN410" s="537">
        <v>37.96</v>
      </c>
      <c r="DO410" s="537">
        <v>36.95</v>
      </c>
      <c r="DP410" s="537">
        <v>37.77</v>
      </c>
      <c r="DQ410" s="537">
        <v>35.51</v>
      </c>
      <c r="DR410" s="594"/>
      <c r="DS410" s="520" t="s">
        <v>339</v>
      </c>
      <c r="DT410" s="574">
        <f>CO410+CT410+CU410+CZ410</f>
        <v>152.3</v>
      </c>
      <c r="DU410" s="520">
        <v>400.0</v>
      </c>
      <c r="DX410" s="510"/>
    </row>
    <row r="411" hidden="1">
      <c r="A411" s="531"/>
      <c r="DS411" s="520" t="s">
        <v>418</v>
      </c>
      <c r="DW411" s="574">
        <f>DP410+DO410+DL410+DK410+DH410+DG410+DD410+DC410</f>
        <v>-741.92</v>
      </c>
      <c r="DX411" s="510">
        <v>900.0</v>
      </c>
    </row>
    <row r="412">
      <c r="A412" s="551" t="s">
        <v>419</v>
      </c>
    </row>
    <row r="413" hidden="1">
      <c r="A413" s="500" t="s">
        <v>2</v>
      </c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  <c r="AT413" s="118"/>
      <c r="AU413" s="118"/>
      <c r="AV413" s="118"/>
      <c r="AW413" s="118"/>
      <c r="AX413" s="118"/>
      <c r="AY413" s="118"/>
      <c r="AZ413" s="118"/>
      <c r="BA413" s="118"/>
      <c r="BB413" s="118"/>
      <c r="BC413" s="118"/>
      <c r="BD413" s="118"/>
      <c r="BE413" s="118"/>
      <c r="BF413" s="118"/>
      <c r="BG413" s="118"/>
      <c r="BH413" s="118"/>
      <c r="BI413" s="118"/>
      <c r="BJ413" s="118"/>
      <c r="BK413" s="118"/>
      <c r="BL413" s="118"/>
      <c r="BM413" s="118"/>
      <c r="BN413" s="118"/>
      <c r="BO413" s="118"/>
      <c r="BP413" s="118"/>
      <c r="BQ413" s="118"/>
      <c r="BR413" s="118"/>
      <c r="BS413" s="118"/>
      <c r="BT413" s="118"/>
      <c r="BU413" s="118"/>
      <c r="BV413" s="118"/>
      <c r="BW413" s="118"/>
      <c r="BX413" s="118"/>
      <c r="BY413" s="118"/>
      <c r="BZ413" s="118"/>
      <c r="CA413" s="118"/>
      <c r="CB413" s="118"/>
      <c r="CC413" s="118"/>
      <c r="CD413" s="118"/>
      <c r="CE413" s="118"/>
      <c r="CF413" s="118"/>
      <c r="CG413" s="118"/>
      <c r="CH413" s="118"/>
      <c r="CI413" s="118"/>
      <c r="CJ413" s="118"/>
      <c r="CK413" s="118"/>
      <c r="CL413" s="118"/>
      <c r="CM413" s="118"/>
      <c r="CN413" s="546" t="s">
        <v>405</v>
      </c>
      <c r="CO413" s="546" t="s">
        <v>351</v>
      </c>
      <c r="CP413" s="546" t="s">
        <v>351</v>
      </c>
      <c r="CQ413" s="546" t="s">
        <v>405</v>
      </c>
      <c r="CR413" s="546" t="s">
        <v>405</v>
      </c>
      <c r="CS413" s="546" t="s">
        <v>216</v>
      </c>
      <c r="CT413" s="546" t="s">
        <v>412</v>
      </c>
      <c r="CU413" s="546" t="s">
        <v>420</v>
      </c>
      <c r="CV413" s="546" t="s">
        <v>405</v>
      </c>
      <c r="CW413" s="546" t="s">
        <v>216</v>
      </c>
      <c r="CX413" s="546" t="s">
        <v>405</v>
      </c>
      <c r="CY413" s="546" t="s">
        <v>405</v>
      </c>
      <c r="CZ413" s="546" t="s">
        <v>405</v>
      </c>
      <c r="DA413" s="546" t="s">
        <v>360</v>
      </c>
      <c r="DB413" s="546" t="s">
        <v>360</v>
      </c>
      <c r="DC413" s="546" t="s">
        <v>405</v>
      </c>
      <c r="DD413" s="546" t="s">
        <v>405</v>
      </c>
      <c r="DE413" s="546" t="s">
        <v>351</v>
      </c>
      <c r="DF413" s="546" t="s">
        <v>351</v>
      </c>
      <c r="DG413" s="546" t="s">
        <v>405</v>
      </c>
      <c r="DH413" s="546" t="s">
        <v>360</v>
      </c>
      <c r="DI413" s="546" t="s">
        <v>351</v>
      </c>
      <c r="DJ413" s="546" t="s">
        <v>351</v>
      </c>
      <c r="DK413" s="546" t="s">
        <v>405</v>
      </c>
      <c r="DL413" s="546" t="s">
        <v>405</v>
      </c>
      <c r="DM413" s="546" t="s">
        <v>351</v>
      </c>
      <c r="DN413" s="546" t="s">
        <v>351</v>
      </c>
      <c r="DO413" s="546" t="s">
        <v>370</v>
      </c>
      <c r="DP413" s="546"/>
      <c r="DQ413" s="546"/>
      <c r="DT413" s="520" t="s">
        <v>384</v>
      </c>
      <c r="DU413" s="520" t="s">
        <v>332</v>
      </c>
      <c r="DW413" s="520" t="s">
        <v>384</v>
      </c>
      <c r="DX413" s="520" t="s">
        <v>332</v>
      </c>
    </row>
    <row r="414" hidden="1">
      <c r="A414" s="502" t="s">
        <v>288</v>
      </c>
      <c r="B414" s="525"/>
      <c r="C414" s="525"/>
      <c r="D414" s="525"/>
      <c r="E414" s="525"/>
      <c r="F414" s="525"/>
      <c r="G414" s="525"/>
      <c r="H414" s="525"/>
      <c r="I414" s="525"/>
      <c r="J414" s="525"/>
      <c r="K414" s="525"/>
      <c r="L414" s="525"/>
      <c r="M414" s="525"/>
      <c r="N414" s="525"/>
      <c r="O414" s="525"/>
      <c r="P414" s="525"/>
      <c r="Q414" s="525"/>
      <c r="R414" s="525"/>
      <c r="S414" s="525"/>
      <c r="T414" s="525"/>
      <c r="U414" s="525"/>
      <c r="V414" s="525"/>
      <c r="W414" s="525"/>
      <c r="X414" s="525"/>
      <c r="Y414" s="525"/>
      <c r="Z414" s="525"/>
      <c r="AA414" s="525"/>
      <c r="AB414" s="525"/>
      <c r="AC414" s="525"/>
      <c r="AD414" s="525"/>
      <c r="AE414" s="525"/>
      <c r="AF414" s="525"/>
      <c r="AG414" s="525"/>
      <c r="AH414" s="525"/>
      <c r="AI414" s="525"/>
      <c r="AJ414" s="525"/>
      <c r="AK414" s="525"/>
      <c r="AL414" s="525"/>
      <c r="AM414" s="525"/>
      <c r="AN414" s="525"/>
      <c r="AO414" s="525"/>
      <c r="AP414" s="525"/>
      <c r="AQ414" s="525"/>
      <c r="AR414" s="525"/>
      <c r="AS414" s="525"/>
      <c r="AT414" s="525"/>
      <c r="AU414" s="525"/>
      <c r="AV414" s="525"/>
      <c r="AW414" s="525"/>
      <c r="AX414" s="525"/>
      <c r="AY414" s="525"/>
      <c r="AZ414" s="525"/>
      <c r="BA414" s="525"/>
      <c r="BB414" s="525"/>
      <c r="BC414" s="525"/>
      <c r="BD414" s="525"/>
      <c r="BE414" s="525"/>
      <c r="BF414" s="525"/>
      <c r="BG414" s="525"/>
      <c r="BH414" s="525"/>
      <c r="BI414" s="525"/>
      <c r="BJ414" s="525"/>
      <c r="BK414" s="541">
        <v>45689.0</v>
      </c>
      <c r="BL414" s="541">
        <v>45690.0</v>
      </c>
      <c r="BM414" s="541">
        <v>45691.0</v>
      </c>
      <c r="BN414" s="541">
        <v>45692.0</v>
      </c>
      <c r="BO414" s="541">
        <v>45693.0</v>
      </c>
      <c r="BP414" s="541">
        <v>45694.0</v>
      </c>
      <c r="BQ414" s="541">
        <v>45695.0</v>
      </c>
      <c r="BR414" s="541">
        <v>45696.0</v>
      </c>
      <c r="BS414" s="541">
        <v>45697.0</v>
      </c>
      <c r="BT414" s="541">
        <v>45698.0</v>
      </c>
      <c r="BU414" s="541">
        <v>45699.0</v>
      </c>
      <c r="BV414" s="541">
        <v>45700.0</v>
      </c>
      <c r="BW414" s="541">
        <v>45701.0</v>
      </c>
      <c r="BX414" s="541">
        <v>45702.0</v>
      </c>
      <c r="BY414" s="541">
        <v>45703.0</v>
      </c>
      <c r="BZ414" s="541">
        <v>45704.0</v>
      </c>
      <c r="CA414" s="541">
        <v>45705.0</v>
      </c>
      <c r="CB414" s="541">
        <v>45706.0</v>
      </c>
      <c r="CC414" s="541">
        <v>45707.0</v>
      </c>
      <c r="CD414" s="541">
        <v>45708.0</v>
      </c>
      <c r="CE414" s="541">
        <v>45709.0</v>
      </c>
      <c r="CF414" s="541">
        <v>45710.0</v>
      </c>
      <c r="CG414" s="541">
        <v>45711.0</v>
      </c>
      <c r="CH414" s="541">
        <v>45712.0</v>
      </c>
      <c r="CI414" s="541">
        <v>45713.0</v>
      </c>
      <c r="CJ414" s="541">
        <v>45714.0</v>
      </c>
      <c r="CK414" s="541">
        <v>45715.0</v>
      </c>
      <c r="CL414" s="541">
        <v>45716.0</v>
      </c>
      <c r="CM414" s="541"/>
      <c r="CN414" s="602">
        <v>46054.0</v>
      </c>
      <c r="CO414" s="602">
        <v>46055.0</v>
      </c>
      <c r="CP414" s="602">
        <v>46056.0</v>
      </c>
      <c r="CQ414" s="602">
        <v>46057.0</v>
      </c>
      <c r="CR414" s="602">
        <v>46058.0</v>
      </c>
      <c r="CS414" s="602">
        <v>46059.0</v>
      </c>
      <c r="CT414" s="602">
        <v>46060.0</v>
      </c>
      <c r="CU414" s="602">
        <v>46061.0</v>
      </c>
      <c r="CV414" s="602">
        <v>46062.0</v>
      </c>
      <c r="CW414" s="602">
        <v>46063.0</v>
      </c>
      <c r="CX414" s="602">
        <v>46064.0</v>
      </c>
      <c r="CY414" s="602">
        <v>46065.0</v>
      </c>
      <c r="CZ414" s="602">
        <v>46066.0</v>
      </c>
      <c r="DA414" s="602">
        <v>46067.0</v>
      </c>
      <c r="DB414" s="602">
        <v>46068.0</v>
      </c>
      <c r="DC414" s="602">
        <v>46069.0</v>
      </c>
      <c r="DD414" s="602">
        <v>46070.0</v>
      </c>
      <c r="DE414" s="602">
        <v>46071.0</v>
      </c>
      <c r="DF414" s="602">
        <v>46072.0</v>
      </c>
      <c r="DG414" s="602">
        <v>46073.0</v>
      </c>
      <c r="DH414" s="602">
        <v>46074.0</v>
      </c>
      <c r="DI414" s="602">
        <v>46075.0</v>
      </c>
      <c r="DJ414" s="602">
        <v>46076.0</v>
      </c>
      <c r="DK414" s="602">
        <v>46077.0</v>
      </c>
      <c r="DL414" s="602">
        <v>46078.0</v>
      </c>
      <c r="DM414" s="602">
        <v>46079.0</v>
      </c>
      <c r="DN414" s="602">
        <v>46080.0</v>
      </c>
      <c r="DO414" s="602">
        <v>46081.0</v>
      </c>
      <c r="DP414" s="600"/>
      <c r="DQ414" s="600"/>
      <c r="DS414" s="520" t="s">
        <v>308</v>
      </c>
      <c r="DT414" s="574">
        <f>CP417+CO417</f>
        <v>95.82</v>
      </c>
      <c r="DU414" s="520">
        <v>300.0</v>
      </c>
      <c r="DW414" s="574">
        <f>DE417+DF417+DI417+DJ417+DM417+DN417</f>
        <v>218.63</v>
      </c>
      <c r="DX414" s="510">
        <v>800.0</v>
      </c>
    </row>
    <row r="415" hidden="1">
      <c r="A415" s="502" t="s">
        <v>289</v>
      </c>
      <c r="B415" s="525"/>
      <c r="C415" s="525"/>
      <c r="D415" s="525"/>
      <c r="E415" s="525"/>
      <c r="F415" s="525"/>
      <c r="G415" s="525"/>
      <c r="H415" s="525"/>
      <c r="I415" s="525"/>
      <c r="J415" s="525"/>
      <c r="K415" s="525"/>
      <c r="L415" s="525"/>
      <c r="M415" s="525"/>
      <c r="N415" s="525"/>
      <c r="O415" s="525"/>
      <c r="P415" s="525"/>
      <c r="Q415" s="525"/>
      <c r="R415" s="525"/>
      <c r="S415" s="525"/>
      <c r="T415" s="525"/>
      <c r="U415" s="525"/>
      <c r="V415" s="525"/>
      <c r="W415" s="525"/>
      <c r="X415" s="525"/>
      <c r="Y415" s="525"/>
      <c r="Z415" s="525"/>
      <c r="AA415" s="525"/>
      <c r="AB415" s="525"/>
      <c r="AC415" s="525"/>
      <c r="AD415" s="525"/>
      <c r="AE415" s="525"/>
      <c r="AF415" s="525"/>
      <c r="AG415" s="525"/>
      <c r="AH415" s="525"/>
      <c r="AI415" s="525"/>
      <c r="AJ415" s="525"/>
      <c r="AK415" s="525"/>
      <c r="AL415" s="525"/>
      <c r="AM415" s="525"/>
      <c r="AN415" s="525"/>
      <c r="AO415" s="525"/>
      <c r="AP415" s="525"/>
      <c r="AQ415" s="525"/>
      <c r="AR415" s="525"/>
      <c r="AS415" s="525"/>
      <c r="AT415" s="525"/>
      <c r="AU415" s="525"/>
      <c r="AV415" s="525"/>
      <c r="AW415" s="525"/>
      <c r="AX415" s="525"/>
      <c r="AY415" s="525"/>
      <c r="AZ415" s="525"/>
      <c r="BA415" s="525"/>
      <c r="BB415" s="525"/>
      <c r="BC415" s="525"/>
      <c r="BD415" s="525"/>
      <c r="BE415" s="525"/>
      <c r="BF415" s="525"/>
      <c r="BG415" s="525"/>
      <c r="BH415" s="525"/>
      <c r="BI415" s="525"/>
      <c r="BJ415" s="525"/>
      <c r="BK415" s="512">
        <v>67.0</v>
      </c>
      <c r="BL415" s="512">
        <v>133.0</v>
      </c>
      <c r="BM415" s="525"/>
      <c r="BN415" s="512">
        <v>100.0</v>
      </c>
      <c r="BO415" s="512">
        <v>130.0</v>
      </c>
      <c r="BP415" s="512">
        <v>162.0</v>
      </c>
      <c r="BQ415" s="512">
        <v>219.0</v>
      </c>
      <c r="BR415" s="512">
        <v>120.0</v>
      </c>
      <c r="BS415" s="512">
        <v>198.0</v>
      </c>
      <c r="BT415" s="512">
        <v>128.0</v>
      </c>
      <c r="BU415" s="512">
        <v>214.0</v>
      </c>
      <c r="BV415" s="512">
        <v>159.0</v>
      </c>
      <c r="BW415" s="512">
        <v>159.0</v>
      </c>
      <c r="BX415" s="512">
        <v>148.0</v>
      </c>
      <c r="BY415" s="512">
        <v>141.0</v>
      </c>
      <c r="BZ415" s="512">
        <v>125.0</v>
      </c>
      <c r="CA415" s="512">
        <v>160.0</v>
      </c>
      <c r="CB415" s="512">
        <v>188.0</v>
      </c>
      <c r="CC415" s="512">
        <v>189.0</v>
      </c>
      <c r="CD415" s="512">
        <v>177.0</v>
      </c>
      <c r="CE415" s="512">
        <v>175.0</v>
      </c>
      <c r="CF415" s="512">
        <v>172.0</v>
      </c>
      <c r="CG415" s="512">
        <v>204.0</v>
      </c>
      <c r="CH415" s="512">
        <v>198.0</v>
      </c>
      <c r="CI415" s="512">
        <v>163.0</v>
      </c>
      <c r="CJ415" s="512">
        <v>177.0</v>
      </c>
      <c r="CK415" s="512">
        <v>156.0</v>
      </c>
      <c r="CL415" s="512">
        <v>177.0</v>
      </c>
      <c r="CM415" s="512"/>
      <c r="CN415" s="561">
        <v>158.0</v>
      </c>
      <c r="CO415" s="561">
        <v>216.0</v>
      </c>
      <c r="CP415" s="561">
        <v>135.0</v>
      </c>
      <c r="CQ415" s="561">
        <v>128.0</v>
      </c>
      <c r="CR415" s="561">
        <v>185.0</v>
      </c>
      <c r="CS415" s="561">
        <v>217.0</v>
      </c>
      <c r="CT415" s="561">
        <v>199.0</v>
      </c>
      <c r="CU415" s="561">
        <v>206.0</v>
      </c>
      <c r="CV415" s="591">
        <v>213.0</v>
      </c>
      <c r="CW415" s="591">
        <v>188.0</v>
      </c>
      <c r="CX415" s="591">
        <v>212.0</v>
      </c>
      <c r="CY415" s="591">
        <v>218.0</v>
      </c>
      <c r="CZ415" s="591">
        <v>260.0</v>
      </c>
      <c r="DA415" s="591">
        <v>246.0</v>
      </c>
      <c r="DB415" s="561">
        <v>242.0</v>
      </c>
      <c r="DC415" s="561">
        <v>175.0</v>
      </c>
      <c r="DD415" s="561">
        <v>201.0</v>
      </c>
      <c r="DE415" s="561">
        <v>224.0</v>
      </c>
      <c r="DF415" s="561">
        <v>169.0</v>
      </c>
      <c r="DG415" s="561">
        <v>193.0</v>
      </c>
      <c r="DH415" s="561">
        <v>208.0</v>
      </c>
      <c r="DI415" s="561">
        <v>198.0</v>
      </c>
      <c r="DJ415" s="561">
        <v>183.0</v>
      </c>
      <c r="DK415" s="561">
        <v>215.0</v>
      </c>
      <c r="DL415" s="561">
        <v>203.0</v>
      </c>
      <c r="DM415" s="561">
        <v>212.0</v>
      </c>
      <c r="DN415" s="561">
        <v>196.0</v>
      </c>
      <c r="DO415" s="561">
        <v>215.0</v>
      </c>
      <c r="DP415" s="561"/>
      <c r="DQ415" s="561"/>
      <c r="DS415" s="520" t="s">
        <v>375</v>
      </c>
      <c r="DT415" s="574">
        <f>DA417+DB417</f>
        <v>105.77</v>
      </c>
      <c r="DU415" s="520">
        <v>400.0</v>
      </c>
      <c r="DW415" s="574">
        <f>DH417</f>
        <v>26.58</v>
      </c>
      <c r="DX415" s="510">
        <v>200.0</v>
      </c>
      <c r="DZ415" s="574">
        <f t="shared" ref="DZ415:DZ416" si="38">SUM(CN415:DR415)</f>
        <v>5615</v>
      </c>
      <c r="EA415" s="530">
        <f t="shared" ref="EA415:EA416" si="39">DZ415/28</f>
        <v>200.5357143</v>
      </c>
    </row>
    <row r="416" hidden="1">
      <c r="A416" s="521" t="s">
        <v>290</v>
      </c>
      <c r="B416" s="525"/>
      <c r="C416" s="525"/>
      <c r="D416" s="525"/>
      <c r="E416" s="525"/>
      <c r="F416" s="525"/>
      <c r="G416" s="525"/>
      <c r="H416" s="525"/>
      <c r="I416" s="525"/>
      <c r="J416" s="525"/>
      <c r="K416" s="525"/>
      <c r="L416" s="525"/>
      <c r="M416" s="525"/>
      <c r="N416" s="525"/>
      <c r="O416" s="525"/>
      <c r="P416" s="525"/>
      <c r="Q416" s="525"/>
      <c r="R416" s="525"/>
      <c r="S416" s="525"/>
      <c r="T416" s="525"/>
      <c r="U416" s="525"/>
      <c r="V416" s="525"/>
      <c r="W416" s="525"/>
      <c r="X416" s="525"/>
      <c r="Y416" s="525"/>
      <c r="Z416" s="525"/>
      <c r="AA416" s="525"/>
      <c r="AB416" s="525"/>
      <c r="AC416" s="525"/>
      <c r="AD416" s="525"/>
      <c r="AE416" s="525"/>
      <c r="AF416" s="525"/>
      <c r="AG416" s="525"/>
      <c r="AH416" s="525"/>
      <c r="AI416" s="525"/>
      <c r="AJ416" s="525"/>
      <c r="AK416" s="525"/>
      <c r="AL416" s="525"/>
      <c r="AM416" s="525"/>
      <c r="AN416" s="525"/>
      <c r="AO416" s="525"/>
      <c r="AP416" s="525"/>
      <c r="AQ416" s="525"/>
      <c r="AR416" s="525"/>
      <c r="AS416" s="525"/>
      <c r="AT416" s="525"/>
      <c r="AU416" s="525"/>
      <c r="AV416" s="525"/>
      <c r="AW416" s="525"/>
      <c r="AX416" s="525"/>
      <c r="AY416" s="525"/>
      <c r="AZ416" s="525"/>
      <c r="BA416" s="525"/>
      <c r="BB416" s="525"/>
      <c r="BC416" s="525"/>
      <c r="BD416" s="525"/>
      <c r="BE416" s="525"/>
      <c r="BF416" s="525"/>
      <c r="BG416" s="525"/>
      <c r="BH416" s="525"/>
      <c r="BI416" s="525"/>
      <c r="BJ416" s="525"/>
      <c r="BK416" s="512">
        <v>36.0</v>
      </c>
      <c r="BL416" s="512">
        <v>53.0</v>
      </c>
      <c r="BM416" s="525"/>
      <c r="BN416" s="512">
        <v>40.0</v>
      </c>
      <c r="BO416" s="512">
        <v>50.0</v>
      </c>
      <c r="BP416" s="512">
        <v>56.0</v>
      </c>
      <c r="BQ416" s="512">
        <v>70.0</v>
      </c>
      <c r="BR416" s="512">
        <v>51.0</v>
      </c>
      <c r="BS416" s="512">
        <v>63.0</v>
      </c>
      <c r="BT416" s="512">
        <v>62.0</v>
      </c>
      <c r="BU416" s="512">
        <v>68.0</v>
      </c>
      <c r="BV416" s="512">
        <v>65.0</v>
      </c>
      <c r="BW416" s="512">
        <v>64.0</v>
      </c>
      <c r="BX416" s="512">
        <v>64.0</v>
      </c>
      <c r="BY416" s="512">
        <v>67.0</v>
      </c>
      <c r="BZ416" s="512">
        <v>56.0</v>
      </c>
      <c r="CA416" s="512">
        <v>65.0</v>
      </c>
      <c r="CB416" s="512">
        <v>68.0</v>
      </c>
      <c r="CC416" s="512">
        <v>72.0</v>
      </c>
      <c r="CD416" s="512">
        <v>67.0</v>
      </c>
      <c r="CE416" s="512">
        <v>72.0</v>
      </c>
      <c r="CF416" s="512">
        <v>72.0</v>
      </c>
      <c r="CG416" s="512">
        <v>81.0</v>
      </c>
      <c r="CH416" s="512">
        <v>81.0</v>
      </c>
      <c r="CI416" s="512">
        <v>67.0</v>
      </c>
      <c r="CJ416" s="512">
        <v>64.0</v>
      </c>
      <c r="CK416" s="512">
        <v>66.0</v>
      </c>
      <c r="CL416" s="512">
        <v>58.0</v>
      </c>
      <c r="CM416" s="552">
        <f>SUM(BK416:CL416)/28</f>
        <v>60.64285714</v>
      </c>
      <c r="CN416" s="561">
        <v>51.0</v>
      </c>
      <c r="CO416" s="561">
        <v>77.0</v>
      </c>
      <c r="CP416" s="561">
        <v>53.0</v>
      </c>
      <c r="CQ416" s="561">
        <v>54.0</v>
      </c>
      <c r="CR416" s="561">
        <v>71.0</v>
      </c>
      <c r="CS416" s="561">
        <v>81.0</v>
      </c>
      <c r="CT416" s="561">
        <v>74.0</v>
      </c>
      <c r="CU416" s="561">
        <v>76.0</v>
      </c>
      <c r="CV416" s="591">
        <v>74.0</v>
      </c>
      <c r="CW416" s="591">
        <v>70.0</v>
      </c>
      <c r="CX416" s="591">
        <v>84.0</v>
      </c>
      <c r="CY416" s="591">
        <v>85.0</v>
      </c>
      <c r="CZ416" s="591">
        <v>89.0</v>
      </c>
      <c r="DA416" s="591">
        <v>78.0</v>
      </c>
      <c r="DB416" s="561">
        <v>83.0</v>
      </c>
      <c r="DC416" s="561">
        <v>65.0</v>
      </c>
      <c r="DD416" s="561">
        <v>80.0</v>
      </c>
      <c r="DE416" s="561">
        <v>77.0</v>
      </c>
      <c r="DF416" s="561">
        <v>71.0</v>
      </c>
      <c r="DG416" s="561">
        <v>80.0</v>
      </c>
      <c r="DH416" s="561">
        <v>74.0</v>
      </c>
      <c r="DI416" s="561">
        <v>86.0</v>
      </c>
      <c r="DJ416" s="561">
        <v>82.0</v>
      </c>
      <c r="DK416" s="561">
        <v>80.0</v>
      </c>
      <c r="DL416" s="561">
        <v>80.0</v>
      </c>
      <c r="DM416" s="561">
        <v>86.0</v>
      </c>
      <c r="DN416" s="561">
        <v>73.0</v>
      </c>
      <c r="DO416" s="561">
        <v>83.0</v>
      </c>
      <c r="DP416" s="561"/>
      <c r="DQ416" s="561"/>
      <c r="DS416" s="520" t="s">
        <v>421</v>
      </c>
      <c r="DT416" s="574">
        <f>CN417+CQ417+CR417+CV417+CX417+CY417+CZ417</f>
        <v>141.46</v>
      </c>
      <c r="DU416" s="520">
        <v>1100.0</v>
      </c>
      <c r="DW416" s="574">
        <f>DC417+DD417+DG417+DK417+DL417</f>
        <v>-26.29</v>
      </c>
      <c r="DX416" s="510">
        <v>800.0</v>
      </c>
      <c r="DZ416" s="574">
        <f t="shared" si="38"/>
        <v>2117</v>
      </c>
      <c r="EA416" s="530">
        <f t="shared" si="39"/>
        <v>75.60714286</v>
      </c>
    </row>
    <row r="417" hidden="1">
      <c r="A417" s="553" t="s">
        <v>291</v>
      </c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  <c r="AI417" s="529"/>
      <c r="AJ417" s="529"/>
      <c r="AK417" s="529"/>
      <c r="AL417" s="529"/>
      <c r="AM417" s="529"/>
      <c r="AN417" s="529"/>
      <c r="AO417" s="529"/>
      <c r="AP417" s="529"/>
      <c r="AQ417" s="529"/>
      <c r="AR417" s="529"/>
      <c r="AS417" s="529"/>
      <c r="AT417" s="529"/>
      <c r="AU417" s="529"/>
      <c r="AV417" s="529"/>
      <c r="AW417" s="529"/>
      <c r="AX417" s="529"/>
      <c r="AY417" s="529"/>
      <c r="AZ417" s="529"/>
      <c r="BA417" s="529"/>
      <c r="BB417" s="529"/>
      <c r="BC417" s="529"/>
      <c r="BD417" s="529"/>
      <c r="BE417" s="529"/>
      <c r="BF417" s="529"/>
      <c r="BG417" s="529"/>
      <c r="BH417" s="529"/>
      <c r="BI417" s="529"/>
      <c r="BJ417" s="529"/>
      <c r="BK417" s="529">
        <v>22.22</v>
      </c>
      <c r="BL417" s="529">
        <v>34.11</v>
      </c>
      <c r="BM417" s="529">
        <v>-190.84</v>
      </c>
      <c r="BN417" s="529">
        <v>38.2</v>
      </c>
      <c r="BO417" s="529">
        <v>33.08</v>
      </c>
      <c r="BP417" s="529">
        <v>48.91</v>
      </c>
      <c r="BQ417" s="529">
        <v>44.55</v>
      </c>
      <c r="BR417" s="529">
        <v>30.32</v>
      </c>
      <c r="BS417" s="529">
        <v>-78.02</v>
      </c>
      <c r="BT417" s="529">
        <v>49.19</v>
      </c>
      <c r="BU417" s="529">
        <v>51.41</v>
      </c>
      <c r="BV417" s="529">
        <v>53.58</v>
      </c>
      <c r="BW417" s="529">
        <v>51.03</v>
      </c>
      <c r="BX417" s="529">
        <v>39.79</v>
      </c>
      <c r="BY417" s="529">
        <v>43.96</v>
      </c>
      <c r="BZ417" s="529">
        <v>43.84</v>
      </c>
      <c r="CA417" s="550">
        <v>45.98</v>
      </c>
      <c r="CB417" s="550">
        <v>40.67</v>
      </c>
      <c r="CC417" s="550">
        <v>47.82</v>
      </c>
      <c r="CD417" s="550">
        <v>63.99</v>
      </c>
      <c r="CE417" s="550">
        <v>-209.27</v>
      </c>
      <c r="CF417" s="550">
        <v>73.03</v>
      </c>
      <c r="CG417" s="550">
        <v>65.24</v>
      </c>
      <c r="CH417" s="550">
        <v>-52.31</v>
      </c>
      <c r="CI417" s="550">
        <v>55.56</v>
      </c>
      <c r="CJ417" s="550">
        <v>37.49</v>
      </c>
      <c r="CK417" s="550">
        <v>42.2</v>
      </c>
      <c r="CL417" s="537">
        <v>57.35</v>
      </c>
      <c r="CM417" s="554"/>
      <c r="CN417" s="537">
        <v>29.73</v>
      </c>
      <c r="CO417" s="537">
        <v>59.67</v>
      </c>
      <c r="CP417" s="537">
        <v>36.15</v>
      </c>
      <c r="CQ417" s="537">
        <v>26.62</v>
      </c>
      <c r="CR417" s="537">
        <v>-143.66</v>
      </c>
      <c r="CS417" s="537">
        <v>51.68</v>
      </c>
      <c r="CT417" s="537">
        <v>47.18</v>
      </c>
      <c r="CU417" s="537">
        <v>59.44</v>
      </c>
      <c r="CV417" s="536">
        <v>51.83</v>
      </c>
      <c r="CW417" s="593">
        <v>46.78</v>
      </c>
      <c r="CX417" s="593">
        <v>81.95</v>
      </c>
      <c r="CY417" s="593">
        <v>45.29</v>
      </c>
      <c r="CZ417" s="593">
        <v>49.7</v>
      </c>
      <c r="DA417" s="593">
        <v>53.83</v>
      </c>
      <c r="DB417" s="537">
        <v>51.94</v>
      </c>
      <c r="DC417" s="537">
        <v>60.57</v>
      </c>
      <c r="DD417" s="537">
        <v>47.6</v>
      </c>
      <c r="DE417" s="537">
        <v>66.46</v>
      </c>
      <c r="DF417" s="537">
        <v>50.92</v>
      </c>
      <c r="DG417" s="537">
        <v>-62.52</v>
      </c>
      <c r="DH417" s="537">
        <v>26.58</v>
      </c>
      <c r="DI417" s="537">
        <v>-45.25</v>
      </c>
      <c r="DJ417" s="537">
        <v>65.79</v>
      </c>
      <c r="DK417" s="537">
        <v>-120.87</v>
      </c>
      <c r="DL417" s="537">
        <v>48.93</v>
      </c>
      <c r="DM417" s="537">
        <v>43.57</v>
      </c>
      <c r="DN417" s="537">
        <v>37.14</v>
      </c>
      <c r="DO417" s="537">
        <v>55.9</v>
      </c>
      <c r="DP417" s="537"/>
      <c r="DQ417" s="537"/>
      <c r="DS417" s="520" t="s">
        <v>339</v>
      </c>
      <c r="DT417" s="574">
        <f>CS417+CW417</f>
        <v>98.46</v>
      </c>
      <c r="DU417" s="520">
        <v>300.0</v>
      </c>
      <c r="DW417" s="520">
        <v>55.9</v>
      </c>
      <c r="DX417" s="510">
        <v>200.0</v>
      </c>
      <c r="DY417" s="520" t="s">
        <v>374</v>
      </c>
    </row>
    <row r="418" hidden="1">
      <c r="A418" s="531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  <c r="AT418" s="118"/>
      <c r="AU418" s="118"/>
      <c r="AV418" s="118"/>
      <c r="AW418" s="118"/>
      <c r="AX418" s="118"/>
      <c r="AY418" s="118"/>
      <c r="AZ418" s="118"/>
      <c r="BA418" s="118"/>
      <c r="BB418" s="118"/>
      <c r="BC418" s="118"/>
      <c r="BD418" s="118"/>
      <c r="BE418" s="118"/>
      <c r="BF418" s="118"/>
      <c r="BG418" s="118"/>
      <c r="BH418" s="118"/>
      <c r="BI418" s="118"/>
      <c r="BJ418" s="118"/>
      <c r="BK418" s="118"/>
      <c r="BL418" s="118"/>
      <c r="BM418" s="118"/>
      <c r="BN418" s="118"/>
      <c r="BO418" s="118"/>
      <c r="BP418" s="118"/>
      <c r="BQ418" s="118"/>
      <c r="BR418" s="118"/>
      <c r="BS418" s="118"/>
      <c r="BT418" s="118"/>
      <c r="BU418" s="118"/>
      <c r="BV418" s="118"/>
      <c r="BW418" s="118"/>
      <c r="BX418" s="118"/>
      <c r="BY418" s="118"/>
      <c r="BZ418" s="118"/>
      <c r="CA418" s="118"/>
      <c r="CB418" s="118"/>
      <c r="CC418" s="118"/>
      <c r="CD418" s="118"/>
      <c r="CE418" s="118"/>
      <c r="CF418" s="118"/>
      <c r="CG418" s="118"/>
      <c r="CH418" s="118"/>
      <c r="CI418" s="118"/>
      <c r="CJ418" s="118"/>
      <c r="CK418" s="118"/>
      <c r="CL418" s="118"/>
      <c r="CM418" s="499"/>
      <c r="CN418" s="118"/>
      <c r="CO418" s="546"/>
      <c r="CP418" s="594"/>
      <c r="CQ418" s="118"/>
      <c r="CR418" s="546"/>
      <c r="CS418" s="118"/>
      <c r="CT418" s="118"/>
      <c r="CU418" s="546"/>
      <c r="CV418" s="577"/>
      <c r="CW418" s="577"/>
      <c r="CX418" s="577"/>
      <c r="CY418" s="577"/>
      <c r="CZ418" s="577"/>
      <c r="DA418" s="577"/>
      <c r="DB418" s="118"/>
      <c r="DC418" s="118"/>
      <c r="DD418" s="118"/>
      <c r="DE418" s="118"/>
      <c r="DF418" s="118"/>
      <c r="DG418" s="118"/>
      <c r="DH418" s="118"/>
      <c r="DI418" s="118"/>
      <c r="DJ418" s="118"/>
      <c r="DK418" s="118"/>
      <c r="DL418" s="118"/>
      <c r="DM418" s="118"/>
      <c r="DN418" s="118"/>
      <c r="DO418" s="118"/>
      <c r="DP418" s="118"/>
      <c r="DQ418" s="118"/>
      <c r="DS418" s="520" t="s">
        <v>422</v>
      </c>
      <c r="DT418" s="574">
        <f>CU417</f>
        <v>59.44</v>
      </c>
      <c r="DU418" s="520">
        <v>200.0</v>
      </c>
      <c r="DX418" s="530"/>
    </row>
    <row r="419" hidden="1">
      <c r="A419" s="531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  <c r="AT419" s="118"/>
      <c r="AU419" s="118"/>
      <c r="AV419" s="118"/>
      <c r="AW419" s="118"/>
      <c r="AX419" s="118"/>
      <c r="AY419" s="118"/>
      <c r="AZ419" s="118"/>
      <c r="BA419" s="118"/>
      <c r="BB419" s="118"/>
      <c r="BC419" s="118"/>
      <c r="BD419" s="118"/>
      <c r="BE419" s="118"/>
      <c r="BF419" s="118"/>
      <c r="BG419" s="118"/>
      <c r="BH419" s="118"/>
      <c r="BI419" s="118"/>
      <c r="BJ419" s="118"/>
      <c r="BK419" s="118"/>
      <c r="BL419" s="118"/>
      <c r="BM419" s="118"/>
      <c r="BN419" s="118"/>
      <c r="BO419" s="118"/>
      <c r="BP419" s="118"/>
      <c r="BQ419" s="118"/>
      <c r="BR419" s="118"/>
      <c r="BS419" s="118"/>
      <c r="BT419" s="118"/>
      <c r="BU419" s="118"/>
      <c r="BV419" s="118"/>
      <c r="BW419" s="118"/>
      <c r="BX419" s="118"/>
      <c r="BY419" s="118"/>
      <c r="BZ419" s="118"/>
      <c r="CA419" s="118"/>
      <c r="CB419" s="118"/>
      <c r="CC419" s="118"/>
      <c r="CD419" s="118"/>
      <c r="CE419" s="118"/>
      <c r="CF419" s="118"/>
      <c r="CG419" s="118"/>
      <c r="CH419" s="118"/>
      <c r="CI419" s="118"/>
      <c r="CJ419" s="118"/>
      <c r="CK419" s="118"/>
      <c r="CL419" s="118"/>
      <c r="CM419" s="499"/>
      <c r="CN419" s="118"/>
      <c r="CO419" s="118"/>
      <c r="CP419" s="118"/>
      <c r="CQ419" s="118"/>
      <c r="CR419" s="118"/>
      <c r="CS419" s="118"/>
      <c r="CT419" s="118"/>
      <c r="CU419" s="118"/>
      <c r="CV419" s="577"/>
      <c r="CW419" s="577"/>
      <c r="CX419" s="577"/>
      <c r="CY419" s="577"/>
      <c r="CZ419" s="577"/>
      <c r="DA419" s="577"/>
      <c r="DB419" s="118"/>
      <c r="DC419" s="118"/>
      <c r="DD419" s="118"/>
      <c r="DE419" s="118"/>
      <c r="DF419" s="118"/>
      <c r="DG419" s="118"/>
      <c r="DH419" s="118"/>
      <c r="DI419" s="118"/>
      <c r="DJ419" s="118"/>
      <c r="DK419" s="118"/>
      <c r="DL419" s="118"/>
      <c r="DM419" s="118"/>
      <c r="DN419" s="118"/>
      <c r="DO419" s="118"/>
      <c r="DP419" s="118"/>
      <c r="DQ419" s="118"/>
      <c r="DS419" s="520" t="s">
        <v>423</v>
      </c>
      <c r="DT419" s="574">
        <f>CT417</f>
        <v>47.18</v>
      </c>
      <c r="DU419" s="520">
        <v>100.0</v>
      </c>
      <c r="DX419" s="530"/>
    </row>
    <row r="420" hidden="1">
      <c r="A420" s="500" t="s">
        <v>8</v>
      </c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  <c r="AT420" s="118"/>
      <c r="AU420" s="118"/>
      <c r="AV420" s="118"/>
      <c r="AW420" s="118"/>
      <c r="AX420" s="118"/>
      <c r="AY420" s="118"/>
      <c r="AZ420" s="118"/>
      <c r="BA420" s="118"/>
      <c r="BB420" s="118"/>
      <c r="BC420" s="118"/>
      <c r="BD420" s="118"/>
      <c r="BE420" s="118"/>
      <c r="BF420" s="118"/>
      <c r="BG420" s="118"/>
      <c r="BH420" s="118"/>
      <c r="BI420" s="118"/>
      <c r="BJ420" s="118"/>
      <c r="BK420" s="118"/>
      <c r="BL420" s="118"/>
      <c r="BM420" s="118"/>
      <c r="BN420" s="118"/>
      <c r="BO420" s="118"/>
      <c r="BP420" s="118"/>
      <c r="BQ420" s="118"/>
      <c r="BR420" s="118"/>
      <c r="BS420" s="118"/>
      <c r="BT420" s="118"/>
      <c r="BU420" s="118"/>
      <c r="BV420" s="118"/>
      <c r="BW420" s="118"/>
      <c r="BX420" s="118"/>
      <c r="BY420" s="118"/>
      <c r="BZ420" s="118"/>
      <c r="CA420" s="118"/>
      <c r="CB420" s="118"/>
      <c r="CC420" s="118"/>
      <c r="CD420" s="118"/>
      <c r="CE420" s="118"/>
      <c r="CF420" s="118"/>
      <c r="CG420" s="118"/>
      <c r="CH420" s="118"/>
      <c r="CI420" s="118"/>
      <c r="CJ420" s="118"/>
      <c r="CK420" s="118"/>
      <c r="CL420" s="118"/>
      <c r="CM420" s="499"/>
      <c r="CN420" s="546" t="s">
        <v>355</v>
      </c>
      <c r="CO420" s="546" t="s">
        <v>355</v>
      </c>
      <c r="CP420" s="546" t="s">
        <v>355</v>
      </c>
      <c r="CQ420" s="546" t="s">
        <v>355</v>
      </c>
      <c r="CR420" s="546" t="s">
        <v>370</v>
      </c>
      <c r="CS420" s="546" t="s">
        <v>370</v>
      </c>
      <c r="CT420" s="546" t="s">
        <v>355</v>
      </c>
      <c r="CU420" s="546" t="s">
        <v>355</v>
      </c>
      <c r="CV420" s="546" t="s">
        <v>355</v>
      </c>
      <c r="CW420" s="546" t="s">
        <v>370</v>
      </c>
      <c r="CX420" s="546" t="s">
        <v>355</v>
      </c>
      <c r="CY420" s="546" t="s">
        <v>355</v>
      </c>
      <c r="CZ420" s="546" t="s">
        <v>355</v>
      </c>
      <c r="DA420" s="546" t="s">
        <v>355</v>
      </c>
      <c r="DB420" s="546" t="s">
        <v>370</v>
      </c>
      <c r="DC420" s="546" t="s">
        <v>355</v>
      </c>
      <c r="DD420" s="546" t="s">
        <v>355</v>
      </c>
      <c r="DE420" s="546" t="s">
        <v>370</v>
      </c>
      <c r="DF420" s="546" t="s">
        <v>355</v>
      </c>
      <c r="DG420" s="546" t="s">
        <v>355</v>
      </c>
      <c r="DH420" s="546" t="s">
        <v>355</v>
      </c>
      <c r="DI420" s="546" t="s">
        <v>370</v>
      </c>
      <c r="DJ420" s="546" t="s">
        <v>412</v>
      </c>
      <c r="DK420" s="546" t="s">
        <v>355</v>
      </c>
      <c r="DL420" s="546" t="s">
        <v>355</v>
      </c>
      <c r="DM420" s="546" t="s">
        <v>355</v>
      </c>
      <c r="DN420" s="546" t="s">
        <v>370</v>
      </c>
      <c r="DO420" s="546" t="s">
        <v>412</v>
      </c>
      <c r="DP420" s="544"/>
      <c r="DQ420" s="544"/>
      <c r="DT420" s="520" t="s">
        <v>384</v>
      </c>
      <c r="DU420" s="520" t="s">
        <v>332</v>
      </c>
      <c r="DW420" s="520" t="s">
        <v>384</v>
      </c>
      <c r="DX420" s="520" t="s">
        <v>332</v>
      </c>
    </row>
    <row r="421" hidden="1">
      <c r="A421" s="502" t="s">
        <v>288</v>
      </c>
      <c r="B421" s="525"/>
      <c r="C421" s="525"/>
      <c r="D421" s="525"/>
      <c r="E421" s="525"/>
      <c r="F421" s="525"/>
      <c r="G421" s="525"/>
      <c r="H421" s="525"/>
      <c r="I421" s="525"/>
      <c r="J421" s="525"/>
      <c r="K421" s="525"/>
      <c r="L421" s="525"/>
      <c r="M421" s="525"/>
      <c r="N421" s="525"/>
      <c r="O421" s="525"/>
      <c r="P421" s="525"/>
      <c r="Q421" s="525"/>
      <c r="R421" s="525"/>
      <c r="S421" s="525"/>
      <c r="T421" s="525"/>
      <c r="U421" s="525"/>
      <c r="V421" s="525"/>
      <c r="W421" s="525"/>
      <c r="X421" s="525"/>
      <c r="Y421" s="525"/>
      <c r="Z421" s="525"/>
      <c r="AA421" s="525"/>
      <c r="AB421" s="525"/>
      <c r="AC421" s="525"/>
      <c r="AD421" s="525"/>
      <c r="AE421" s="525"/>
      <c r="AF421" s="525"/>
      <c r="AG421" s="525"/>
      <c r="AH421" s="525"/>
      <c r="AI421" s="525"/>
      <c r="AJ421" s="525"/>
      <c r="AK421" s="525"/>
      <c r="AL421" s="525"/>
      <c r="AM421" s="525"/>
      <c r="AN421" s="525"/>
      <c r="AO421" s="525"/>
      <c r="AP421" s="525"/>
      <c r="AQ421" s="525"/>
      <c r="AR421" s="525"/>
      <c r="AS421" s="525"/>
      <c r="AT421" s="525"/>
      <c r="AU421" s="525"/>
      <c r="AV421" s="525"/>
      <c r="AW421" s="525"/>
      <c r="AX421" s="525"/>
      <c r="AY421" s="525"/>
      <c r="AZ421" s="525"/>
      <c r="BA421" s="525"/>
      <c r="BB421" s="525"/>
      <c r="BC421" s="525"/>
      <c r="BD421" s="525"/>
      <c r="BE421" s="525"/>
      <c r="BF421" s="525"/>
      <c r="BG421" s="525"/>
      <c r="BH421" s="525"/>
      <c r="BI421" s="525"/>
      <c r="BJ421" s="525"/>
      <c r="BK421" s="541">
        <v>45689.0</v>
      </c>
      <c r="BL421" s="503">
        <v>45690.0</v>
      </c>
      <c r="BM421" s="503">
        <v>45691.0</v>
      </c>
      <c r="BN421" s="541">
        <v>45692.0</v>
      </c>
      <c r="BO421" s="541">
        <v>45693.0</v>
      </c>
      <c r="BP421" s="541">
        <v>45694.0</v>
      </c>
      <c r="BQ421" s="541">
        <v>45695.0</v>
      </c>
      <c r="BR421" s="541">
        <v>45696.0</v>
      </c>
      <c r="BS421" s="541">
        <v>45697.0</v>
      </c>
      <c r="BT421" s="541">
        <v>45698.0</v>
      </c>
      <c r="BU421" s="541">
        <v>45699.0</v>
      </c>
      <c r="BV421" s="541">
        <v>45700.0</v>
      </c>
      <c r="BW421" s="541">
        <v>45701.0</v>
      </c>
      <c r="BX421" s="541">
        <v>45702.0</v>
      </c>
      <c r="BY421" s="541">
        <v>45703.0</v>
      </c>
      <c r="BZ421" s="541">
        <v>45704.0</v>
      </c>
      <c r="CA421" s="541">
        <v>45705.0</v>
      </c>
      <c r="CB421" s="541">
        <v>45706.0</v>
      </c>
      <c r="CC421" s="541">
        <v>45707.0</v>
      </c>
      <c r="CD421" s="541">
        <v>45708.0</v>
      </c>
      <c r="CE421" s="541">
        <v>45709.0</v>
      </c>
      <c r="CF421" s="541">
        <v>45710.0</v>
      </c>
      <c r="CG421" s="541">
        <v>45711.0</v>
      </c>
      <c r="CH421" s="541">
        <v>45712.0</v>
      </c>
      <c r="CI421" s="541">
        <v>45713.0</v>
      </c>
      <c r="CJ421" s="541">
        <v>45714.0</v>
      </c>
      <c r="CK421" s="541">
        <v>45715.0</v>
      </c>
      <c r="CL421" s="541">
        <v>45716.0</v>
      </c>
      <c r="CM421" s="552"/>
      <c r="CN421" s="602">
        <v>46054.0</v>
      </c>
      <c r="CO421" s="602">
        <v>46055.0</v>
      </c>
      <c r="CP421" s="602">
        <v>46056.0</v>
      </c>
      <c r="CQ421" s="602">
        <v>46057.0</v>
      </c>
      <c r="CR421" s="602">
        <v>46058.0</v>
      </c>
      <c r="CS421" s="602">
        <v>46059.0</v>
      </c>
      <c r="CT421" s="602">
        <v>46060.0</v>
      </c>
      <c r="CU421" s="602">
        <v>46061.0</v>
      </c>
      <c r="CV421" s="602">
        <v>46062.0</v>
      </c>
      <c r="CW421" s="602">
        <v>46063.0</v>
      </c>
      <c r="CX421" s="602">
        <v>46064.0</v>
      </c>
      <c r="CY421" s="602">
        <v>46065.0</v>
      </c>
      <c r="CZ421" s="602">
        <v>46066.0</v>
      </c>
      <c r="DA421" s="602">
        <v>46067.0</v>
      </c>
      <c r="DB421" s="602">
        <v>46068.0</v>
      </c>
      <c r="DC421" s="602">
        <v>46069.0</v>
      </c>
      <c r="DD421" s="602">
        <v>46070.0</v>
      </c>
      <c r="DE421" s="602">
        <v>46071.0</v>
      </c>
      <c r="DF421" s="602">
        <v>46072.0</v>
      </c>
      <c r="DG421" s="602">
        <v>46073.0</v>
      </c>
      <c r="DH421" s="602">
        <v>46074.0</v>
      </c>
      <c r="DI421" s="602">
        <v>46075.0</v>
      </c>
      <c r="DJ421" s="602">
        <v>46076.0</v>
      </c>
      <c r="DK421" s="602">
        <v>46077.0</v>
      </c>
      <c r="DL421" s="602">
        <v>46078.0</v>
      </c>
      <c r="DM421" s="602">
        <v>46079.0</v>
      </c>
      <c r="DN421" s="602">
        <v>46080.0</v>
      </c>
      <c r="DO421" s="602">
        <v>46081.0</v>
      </c>
      <c r="DP421" s="561"/>
      <c r="DQ421" s="600"/>
      <c r="DS421" s="520" t="s">
        <v>374</v>
      </c>
      <c r="DT421" s="574">
        <f>CR424+CS424+CW424+DB424</f>
        <v>275.12</v>
      </c>
      <c r="DU421" s="520">
        <v>1000.0</v>
      </c>
      <c r="DW421" s="574">
        <f>DE424+DI424+DN424</f>
        <v>262.01</v>
      </c>
      <c r="DX421" s="510">
        <v>800.0</v>
      </c>
      <c r="DZ421" s="574">
        <f t="shared" ref="DZ421:DZ422" si="40">SUM(CN422:DR422)</f>
        <v>8466</v>
      </c>
      <c r="EA421" s="530">
        <f t="shared" ref="EA421:EA422" si="41">DZ421/28</f>
        <v>302.3571429</v>
      </c>
    </row>
    <row r="422" hidden="1">
      <c r="A422" s="502" t="s">
        <v>289</v>
      </c>
      <c r="B422" s="525"/>
      <c r="C422" s="525"/>
      <c r="D422" s="525"/>
      <c r="E422" s="525"/>
      <c r="F422" s="525"/>
      <c r="G422" s="525"/>
      <c r="H422" s="525"/>
      <c r="I422" s="525"/>
      <c r="J422" s="525"/>
      <c r="K422" s="525"/>
      <c r="L422" s="525"/>
      <c r="M422" s="525"/>
      <c r="N422" s="525"/>
      <c r="O422" s="525"/>
      <c r="P422" s="525"/>
      <c r="Q422" s="525"/>
      <c r="R422" s="525"/>
      <c r="S422" s="525"/>
      <c r="T422" s="525"/>
      <c r="U422" s="525"/>
      <c r="V422" s="525"/>
      <c r="W422" s="525"/>
      <c r="X422" s="525"/>
      <c r="Y422" s="525"/>
      <c r="Z422" s="525"/>
      <c r="AA422" s="525"/>
      <c r="AB422" s="525"/>
      <c r="AC422" s="525"/>
      <c r="AD422" s="525"/>
      <c r="AE422" s="525"/>
      <c r="AF422" s="525"/>
      <c r="AG422" s="525"/>
      <c r="AH422" s="525"/>
      <c r="AI422" s="525"/>
      <c r="AJ422" s="525"/>
      <c r="AK422" s="525"/>
      <c r="AL422" s="525"/>
      <c r="AM422" s="525"/>
      <c r="AN422" s="525"/>
      <c r="AO422" s="525"/>
      <c r="AP422" s="525"/>
      <c r="AQ422" s="525"/>
      <c r="AR422" s="525"/>
      <c r="AS422" s="525"/>
      <c r="AT422" s="525"/>
      <c r="AU422" s="525"/>
      <c r="AV422" s="525"/>
      <c r="AW422" s="525"/>
      <c r="AX422" s="525"/>
      <c r="AY422" s="525"/>
      <c r="AZ422" s="525"/>
      <c r="BA422" s="525"/>
      <c r="BB422" s="525"/>
      <c r="BC422" s="525"/>
      <c r="BD422" s="525"/>
      <c r="BE422" s="525"/>
      <c r="BF422" s="525"/>
      <c r="BG422" s="525"/>
      <c r="BH422" s="525"/>
      <c r="BI422" s="525"/>
      <c r="BJ422" s="525"/>
      <c r="BK422" s="525"/>
      <c r="BL422" s="518">
        <v>196.0</v>
      </c>
      <c r="BM422" s="518">
        <v>147.0</v>
      </c>
      <c r="BN422" s="525"/>
      <c r="BO422" s="525"/>
      <c r="BP422" s="512">
        <v>193.0</v>
      </c>
      <c r="BQ422" s="512">
        <v>202.0</v>
      </c>
      <c r="BR422" s="512">
        <v>239.0</v>
      </c>
      <c r="BS422" s="525"/>
      <c r="BT422" s="512">
        <v>181.0</v>
      </c>
      <c r="BU422" s="525"/>
      <c r="BV422" s="512">
        <v>292.0</v>
      </c>
      <c r="BW422" s="512">
        <v>258.0</v>
      </c>
      <c r="BX422" s="512">
        <v>267.0</v>
      </c>
      <c r="BY422" s="512">
        <v>214.0</v>
      </c>
      <c r="BZ422" s="512">
        <v>234.0</v>
      </c>
      <c r="CA422" s="512">
        <v>271.0</v>
      </c>
      <c r="CB422" s="512">
        <v>222.0</v>
      </c>
      <c r="CC422" s="512">
        <v>298.0</v>
      </c>
      <c r="CD422" s="512">
        <v>290.0</v>
      </c>
      <c r="CE422" s="512">
        <v>261.0</v>
      </c>
      <c r="CF422" s="512">
        <v>274.0</v>
      </c>
      <c r="CG422" s="512">
        <v>285.0</v>
      </c>
      <c r="CH422" s="512">
        <v>196.0</v>
      </c>
      <c r="CI422" s="512">
        <v>198.0</v>
      </c>
      <c r="CJ422" s="512">
        <v>274.0</v>
      </c>
      <c r="CK422" s="512">
        <v>197.0</v>
      </c>
      <c r="CL422" s="512">
        <v>246.0</v>
      </c>
      <c r="CM422" s="552"/>
      <c r="CN422" s="561">
        <v>269.0</v>
      </c>
      <c r="CO422" s="561">
        <v>257.0</v>
      </c>
      <c r="CP422" s="561">
        <v>301.0</v>
      </c>
      <c r="CQ422" s="561">
        <v>262.0</v>
      </c>
      <c r="CR422" s="561">
        <v>211.0</v>
      </c>
      <c r="CS422" s="561">
        <v>371.0</v>
      </c>
      <c r="CT422" s="561">
        <v>335.0</v>
      </c>
      <c r="CU422" s="561">
        <v>345.0</v>
      </c>
      <c r="CV422" s="591">
        <v>312.0</v>
      </c>
      <c r="CW422" s="591">
        <v>248.0</v>
      </c>
      <c r="CX422" s="591">
        <v>319.0</v>
      </c>
      <c r="CY422" s="591">
        <v>286.0</v>
      </c>
      <c r="CZ422" s="591">
        <v>345.0</v>
      </c>
      <c r="DA422" s="591">
        <v>243.0</v>
      </c>
      <c r="DB422" s="561">
        <v>303.0</v>
      </c>
      <c r="DC422" s="561">
        <v>331.0</v>
      </c>
      <c r="DD422" s="561">
        <v>296.0</v>
      </c>
      <c r="DE422" s="561">
        <v>261.0</v>
      </c>
      <c r="DF422" s="561">
        <v>350.0</v>
      </c>
      <c r="DG422" s="561">
        <v>335.0</v>
      </c>
      <c r="DH422" s="561">
        <v>288.0</v>
      </c>
      <c r="DI422" s="561">
        <v>362.0</v>
      </c>
      <c r="DJ422" s="561">
        <v>321.0</v>
      </c>
      <c r="DK422" s="513">
        <v>307.0</v>
      </c>
      <c r="DL422" s="561">
        <v>292.0</v>
      </c>
      <c r="DM422" s="512">
        <v>296.0</v>
      </c>
      <c r="DN422" s="561">
        <v>328.0</v>
      </c>
      <c r="DO422" s="561">
        <v>292.0</v>
      </c>
      <c r="DP422" s="561"/>
      <c r="DQ422" s="561"/>
      <c r="DS422" s="520" t="s">
        <v>338</v>
      </c>
      <c r="DT422" s="574">
        <f>CN424+CO424+CP424+CQ424+CT424+CU424+CV424+CX424+CY424+CZ424+DA424</f>
        <v>883.17</v>
      </c>
      <c r="DU422" s="520">
        <v>2800.0</v>
      </c>
      <c r="DW422" s="574">
        <f>DC424+DD424+DF424+DG424+DH424+DK424+DL424+DM424</f>
        <v>647.32</v>
      </c>
      <c r="DX422" s="510">
        <v>2000.0</v>
      </c>
      <c r="DZ422" s="574">
        <f t="shared" si="40"/>
        <v>3245</v>
      </c>
      <c r="EA422" s="530">
        <f t="shared" si="41"/>
        <v>115.8928571</v>
      </c>
    </row>
    <row r="423" hidden="1">
      <c r="A423" s="521" t="s">
        <v>290</v>
      </c>
      <c r="B423" s="525"/>
      <c r="C423" s="525"/>
      <c r="D423" s="525"/>
      <c r="E423" s="525"/>
      <c r="F423" s="525"/>
      <c r="G423" s="525"/>
      <c r="H423" s="525"/>
      <c r="I423" s="525"/>
      <c r="J423" s="525"/>
      <c r="K423" s="525"/>
      <c r="L423" s="525"/>
      <c r="M423" s="525"/>
      <c r="N423" s="525"/>
      <c r="O423" s="525"/>
      <c r="P423" s="525"/>
      <c r="Q423" s="525"/>
      <c r="R423" s="525"/>
      <c r="S423" s="525"/>
      <c r="T423" s="525"/>
      <c r="U423" s="525"/>
      <c r="V423" s="525"/>
      <c r="W423" s="525"/>
      <c r="X423" s="525"/>
      <c r="Y423" s="525"/>
      <c r="Z423" s="525"/>
      <c r="AA423" s="525"/>
      <c r="AB423" s="525"/>
      <c r="AC423" s="525"/>
      <c r="AD423" s="525"/>
      <c r="AE423" s="525"/>
      <c r="AF423" s="525"/>
      <c r="AG423" s="525"/>
      <c r="AH423" s="525"/>
      <c r="AI423" s="525"/>
      <c r="AJ423" s="525"/>
      <c r="AK423" s="525"/>
      <c r="AL423" s="525"/>
      <c r="AM423" s="525"/>
      <c r="AN423" s="525"/>
      <c r="AO423" s="525"/>
      <c r="AP423" s="525"/>
      <c r="AQ423" s="525"/>
      <c r="AR423" s="525"/>
      <c r="AS423" s="525"/>
      <c r="AT423" s="525"/>
      <c r="AU423" s="525"/>
      <c r="AV423" s="525"/>
      <c r="AW423" s="525"/>
      <c r="AX423" s="525"/>
      <c r="AY423" s="525"/>
      <c r="AZ423" s="525"/>
      <c r="BA423" s="525"/>
      <c r="BB423" s="525"/>
      <c r="BC423" s="525"/>
      <c r="BD423" s="525"/>
      <c r="BE423" s="525"/>
      <c r="BF423" s="525"/>
      <c r="BG423" s="525"/>
      <c r="BH423" s="525"/>
      <c r="BI423" s="525"/>
      <c r="BJ423" s="525"/>
      <c r="BK423" s="525"/>
      <c r="BL423" s="518">
        <v>82.0</v>
      </c>
      <c r="BM423" s="518">
        <v>67.0</v>
      </c>
      <c r="BN423" s="525"/>
      <c r="BO423" s="525"/>
      <c r="BP423" s="512">
        <v>71.0</v>
      </c>
      <c r="BQ423" s="512">
        <v>80.0</v>
      </c>
      <c r="BR423" s="512">
        <v>95.0</v>
      </c>
      <c r="BS423" s="525"/>
      <c r="BT423" s="512">
        <v>73.0</v>
      </c>
      <c r="BU423" s="525"/>
      <c r="BV423" s="512">
        <v>96.0</v>
      </c>
      <c r="BW423" s="512">
        <v>98.0</v>
      </c>
      <c r="BX423" s="512">
        <v>104.0</v>
      </c>
      <c r="BY423" s="512">
        <v>88.0</v>
      </c>
      <c r="BZ423" s="512">
        <v>86.0</v>
      </c>
      <c r="CA423" s="512">
        <v>101.0</v>
      </c>
      <c r="CB423" s="512">
        <v>88.0</v>
      </c>
      <c r="CC423" s="512">
        <v>106.0</v>
      </c>
      <c r="CD423" s="512">
        <v>103.0</v>
      </c>
      <c r="CE423" s="512">
        <v>89.0</v>
      </c>
      <c r="CF423" s="512">
        <v>119.0</v>
      </c>
      <c r="CG423" s="512">
        <v>116.0</v>
      </c>
      <c r="CH423" s="512">
        <v>86.0</v>
      </c>
      <c r="CI423" s="512">
        <v>89.0</v>
      </c>
      <c r="CJ423" s="512">
        <v>103.0</v>
      </c>
      <c r="CK423" s="512">
        <v>82.0</v>
      </c>
      <c r="CL423" s="512">
        <v>92.0</v>
      </c>
      <c r="CM423" s="552">
        <f>SUM(BK423:CL423)/22</f>
        <v>96.09090909</v>
      </c>
      <c r="CN423" s="561">
        <v>97.0</v>
      </c>
      <c r="CO423" s="561">
        <v>116.0</v>
      </c>
      <c r="CP423" s="561">
        <v>105.0</v>
      </c>
      <c r="CQ423" s="561">
        <v>85.0</v>
      </c>
      <c r="CR423" s="561">
        <v>101.0</v>
      </c>
      <c r="CS423" s="561">
        <v>130.0</v>
      </c>
      <c r="CT423" s="561">
        <v>134.0</v>
      </c>
      <c r="CU423" s="561">
        <v>132.0</v>
      </c>
      <c r="CV423" s="591">
        <v>124.0</v>
      </c>
      <c r="CW423" s="591">
        <v>104.0</v>
      </c>
      <c r="CX423" s="591">
        <v>115.0</v>
      </c>
      <c r="CY423" s="591">
        <v>118.0</v>
      </c>
      <c r="CZ423" s="591">
        <v>136.0</v>
      </c>
      <c r="DA423" s="591">
        <v>93.0</v>
      </c>
      <c r="DB423" s="561">
        <v>109.0</v>
      </c>
      <c r="DC423" s="561">
        <v>118.0</v>
      </c>
      <c r="DD423" s="561">
        <v>96.0</v>
      </c>
      <c r="DE423" s="561">
        <v>102.0</v>
      </c>
      <c r="DF423" s="561">
        <v>118.0</v>
      </c>
      <c r="DG423" s="561">
        <v>140.0</v>
      </c>
      <c r="DH423" s="561">
        <v>109.0</v>
      </c>
      <c r="DI423" s="561">
        <v>131.0</v>
      </c>
      <c r="DJ423" s="561">
        <v>138.0</v>
      </c>
      <c r="DK423" s="513">
        <v>124.0</v>
      </c>
      <c r="DL423" s="561">
        <v>116.0</v>
      </c>
      <c r="DM423" s="561">
        <v>122.0</v>
      </c>
      <c r="DN423" s="561">
        <v>109.0</v>
      </c>
      <c r="DO423" s="561">
        <v>123.0</v>
      </c>
      <c r="DP423" s="561"/>
      <c r="DQ423" s="561"/>
      <c r="DS423" s="520" t="s">
        <v>397</v>
      </c>
      <c r="DW423" s="574">
        <f>DO424+DJ424</f>
        <v>216.45</v>
      </c>
      <c r="DX423" s="510">
        <v>500.0</v>
      </c>
    </row>
    <row r="424" hidden="1">
      <c r="A424" s="502" t="s">
        <v>291</v>
      </c>
      <c r="B424" s="525"/>
      <c r="C424" s="525"/>
      <c r="D424" s="525"/>
      <c r="E424" s="525"/>
      <c r="F424" s="525"/>
      <c r="G424" s="525"/>
      <c r="H424" s="525"/>
      <c r="I424" s="525"/>
      <c r="J424" s="525"/>
      <c r="K424" s="525"/>
      <c r="L424" s="525"/>
      <c r="M424" s="525"/>
      <c r="N424" s="525"/>
      <c r="O424" s="525"/>
      <c r="P424" s="525"/>
      <c r="Q424" s="525"/>
      <c r="R424" s="525"/>
      <c r="S424" s="525"/>
      <c r="T424" s="525"/>
      <c r="U424" s="525"/>
      <c r="V424" s="525"/>
      <c r="W424" s="525"/>
      <c r="X424" s="525"/>
      <c r="Y424" s="525"/>
      <c r="Z424" s="525"/>
      <c r="AA424" s="525"/>
      <c r="AB424" s="525"/>
      <c r="AC424" s="525"/>
      <c r="AD424" s="525"/>
      <c r="AE424" s="525"/>
      <c r="AF424" s="525"/>
      <c r="AG424" s="525"/>
      <c r="AH424" s="525"/>
      <c r="AI424" s="525"/>
      <c r="AJ424" s="525"/>
      <c r="AK424" s="525"/>
      <c r="AL424" s="525"/>
      <c r="AM424" s="525"/>
      <c r="AN424" s="525"/>
      <c r="AO424" s="525"/>
      <c r="AP424" s="525"/>
      <c r="AQ424" s="525"/>
      <c r="AR424" s="525"/>
      <c r="AS424" s="525"/>
      <c r="AT424" s="525"/>
      <c r="AU424" s="525"/>
      <c r="AV424" s="525"/>
      <c r="AW424" s="525"/>
      <c r="AX424" s="525"/>
      <c r="AY424" s="525"/>
      <c r="AZ424" s="525"/>
      <c r="BA424" s="525"/>
      <c r="BB424" s="525"/>
      <c r="BC424" s="525"/>
      <c r="BD424" s="525"/>
      <c r="BE424" s="525"/>
      <c r="BF424" s="525"/>
      <c r="BG424" s="525"/>
      <c r="BH424" s="525"/>
      <c r="BI424" s="525"/>
      <c r="BJ424" s="525"/>
      <c r="BK424" s="529">
        <v>-167.68</v>
      </c>
      <c r="BL424" s="529">
        <v>-89.36</v>
      </c>
      <c r="BM424" s="529">
        <v>-26.1</v>
      </c>
      <c r="BN424" s="529">
        <v>-389.28</v>
      </c>
      <c r="BO424" s="529">
        <v>54.9</v>
      </c>
      <c r="BP424" s="529">
        <v>22.93</v>
      </c>
      <c r="BQ424" s="529">
        <v>-66.7</v>
      </c>
      <c r="BR424" s="529">
        <v>-203.56</v>
      </c>
      <c r="BS424" s="529">
        <v>-359.15</v>
      </c>
      <c r="BT424" s="529">
        <v>-10.32</v>
      </c>
      <c r="BU424" s="529">
        <v>-130.74</v>
      </c>
      <c r="BV424" s="529">
        <v>82.49</v>
      </c>
      <c r="BW424" s="529">
        <v>14.18</v>
      </c>
      <c r="BX424" s="529">
        <v>93.65</v>
      </c>
      <c r="BY424" s="529">
        <v>96.27</v>
      </c>
      <c r="BZ424" s="529">
        <v>-478.47</v>
      </c>
      <c r="CA424" s="529">
        <v>-2.11</v>
      </c>
      <c r="CB424" s="529">
        <v>81.53</v>
      </c>
      <c r="CC424" s="529">
        <v>-45.15</v>
      </c>
      <c r="CD424" s="529">
        <v>92.28</v>
      </c>
      <c r="CE424" s="529">
        <v>-294.99</v>
      </c>
      <c r="CF424" s="529">
        <v>121.62</v>
      </c>
      <c r="CG424" s="529">
        <v>109.56</v>
      </c>
      <c r="CH424" s="529">
        <v>-81.66</v>
      </c>
      <c r="CI424" s="529">
        <v>-103.42</v>
      </c>
      <c r="CJ424" s="529">
        <v>72.17</v>
      </c>
      <c r="CK424" s="529">
        <v>106.47</v>
      </c>
      <c r="CL424" s="512">
        <v>7.22</v>
      </c>
      <c r="CM424" s="525"/>
      <c r="CN424" s="537">
        <v>69.56</v>
      </c>
      <c r="CO424" s="537">
        <v>99.17</v>
      </c>
      <c r="CP424" s="537">
        <v>47.2</v>
      </c>
      <c r="CQ424" s="537">
        <v>54.04</v>
      </c>
      <c r="CR424" s="537">
        <v>79.3</v>
      </c>
      <c r="CS424" s="537">
        <v>68.74</v>
      </c>
      <c r="CT424" s="537">
        <v>71.76</v>
      </c>
      <c r="CU424" s="537">
        <v>82.88</v>
      </c>
      <c r="CV424" s="536">
        <v>108.62</v>
      </c>
      <c r="CW424" s="593">
        <v>56.42</v>
      </c>
      <c r="CX424" s="593">
        <v>80.23</v>
      </c>
      <c r="CY424" s="593">
        <v>111.65</v>
      </c>
      <c r="CZ424" s="593">
        <v>75.77</v>
      </c>
      <c r="DA424" s="593">
        <v>82.29</v>
      </c>
      <c r="DB424" s="537">
        <v>70.66</v>
      </c>
      <c r="DC424" s="537">
        <v>81.6</v>
      </c>
      <c r="DD424" s="537">
        <v>76.67</v>
      </c>
      <c r="DE424" s="537">
        <v>72.07</v>
      </c>
      <c r="DF424" s="537">
        <v>77.32</v>
      </c>
      <c r="DG424" s="537">
        <v>56.84</v>
      </c>
      <c r="DH424" s="537">
        <v>80.01</v>
      </c>
      <c r="DI424" s="537">
        <v>97.36</v>
      </c>
      <c r="DJ424" s="537">
        <v>110.29</v>
      </c>
      <c r="DK424" s="537">
        <v>86.87</v>
      </c>
      <c r="DL424" s="537">
        <v>84.1</v>
      </c>
      <c r="DM424" s="537">
        <v>103.91</v>
      </c>
      <c r="DN424" s="561">
        <v>92.58</v>
      </c>
      <c r="DO424" s="537">
        <v>106.16</v>
      </c>
      <c r="DP424" s="537"/>
      <c r="DQ424" s="537"/>
      <c r="DX424" s="530"/>
    </row>
    <row r="425" hidden="1">
      <c r="A425" s="531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  <c r="AT425" s="118"/>
      <c r="AU425" s="118"/>
      <c r="AV425" s="118"/>
      <c r="AW425" s="118"/>
      <c r="AX425" s="118"/>
      <c r="AY425" s="118"/>
      <c r="AZ425" s="118"/>
      <c r="BA425" s="118"/>
      <c r="BB425" s="118"/>
      <c r="BC425" s="118"/>
      <c r="BD425" s="118"/>
      <c r="BE425" s="118"/>
      <c r="BF425" s="118"/>
      <c r="BG425" s="118"/>
      <c r="BH425" s="118"/>
      <c r="BI425" s="118"/>
      <c r="BJ425" s="118"/>
      <c r="BK425" s="118"/>
      <c r="BL425" s="118"/>
      <c r="BM425" s="118"/>
      <c r="BN425" s="118"/>
      <c r="BO425" s="118"/>
      <c r="BP425" s="118"/>
      <c r="BQ425" s="118"/>
      <c r="BR425" s="118"/>
      <c r="BS425" s="118"/>
      <c r="BT425" s="118"/>
      <c r="BU425" s="118"/>
      <c r="BV425" s="118"/>
      <c r="BW425" s="118"/>
      <c r="BX425" s="118"/>
      <c r="BY425" s="118"/>
      <c r="BZ425" s="118"/>
      <c r="CA425" s="118"/>
      <c r="CB425" s="118"/>
      <c r="CC425" s="118"/>
      <c r="CD425" s="118"/>
      <c r="CE425" s="118"/>
      <c r="CF425" s="118"/>
      <c r="CG425" s="118"/>
      <c r="CH425" s="118"/>
      <c r="CI425" s="118"/>
      <c r="CJ425" s="118"/>
      <c r="CK425" s="118"/>
      <c r="CL425" s="118"/>
      <c r="CM425" s="118"/>
      <c r="CN425" s="118"/>
      <c r="CO425" s="118"/>
      <c r="CP425" s="118"/>
      <c r="CQ425" s="118"/>
      <c r="CR425" s="118"/>
      <c r="CS425" s="577"/>
      <c r="CT425" s="118"/>
      <c r="CU425" s="118"/>
      <c r="CV425" s="577"/>
      <c r="CW425" s="577"/>
      <c r="CX425" s="577"/>
      <c r="CY425" s="577"/>
      <c r="CZ425" s="577"/>
      <c r="DA425" s="577"/>
      <c r="DB425" s="118"/>
      <c r="DC425" s="118"/>
      <c r="DD425" s="118"/>
      <c r="DE425" s="118"/>
      <c r="DF425" s="118"/>
      <c r="DG425" s="118"/>
      <c r="DH425" s="118"/>
      <c r="DI425" s="10"/>
      <c r="DJ425" s="118"/>
      <c r="DK425" s="118"/>
      <c r="DL425" s="118"/>
      <c r="DM425" s="118"/>
      <c r="DN425" s="118"/>
      <c r="DO425" s="118"/>
      <c r="DP425" s="118"/>
      <c r="DQ425" s="118"/>
      <c r="DX425" s="530"/>
    </row>
    <row r="426" hidden="1">
      <c r="A426" s="531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  <c r="AT426" s="118"/>
      <c r="AU426" s="118"/>
      <c r="AV426" s="118"/>
      <c r="AW426" s="118"/>
      <c r="AX426" s="118"/>
      <c r="AY426" s="118"/>
      <c r="AZ426" s="118"/>
      <c r="BA426" s="118"/>
      <c r="BB426" s="118"/>
      <c r="BC426" s="118"/>
      <c r="BD426" s="118"/>
      <c r="BE426" s="118"/>
      <c r="BF426" s="118"/>
      <c r="BG426" s="118"/>
      <c r="BH426" s="118"/>
      <c r="BI426" s="118"/>
      <c r="BJ426" s="118"/>
      <c r="BK426" s="118"/>
      <c r="BL426" s="118"/>
      <c r="BM426" s="118"/>
      <c r="BN426" s="118"/>
      <c r="BO426" s="118"/>
      <c r="BP426" s="118"/>
      <c r="BQ426" s="118"/>
      <c r="BR426" s="118"/>
      <c r="BS426" s="118"/>
      <c r="BT426" s="118"/>
      <c r="BU426" s="118"/>
      <c r="BV426" s="118"/>
      <c r="BW426" s="118"/>
      <c r="BX426" s="118"/>
      <c r="BY426" s="118"/>
      <c r="BZ426" s="118"/>
      <c r="CA426" s="118"/>
      <c r="CB426" s="118"/>
      <c r="CC426" s="118"/>
      <c r="CD426" s="118"/>
      <c r="CE426" s="118"/>
      <c r="CF426" s="118"/>
      <c r="CG426" s="118"/>
      <c r="CH426" s="118"/>
      <c r="CI426" s="118"/>
      <c r="CJ426" s="118"/>
      <c r="CK426" s="118"/>
      <c r="CL426" s="118"/>
      <c r="CM426" s="118"/>
      <c r="CN426" s="118"/>
      <c r="CO426" s="118"/>
      <c r="CP426" s="118"/>
      <c r="CQ426" s="118"/>
      <c r="CR426" s="118"/>
      <c r="CS426" s="118"/>
      <c r="CT426" s="118"/>
      <c r="CU426" s="118"/>
      <c r="CV426" s="577"/>
      <c r="CW426" s="577"/>
      <c r="CX426" s="577"/>
      <c r="CY426" s="577"/>
      <c r="CZ426" s="577"/>
      <c r="DA426" s="577"/>
      <c r="DB426" s="118"/>
      <c r="DC426" s="118"/>
      <c r="DD426" s="118"/>
      <c r="DE426" s="118"/>
      <c r="DF426" s="118"/>
      <c r="DG426" s="118"/>
      <c r="DH426" s="118"/>
      <c r="DI426" s="118"/>
      <c r="DJ426" s="118"/>
      <c r="DK426" s="118"/>
      <c r="DL426" s="118"/>
      <c r="DM426" s="118"/>
      <c r="DN426" s="118"/>
      <c r="DO426" s="118"/>
      <c r="DP426" s="118"/>
      <c r="DQ426" s="118"/>
      <c r="DX426" s="530"/>
    </row>
    <row r="427" hidden="1">
      <c r="A427" s="500" t="s">
        <v>12</v>
      </c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  <c r="AT427" s="118"/>
      <c r="AU427" s="118"/>
      <c r="AV427" s="118"/>
      <c r="AW427" s="118"/>
      <c r="AX427" s="118"/>
      <c r="AY427" s="118"/>
      <c r="AZ427" s="118"/>
      <c r="BA427" s="118"/>
      <c r="BB427" s="118"/>
      <c r="BC427" s="118"/>
      <c r="BD427" s="118"/>
      <c r="BE427" s="118"/>
      <c r="BF427" s="118"/>
      <c r="BG427" s="118"/>
      <c r="BH427" s="118"/>
      <c r="BI427" s="118"/>
      <c r="BJ427" s="118"/>
      <c r="BK427" s="118"/>
      <c r="BL427" s="118"/>
      <c r="BM427" s="118"/>
      <c r="BN427" s="118"/>
      <c r="BO427" s="118"/>
      <c r="BP427" s="118"/>
      <c r="BQ427" s="118"/>
      <c r="BR427" s="118"/>
      <c r="BS427" s="118"/>
      <c r="BT427" s="118"/>
      <c r="BU427" s="118"/>
      <c r="BV427" s="118"/>
      <c r="BW427" s="118"/>
      <c r="BX427" s="118"/>
      <c r="BY427" s="118"/>
      <c r="BZ427" s="118"/>
      <c r="CA427" s="118"/>
      <c r="CB427" s="118"/>
      <c r="CC427" s="118"/>
      <c r="CD427" s="118"/>
      <c r="CE427" s="118"/>
      <c r="CF427" s="118"/>
      <c r="CG427" s="118"/>
      <c r="CH427" s="118"/>
      <c r="CI427" s="118"/>
      <c r="CJ427" s="118"/>
      <c r="CK427" s="118"/>
      <c r="CL427" s="118"/>
      <c r="CM427" s="118"/>
      <c r="CN427" s="546" t="s">
        <v>412</v>
      </c>
      <c r="CO427" s="546" t="s">
        <v>355</v>
      </c>
      <c r="CP427" s="546" t="s">
        <v>355</v>
      </c>
      <c r="CQ427" s="546" t="s">
        <v>216</v>
      </c>
      <c r="CR427" s="546" t="s">
        <v>412</v>
      </c>
      <c r="CS427" s="546" t="s">
        <v>355</v>
      </c>
      <c r="CT427" s="546" t="s">
        <v>355</v>
      </c>
      <c r="CU427" s="546" t="s">
        <v>412</v>
      </c>
      <c r="CV427" s="546" t="s">
        <v>216</v>
      </c>
      <c r="CW427" s="546" t="s">
        <v>355</v>
      </c>
      <c r="CX427" s="546" t="s">
        <v>355</v>
      </c>
      <c r="CY427" s="546" t="s">
        <v>412</v>
      </c>
      <c r="CZ427" s="546" t="s">
        <v>216</v>
      </c>
      <c r="DA427" s="546" t="s">
        <v>355</v>
      </c>
      <c r="DB427" s="546" t="s">
        <v>355</v>
      </c>
      <c r="DC427" s="546" t="s">
        <v>216</v>
      </c>
      <c r="DD427" s="546" t="s">
        <v>216</v>
      </c>
      <c r="DE427" s="546" t="s">
        <v>355</v>
      </c>
      <c r="DF427" s="546" t="s">
        <v>355</v>
      </c>
      <c r="DG427" s="546" t="s">
        <v>412</v>
      </c>
      <c r="DH427" s="546" t="s">
        <v>412</v>
      </c>
      <c r="DI427" s="546" t="s">
        <v>355</v>
      </c>
      <c r="DJ427" s="546" t="s">
        <v>355</v>
      </c>
      <c r="DK427" s="546" t="s">
        <v>216</v>
      </c>
      <c r="DL427" s="546" t="s">
        <v>412</v>
      </c>
      <c r="DM427" s="546" t="s">
        <v>355</v>
      </c>
      <c r="DN427" s="546" t="s">
        <v>355</v>
      </c>
      <c r="DO427" s="546" t="s">
        <v>216</v>
      </c>
      <c r="DP427" s="544"/>
      <c r="DQ427" s="544"/>
      <c r="DT427" s="520" t="s">
        <v>384</v>
      </c>
      <c r="DU427" s="520" t="s">
        <v>332</v>
      </c>
      <c r="DW427" s="520" t="s">
        <v>384</v>
      </c>
      <c r="DX427" s="520" t="s">
        <v>332</v>
      </c>
    </row>
    <row r="428" hidden="1">
      <c r="A428" s="502" t="s">
        <v>288</v>
      </c>
      <c r="B428" s="525"/>
      <c r="C428" s="525"/>
      <c r="D428" s="525"/>
      <c r="E428" s="525"/>
      <c r="F428" s="525"/>
      <c r="G428" s="525"/>
      <c r="H428" s="525"/>
      <c r="I428" s="525"/>
      <c r="J428" s="525"/>
      <c r="K428" s="525"/>
      <c r="L428" s="525"/>
      <c r="M428" s="525"/>
      <c r="N428" s="525"/>
      <c r="O428" s="525"/>
      <c r="P428" s="525"/>
      <c r="Q428" s="525"/>
      <c r="R428" s="525"/>
      <c r="S428" s="525"/>
      <c r="T428" s="525"/>
      <c r="U428" s="525"/>
      <c r="V428" s="525"/>
      <c r="W428" s="525"/>
      <c r="X428" s="525"/>
      <c r="Y428" s="525"/>
      <c r="Z428" s="525"/>
      <c r="AA428" s="525"/>
      <c r="AB428" s="525"/>
      <c r="AC428" s="525"/>
      <c r="AD428" s="525"/>
      <c r="AE428" s="525"/>
      <c r="AF428" s="525"/>
      <c r="AG428" s="525"/>
      <c r="AH428" s="525"/>
      <c r="AI428" s="525"/>
      <c r="AJ428" s="525"/>
      <c r="AK428" s="525"/>
      <c r="AL428" s="525"/>
      <c r="AM428" s="525"/>
      <c r="AN428" s="525"/>
      <c r="AO428" s="525"/>
      <c r="AP428" s="525"/>
      <c r="AQ428" s="525"/>
      <c r="AR428" s="525"/>
      <c r="AS428" s="525"/>
      <c r="AT428" s="525"/>
      <c r="AU428" s="525"/>
      <c r="AV428" s="525"/>
      <c r="AW428" s="525"/>
      <c r="AX428" s="525"/>
      <c r="AY428" s="525"/>
      <c r="AZ428" s="525"/>
      <c r="BA428" s="525"/>
      <c r="BB428" s="525"/>
      <c r="BC428" s="525"/>
      <c r="BD428" s="525"/>
      <c r="BE428" s="525"/>
      <c r="BF428" s="525"/>
      <c r="BG428" s="525"/>
      <c r="BH428" s="525"/>
      <c r="BI428" s="525"/>
      <c r="BJ428" s="525"/>
      <c r="BK428" s="541">
        <v>45689.0</v>
      </c>
      <c r="BL428" s="541">
        <v>45690.0</v>
      </c>
      <c r="BM428" s="541">
        <v>45691.0</v>
      </c>
      <c r="BN428" s="541">
        <v>45692.0</v>
      </c>
      <c r="BO428" s="541">
        <v>45693.0</v>
      </c>
      <c r="BP428" s="541">
        <v>45694.0</v>
      </c>
      <c r="BQ428" s="541">
        <v>45695.0</v>
      </c>
      <c r="BR428" s="541">
        <v>45696.0</v>
      </c>
      <c r="BS428" s="541">
        <v>45697.0</v>
      </c>
      <c r="BT428" s="541">
        <v>45698.0</v>
      </c>
      <c r="BU428" s="541">
        <v>45699.0</v>
      </c>
      <c r="BV428" s="541">
        <v>45700.0</v>
      </c>
      <c r="BW428" s="541">
        <v>45701.0</v>
      </c>
      <c r="BX428" s="541">
        <v>45702.0</v>
      </c>
      <c r="BY428" s="541">
        <v>45703.0</v>
      </c>
      <c r="BZ428" s="541">
        <v>45704.0</v>
      </c>
      <c r="CA428" s="541">
        <v>45705.0</v>
      </c>
      <c r="CB428" s="541">
        <v>45706.0</v>
      </c>
      <c r="CC428" s="541">
        <v>45707.0</v>
      </c>
      <c r="CD428" s="541">
        <v>45708.0</v>
      </c>
      <c r="CE428" s="541">
        <v>45709.0</v>
      </c>
      <c r="CF428" s="541">
        <v>45710.0</v>
      </c>
      <c r="CG428" s="541">
        <v>45711.0</v>
      </c>
      <c r="CH428" s="541">
        <v>45712.0</v>
      </c>
      <c r="CI428" s="541">
        <v>45713.0</v>
      </c>
      <c r="CJ428" s="541">
        <v>45714.0</v>
      </c>
      <c r="CK428" s="541">
        <v>45715.0</v>
      </c>
      <c r="CL428" s="541">
        <v>45716.0</v>
      </c>
      <c r="CM428" s="541"/>
      <c r="CN428" s="602">
        <v>46054.0</v>
      </c>
      <c r="CO428" s="602">
        <v>46055.0</v>
      </c>
      <c r="CP428" s="602">
        <v>46056.0</v>
      </c>
      <c r="CQ428" s="602">
        <v>46057.0</v>
      </c>
      <c r="CR428" s="602">
        <v>46058.0</v>
      </c>
      <c r="CS428" s="602">
        <v>46059.0</v>
      </c>
      <c r="CT428" s="602">
        <v>46060.0</v>
      </c>
      <c r="CU428" s="602">
        <v>46061.0</v>
      </c>
      <c r="CV428" s="602">
        <v>46062.0</v>
      </c>
      <c r="CW428" s="602">
        <v>46063.0</v>
      </c>
      <c r="CX428" s="602">
        <v>46064.0</v>
      </c>
      <c r="CY428" s="602">
        <v>46065.0</v>
      </c>
      <c r="CZ428" s="602">
        <v>46066.0</v>
      </c>
      <c r="DA428" s="602">
        <v>46067.0</v>
      </c>
      <c r="DB428" s="602">
        <v>46068.0</v>
      </c>
      <c r="DC428" s="602">
        <v>46069.0</v>
      </c>
      <c r="DD428" s="602">
        <v>46070.0</v>
      </c>
      <c r="DE428" s="602">
        <v>46071.0</v>
      </c>
      <c r="DF428" s="602">
        <v>46072.0</v>
      </c>
      <c r="DG428" s="602">
        <v>46073.0</v>
      </c>
      <c r="DH428" s="602">
        <v>46074.0</v>
      </c>
      <c r="DI428" s="602">
        <v>46075.0</v>
      </c>
      <c r="DJ428" s="602">
        <v>46076.0</v>
      </c>
      <c r="DK428" s="602">
        <v>46077.0</v>
      </c>
      <c r="DL428" s="602">
        <v>46078.0</v>
      </c>
      <c r="DM428" s="602">
        <v>46079.0</v>
      </c>
      <c r="DN428" s="602">
        <v>46080.0</v>
      </c>
      <c r="DO428" s="602">
        <v>46081.0</v>
      </c>
      <c r="DP428" s="600"/>
      <c r="DQ428" s="600"/>
      <c r="DS428" s="520" t="s">
        <v>320</v>
      </c>
      <c r="DT428" s="574">
        <f>CO431+CP431+CS431+CT431+CW431+CX431+DA431+DB431</f>
        <v>484.04</v>
      </c>
      <c r="DU428" s="520">
        <v>1500.0</v>
      </c>
      <c r="DW428" s="574">
        <f>DE431+DF431+DI431+DJ431+DM431</f>
        <v>384.27</v>
      </c>
      <c r="DX428" s="510">
        <v>1300.0</v>
      </c>
    </row>
    <row r="429" hidden="1">
      <c r="A429" s="502" t="s">
        <v>289</v>
      </c>
      <c r="B429" s="525"/>
      <c r="C429" s="525"/>
      <c r="D429" s="525"/>
      <c r="E429" s="525"/>
      <c r="F429" s="525"/>
      <c r="G429" s="525"/>
      <c r="H429" s="525"/>
      <c r="I429" s="525"/>
      <c r="J429" s="525"/>
      <c r="K429" s="525"/>
      <c r="L429" s="525"/>
      <c r="M429" s="525"/>
      <c r="N429" s="525"/>
      <c r="O429" s="525"/>
      <c r="P429" s="525"/>
      <c r="Q429" s="525"/>
      <c r="R429" s="525"/>
      <c r="S429" s="525"/>
      <c r="T429" s="525"/>
      <c r="U429" s="525"/>
      <c r="V429" s="525"/>
      <c r="W429" s="525"/>
      <c r="X429" s="525"/>
      <c r="Y429" s="525"/>
      <c r="Z429" s="525"/>
      <c r="AA429" s="525"/>
      <c r="AB429" s="525"/>
      <c r="AC429" s="525"/>
      <c r="AD429" s="525"/>
      <c r="AE429" s="525"/>
      <c r="AF429" s="525"/>
      <c r="AG429" s="525"/>
      <c r="AH429" s="525"/>
      <c r="AI429" s="525"/>
      <c r="AJ429" s="525"/>
      <c r="AK429" s="525"/>
      <c r="AL429" s="525"/>
      <c r="AM429" s="525"/>
      <c r="AN429" s="525"/>
      <c r="AO429" s="525"/>
      <c r="AP429" s="525"/>
      <c r="AQ429" s="525"/>
      <c r="AR429" s="525"/>
      <c r="AS429" s="525"/>
      <c r="AT429" s="525"/>
      <c r="AU429" s="525"/>
      <c r="AV429" s="525"/>
      <c r="AW429" s="525"/>
      <c r="AX429" s="525"/>
      <c r="AY429" s="525"/>
      <c r="AZ429" s="525"/>
      <c r="BA429" s="525"/>
      <c r="BB429" s="525"/>
      <c r="BC429" s="525"/>
      <c r="BD429" s="525"/>
      <c r="BE429" s="525"/>
      <c r="BF429" s="525"/>
      <c r="BG429" s="525"/>
      <c r="BH429" s="525"/>
      <c r="BI429" s="525"/>
      <c r="BJ429" s="525"/>
      <c r="BK429" s="512">
        <v>99.0</v>
      </c>
      <c r="BL429" s="512">
        <v>117.0</v>
      </c>
      <c r="BM429" s="512">
        <v>121.0</v>
      </c>
      <c r="BN429" s="512">
        <v>105.0</v>
      </c>
      <c r="BO429" s="512">
        <v>97.0</v>
      </c>
      <c r="BP429" s="512">
        <v>98.0</v>
      </c>
      <c r="BQ429" s="512">
        <v>110.0</v>
      </c>
      <c r="BR429" s="512">
        <v>141.0</v>
      </c>
      <c r="BS429" s="512">
        <v>157.0</v>
      </c>
      <c r="BT429" s="512">
        <v>98.0</v>
      </c>
      <c r="BU429" s="512">
        <v>130.0</v>
      </c>
      <c r="BV429" s="512">
        <v>130.0</v>
      </c>
      <c r="BW429" s="512">
        <v>153.0</v>
      </c>
      <c r="BX429" s="512">
        <v>131.0</v>
      </c>
      <c r="BY429" s="512">
        <v>126.0</v>
      </c>
      <c r="BZ429" s="512">
        <v>160.0</v>
      </c>
      <c r="CA429" s="512">
        <v>151.0</v>
      </c>
      <c r="CB429" s="512">
        <v>99.0</v>
      </c>
      <c r="CC429" s="512">
        <v>125.0</v>
      </c>
      <c r="CD429" s="512">
        <v>168.0</v>
      </c>
      <c r="CE429" s="512">
        <v>164.0</v>
      </c>
      <c r="CF429" s="512">
        <v>174.0</v>
      </c>
      <c r="CG429" s="512">
        <v>161.0</v>
      </c>
      <c r="CH429" s="512">
        <v>117.0</v>
      </c>
      <c r="CI429" s="512">
        <v>139.0</v>
      </c>
      <c r="CJ429" s="512">
        <v>131.0</v>
      </c>
      <c r="CK429" s="512">
        <v>98.0</v>
      </c>
      <c r="CL429" s="512">
        <v>196.0</v>
      </c>
      <c r="CM429" s="514"/>
      <c r="CN429" s="561">
        <v>219.0</v>
      </c>
      <c r="CO429" s="561">
        <v>149.0</v>
      </c>
      <c r="CP429" s="561">
        <v>154.0</v>
      </c>
      <c r="CQ429" s="561">
        <v>191.0</v>
      </c>
      <c r="CR429" s="561">
        <v>159.0</v>
      </c>
      <c r="CS429" s="561">
        <v>258.0</v>
      </c>
      <c r="CT429" s="561">
        <v>266.0</v>
      </c>
      <c r="CU429" s="561">
        <v>153.0</v>
      </c>
      <c r="CV429" s="591">
        <v>229.0</v>
      </c>
      <c r="CW429" s="591">
        <v>215.0</v>
      </c>
      <c r="CX429" s="591">
        <v>200.0</v>
      </c>
      <c r="CY429" s="591">
        <v>216.0</v>
      </c>
      <c r="CZ429" s="591">
        <v>191.0</v>
      </c>
      <c r="DA429" s="591">
        <v>243.0</v>
      </c>
      <c r="DB429" s="561">
        <v>303.0</v>
      </c>
      <c r="DC429" s="561">
        <v>231.0</v>
      </c>
      <c r="DD429" s="561">
        <v>200.0</v>
      </c>
      <c r="DE429" s="561">
        <v>201.0</v>
      </c>
      <c r="DF429" s="561">
        <v>268.0</v>
      </c>
      <c r="DG429" s="561">
        <v>277.0</v>
      </c>
      <c r="DH429" s="561">
        <v>271.0</v>
      </c>
      <c r="DI429" s="561">
        <v>238.0</v>
      </c>
      <c r="DJ429" s="561">
        <v>306.0</v>
      </c>
      <c r="DK429" s="561">
        <v>190.0</v>
      </c>
      <c r="DL429" s="561">
        <v>189.0</v>
      </c>
      <c r="DM429" s="561">
        <v>253.0</v>
      </c>
      <c r="DN429" s="561">
        <v>251.0</v>
      </c>
      <c r="DO429" s="561">
        <v>261.0</v>
      </c>
      <c r="DP429" s="561"/>
      <c r="DQ429" s="561"/>
      <c r="DS429" s="520" t="s">
        <v>339</v>
      </c>
      <c r="DT429" s="574">
        <f>CQ431+CV431+CZ431</f>
        <v>174.54</v>
      </c>
      <c r="DU429" s="520">
        <v>400.0</v>
      </c>
      <c r="DW429" s="574">
        <f>DC431+DD431+DK431+DO431</f>
        <v>293.99</v>
      </c>
      <c r="DX429" s="510">
        <v>700.0</v>
      </c>
      <c r="DZ429" s="574">
        <f t="shared" ref="DZ429:DZ430" si="42">SUM(CN429:DR429)</f>
        <v>6282</v>
      </c>
      <c r="EA429" s="530">
        <f t="shared" ref="EA429:EA430" si="43">DZ429/28</f>
        <v>224.3571429</v>
      </c>
    </row>
    <row r="430" hidden="1">
      <c r="A430" s="521" t="s">
        <v>290</v>
      </c>
      <c r="B430" s="525"/>
      <c r="C430" s="525"/>
      <c r="D430" s="525"/>
      <c r="E430" s="525"/>
      <c r="F430" s="525"/>
      <c r="G430" s="525"/>
      <c r="H430" s="525"/>
      <c r="I430" s="525"/>
      <c r="J430" s="525"/>
      <c r="K430" s="525"/>
      <c r="L430" s="525"/>
      <c r="M430" s="525"/>
      <c r="N430" s="525"/>
      <c r="O430" s="525"/>
      <c r="P430" s="525"/>
      <c r="Q430" s="525"/>
      <c r="R430" s="525"/>
      <c r="S430" s="525"/>
      <c r="T430" s="525"/>
      <c r="U430" s="525"/>
      <c r="V430" s="525"/>
      <c r="W430" s="525"/>
      <c r="X430" s="525"/>
      <c r="Y430" s="525"/>
      <c r="Z430" s="525"/>
      <c r="AA430" s="525"/>
      <c r="AB430" s="525"/>
      <c r="AC430" s="525"/>
      <c r="AD430" s="525"/>
      <c r="AE430" s="525"/>
      <c r="AF430" s="525"/>
      <c r="AG430" s="525"/>
      <c r="AH430" s="525"/>
      <c r="AI430" s="525"/>
      <c r="AJ430" s="525"/>
      <c r="AK430" s="525"/>
      <c r="AL430" s="525"/>
      <c r="AM430" s="525"/>
      <c r="AN430" s="525"/>
      <c r="AO430" s="525"/>
      <c r="AP430" s="525"/>
      <c r="AQ430" s="525"/>
      <c r="AR430" s="525"/>
      <c r="AS430" s="525"/>
      <c r="AT430" s="525"/>
      <c r="AU430" s="525"/>
      <c r="AV430" s="525"/>
      <c r="AW430" s="525"/>
      <c r="AX430" s="525"/>
      <c r="AY430" s="525"/>
      <c r="AZ430" s="525"/>
      <c r="BA430" s="525"/>
      <c r="BB430" s="525"/>
      <c r="BC430" s="525"/>
      <c r="BD430" s="525"/>
      <c r="BE430" s="525"/>
      <c r="BF430" s="525"/>
      <c r="BG430" s="525"/>
      <c r="BH430" s="525"/>
      <c r="BI430" s="525"/>
      <c r="BJ430" s="525"/>
      <c r="BK430" s="512">
        <v>44.0</v>
      </c>
      <c r="BL430" s="512">
        <v>55.0</v>
      </c>
      <c r="BM430" s="512">
        <v>47.0</v>
      </c>
      <c r="BN430" s="512">
        <v>39.0</v>
      </c>
      <c r="BO430" s="512">
        <v>54.0</v>
      </c>
      <c r="BP430" s="512">
        <v>46.0</v>
      </c>
      <c r="BQ430" s="512">
        <v>51.0</v>
      </c>
      <c r="BR430" s="512">
        <v>48.0</v>
      </c>
      <c r="BS430" s="512">
        <v>55.0</v>
      </c>
      <c r="BT430" s="512">
        <v>41.0</v>
      </c>
      <c r="BU430" s="512">
        <v>57.0</v>
      </c>
      <c r="BV430" s="512">
        <v>57.0</v>
      </c>
      <c r="BW430" s="512">
        <v>59.0</v>
      </c>
      <c r="BX430" s="512">
        <v>41.0</v>
      </c>
      <c r="BY430" s="512">
        <v>52.0</v>
      </c>
      <c r="BZ430" s="512">
        <v>61.0</v>
      </c>
      <c r="CA430" s="512">
        <v>52.0</v>
      </c>
      <c r="CB430" s="512">
        <v>38.0</v>
      </c>
      <c r="CC430" s="512">
        <v>53.0</v>
      </c>
      <c r="CD430" s="512">
        <v>77.0</v>
      </c>
      <c r="CE430" s="512">
        <v>59.0</v>
      </c>
      <c r="CF430" s="512">
        <v>70.0</v>
      </c>
      <c r="CG430" s="512">
        <v>77.0</v>
      </c>
      <c r="CH430" s="512">
        <v>47.0</v>
      </c>
      <c r="CI430" s="512">
        <v>51.0</v>
      </c>
      <c r="CJ430" s="512">
        <v>54.0</v>
      </c>
      <c r="CK430" s="512">
        <v>43.0</v>
      </c>
      <c r="CL430" s="512">
        <v>75.0</v>
      </c>
      <c r="CM430" s="566">
        <f>SUM(BK430:CL430)/28</f>
        <v>53.67857143</v>
      </c>
      <c r="CN430" s="561">
        <v>104.0</v>
      </c>
      <c r="CO430" s="561">
        <v>56.0</v>
      </c>
      <c r="CP430" s="561">
        <v>73.0</v>
      </c>
      <c r="CQ430" s="561">
        <v>79.0</v>
      </c>
      <c r="CR430" s="561">
        <v>70.0</v>
      </c>
      <c r="CS430" s="561">
        <v>89.0</v>
      </c>
      <c r="CT430" s="561">
        <v>88.0</v>
      </c>
      <c r="CU430" s="561">
        <v>73.0</v>
      </c>
      <c r="CV430" s="591">
        <v>89.0</v>
      </c>
      <c r="CW430" s="591">
        <v>77.0</v>
      </c>
      <c r="CX430" s="591">
        <v>72.0</v>
      </c>
      <c r="CY430" s="591">
        <v>82.0</v>
      </c>
      <c r="CZ430" s="591">
        <v>72.0</v>
      </c>
      <c r="DA430" s="591">
        <v>93.0</v>
      </c>
      <c r="DB430" s="561">
        <v>111.0</v>
      </c>
      <c r="DC430" s="561">
        <v>83.0</v>
      </c>
      <c r="DD430" s="561">
        <v>65.0</v>
      </c>
      <c r="DE430" s="561">
        <v>87.0</v>
      </c>
      <c r="DF430" s="561">
        <v>89.0</v>
      </c>
      <c r="DG430" s="561">
        <v>88.0</v>
      </c>
      <c r="DH430" s="561">
        <v>103.0</v>
      </c>
      <c r="DI430" s="561">
        <v>103.0</v>
      </c>
      <c r="DJ430" s="561">
        <v>114.0</v>
      </c>
      <c r="DK430" s="561">
        <v>82.0</v>
      </c>
      <c r="DL430" s="561">
        <v>84.0</v>
      </c>
      <c r="DM430" s="561">
        <v>97.0</v>
      </c>
      <c r="DN430" s="561">
        <v>75.0</v>
      </c>
      <c r="DO430" s="561">
        <v>88.0</v>
      </c>
      <c r="DP430" s="561"/>
      <c r="DQ430" s="561"/>
      <c r="DS430" s="520" t="s">
        <v>397</v>
      </c>
      <c r="DT430" s="574">
        <f>CR431+CU431+CY431+CN431</f>
        <v>227.48</v>
      </c>
      <c r="DU430" s="520">
        <v>600.0</v>
      </c>
      <c r="DW430" s="574">
        <f>DL431+DH431+DG431</f>
        <v>166.93</v>
      </c>
      <c r="DX430" s="510">
        <v>500.0</v>
      </c>
      <c r="DZ430" s="574">
        <f t="shared" si="42"/>
        <v>2386</v>
      </c>
      <c r="EA430" s="530">
        <f t="shared" si="43"/>
        <v>85.21428571</v>
      </c>
    </row>
    <row r="431" hidden="1">
      <c r="A431" s="502" t="s">
        <v>291</v>
      </c>
      <c r="B431" s="537"/>
      <c r="C431" s="537"/>
      <c r="D431" s="537"/>
      <c r="E431" s="537"/>
      <c r="F431" s="537"/>
      <c r="G431" s="537"/>
      <c r="H431" s="537"/>
      <c r="I431" s="537"/>
      <c r="J431" s="537"/>
      <c r="K431" s="537"/>
      <c r="L431" s="537"/>
      <c r="M431" s="537"/>
      <c r="N431" s="537"/>
      <c r="O431" s="537"/>
      <c r="P431" s="537"/>
      <c r="Q431" s="537"/>
      <c r="R431" s="537"/>
      <c r="S431" s="537"/>
      <c r="T431" s="537"/>
      <c r="U431" s="537"/>
      <c r="V431" s="537"/>
      <c r="W431" s="537"/>
      <c r="X431" s="537"/>
      <c r="Y431" s="537"/>
      <c r="Z431" s="537"/>
      <c r="AA431" s="537"/>
      <c r="AB431" s="537"/>
      <c r="AC431" s="537"/>
      <c r="AD431" s="537"/>
      <c r="AE431" s="537"/>
      <c r="AF431" s="537"/>
      <c r="AG431" s="537"/>
      <c r="AH431" s="537"/>
      <c r="AI431" s="537"/>
      <c r="AJ431" s="537"/>
      <c r="AK431" s="537"/>
      <c r="AL431" s="537"/>
      <c r="AM431" s="537"/>
      <c r="AN431" s="537"/>
      <c r="AO431" s="537"/>
      <c r="AP431" s="537"/>
      <c r="AQ431" s="537"/>
      <c r="AR431" s="537"/>
      <c r="AS431" s="537"/>
      <c r="AT431" s="537"/>
      <c r="AU431" s="537"/>
      <c r="AV431" s="537"/>
      <c r="AW431" s="537"/>
      <c r="AX431" s="537"/>
      <c r="AY431" s="537"/>
      <c r="AZ431" s="537"/>
      <c r="BA431" s="537"/>
      <c r="BB431" s="537"/>
      <c r="BC431" s="537"/>
      <c r="BD431" s="537"/>
      <c r="BE431" s="537"/>
      <c r="BF431" s="537"/>
      <c r="BG431" s="537"/>
      <c r="BH431" s="537"/>
      <c r="BI431" s="537"/>
      <c r="BJ431" s="537"/>
      <c r="BK431" s="537">
        <v>-295.52</v>
      </c>
      <c r="BL431" s="537">
        <v>-42.77</v>
      </c>
      <c r="BM431" s="537">
        <v>24.22</v>
      </c>
      <c r="BN431" s="537">
        <v>-438.28</v>
      </c>
      <c r="BO431" s="537">
        <v>35.84</v>
      </c>
      <c r="BP431" s="537">
        <v>-15.94</v>
      </c>
      <c r="BQ431" s="537">
        <v>33.53</v>
      </c>
      <c r="BR431" s="537">
        <v>48.55</v>
      </c>
      <c r="BS431" s="537">
        <v>-179.22</v>
      </c>
      <c r="BT431" s="537">
        <v>-2.05</v>
      </c>
      <c r="BU431" s="537">
        <v>54.16</v>
      </c>
      <c r="BV431" s="537">
        <v>-203.07</v>
      </c>
      <c r="BW431" s="537">
        <v>53.0</v>
      </c>
      <c r="BX431" s="537">
        <v>35.32</v>
      </c>
      <c r="BY431" s="537">
        <v>52.07</v>
      </c>
      <c r="BZ431" s="537">
        <v>38.49</v>
      </c>
      <c r="CA431" s="537">
        <v>54.6</v>
      </c>
      <c r="CB431" s="537">
        <v>43.14</v>
      </c>
      <c r="CC431" s="537">
        <v>-87.46</v>
      </c>
      <c r="CD431" s="537">
        <v>47.24</v>
      </c>
      <c r="CE431" s="537">
        <v>-66.14</v>
      </c>
      <c r="CF431" s="537">
        <v>54.48</v>
      </c>
      <c r="CG431" s="537">
        <v>59.5</v>
      </c>
      <c r="CH431" s="537">
        <v>-90.39</v>
      </c>
      <c r="CI431" s="537">
        <v>50.36</v>
      </c>
      <c r="CJ431" s="537">
        <v>32.76</v>
      </c>
      <c r="CK431" s="537">
        <v>-310.39</v>
      </c>
      <c r="CL431" s="537">
        <v>-88.51</v>
      </c>
      <c r="CM431" s="537"/>
      <c r="CN431" s="537">
        <v>38.63</v>
      </c>
      <c r="CO431" s="537">
        <v>57.88</v>
      </c>
      <c r="CP431" s="537">
        <v>69.5</v>
      </c>
      <c r="CQ431" s="537">
        <v>64.37</v>
      </c>
      <c r="CR431" s="520">
        <v>51.91</v>
      </c>
      <c r="CS431" s="537">
        <v>69.71</v>
      </c>
      <c r="CT431" s="537">
        <v>39.83</v>
      </c>
      <c r="CU431" s="537">
        <v>68.91</v>
      </c>
      <c r="CV431" s="536">
        <v>50.48</v>
      </c>
      <c r="CW431" s="593">
        <v>63.22</v>
      </c>
      <c r="CX431" s="593">
        <v>64.28</v>
      </c>
      <c r="CY431" s="593">
        <v>68.03</v>
      </c>
      <c r="CZ431" s="595">
        <v>59.69</v>
      </c>
      <c r="DA431" s="593">
        <v>76.37</v>
      </c>
      <c r="DB431" s="537">
        <v>43.25</v>
      </c>
      <c r="DC431" s="537">
        <v>51.08</v>
      </c>
      <c r="DD431" s="513">
        <v>54.26</v>
      </c>
      <c r="DE431" s="537">
        <v>68.52</v>
      </c>
      <c r="DF431" s="537">
        <v>58.43</v>
      </c>
      <c r="DG431" s="537">
        <v>69.09</v>
      </c>
      <c r="DH431" s="537">
        <v>48.88</v>
      </c>
      <c r="DI431" s="537">
        <v>77.26</v>
      </c>
      <c r="DJ431" s="537">
        <v>115.62</v>
      </c>
      <c r="DK431" s="537">
        <v>87.72</v>
      </c>
      <c r="DL431" s="537">
        <v>48.96</v>
      </c>
      <c r="DM431" s="537">
        <v>64.44</v>
      </c>
      <c r="DN431" s="537">
        <v>-100.52</v>
      </c>
      <c r="DO431" s="537">
        <v>100.93</v>
      </c>
      <c r="DP431" s="537"/>
      <c r="DQ431" s="537"/>
      <c r="DX431" s="530"/>
    </row>
    <row r="432" hidden="1">
      <c r="A432" s="531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  <c r="AT432" s="118"/>
      <c r="AU432" s="118"/>
      <c r="AV432" s="118"/>
      <c r="AW432" s="118"/>
      <c r="AX432" s="118"/>
      <c r="AY432" s="118"/>
      <c r="AZ432" s="118"/>
      <c r="BA432" s="118"/>
      <c r="BB432" s="118"/>
      <c r="BC432" s="118"/>
      <c r="BD432" s="118"/>
      <c r="BE432" s="118"/>
      <c r="BF432" s="118"/>
      <c r="BG432" s="118"/>
      <c r="BH432" s="118"/>
      <c r="BI432" s="118"/>
      <c r="BJ432" s="118"/>
      <c r="BK432" s="118"/>
      <c r="BL432" s="118"/>
      <c r="BM432" s="118"/>
      <c r="BN432" s="118"/>
      <c r="BO432" s="118"/>
      <c r="BP432" s="118"/>
      <c r="BQ432" s="118"/>
      <c r="BR432" s="118"/>
      <c r="BS432" s="118"/>
      <c r="BT432" s="118"/>
      <c r="BU432" s="118"/>
      <c r="BV432" s="118"/>
      <c r="BW432" s="118"/>
      <c r="BX432" s="118"/>
      <c r="BY432" s="118"/>
      <c r="BZ432" s="118"/>
      <c r="CA432" s="118"/>
      <c r="CB432" s="118"/>
      <c r="CC432" s="118"/>
      <c r="CD432" s="118"/>
      <c r="CE432" s="118"/>
      <c r="CF432" s="118"/>
      <c r="CG432" s="118"/>
      <c r="CH432" s="118"/>
      <c r="CI432" s="118"/>
      <c r="CJ432" s="118"/>
      <c r="CK432" s="118"/>
      <c r="CL432" s="118"/>
      <c r="CM432" s="118"/>
      <c r="CN432" s="118"/>
      <c r="CO432" s="546"/>
      <c r="CP432" s="118"/>
      <c r="CQ432" s="118"/>
      <c r="CR432" s="118"/>
      <c r="CS432" s="546"/>
      <c r="CT432" s="118"/>
      <c r="CU432" s="118"/>
      <c r="CV432" s="577"/>
      <c r="CW432" s="577"/>
      <c r="CX432" s="577"/>
      <c r="CY432" s="577"/>
      <c r="CZ432" s="577"/>
      <c r="DA432" s="577"/>
      <c r="DB432" s="118"/>
      <c r="DC432" s="118"/>
      <c r="DD432" s="118"/>
      <c r="DE432" s="118"/>
      <c r="DF432" s="118"/>
      <c r="DG432" s="118"/>
      <c r="DH432" s="118"/>
      <c r="DI432" s="118"/>
      <c r="DJ432" s="118"/>
      <c r="DK432" s="118"/>
      <c r="DL432" s="118"/>
      <c r="DM432" s="118"/>
      <c r="DN432" s="546" t="s">
        <v>424</v>
      </c>
      <c r="DO432" s="118"/>
      <c r="DP432" s="118"/>
      <c r="DQ432" s="118"/>
      <c r="DX432" s="510"/>
    </row>
    <row r="433" hidden="1">
      <c r="A433" s="531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  <c r="AT433" s="118"/>
      <c r="AU433" s="118"/>
      <c r="AV433" s="118"/>
      <c r="AW433" s="118"/>
      <c r="AX433" s="118"/>
      <c r="AY433" s="118"/>
      <c r="AZ433" s="118"/>
      <c r="BA433" s="118"/>
      <c r="BB433" s="118"/>
      <c r="BC433" s="118"/>
      <c r="BD433" s="118"/>
      <c r="BE433" s="118"/>
      <c r="BF433" s="118"/>
      <c r="BG433" s="118"/>
      <c r="BH433" s="118"/>
      <c r="BI433" s="118"/>
      <c r="BJ433" s="118"/>
      <c r="BK433" s="118"/>
      <c r="BL433" s="118"/>
      <c r="BM433" s="118"/>
      <c r="BN433" s="118"/>
      <c r="BO433" s="118"/>
      <c r="BP433" s="118"/>
      <c r="BQ433" s="118"/>
      <c r="BR433" s="118"/>
      <c r="BS433" s="118"/>
      <c r="BT433" s="118"/>
      <c r="BU433" s="118"/>
      <c r="BV433" s="118"/>
      <c r="BW433" s="118"/>
      <c r="BX433" s="118"/>
      <c r="BY433" s="118"/>
      <c r="BZ433" s="118"/>
      <c r="CA433" s="118"/>
      <c r="CB433" s="118"/>
      <c r="CC433" s="118"/>
      <c r="CD433" s="118"/>
      <c r="CE433" s="118"/>
      <c r="CF433" s="118"/>
      <c r="CG433" s="118"/>
      <c r="CH433" s="118"/>
      <c r="CI433" s="118"/>
      <c r="CJ433" s="118"/>
      <c r="CK433" s="118"/>
      <c r="CL433" s="118"/>
      <c r="CM433" s="118"/>
      <c r="CN433" s="118"/>
      <c r="CO433" s="118"/>
      <c r="CP433" s="118"/>
      <c r="CQ433" s="118"/>
      <c r="CR433" s="118"/>
      <c r="CS433" s="118"/>
      <c r="CT433" s="118"/>
      <c r="CU433" s="118"/>
      <c r="CV433" s="577"/>
      <c r="CW433" s="577"/>
      <c r="CX433" s="577"/>
      <c r="CY433" s="577"/>
      <c r="CZ433" s="577"/>
      <c r="DA433" s="577"/>
      <c r="DB433" s="118"/>
      <c r="DC433" s="118"/>
      <c r="DD433" s="118"/>
      <c r="DE433" s="118"/>
      <c r="DF433" s="118"/>
      <c r="DG433" s="118"/>
      <c r="DH433" s="118"/>
      <c r="DI433" s="118"/>
      <c r="DJ433" s="118"/>
      <c r="DK433" s="118"/>
      <c r="DL433" s="118"/>
      <c r="DM433" s="118"/>
      <c r="DN433" s="118"/>
      <c r="DO433" s="118"/>
      <c r="DP433" s="118"/>
      <c r="DQ433" s="118"/>
      <c r="DX433" s="510"/>
    </row>
    <row r="434" hidden="1">
      <c r="A434" s="500" t="s">
        <v>49</v>
      </c>
      <c r="CN434" s="546" t="s">
        <v>417</v>
      </c>
      <c r="CO434" s="546" t="s">
        <v>417</v>
      </c>
      <c r="CP434" s="546" t="s">
        <v>380</v>
      </c>
      <c r="CQ434" s="546" t="s">
        <v>380</v>
      </c>
      <c r="CR434" s="546" t="s">
        <v>216</v>
      </c>
      <c r="CS434" s="546" t="s">
        <v>417</v>
      </c>
      <c r="CT434" s="546" t="s">
        <v>417</v>
      </c>
      <c r="CU434" s="546" t="s">
        <v>425</v>
      </c>
      <c r="CV434" s="546" t="s">
        <v>380</v>
      </c>
      <c r="CW434" s="546" t="s">
        <v>380</v>
      </c>
      <c r="CX434" s="546" t="s">
        <v>417</v>
      </c>
      <c r="CY434" s="546" t="s">
        <v>417</v>
      </c>
      <c r="CZ434" s="546" t="s">
        <v>380</v>
      </c>
      <c r="DA434" s="546" t="s">
        <v>380</v>
      </c>
      <c r="DB434" s="546" t="s">
        <v>162</v>
      </c>
      <c r="DC434" s="546" t="s">
        <v>417</v>
      </c>
      <c r="DD434" s="546" t="s">
        <v>380</v>
      </c>
      <c r="DE434" s="546" t="s">
        <v>380</v>
      </c>
      <c r="DF434" s="546" t="s">
        <v>426</v>
      </c>
      <c r="DG434" s="546" t="s">
        <v>426</v>
      </c>
      <c r="DH434" s="546" t="s">
        <v>380</v>
      </c>
      <c r="DI434" s="546" t="s">
        <v>380</v>
      </c>
      <c r="DJ434" s="546" t="s">
        <v>426</v>
      </c>
      <c r="DK434" s="546" t="s">
        <v>426</v>
      </c>
      <c r="DL434" s="546" t="s">
        <v>380</v>
      </c>
      <c r="DM434" s="546" t="s">
        <v>380</v>
      </c>
      <c r="DN434" s="546" t="s">
        <v>426</v>
      </c>
      <c r="DO434" s="546" t="s">
        <v>426</v>
      </c>
      <c r="DP434" s="546"/>
      <c r="DQ434" s="546"/>
      <c r="DT434" s="520"/>
      <c r="DU434" s="520"/>
      <c r="DW434" s="520"/>
      <c r="DX434" s="520"/>
    </row>
    <row r="435" hidden="1">
      <c r="A435" s="502" t="s">
        <v>288</v>
      </c>
      <c r="CN435" s="602">
        <v>46054.0</v>
      </c>
      <c r="CO435" s="602">
        <v>46055.0</v>
      </c>
      <c r="CP435" s="602">
        <v>46056.0</v>
      </c>
      <c r="CQ435" s="602">
        <v>46057.0</v>
      </c>
      <c r="CR435" s="602">
        <v>46058.0</v>
      </c>
      <c r="CS435" s="602">
        <v>46059.0</v>
      </c>
      <c r="CT435" s="602">
        <v>46060.0</v>
      </c>
      <c r="CU435" s="602">
        <v>46061.0</v>
      </c>
      <c r="CV435" s="602">
        <v>46062.0</v>
      </c>
      <c r="CW435" s="602">
        <v>46063.0</v>
      </c>
      <c r="CX435" s="602">
        <v>46064.0</v>
      </c>
      <c r="CY435" s="602">
        <v>46065.0</v>
      </c>
      <c r="CZ435" s="602">
        <v>46066.0</v>
      </c>
      <c r="DA435" s="602">
        <v>46067.0</v>
      </c>
      <c r="DB435" s="602">
        <v>46068.0</v>
      </c>
      <c r="DC435" s="602">
        <v>46069.0</v>
      </c>
      <c r="DD435" s="602">
        <v>46070.0</v>
      </c>
      <c r="DE435" s="602">
        <v>46071.0</v>
      </c>
      <c r="DF435" s="602">
        <v>46072.0</v>
      </c>
      <c r="DG435" s="602">
        <v>46073.0</v>
      </c>
      <c r="DH435" s="602">
        <v>46074.0</v>
      </c>
      <c r="DI435" s="602">
        <v>46075.0</v>
      </c>
      <c r="DJ435" s="602">
        <v>46076.0</v>
      </c>
      <c r="DK435" s="602">
        <v>46077.0</v>
      </c>
      <c r="DL435" s="602">
        <v>46078.0</v>
      </c>
      <c r="DM435" s="602">
        <v>46079.0</v>
      </c>
      <c r="DN435" s="602">
        <v>46080.0</v>
      </c>
      <c r="DO435" s="602">
        <v>46081.0</v>
      </c>
      <c r="DP435" s="541"/>
      <c r="DQ435" s="541"/>
      <c r="DT435" s="520" t="s">
        <v>384</v>
      </c>
      <c r="DU435" s="520" t="s">
        <v>332</v>
      </c>
      <c r="DW435" s="520" t="s">
        <v>384</v>
      </c>
      <c r="DX435" s="520" t="s">
        <v>332</v>
      </c>
    </row>
    <row r="436" hidden="1">
      <c r="A436" s="502" t="s">
        <v>289</v>
      </c>
      <c r="CN436" s="561">
        <v>123.0</v>
      </c>
      <c r="CO436" s="561">
        <v>126.0</v>
      </c>
      <c r="CP436" s="561">
        <v>148.0</v>
      </c>
      <c r="CQ436" s="561">
        <v>133.0</v>
      </c>
      <c r="CR436" s="561">
        <v>180.0</v>
      </c>
      <c r="CS436" s="561">
        <v>201.0</v>
      </c>
      <c r="CT436" s="561">
        <v>168.0</v>
      </c>
      <c r="CU436" s="561">
        <v>174.0</v>
      </c>
      <c r="CV436" s="561">
        <v>234.0</v>
      </c>
      <c r="CW436" s="561">
        <v>149.0</v>
      </c>
      <c r="CX436" s="561">
        <v>173.0</v>
      </c>
      <c r="CY436" s="561">
        <v>225.0</v>
      </c>
      <c r="CZ436" s="561">
        <v>195.0</v>
      </c>
      <c r="DA436" s="561">
        <v>201.0</v>
      </c>
      <c r="DB436" s="561">
        <v>164.0</v>
      </c>
      <c r="DC436" s="561">
        <v>256.0</v>
      </c>
      <c r="DD436" s="561">
        <v>158.0</v>
      </c>
      <c r="DE436" s="561">
        <v>197.0</v>
      </c>
      <c r="DF436" s="561">
        <v>203.0</v>
      </c>
      <c r="DG436" s="561">
        <v>198.0</v>
      </c>
      <c r="DH436" s="561">
        <v>202.0</v>
      </c>
      <c r="DI436" s="561">
        <v>229.0</v>
      </c>
      <c r="DJ436" s="561">
        <v>201.0</v>
      </c>
      <c r="DK436" s="105">
        <v>178.0</v>
      </c>
      <c r="DL436" s="561">
        <v>185.0</v>
      </c>
      <c r="DM436" s="561">
        <v>164.0</v>
      </c>
      <c r="DN436" s="561">
        <v>213.0</v>
      </c>
      <c r="DO436" s="561">
        <v>209.0</v>
      </c>
      <c r="DP436" s="561"/>
      <c r="DQ436" s="561"/>
      <c r="DS436" s="520" t="s">
        <v>376</v>
      </c>
      <c r="DT436" s="574">
        <f>CP438+CQ438+CV438+CW438+CZ438+DA438</f>
        <v>262.18</v>
      </c>
      <c r="DU436" s="520">
        <v>800.0</v>
      </c>
      <c r="DW436" s="574">
        <f>DD438+DE438+DH438+DI438+DL438+DM438</f>
        <v>350.09</v>
      </c>
      <c r="DX436" s="510">
        <v>800.0</v>
      </c>
      <c r="DZ436" s="574">
        <f t="shared" ref="DZ436:DZ437" si="44">SUM(CN436:DQ436)</f>
        <v>5187</v>
      </c>
      <c r="EA436" s="530">
        <f t="shared" ref="EA436:EA437" si="45">DZ436/28</f>
        <v>185.25</v>
      </c>
    </row>
    <row r="437" hidden="1">
      <c r="A437" s="521" t="s">
        <v>290</v>
      </c>
      <c r="CN437" s="561">
        <v>51.0</v>
      </c>
      <c r="CO437" s="561">
        <v>53.0</v>
      </c>
      <c r="CP437" s="561">
        <v>55.0</v>
      </c>
      <c r="CQ437" s="561">
        <v>60.0</v>
      </c>
      <c r="CR437" s="561">
        <v>59.0</v>
      </c>
      <c r="CS437" s="561">
        <v>84.0</v>
      </c>
      <c r="CT437" s="561">
        <v>55.0</v>
      </c>
      <c r="CU437" s="561">
        <v>66.0</v>
      </c>
      <c r="CV437" s="561">
        <v>76.0</v>
      </c>
      <c r="CW437" s="561">
        <v>65.0</v>
      </c>
      <c r="CX437" s="561">
        <v>67.0</v>
      </c>
      <c r="CY437" s="561">
        <v>73.0</v>
      </c>
      <c r="CZ437" s="561">
        <v>79.0</v>
      </c>
      <c r="DA437" s="561">
        <v>73.0</v>
      </c>
      <c r="DB437" s="561">
        <v>65.0</v>
      </c>
      <c r="DC437" s="561">
        <v>82.0</v>
      </c>
      <c r="DD437" s="561">
        <v>63.0</v>
      </c>
      <c r="DE437" s="561">
        <v>74.0</v>
      </c>
      <c r="DF437" s="561">
        <v>68.0</v>
      </c>
      <c r="DG437" s="561">
        <v>78.0</v>
      </c>
      <c r="DH437" s="561">
        <v>87.0</v>
      </c>
      <c r="DI437" s="561">
        <v>70.0</v>
      </c>
      <c r="DJ437" s="561">
        <v>83.0</v>
      </c>
      <c r="DK437" s="561">
        <v>65.0</v>
      </c>
      <c r="DL437" s="561">
        <v>73.0</v>
      </c>
      <c r="DM437" s="561">
        <v>70.0</v>
      </c>
      <c r="DN437" s="561">
        <v>70.0</v>
      </c>
      <c r="DO437" s="561">
        <v>74.0</v>
      </c>
      <c r="DP437" s="561"/>
      <c r="DQ437" s="561"/>
      <c r="DS437" s="520" t="s">
        <v>377</v>
      </c>
      <c r="DT437" s="574">
        <f>CR438+CU438</f>
        <v>107.05</v>
      </c>
      <c r="DU437" s="520">
        <v>200.0</v>
      </c>
      <c r="DX437" s="530"/>
      <c r="DZ437" s="574">
        <f t="shared" si="44"/>
        <v>1938</v>
      </c>
      <c r="EA437" s="530">
        <f t="shared" si="45"/>
        <v>69.21428571</v>
      </c>
    </row>
    <row r="438" hidden="1">
      <c r="A438" s="502" t="s">
        <v>291</v>
      </c>
      <c r="CN438" s="537">
        <v>-60.04</v>
      </c>
      <c r="CO438" s="537">
        <v>-99.1</v>
      </c>
      <c r="CP438" s="537">
        <v>41.88</v>
      </c>
      <c r="CQ438" s="537">
        <v>38.85</v>
      </c>
      <c r="CR438" s="537">
        <v>46.84</v>
      </c>
      <c r="CS438" s="537">
        <v>58.12</v>
      </c>
      <c r="CT438" s="537">
        <v>51.96</v>
      </c>
      <c r="CU438" s="537">
        <v>60.21</v>
      </c>
      <c r="CV438" s="512">
        <v>45.24</v>
      </c>
      <c r="CW438" s="537">
        <v>37.48</v>
      </c>
      <c r="CX438" s="537">
        <v>58.62</v>
      </c>
      <c r="CY438" s="537">
        <v>-153.3</v>
      </c>
      <c r="CZ438" s="537">
        <v>50.9</v>
      </c>
      <c r="DA438" s="513">
        <v>47.83</v>
      </c>
      <c r="DB438" s="537">
        <v>60.66</v>
      </c>
      <c r="DC438" s="537">
        <v>45.99</v>
      </c>
      <c r="DD438" s="537">
        <v>49.75</v>
      </c>
      <c r="DE438" s="537">
        <v>67.98</v>
      </c>
      <c r="DF438" s="537">
        <v>68.92</v>
      </c>
      <c r="DG438" s="537">
        <v>43.83</v>
      </c>
      <c r="DH438" s="537">
        <v>43.2</v>
      </c>
      <c r="DI438" s="537">
        <v>59.93</v>
      </c>
      <c r="DJ438" s="537">
        <v>79.77</v>
      </c>
      <c r="DK438" s="537">
        <v>58.45</v>
      </c>
      <c r="DL438" s="537">
        <v>76.85</v>
      </c>
      <c r="DM438" s="537">
        <v>52.38</v>
      </c>
      <c r="DN438" s="537">
        <v>43.6</v>
      </c>
      <c r="DO438" s="537">
        <v>58.1</v>
      </c>
      <c r="DP438" s="537"/>
      <c r="DQ438" s="537"/>
      <c r="DS438" s="520" t="s">
        <v>314</v>
      </c>
      <c r="DT438" s="574">
        <f>DB438</f>
        <v>60.66</v>
      </c>
      <c r="DU438" s="520">
        <v>100.0</v>
      </c>
      <c r="DX438" s="530"/>
    </row>
    <row r="439" hidden="1">
      <c r="A439" s="531"/>
      <c r="DS439" s="520" t="s">
        <v>402</v>
      </c>
      <c r="DW439" s="574">
        <f>DF438+DG438+DJ438+DK438+DN438+DO438</f>
        <v>352.67</v>
      </c>
      <c r="DX439" s="510">
        <v>1000.0</v>
      </c>
    </row>
    <row r="440" hidden="1">
      <c r="A440" s="531"/>
      <c r="DX440" s="530"/>
    </row>
    <row r="441" hidden="1">
      <c r="A441" s="531"/>
      <c r="DX441" s="530"/>
    </row>
    <row r="442">
      <c r="A442" s="531"/>
      <c r="DX442" s="530"/>
    </row>
    <row r="443">
      <c r="A443" s="551" t="s">
        <v>427</v>
      </c>
      <c r="DX443" s="530"/>
    </row>
    <row r="444">
      <c r="A444" s="500" t="s">
        <v>2</v>
      </c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  <c r="AT444" s="118"/>
      <c r="AU444" s="118"/>
      <c r="AV444" s="118"/>
      <c r="AW444" s="118"/>
      <c r="AX444" s="118"/>
      <c r="AY444" s="118"/>
      <c r="AZ444" s="118"/>
      <c r="BA444" s="118"/>
      <c r="BB444" s="118"/>
      <c r="BC444" s="118"/>
      <c r="BD444" s="118"/>
      <c r="BE444" s="118"/>
      <c r="BF444" s="118"/>
      <c r="BG444" s="118"/>
      <c r="BH444" s="118"/>
      <c r="BI444" s="118"/>
      <c r="BJ444" s="118"/>
      <c r="BK444" s="118"/>
      <c r="BL444" s="118"/>
      <c r="BM444" s="118"/>
      <c r="BN444" s="118"/>
      <c r="BO444" s="118"/>
      <c r="BP444" s="118"/>
      <c r="BQ444" s="118"/>
      <c r="BR444" s="118"/>
      <c r="BS444" s="118"/>
      <c r="BT444" s="118"/>
      <c r="BU444" s="118"/>
      <c r="BV444" s="118"/>
      <c r="BW444" s="118"/>
      <c r="BX444" s="118"/>
      <c r="BY444" s="118"/>
      <c r="BZ444" s="118"/>
      <c r="CA444" s="118"/>
      <c r="CB444" s="118"/>
      <c r="CC444" s="118"/>
      <c r="CD444" s="118"/>
      <c r="CE444" s="118"/>
      <c r="CF444" s="118"/>
      <c r="CG444" s="118"/>
      <c r="CH444" s="118"/>
      <c r="CI444" s="118"/>
      <c r="CJ444" s="118"/>
      <c r="CK444" s="118"/>
      <c r="CL444" s="118"/>
      <c r="CM444" s="118"/>
      <c r="CN444" s="546" t="s">
        <v>360</v>
      </c>
      <c r="CO444" s="546" t="s">
        <v>351</v>
      </c>
      <c r="CP444" s="546" t="s">
        <v>351</v>
      </c>
      <c r="CQ444" s="546" t="s">
        <v>318</v>
      </c>
      <c r="CR444" s="546" t="s">
        <v>318</v>
      </c>
      <c r="CS444" s="546" t="s">
        <v>351</v>
      </c>
      <c r="CT444" s="546" t="s">
        <v>318</v>
      </c>
      <c r="CU444" s="546" t="s">
        <v>318</v>
      </c>
      <c r="CV444" s="546" t="s">
        <v>318</v>
      </c>
      <c r="CW444" s="546" t="s">
        <v>351</v>
      </c>
      <c r="CX444" s="546" t="s">
        <v>351</v>
      </c>
      <c r="CY444" s="501" t="s">
        <v>318</v>
      </c>
      <c r="CZ444" s="501" t="s">
        <v>318</v>
      </c>
      <c r="DA444" s="546" t="s">
        <v>351</v>
      </c>
      <c r="DB444" s="546" t="s">
        <v>360</v>
      </c>
      <c r="DC444" s="501" t="s">
        <v>318</v>
      </c>
      <c r="DD444" s="501" t="s">
        <v>318</v>
      </c>
      <c r="DE444" s="546" t="s">
        <v>351</v>
      </c>
      <c r="DF444" s="546" t="s">
        <v>351</v>
      </c>
      <c r="DG444" s="546" t="s">
        <v>318</v>
      </c>
      <c r="DH444" s="546" t="s">
        <v>360</v>
      </c>
      <c r="DI444" s="546" t="s">
        <v>318</v>
      </c>
      <c r="DJ444" s="546" t="s">
        <v>351</v>
      </c>
      <c r="DK444" s="546" t="s">
        <v>318</v>
      </c>
      <c r="DL444" s="546" t="s">
        <v>318</v>
      </c>
      <c r="DM444" s="546" t="s">
        <v>351</v>
      </c>
      <c r="DN444" s="546" t="s">
        <v>351</v>
      </c>
      <c r="DO444" s="546"/>
      <c r="DP444" s="546" t="s">
        <v>360</v>
      </c>
      <c r="DQ444" s="546" t="s">
        <v>351</v>
      </c>
      <c r="DR444" s="105" t="s">
        <v>351</v>
      </c>
      <c r="DT444" s="520" t="s">
        <v>384</v>
      </c>
      <c r="DU444" s="520" t="s">
        <v>332</v>
      </c>
      <c r="DW444" s="520" t="s">
        <v>384</v>
      </c>
      <c r="DX444" s="520" t="s">
        <v>332</v>
      </c>
    </row>
    <row r="445">
      <c r="A445" s="502" t="s">
        <v>288</v>
      </c>
      <c r="B445" s="525"/>
      <c r="C445" s="525"/>
      <c r="D445" s="525"/>
      <c r="E445" s="525"/>
      <c r="F445" s="525"/>
      <c r="G445" s="525"/>
      <c r="H445" s="525"/>
      <c r="I445" s="525"/>
      <c r="J445" s="525"/>
      <c r="K445" s="525"/>
      <c r="L445" s="525"/>
      <c r="M445" s="525"/>
      <c r="N445" s="525"/>
      <c r="O445" s="525"/>
      <c r="P445" s="525"/>
      <c r="Q445" s="525"/>
      <c r="R445" s="525"/>
      <c r="S445" s="525"/>
      <c r="T445" s="525"/>
      <c r="U445" s="525"/>
      <c r="V445" s="525"/>
      <c r="W445" s="525"/>
      <c r="X445" s="525"/>
      <c r="Y445" s="525"/>
      <c r="Z445" s="525"/>
      <c r="AA445" s="525"/>
      <c r="AB445" s="525"/>
      <c r="AC445" s="525"/>
      <c r="AD445" s="525"/>
      <c r="AE445" s="525"/>
      <c r="AF445" s="525"/>
      <c r="AG445" s="525"/>
      <c r="AH445" s="525"/>
      <c r="AI445" s="525"/>
      <c r="AJ445" s="525"/>
      <c r="AK445" s="525"/>
      <c r="AL445" s="525"/>
      <c r="AM445" s="525"/>
      <c r="AN445" s="525"/>
      <c r="AO445" s="525"/>
      <c r="AP445" s="525"/>
      <c r="AQ445" s="525"/>
      <c r="AR445" s="525"/>
      <c r="AS445" s="525"/>
      <c r="AT445" s="525"/>
      <c r="AU445" s="525"/>
      <c r="AV445" s="525"/>
      <c r="AW445" s="525"/>
      <c r="AX445" s="525"/>
      <c r="AY445" s="525"/>
      <c r="AZ445" s="525"/>
      <c r="BA445" s="525"/>
      <c r="BB445" s="525"/>
      <c r="BC445" s="525"/>
      <c r="BD445" s="525"/>
      <c r="BE445" s="525"/>
      <c r="BF445" s="525"/>
      <c r="BG445" s="525"/>
      <c r="BH445" s="525"/>
      <c r="BI445" s="525"/>
      <c r="BJ445" s="525"/>
      <c r="BK445" s="541">
        <v>45689.0</v>
      </c>
      <c r="BL445" s="541">
        <v>45690.0</v>
      </c>
      <c r="BM445" s="541">
        <v>45691.0</v>
      </c>
      <c r="BN445" s="541">
        <v>45692.0</v>
      </c>
      <c r="BO445" s="541">
        <v>45693.0</v>
      </c>
      <c r="BP445" s="541">
        <v>45694.0</v>
      </c>
      <c r="BQ445" s="541">
        <v>45695.0</v>
      </c>
      <c r="BR445" s="541">
        <v>45696.0</v>
      </c>
      <c r="BS445" s="541">
        <v>45697.0</v>
      </c>
      <c r="BT445" s="541">
        <v>45698.0</v>
      </c>
      <c r="BU445" s="541">
        <v>45699.0</v>
      </c>
      <c r="BV445" s="541">
        <v>45700.0</v>
      </c>
      <c r="BW445" s="541">
        <v>45701.0</v>
      </c>
      <c r="BX445" s="541">
        <v>45702.0</v>
      </c>
      <c r="BY445" s="541">
        <v>45703.0</v>
      </c>
      <c r="BZ445" s="541">
        <v>45704.0</v>
      </c>
      <c r="CA445" s="541">
        <v>45705.0</v>
      </c>
      <c r="CB445" s="541">
        <v>45706.0</v>
      </c>
      <c r="CC445" s="541">
        <v>45707.0</v>
      </c>
      <c r="CD445" s="541">
        <v>45708.0</v>
      </c>
      <c r="CE445" s="541">
        <v>45709.0</v>
      </c>
      <c r="CF445" s="541">
        <v>45710.0</v>
      </c>
      <c r="CG445" s="541">
        <v>45711.0</v>
      </c>
      <c r="CH445" s="541">
        <v>45712.0</v>
      </c>
      <c r="CI445" s="541">
        <v>45713.0</v>
      </c>
      <c r="CJ445" s="541">
        <v>45714.0</v>
      </c>
      <c r="CK445" s="541">
        <v>45715.0</v>
      </c>
      <c r="CL445" s="541">
        <v>45716.0</v>
      </c>
      <c r="CM445" s="541"/>
      <c r="CN445" s="602">
        <v>46082.0</v>
      </c>
      <c r="CO445" s="602">
        <v>46083.0</v>
      </c>
      <c r="CP445" s="602">
        <v>46084.0</v>
      </c>
      <c r="CQ445" s="602">
        <v>46085.0</v>
      </c>
      <c r="CR445" s="602">
        <v>46086.0</v>
      </c>
      <c r="CS445" s="602">
        <v>46087.0</v>
      </c>
      <c r="CT445" s="602">
        <v>46088.0</v>
      </c>
      <c r="CU445" s="602">
        <v>46089.0</v>
      </c>
      <c r="CV445" s="602">
        <v>46090.0</v>
      </c>
      <c r="CW445" s="602">
        <v>46091.0</v>
      </c>
      <c r="CX445" s="602">
        <v>46092.0</v>
      </c>
      <c r="CY445" s="602">
        <v>46093.0</v>
      </c>
      <c r="CZ445" s="602">
        <v>46094.0</v>
      </c>
      <c r="DA445" s="602">
        <v>46095.0</v>
      </c>
      <c r="DB445" s="602">
        <v>46096.0</v>
      </c>
      <c r="DC445" s="602">
        <v>46097.0</v>
      </c>
      <c r="DD445" s="602">
        <v>46098.0</v>
      </c>
      <c r="DE445" s="602">
        <v>46099.0</v>
      </c>
      <c r="DF445" s="602">
        <v>46100.0</v>
      </c>
      <c r="DG445" s="602">
        <v>46101.0</v>
      </c>
      <c r="DH445" s="602">
        <v>46102.0</v>
      </c>
      <c r="DI445" s="602">
        <v>46103.0</v>
      </c>
      <c r="DJ445" s="602">
        <v>46104.0</v>
      </c>
      <c r="DK445" s="602">
        <v>46105.0</v>
      </c>
      <c r="DL445" s="602">
        <v>46106.0</v>
      </c>
      <c r="DM445" s="602">
        <v>46107.0</v>
      </c>
      <c r="DN445" s="602">
        <v>46108.0</v>
      </c>
      <c r="DO445" s="602">
        <v>46109.0</v>
      </c>
      <c r="DP445" s="602">
        <v>46110.0</v>
      </c>
      <c r="DQ445" s="602">
        <v>46111.0</v>
      </c>
      <c r="DR445" s="602">
        <v>46112.0</v>
      </c>
      <c r="DS445" s="520" t="s">
        <v>308</v>
      </c>
      <c r="DT445" s="574">
        <f>CO448+CS448+CW448+CX448+DA448</f>
        <v>253.01</v>
      </c>
      <c r="DU445" s="520">
        <v>700.0</v>
      </c>
      <c r="DX445" s="510"/>
    </row>
    <row r="446">
      <c r="A446" s="502" t="s">
        <v>289</v>
      </c>
      <c r="B446" s="525"/>
      <c r="C446" s="525"/>
      <c r="D446" s="525"/>
      <c r="E446" s="525"/>
      <c r="F446" s="525"/>
      <c r="G446" s="525"/>
      <c r="H446" s="525"/>
      <c r="I446" s="525"/>
      <c r="J446" s="525"/>
      <c r="K446" s="525"/>
      <c r="L446" s="525"/>
      <c r="M446" s="525"/>
      <c r="N446" s="525"/>
      <c r="O446" s="525"/>
      <c r="P446" s="525"/>
      <c r="Q446" s="525"/>
      <c r="R446" s="525"/>
      <c r="S446" s="525"/>
      <c r="T446" s="525"/>
      <c r="U446" s="525"/>
      <c r="V446" s="525"/>
      <c r="W446" s="525"/>
      <c r="X446" s="525"/>
      <c r="Y446" s="525"/>
      <c r="Z446" s="525"/>
      <c r="AA446" s="525"/>
      <c r="AB446" s="525"/>
      <c r="AC446" s="525"/>
      <c r="AD446" s="525"/>
      <c r="AE446" s="525"/>
      <c r="AF446" s="525"/>
      <c r="AG446" s="525"/>
      <c r="AH446" s="525"/>
      <c r="AI446" s="525"/>
      <c r="AJ446" s="525"/>
      <c r="AK446" s="525"/>
      <c r="AL446" s="525"/>
      <c r="AM446" s="525"/>
      <c r="AN446" s="525"/>
      <c r="AO446" s="525"/>
      <c r="AP446" s="525"/>
      <c r="AQ446" s="525"/>
      <c r="AR446" s="525"/>
      <c r="AS446" s="525"/>
      <c r="AT446" s="525"/>
      <c r="AU446" s="525"/>
      <c r="AV446" s="525"/>
      <c r="AW446" s="525"/>
      <c r="AX446" s="525"/>
      <c r="AY446" s="525"/>
      <c r="AZ446" s="525"/>
      <c r="BA446" s="525"/>
      <c r="BB446" s="525"/>
      <c r="BC446" s="525"/>
      <c r="BD446" s="525"/>
      <c r="BE446" s="525"/>
      <c r="BF446" s="525"/>
      <c r="BG446" s="525"/>
      <c r="BH446" s="525"/>
      <c r="BI446" s="525"/>
      <c r="BJ446" s="525"/>
      <c r="BK446" s="512">
        <v>67.0</v>
      </c>
      <c r="BL446" s="512">
        <v>133.0</v>
      </c>
      <c r="BM446" s="525"/>
      <c r="BN446" s="512">
        <v>100.0</v>
      </c>
      <c r="BO446" s="512">
        <v>130.0</v>
      </c>
      <c r="BP446" s="512">
        <v>162.0</v>
      </c>
      <c r="BQ446" s="512">
        <v>219.0</v>
      </c>
      <c r="BR446" s="512">
        <v>120.0</v>
      </c>
      <c r="BS446" s="512">
        <v>198.0</v>
      </c>
      <c r="BT446" s="512">
        <v>128.0</v>
      </c>
      <c r="BU446" s="512">
        <v>214.0</v>
      </c>
      <c r="BV446" s="512">
        <v>159.0</v>
      </c>
      <c r="BW446" s="512">
        <v>159.0</v>
      </c>
      <c r="BX446" s="512">
        <v>148.0</v>
      </c>
      <c r="BY446" s="512">
        <v>141.0</v>
      </c>
      <c r="BZ446" s="512">
        <v>125.0</v>
      </c>
      <c r="CA446" s="512">
        <v>160.0</v>
      </c>
      <c r="CB446" s="512">
        <v>188.0</v>
      </c>
      <c r="CC446" s="512">
        <v>189.0</v>
      </c>
      <c r="CD446" s="512">
        <v>177.0</v>
      </c>
      <c r="CE446" s="512">
        <v>175.0</v>
      </c>
      <c r="CF446" s="512">
        <v>172.0</v>
      </c>
      <c r="CG446" s="512">
        <v>204.0</v>
      </c>
      <c r="CH446" s="512">
        <v>198.0</v>
      </c>
      <c r="CI446" s="512">
        <v>163.0</v>
      </c>
      <c r="CJ446" s="512">
        <v>177.0</v>
      </c>
      <c r="CK446" s="512">
        <v>156.0</v>
      </c>
      <c r="CL446" s="512">
        <v>177.0</v>
      </c>
      <c r="CM446" s="512"/>
      <c r="CN446" s="561">
        <v>262.0</v>
      </c>
      <c r="CO446" s="561">
        <v>197.0</v>
      </c>
      <c r="CP446" s="561">
        <v>168.0</v>
      </c>
      <c r="CQ446" s="561">
        <v>273.0</v>
      </c>
      <c r="CR446" s="561">
        <v>263.0</v>
      </c>
      <c r="CS446" s="561">
        <v>230.0</v>
      </c>
      <c r="CT446" s="561">
        <v>229.0</v>
      </c>
      <c r="CU446" s="561">
        <v>157.0</v>
      </c>
      <c r="CV446" s="591">
        <v>198.0</v>
      </c>
      <c r="CW446" s="591">
        <v>248.0</v>
      </c>
      <c r="CX446" s="591">
        <v>162.0</v>
      </c>
      <c r="CY446" s="591">
        <v>154.0</v>
      </c>
      <c r="CZ446" s="591">
        <v>222.0</v>
      </c>
      <c r="DA446" s="591">
        <v>161.0</v>
      </c>
      <c r="DB446" s="561">
        <v>198.0</v>
      </c>
      <c r="DC446" s="561">
        <v>205.0</v>
      </c>
      <c r="DD446" s="561">
        <v>150.0</v>
      </c>
      <c r="DE446" s="561">
        <v>181.0</v>
      </c>
      <c r="DF446" s="561">
        <v>221.0</v>
      </c>
      <c r="DG446" s="561">
        <v>236.0</v>
      </c>
      <c r="DH446" s="561">
        <v>188.0</v>
      </c>
      <c r="DI446" s="561">
        <v>153.0</v>
      </c>
      <c r="DJ446" s="561">
        <v>218.0</v>
      </c>
      <c r="DK446" s="561">
        <v>144.0</v>
      </c>
      <c r="DL446" s="561">
        <v>219.0</v>
      </c>
      <c r="DM446" s="561">
        <v>155.0</v>
      </c>
      <c r="DN446" s="561">
        <v>132.0</v>
      </c>
      <c r="DO446" s="561">
        <v>212.0</v>
      </c>
      <c r="DP446" s="561">
        <v>170.0</v>
      </c>
      <c r="DQ446" s="561">
        <v>165.0</v>
      </c>
      <c r="DR446" s="561">
        <v>130.0</v>
      </c>
      <c r="DS446" s="520" t="s">
        <v>375</v>
      </c>
      <c r="DT446" s="574">
        <f>DB448+CN448</f>
        <v>89.12</v>
      </c>
      <c r="DU446" s="520">
        <v>300.0</v>
      </c>
      <c r="DX446" s="510"/>
      <c r="DZ446" s="574">
        <f t="shared" ref="DZ446:DZ447" si="46">SUM(CN446:DR446)</f>
        <v>6001</v>
      </c>
      <c r="EA446" s="530">
        <f t="shared" ref="EA446:EA447" si="47">DZ446/31</f>
        <v>193.5806452</v>
      </c>
    </row>
    <row r="447">
      <c r="A447" s="521" t="s">
        <v>290</v>
      </c>
      <c r="B447" s="525"/>
      <c r="C447" s="525"/>
      <c r="D447" s="525"/>
      <c r="E447" s="525"/>
      <c r="F447" s="525"/>
      <c r="G447" s="525"/>
      <c r="H447" s="525"/>
      <c r="I447" s="525"/>
      <c r="J447" s="525"/>
      <c r="K447" s="525"/>
      <c r="L447" s="525"/>
      <c r="M447" s="525"/>
      <c r="N447" s="525"/>
      <c r="O447" s="525"/>
      <c r="P447" s="525"/>
      <c r="Q447" s="525"/>
      <c r="R447" s="525"/>
      <c r="S447" s="525"/>
      <c r="T447" s="525"/>
      <c r="U447" s="525"/>
      <c r="V447" s="525"/>
      <c r="W447" s="525"/>
      <c r="X447" s="525"/>
      <c r="Y447" s="525"/>
      <c r="Z447" s="525"/>
      <c r="AA447" s="525"/>
      <c r="AB447" s="525"/>
      <c r="AC447" s="525"/>
      <c r="AD447" s="525"/>
      <c r="AE447" s="525"/>
      <c r="AF447" s="525"/>
      <c r="AG447" s="525"/>
      <c r="AH447" s="525"/>
      <c r="AI447" s="525"/>
      <c r="AJ447" s="525"/>
      <c r="AK447" s="525"/>
      <c r="AL447" s="525"/>
      <c r="AM447" s="525"/>
      <c r="AN447" s="525"/>
      <c r="AO447" s="525"/>
      <c r="AP447" s="525"/>
      <c r="AQ447" s="525"/>
      <c r="AR447" s="525"/>
      <c r="AS447" s="525"/>
      <c r="AT447" s="525"/>
      <c r="AU447" s="525"/>
      <c r="AV447" s="525"/>
      <c r="AW447" s="525"/>
      <c r="AX447" s="525"/>
      <c r="AY447" s="525"/>
      <c r="AZ447" s="525"/>
      <c r="BA447" s="525"/>
      <c r="BB447" s="525"/>
      <c r="BC447" s="525"/>
      <c r="BD447" s="525"/>
      <c r="BE447" s="525"/>
      <c r="BF447" s="525"/>
      <c r="BG447" s="525"/>
      <c r="BH447" s="525"/>
      <c r="BI447" s="525"/>
      <c r="BJ447" s="525"/>
      <c r="BK447" s="512">
        <v>36.0</v>
      </c>
      <c r="BL447" s="512">
        <v>53.0</v>
      </c>
      <c r="BM447" s="525"/>
      <c r="BN447" s="512">
        <v>40.0</v>
      </c>
      <c r="BO447" s="512">
        <v>50.0</v>
      </c>
      <c r="BP447" s="512">
        <v>56.0</v>
      </c>
      <c r="BQ447" s="512">
        <v>70.0</v>
      </c>
      <c r="BR447" s="512">
        <v>51.0</v>
      </c>
      <c r="BS447" s="512">
        <v>63.0</v>
      </c>
      <c r="BT447" s="512">
        <v>62.0</v>
      </c>
      <c r="BU447" s="512">
        <v>68.0</v>
      </c>
      <c r="BV447" s="512">
        <v>65.0</v>
      </c>
      <c r="BW447" s="512">
        <v>64.0</v>
      </c>
      <c r="BX447" s="512">
        <v>64.0</v>
      </c>
      <c r="BY447" s="512">
        <v>67.0</v>
      </c>
      <c r="BZ447" s="512">
        <v>56.0</v>
      </c>
      <c r="CA447" s="512">
        <v>65.0</v>
      </c>
      <c r="CB447" s="512">
        <v>68.0</v>
      </c>
      <c r="CC447" s="512">
        <v>72.0</v>
      </c>
      <c r="CD447" s="512">
        <v>67.0</v>
      </c>
      <c r="CE447" s="512">
        <v>72.0</v>
      </c>
      <c r="CF447" s="512">
        <v>72.0</v>
      </c>
      <c r="CG447" s="512">
        <v>81.0</v>
      </c>
      <c r="CH447" s="512">
        <v>81.0</v>
      </c>
      <c r="CI447" s="512">
        <v>67.0</v>
      </c>
      <c r="CJ447" s="512">
        <v>64.0</v>
      </c>
      <c r="CK447" s="512">
        <v>66.0</v>
      </c>
      <c r="CL447" s="512">
        <v>58.0</v>
      </c>
      <c r="CM447" s="552">
        <f>SUM(BK447:CL447)/28</f>
        <v>60.64285714</v>
      </c>
      <c r="CN447" s="561">
        <v>79.0</v>
      </c>
      <c r="CO447" s="561">
        <v>68.0</v>
      </c>
      <c r="CP447" s="561">
        <v>66.0</v>
      </c>
      <c r="CQ447" s="561">
        <v>85.0</v>
      </c>
      <c r="CR447" s="561">
        <v>84.0</v>
      </c>
      <c r="CS447" s="561">
        <v>81.0</v>
      </c>
      <c r="CT447" s="561">
        <v>87.0</v>
      </c>
      <c r="CU447" s="561">
        <v>63.0</v>
      </c>
      <c r="CV447" s="591">
        <v>87.0</v>
      </c>
      <c r="CW447" s="591">
        <v>97.0</v>
      </c>
      <c r="CX447" s="591">
        <v>74.0</v>
      </c>
      <c r="CY447" s="591">
        <v>63.0</v>
      </c>
      <c r="CZ447" s="591">
        <v>67.0</v>
      </c>
      <c r="DA447" s="591">
        <v>70.0</v>
      </c>
      <c r="DB447" s="561">
        <v>78.0</v>
      </c>
      <c r="DC447" s="561">
        <v>83.0</v>
      </c>
      <c r="DD447" s="561">
        <v>71.0</v>
      </c>
      <c r="DE447" s="561">
        <v>80.0</v>
      </c>
      <c r="DF447" s="561">
        <v>90.0</v>
      </c>
      <c r="DG447" s="561">
        <v>78.0</v>
      </c>
      <c r="DH447" s="561">
        <v>71.0</v>
      </c>
      <c r="DI447" s="561">
        <v>65.0</v>
      </c>
      <c r="DJ447" s="561">
        <v>66.0</v>
      </c>
      <c r="DK447" s="561">
        <v>66.0</v>
      </c>
      <c r="DL447" s="561">
        <v>81.0</v>
      </c>
      <c r="DM447" s="561">
        <v>74.0</v>
      </c>
      <c r="DN447" s="561">
        <v>57.0</v>
      </c>
      <c r="DO447" s="561">
        <v>81.0</v>
      </c>
      <c r="DP447" s="561">
        <v>69.0</v>
      </c>
      <c r="DQ447" s="561">
        <v>66.0</v>
      </c>
      <c r="DR447" s="561">
        <v>62.0</v>
      </c>
      <c r="DS447" s="520" t="s">
        <v>339</v>
      </c>
      <c r="DT447" s="574">
        <f>CZ448+CY448+CV448+CU448+CT448+CR448+CQ448</f>
        <v>363.47</v>
      </c>
      <c r="DU447" s="520">
        <v>1100.0</v>
      </c>
      <c r="DX447" s="510"/>
      <c r="DZ447" s="574">
        <f t="shared" si="46"/>
        <v>2309</v>
      </c>
      <c r="EA447" s="530">
        <f t="shared" si="47"/>
        <v>74.48387097</v>
      </c>
    </row>
    <row r="448">
      <c r="A448" s="553" t="s">
        <v>291</v>
      </c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  <c r="AI448" s="529"/>
      <c r="AJ448" s="529"/>
      <c r="AK448" s="529"/>
      <c r="AL448" s="529"/>
      <c r="AM448" s="529"/>
      <c r="AN448" s="529"/>
      <c r="AO448" s="529"/>
      <c r="AP448" s="529"/>
      <c r="AQ448" s="529"/>
      <c r="AR448" s="529"/>
      <c r="AS448" s="529"/>
      <c r="AT448" s="529"/>
      <c r="AU448" s="529"/>
      <c r="AV448" s="529"/>
      <c r="AW448" s="529"/>
      <c r="AX448" s="529"/>
      <c r="AY448" s="529"/>
      <c r="AZ448" s="529"/>
      <c r="BA448" s="529"/>
      <c r="BB448" s="529"/>
      <c r="BC448" s="529"/>
      <c r="BD448" s="529"/>
      <c r="BE448" s="529"/>
      <c r="BF448" s="529"/>
      <c r="BG448" s="529"/>
      <c r="BH448" s="529"/>
      <c r="BI448" s="529"/>
      <c r="BJ448" s="529"/>
      <c r="BK448" s="529">
        <v>22.22</v>
      </c>
      <c r="BL448" s="529">
        <v>34.11</v>
      </c>
      <c r="BM448" s="529">
        <v>-190.84</v>
      </c>
      <c r="BN448" s="529">
        <v>38.2</v>
      </c>
      <c r="BO448" s="529">
        <v>33.08</v>
      </c>
      <c r="BP448" s="529">
        <v>48.91</v>
      </c>
      <c r="BQ448" s="529">
        <v>44.55</v>
      </c>
      <c r="BR448" s="529">
        <v>30.32</v>
      </c>
      <c r="BS448" s="529">
        <v>-78.02</v>
      </c>
      <c r="BT448" s="529">
        <v>49.19</v>
      </c>
      <c r="BU448" s="529">
        <v>51.41</v>
      </c>
      <c r="BV448" s="529">
        <v>53.58</v>
      </c>
      <c r="BW448" s="529">
        <v>51.03</v>
      </c>
      <c r="BX448" s="529">
        <v>39.79</v>
      </c>
      <c r="BY448" s="529">
        <v>43.96</v>
      </c>
      <c r="BZ448" s="529">
        <v>43.84</v>
      </c>
      <c r="CA448" s="550">
        <v>45.98</v>
      </c>
      <c r="CB448" s="550">
        <v>40.67</v>
      </c>
      <c r="CC448" s="550">
        <v>47.82</v>
      </c>
      <c r="CD448" s="550">
        <v>63.99</v>
      </c>
      <c r="CE448" s="550">
        <v>-209.27</v>
      </c>
      <c r="CF448" s="550">
        <v>73.03</v>
      </c>
      <c r="CG448" s="550">
        <v>65.24</v>
      </c>
      <c r="CH448" s="550">
        <v>-52.31</v>
      </c>
      <c r="CI448" s="550">
        <v>55.56</v>
      </c>
      <c r="CJ448" s="550">
        <v>37.49</v>
      </c>
      <c r="CK448" s="550">
        <v>42.2</v>
      </c>
      <c r="CL448" s="537">
        <v>57.35</v>
      </c>
      <c r="CM448" s="554"/>
      <c r="CN448" s="537">
        <v>49.29</v>
      </c>
      <c r="CO448" s="537">
        <v>44.92</v>
      </c>
      <c r="CP448" s="537">
        <v>56.06</v>
      </c>
      <c r="CQ448" s="537">
        <v>71.86</v>
      </c>
      <c r="CR448" s="537">
        <v>49.35</v>
      </c>
      <c r="CS448" s="537">
        <v>51.55</v>
      </c>
      <c r="CT448" s="537">
        <v>56.13</v>
      </c>
      <c r="CU448" s="537">
        <v>56.05</v>
      </c>
      <c r="CV448" s="536">
        <v>50.92</v>
      </c>
      <c r="CW448" s="593">
        <v>45.33</v>
      </c>
      <c r="CX448" s="593">
        <v>32.46</v>
      </c>
      <c r="CY448" s="593">
        <v>48.13</v>
      </c>
      <c r="CZ448" s="593">
        <v>31.03</v>
      </c>
      <c r="DA448" s="593">
        <v>78.75</v>
      </c>
      <c r="DB448" s="537">
        <v>39.83</v>
      </c>
      <c r="DC448" s="537">
        <v>75.28</v>
      </c>
      <c r="DD448" s="537">
        <v>68.86</v>
      </c>
      <c r="DE448" s="537">
        <v>59.09</v>
      </c>
      <c r="DF448" s="537">
        <v>659.1</v>
      </c>
      <c r="DG448" s="537">
        <v>62.54</v>
      </c>
      <c r="DH448" s="537">
        <v>50.99</v>
      </c>
      <c r="DI448" s="537">
        <v>58.03</v>
      </c>
      <c r="DJ448" s="537">
        <v>56.57</v>
      </c>
      <c r="DK448" s="537"/>
      <c r="DL448" s="537"/>
      <c r="DM448" s="537"/>
      <c r="DN448" s="537"/>
      <c r="DO448" s="537"/>
      <c r="DP448" s="537"/>
      <c r="DQ448" s="537"/>
      <c r="DR448" s="537"/>
      <c r="DX448" s="510"/>
    </row>
    <row r="449">
      <c r="A449" s="531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  <c r="AT449" s="118"/>
      <c r="AU449" s="118"/>
      <c r="AV449" s="118"/>
      <c r="AW449" s="118"/>
      <c r="AX449" s="118"/>
      <c r="AY449" s="118"/>
      <c r="AZ449" s="118"/>
      <c r="BA449" s="118"/>
      <c r="BB449" s="118"/>
      <c r="BC449" s="118"/>
      <c r="BD449" s="118"/>
      <c r="BE449" s="118"/>
      <c r="BF449" s="118"/>
      <c r="BG449" s="118"/>
      <c r="BH449" s="118"/>
      <c r="BI449" s="118"/>
      <c r="BJ449" s="118"/>
      <c r="BK449" s="118"/>
      <c r="BL449" s="118"/>
      <c r="BM449" s="118"/>
      <c r="BN449" s="118"/>
      <c r="BO449" s="118"/>
      <c r="BP449" s="118"/>
      <c r="BQ449" s="118"/>
      <c r="BR449" s="118"/>
      <c r="BS449" s="118"/>
      <c r="BT449" s="118"/>
      <c r="BU449" s="118"/>
      <c r="BV449" s="118"/>
      <c r="BW449" s="118"/>
      <c r="BX449" s="118"/>
      <c r="BY449" s="118"/>
      <c r="BZ449" s="118"/>
      <c r="CA449" s="118"/>
      <c r="CB449" s="118"/>
      <c r="CC449" s="118"/>
      <c r="CD449" s="118"/>
      <c r="CE449" s="118"/>
      <c r="CF449" s="118"/>
      <c r="CG449" s="118"/>
      <c r="CH449" s="118"/>
      <c r="CI449" s="118"/>
      <c r="CJ449" s="118"/>
      <c r="CK449" s="118"/>
      <c r="CL449" s="118"/>
      <c r="CM449" s="499"/>
      <c r="CN449" s="118"/>
      <c r="CO449" s="546"/>
      <c r="CP449" s="594"/>
      <c r="CQ449" s="118"/>
      <c r="CR449" s="546"/>
      <c r="CS449" s="118"/>
      <c r="CT449" s="118"/>
      <c r="CU449" s="546"/>
      <c r="CV449" s="577"/>
      <c r="CW449" s="577"/>
      <c r="CX449" s="577"/>
      <c r="CY449" s="577"/>
      <c r="CZ449" s="577"/>
      <c r="DA449" s="577"/>
      <c r="DB449" s="118"/>
      <c r="DC449" s="118"/>
      <c r="DD449" s="118"/>
      <c r="DE449" s="118"/>
      <c r="DF449" s="118"/>
      <c r="DG449" s="118"/>
      <c r="DH449" s="118"/>
      <c r="DI449" s="118"/>
      <c r="DJ449" s="118"/>
      <c r="DK449" s="118"/>
      <c r="DL449" s="118"/>
      <c r="DM449" s="118"/>
      <c r="DN449" s="118"/>
      <c r="DO449" s="118"/>
      <c r="DP449" s="118"/>
      <c r="DQ449" s="118"/>
      <c r="DX449" s="530"/>
    </row>
    <row r="450">
      <c r="A450" s="531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  <c r="AT450" s="118"/>
      <c r="AU450" s="118"/>
      <c r="AV450" s="118"/>
      <c r="AW450" s="118"/>
      <c r="AX450" s="118"/>
      <c r="AY450" s="118"/>
      <c r="AZ450" s="118"/>
      <c r="BA450" s="118"/>
      <c r="BB450" s="118"/>
      <c r="BC450" s="118"/>
      <c r="BD450" s="118"/>
      <c r="BE450" s="118"/>
      <c r="BF450" s="118"/>
      <c r="BG450" s="118"/>
      <c r="BH450" s="118"/>
      <c r="BI450" s="118"/>
      <c r="BJ450" s="118"/>
      <c r="BK450" s="118"/>
      <c r="BL450" s="118"/>
      <c r="BM450" s="118"/>
      <c r="BN450" s="118"/>
      <c r="BO450" s="118"/>
      <c r="BP450" s="118"/>
      <c r="BQ450" s="118"/>
      <c r="BR450" s="118"/>
      <c r="BS450" s="118"/>
      <c r="BT450" s="118"/>
      <c r="BU450" s="118"/>
      <c r="BV450" s="118"/>
      <c r="BW450" s="118"/>
      <c r="BX450" s="118"/>
      <c r="BY450" s="118"/>
      <c r="BZ450" s="118"/>
      <c r="CA450" s="118"/>
      <c r="CB450" s="118"/>
      <c r="CC450" s="118"/>
      <c r="CD450" s="118"/>
      <c r="CE450" s="118"/>
      <c r="CF450" s="118"/>
      <c r="CG450" s="118"/>
      <c r="CH450" s="118"/>
      <c r="CI450" s="118"/>
      <c r="CJ450" s="118"/>
      <c r="CK450" s="118"/>
      <c r="CL450" s="118"/>
      <c r="CM450" s="499"/>
      <c r="CN450" s="118"/>
      <c r="CO450" s="118"/>
      <c r="CP450" s="118"/>
      <c r="CQ450" s="118"/>
      <c r="CR450" s="118"/>
      <c r="CS450" s="118"/>
      <c r="CT450" s="118"/>
      <c r="CU450" s="118"/>
      <c r="CV450" s="577"/>
      <c r="CW450" s="577"/>
      <c r="CX450" s="577"/>
      <c r="CY450" s="577"/>
      <c r="CZ450" s="577"/>
      <c r="DA450" s="577"/>
      <c r="DB450" s="118"/>
      <c r="DC450" s="118"/>
      <c r="DD450" s="118"/>
      <c r="DE450" s="118"/>
      <c r="DF450" s="118"/>
      <c r="DG450" s="118"/>
      <c r="DH450" s="118"/>
      <c r="DI450" s="118"/>
      <c r="DJ450" s="118"/>
      <c r="DK450" s="118"/>
      <c r="DL450" s="118"/>
      <c r="DM450" s="118"/>
      <c r="DN450" s="118"/>
      <c r="DO450" s="118"/>
      <c r="DP450" s="118"/>
      <c r="DQ450" s="118"/>
      <c r="DX450" s="530"/>
    </row>
    <row r="451">
      <c r="A451" s="500" t="s">
        <v>8</v>
      </c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  <c r="AT451" s="118"/>
      <c r="AU451" s="118"/>
      <c r="AV451" s="118"/>
      <c r="AW451" s="118"/>
      <c r="AX451" s="118"/>
      <c r="AY451" s="118"/>
      <c r="AZ451" s="118"/>
      <c r="BA451" s="118"/>
      <c r="BB451" s="118"/>
      <c r="BC451" s="118"/>
      <c r="BD451" s="118"/>
      <c r="BE451" s="118"/>
      <c r="BF451" s="118"/>
      <c r="BG451" s="118"/>
      <c r="BH451" s="118"/>
      <c r="BI451" s="118"/>
      <c r="BJ451" s="118"/>
      <c r="BK451" s="118"/>
      <c r="BL451" s="118"/>
      <c r="BM451" s="118"/>
      <c r="BN451" s="118"/>
      <c r="BO451" s="118"/>
      <c r="BP451" s="118"/>
      <c r="BQ451" s="118"/>
      <c r="BR451" s="118"/>
      <c r="BS451" s="118"/>
      <c r="BT451" s="118"/>
      <c r="BU451" s="118"/>
      <c r="BV451" s="118"/>
      <c r="BW451" s="118"/>
      <c r="BX451" s="118"/>
      <c r="BY451" s="118"/>
      <c r="BZ451" s="118"/>
      <c r="CA451" s="118"/>
      <c r="CB451" s="118"/>
      <c r="CC451" s="118"/>
      <c r="CD451" s="118"/>
      <c r="CE451" s="118"/>
      <c r="CF451" s="118"/>
      <c r="CG451" s="118"/>
      <c r="CH451" s="118"/>
      <c r="CI451" s="118"/>
      <c r="CJ451" s="118"/>
      <c r="CK451" s="118"/>
      <c r="CL451" s="118"/>
      <c r="CM451" s="499"/>
      <c r="CN451" s="546" t="s">
        <v>355</v>
      </c>
      <c r="CO451" s="546" t="s">
        <v>370</v>
      </c>
      <c r="CP451" s="546" t="s">
        <v>355</v>
      </c>
      <c r="CQ451" s="546" t="s">
        <v>355</v>
      </c>
      <c r="CR451" s="546" t="s">
        <v>355</v>
      </c>
      <c r="CS451" s="546" t="s">
        <v>370</v>
      </c>
      <c r="CT451" s="546" t="s">
        <v>355</v>
      </c>
      <c r="CU451" s="546" t="s">
        <v>355</v>
      </c>
      <c r="CV451" s="546" t="s">
        <v>412</v>
      </c>
      <c r="CW451" s="546" t="s">
        <v>355</v>
      </c>
      <c r="CX451" s="546" t="s">
        <v>355</v>
      </c>
      <c r="CY451" s="546" t="s">
        <v>370</v>
      </c>
      <c r="CZ451" s="546" t="s">
        <v>370</v>
      </c>
      <c r="DA451" s="546" t="s">
        <v>355</v>
      </c>
      <c r="DB451" s="546" t="s">
        <v>355</v>
      </c>
      <c r="DC451" s="546" t="s">
        <v>370</v>
      </c>
      <c r="DD451" s="546" t="s">
        <v>370</v>
      </c>
      <c r="DE451" s="546" t="s">
        <v>370</v>
      </c>
      <c r="DF451" s="546" t="s">
        <v>355</v>
      </c>
      <c r="DG451" s="546" t="s">
        <v>355</v>
      </c>
      <c r="DH451" s="546" t="s">
        <v>370</v>
      </c>
      <c r="DI451" s="546" t="s">
        <v>355</v>
      </c>
      <c r="DJ451" s="546" t="s">
        <v>355</v>
      </c>
      <c r="DK451" s="546" t="s">
        <v>370</v>
      </c>
      <c r="DL451" s="546" t="s">
        <v>370</v>
      </c>
      <c r="DM451" s="546" t="s">
        <v>355</v>
      </c>
      <c r="DN451" s="546" t="s">
        <v>355</v>
      </c>
      <c r="DO451" s="546" t="s">
        <v>370</v>
      </c>
      <c r="DP451" s="546" t="s">
        <v>370</v>
      </c>
      <c r="DQ451" s="546" t="s">
        <v>355</v>
      </c>
      <c r="DR451" s="546" t="s">
        <v>355</v>
      </c>
      <c r="DT451" s="520" t="s">
        <v>384</v>
      </c>
      <c r="DU451" s="520" t="s">
        <v>332</v>
      </c>
      <c r="DW451" s="520" t="s">
        <v>384</v>
      </c>
      <c r="DX451" s="520" t="s">
        <v>332</v>
      </c>
    </row>
    <row r="452">
      <c r="A452" s="502" t="s">
        <v>288</v>
      </c>
      <c r="B452" s="525"/>
      <c r="C452" s="525"/>
      <c r="D452" s="525"/>
      <c r="E452" s="525"/>
      <c r="F452" s="525"/>
      <c r="G452" s="525"/>
      <c r="H452" s="525"/>
      <c r="I452" s="525"/>
      <c r="J452" s="525"/>
      <c r="K452" s="525"/>
      <c r="L452" s="525"/>
      <c r="M452" s="525"/>
      <c r="N452" s="525"/>
      <c r="O452" s="525"/>
      <c r="P452" s="525"/>
      <c r="Q452" s="525"/>
      <c r="R452" s="525"/>
      <c r="S452" s="525"/>
      <c r="T452" s="525"/>
      <c r="U452" s="525"/>
      <c r="V452" s="525"/>
      <c r="W452" s="525"/>
      <c r="X452" s="525"/>
      <c r="Y452" s="525"/>
      <c r="Z452" s="525"/>
      <c r="AA452" s="525"/>
      <c r="AB452" s="525"/>
      <c r="AC452" s="525"/>
      <c r="AD452" s="525"/>
      <c r="AE452" s="525"/>
      <c r="AF452" s="525"/>
      <c r="AG452" s="525"/>
      <c r="AH452" s="525"/>
      <c r="AI452" s="525"/>
      <c r="AJ452" s="525"/>
      <c r="AK452" s="525"/>
      <c r="AL452" s="525"/>
      <c r="AM452" s="525"/>
      <c r="AN452" s="525"/>
      <c r="AO452" s="525"/>
      <c r="AP452" s="525"/>
      <c r="AQ452" s="525"/>
      <c r="AR452" s="525"/>
      <c r="AS452" s="525"/>
      <c r="AT452" s="525"/>
      <c r="AU452" s="525"/>
      <c r="AV452" s="525"/>
      <c r="AW452" s="525"/>
      <c r="AX452" s="525"/>
      <c r="AY452" s="525"/>
      <c r="AZ452" s="525"/>
      <c r="BA452" s="525"/>
      <c r="BB452" s="525"/>
      <c r="BC452" s="525"/>
      <c r="BD452" s="525"/>
      <c r="BE452" s="525"/>
      <c r="BF452" s="525"/>
      <c r="BG452" s="525"/>
      <c r="BH452" s="525"/>
      <c r="BI452" s="525"/>
      <c r="BJ452" s="525"/>
      <c r="BK452" s="541">
        <v>45689.0</v>
      </c>
      <c r="BL452" s="503">
        <v>45690.0</v>
      </c>
      <c r="BM452" s="503">
        <v>45691.0</v>
      </c>
      <c r="BN452" s="541">
        <v>45692.0</v>
      </c>
      <c r="BO452" s="541">
        <v>45693.0</v>
      </c>
      <c r="BP452" s="541">
        <v>45694.0</v>
      </c>
      <c r="BQ452" s="541">
        <v>45695.0</v>
      </c>
      <c r="BR452" s="541">
        <v>45696.0</v>
      </c>
      <c r="BS452" s="541">
        <v>45697.0</v>
      </c>
      <c r="BT452" s="541">
        <v>45698.0</v>
      </c>
      <c r="BU452" s="541">
        <v>45699.0</v>
      </c>
      <c r="BV452" s="541">
        <v>45700.0</v>
      </c>
      <c r="BW452" s="541">
        <v>45701.0</v>
      </c>
      <c r="BX452" s="541">
        <v>45702.0</v>
      </c>
      <c r="BY452" s="541">
        <v>45703.0</v>
      </c>
      <c r="BZ452" s="541">
        <v>45704.0</v>
      </c>
      <c r="CA452" s="541">
        <v>45705.0</v>
      </c>
      <c r="CB452" s="541">
        <v>45706.0</v>
      </c>
      <c r="CC452" s="541">
        <v>45707.0</v>
      </c>
      <c r="CD452" s="541">
        <v>45708.0</v>
      </c>
      <c r="CE452" s="541">
        <v>45709.0</v>
      </c>
      <c r="CF452" s="541">
        <v>45710.0</v>
      </c>
      <c r="CG452" s="541">
        <v>45711.0</v>
      </c>
      <c r="CH452" s="541">
        <v>45712.0</v>
      </c>
      <c r="CI452" s="541">
        <v>45713.0</v>
      </c>
      <c r="CJ452" s="541">
        <v>45714.0</v>
      </c>
      <c r="CK452" s="541">
        <v>45715.0</v>
      </c>
      <c r="CL452" s="541">
        <v>45716.0</v>
      </c>
      <c r="CM452" s="552"/>
      <c r="CN452" s="602">
        <v>46082.0</v>
      </c>
      <c r="CO452" s="602">
        <v>46083.0</v>
      </c>
      <c r="CP452" s="602">
        <v>46084.0</v>
      </c>
      <c r="CQ452" s="602">
        <v>46085.0</v>
      </c>
      <c r="CR452" s="602">
        <v>46086.0</v>
      </c>
      <c r="CS452" s="602">
        <v>46087.0</v>
      </c>
      <c r="CT452" s="602">
        <v>46088.0</v>
      </c>
      <c r="CU452" s="602">
        <v>46089.0</v>
      </c>
      <c r="CV452" s="602">
        <v>46090.0</v>
      </c>
      <c r="CW452" s="602">
        <v>46091.0</v>
      </c>
      <c r="CX452" s="602">
        <v>46092.0</v>
      </c>
      <c r="CY452" s="602">
        <v>46093.0</v>
      </c>
      <c r="CZ452" s="602">
        <v>46094.0</v>
      </c>
      <c r="DA452" s="602">
        <v>46095.0</v>
      </c>
      <c r="DB452" s="602">
        <v>46096.0</v>
      </c>
      <c r="DC452" s="602">
        <v>46097.0</v>
      </c>
      <c r="DD452" s="602">
        <v>46098.0</v>
      </c>
      <c r="DE452" s="602">
        <v>46099.0</v>
      </c>
      <c r="DF452" s="602">
        <v>46100.0</v>
      </c>
      <c r="DG452" s="602">
        <v>46101.0</v>
      </c>
      <c r="DH452" s="602">
        <v>46102.0</v>
      </c>
      <c r="DI452" s="602">
        <v>46103.0</v>
      </c>
      <c r="DJ452" s="602">
        <v>46104.0</v>
      </c>
      <c r="DK452" s="602">
        <v>46105.0</v>
      </c>
      <c r="DL452" s="602">
        <v>46106.0</v>
      </c>
      <c r="DM452" s="602">
        <v>46107.0</v>
      </c>
      <c r="DN452" s="602">
        <v>46108.0</v>
      </c>
      <c r="DO452" s="602">
        <v>46109.0</v>
      </c>
      <c r="DP452" s="602">
        <v>46110.0</v>
      </c>
      <c r="DQ452" s="602">
        <v>46111.0</v>
      </c>
      <c r="DR452" s="602">
        <v>46112.0</v>
      </c>
      <c r="DS452" s="520" t="s">
        <v>374</v>
      </c>
      <c r="DT452" s="574">
        <f>CO455+CS455+CZ455+CY455</f>
        <v>391.16</v>
      </c>
      <c r="DU452" s="520">
        <v>1100.0</v>
      </c>
      <c r="DX452" s="510"/>
      <c r="DZ452" s="574">
        <f t="shared" ref="DZ452:DZ453" si="48">SUM(CN453:DR453)</f>
        <v>9136</v>
      </c>
      <c r="EA452" s="530">
        <f t="shared" ref="EA452:EA453" si="49">DZ452/31</f>
        <v>294.7096774</v>
      </c>
    </row>
    <row r="453">
      <c r="A453" s="502" t="s">
        <v>289</v>
      </c>
      <c r="B453" s="525"/>
      <c r="C453" s="525"/>
      <c r="D453" s="525"/>
      <c r="E453" s="525"/>
      <c r="F453" s="525"/>
      <c r="G453" s="525"/>
      <c r="H453" s="525"/>
      <c r="I453" s="525"/>
      <c r="J453" s="525"/>
      <c r="K453" s="525"/>
      <c r="L453" s="525"/>
      <c r="M453" s="525"/>
      <c r="N453" s="525"/>
      <c r="O453" s="525"/>
      <c r="P453" s="525"/>
      <c r="Q453" s="525"/>
      <c r="R453" s="525"/>
      <c r="S453" s="525"/>
      <c r="T453" s="525"/>
      <c r="U453" s="525"/>
      <c r="V453" s="525"/>
      <c r="W453" s="525"/>
      <c r="X453" s="525"/>
      <c r="Y453" s="525"/>
      <c r="Z453" s="525"/>
      <c r="AA453" s="525"/>
      <c r="AB453" s="525"/>
      <c r="AC453" s="525"/>
      <c r="AD453" s="525"/>
      <c r="AE453" s="525"/>
      <c r="AF453" s="525"/>
      <c r="AG453" s="525"/>
      <c r="AH453" s="525"/>
      <c r="AI453" s="525"/>
      <c r="AJ453" s="525"/>
      <c r="AK453" s="525"/>
      <c r="AL453" s="525"/>
      <c r="AM453" s="525"/>
      <c r="AN453" s="525"/>
      <c r="AO453" s="525"/>
      <c r="AP453" s="525"/>
      <c r="AQ453" s="525"/>
      <c r="AR453" s="525"/>
      <c r="AS453" s="525"/>
      <c r="AT453" s="525"/>
      <c r="AU453" s="525"/>
      <c r="AV453" s="525"/>
      <c r="AW453" s="525"/>
      <c r="AX453" s="525"/>
      <c r="AY453" s="525"/>
      <c r="AZ453" s="525"/>
      <c r="BA453" s="525"/>
      <c r="BB453" s="525"/>
      <c r="BC453" s="525"/>
      <c r="BD453" s="525"/>
      <c r="BE453" s="525"/>
      <c r="BF453" s="525"/>
      <c r="BG453" s="525"/>
      <c r="BH453" s="525"/>
      <c r="BI453" s="525"/>
      <c r="BJ453" s="525"/>
      <c r="BK453" s="525"/>
      <c r="BL453" s="518">
        <v>196.0</v>
      </c>
      <c r="BM453" s="518">
        <v>147.0</v>
      </c>
      <c r="BN453" s="525"/>
      <c r="BO453" s="525"/>
      <c r="BP453" s="512">
        <v>193.0</v>
      </c>
      <c r="BQ453" s="512">
        <v>202.0</v>
      </c>
      <c r="BR453" s="512">
        <v>239.0</v>
      </c>
      <c r="BS453" s="525"/>
      <c r="BT453" s="512">
        <v>181.0</v>
      </c>
      <c r="BU453" s="525"/>
      <c r="BV453" s="512">
        <v>292.0</v>
      </c>
      <c r="BW453" s="512">
        <v>258.0</v>
      </c>
      <c r="BX453" s="512">
        <v>267.0</v>
      </c>
      <c r="BY453" s="512">
        <v>214.0</v>
      </c>
      <c r="BZ453" s="512">
        <v>234.0</v>
      </c>
      <c r="CA453" s="512">
        <v>271.0</v>
      </c>
      <c r="CB453" s="512">
        <v>222.0</v>
      </c>
      <c r="CC453" s="512">
        <v>298.0</v>
      </c>
      <c r="CD453" s="512">
        <v>290.0</v>
      </c>
      <c r="CE453" s="512">
        <v>261.0</v>
      </c>
      <c r="CF453" s="512">
        <v>274.0</v>
      </c>
      <c r="CG453" s="512">
        <v>285.0</v>
      </c>
      <c r="CH453" s="512">
        <v>196.0</v>
      </c>
      <c r="CI453" s="512">
        <v>198.0</v>
      </c>
      <c r="CJ453" s="512">
        <v>274.0</v>
      </c>
      <c r="CK453" s="512">
        <v>197.0</v>
      </c>
      <c r="CL453" s="512">
        <v>246.0</v>
      </c>
      <c r="CM453" s="552"/>
      <c r="CN453" s="561">
        <v>337.0</v>
      </c>
      <c r="CO453" s="561">
        <v>406.0</v>
      </c>
      <c r="CP453" s="561">
        <v>365.0</v>
      </c>
      <c r="CQ453" s="561">
        <v>387.0</v>
      </c>
      <c r="CR453" s="561">
        <v>301.0</v>
      </c>
      <c r="CS453" s="561">
        <v>351.0</v>
      </c>
      <c r="CT453" s="561">
        <v>465.0</v>
      </c>
      <c r="CU453" s="561">
        <v>274.0</v>
      </c>
      <c r="CV453" s="591">
        <v>287.0</v>
      </c>
      <c r="CW453" s="591">
        <v>242.0</v>
      </c>
      <c r="CX453" s="591">
        <v>269.0</v>
      </c>
      <c r="CY453" s="591">
        <v>292.0</v>
      </c>
      <c r="CZ453" s="591">
        <v>233.0</v>
      </c>
      <c r="DA453" s="591">
        <v>222.0</v>
      </c>
      <c r="DB453" s="561">
        <v>343.0</v>
      </c>
      <c r="DC453" s="561">
        <v>228.0</v>
      </c>
      <c r="DD453" s="561">
        <v>307.0</v>
      </c>
      <c r="DE453" s="561">
        <v>260.0</v>
      </c>
      <c r="DF453" s="561">
        <v>288.0</v>
      </c>
      <c r="DG453" s="561">
        <v>309.0</v>
      </c>
      <c r="DH453" s="561">
        <v>294.0</v>
      </c>
      <c r="DI453" s="561">
        <v>342.0</v>
      </c>
      <c r="DJ453" s="561">
        <v>246.0</v>
      </c>
      <c r="DK453" s="513">
        <v>260.0</v>
      </c>
      <c r="DL453" s="561">
        <v>269.0</v>
      </c>
      <c r="DM453" s="512">
        <v>220.0</v>
      </c>
      <c r="DN453" s="561">
        <v>271.0</v>
      </c>
      <c r="DO453" s="561">
        <v>227.0</v>
      </c>
      <c r="DP453" s="561">
        <v>306.0</v>
      </c>
      <c r="DQ453" s="561">
        <v>297.0</v>
      </c>
      <c r="DR453" s="513">
        <v>238.0</v>
      </c>
      <c r="DS453" s="520" t="s">
        <v>338</v>
      </c>
      <c r="DT453" s="574">
        <f>CN455+CP455+CQ455+CR455+CT455+CU455+CW455+CX455+DA455+DB455</f>
        <v>951.42</v>
      </c>
      <c r="DU453" s="520">
        <v>2700.0</v>
      </c>
      <c r="DX453" s="510"/>
      <c r="DZ453" s="574">
        <f t="shared" si="48"/>
        <v>3504</v>
      </c>
      <c r="EA453" s="530">
        <f t="shared" si="49"/>
        <v>113.0322581</v>
      </c>
    </row>
    <row r="454">
      <c r="A454" s="521" t="s">
        <v>290</v>
      </c>
      <c r="B454" s="525"/>
      <c r="C454" s="525"/>
      <c r="D454" s="525"/>
      <c r="E454" s="525"/>
      <c r="F454" s="525"/>
      <c r="G454" s="525"/>
      <c r="H454" s="525"/>
      <c r="I454" s="525"/>
      <c r="J454" s="525"/>
      <c r="K454" s="525"/>
      <c r="L454" s="525"/>
      <c r="M454" s="525"/>
      <c r="N454" s="525"/>
      <c r="O454" s="525"/>
      <c r="P454" s="525"/>
      <c r="Q454" s="525"/>
      <c r="R454" s="525"/>
      <c r="S454" s="525"/>
      <c r="T454" s="525"/>
      <c r="U454" s="525"/>
      <c r="V454" s="525"/>
      <c r="W454" s="525"/>
      <c r="X454" s="525"/>
      <c r="Y454" s="525"/>
      <c r="Z454" s="525"/>
      <c r="AA454" s="525"/>
      <c r="AB454" s="525"/>
      <c r="AC454" s="525"/>
      <c r="AD454" s="525"/>
      <c r="AE454" s="525"/>
      <c r="AF454" s="525"/>
      <c r="AG454" s="525"/>
      <c r="AH454" s="525"/>
      <c r="AI454" s="525"/>
      <c r="AJ454" s="525"/>
      <c r="AK454" s="525"/>
      <c r="AL454" s="525"/>
      <c r="AM454" s="525"/>
      <c r="AN454" s="525"/>
      <c r="AO454" s="525"/>
      <c r="AP454" s="525"/>
      <c r="AQ454" s="525"/>
      <c r="AR454" s="525"/>
      <c r="AS454" s="525"/>
      <c r="AT454" s="525"/>
      <c r="AU454" s="525"/>
      <c r="AV454" s="525"/>
      <c r="AW454" s="525"/>
      <c r="AX454" s="525"/>
      <c r="AY454" s="525"/>
      <c r="AZ454" s="525"/>
      <c r="BA454" s="525"/>
      <c r="BB454" s="525"/>
      <c r="BC454" s="525"/>
      <c r="BD454" s="525"/>
      <c r="BE454" s="525"/>
      <c r="BF454" s="525"/>
      <c r="BG454" s="525"/>
      <c r="BH454" s="525"/>
      <c r="BI454" s="525"/>
      <c r="BJ454" s="525"/>
      <c r="BK454" s="525"/>
      <c r="BL454" s="518">
        <v>82.0</v>
      </c>
      <c r="BM454" s="518">
        <v>67.0</v>
      </c>
      <c r="BN454" s="525"/>
      <c r="BO454" s="525"/>
      <c r="BP454" s="512">
        <v>71.0</v>
      </c>
      <c r="BQ454" s="512">
        <v>80.0</v>
      </c>
      <c r="BR454" s="512">
        <v>95.0</v>
      </c>
      <c r="BS454" s="525"/>
      <c r="BT454" s="512">
        <v>73.0</v>
      </c>
      <c r="BU454" s="525"/>
      <c r="BV454" s="512">
        <v>96.0</v>
      </c>
      <c r="BW454" s="512">
        <v>98.0</v>
      </c>
      <c r="BX454" s="512">
        <v>104.0</v>
      </c>
      <c r="BY454" s="512">
        <v>88.0</v>
      </c>
      <c r="BZ454" s="512">
        <v>86.0</v>
      </c>
      <c r="CA454" s="512">
        <v>101.0</v>
      </c>
      <c r="CB454" s="512">
        <v>88.0</v>
      </c>
      <c r="CC454" s="512">
        <v>106.0</v>
      </c>
      <c r="CD454" s="512">
        <v>103.0</v>
      </c>
      <c r="CE454" s="512">
        <v>89.0</v>
      </c>
      <c r="CF454" s="512">
        <v>119.0</v>
      </c>
      <c r="CG454" s="512">
        <v>116.0</v>
      </c>
      <c r="CH454" s="512">
        <v>86.0</v>
      </c>
      <c r="CI454" s="512">
        <v>89.0</v>
      </c>
      <c r="CJ454" s="512">
        <v>103.0</v>
      </c>
      <c r="CK454" s="512">
        <v>82.0</v>
      </c>
      <c r="CL454" s="512">
        <v>92.0</v>
      </c>
      <c r="CM454" s="552">
        <f>SUM(BK454:CL454)/22</f>
        <v>96.09090909</v>
      </c>
      <c r="CN454" s="561">
        <v>121.0</v>
      </c>
      <c r="CO454" s="561">
        <v>135.0</v>
      </c>
      <c r="CP454" s="561">
        <v>100.0</v>
      </c>
      <c r="CQ454" s="561">
        <v>120.0</v>
      </c>
      <c r="CR454" s="561">
        <v>113.0</v>
      </c>
      <c r="CS454" s="561">
        <v>125.0</v>
      </c>
      <c r="CT454" s="561">
        <v>135.0</v>
      </c>
      <c r="CU454" s="561">
        <v>117.0</v>
      </c>
      <c r="CV454" s="591">
        <v>126.0</v>
      </c>
      <c r="CW454" s="591">
        <v>98.0</v>
      </c>
      <c r="CX454" s="591">
        <v>115.0</v>
      </c>
      <c r="CY454" s="591">
        <v>109.0</v>
      </c>
      <c r="CZ454" s="591">
        <v>98.0</v>
      </c>
      <c r="DA454" s="591">
        <v>102.0</v>
      </c>
      <c r="DB454" s="561">
        <v>126.0</v>
      </c>
      <c r="DC454" s="561">
        <v>95.0</v>
      </c>
      <c r="DD454" s="561">
        <v>116.0</v>
      </c>
      <c r="DE454" s="561">
        <v>91.0</v>
      </c>
      <c r="DF454" s="561">
        <v>117.0</v>
      </c>
      <c r="DG454" s="561">
        <v>118.0</v>
      </c>
      <c r="DH454" s="561">
        <v>123.0</v>
      </c>
      <c r="DI454" s="561">
        <v>129.0</v>
      </c>
      <c r="DJ454" s="561">
        <v>109.0</v>
      </c>
      <c r="DK454" s="513">
        <v>100.0</v>
      </c>
      <c r="DL454" s="561">
        <v>116.0</v>
      </c>
      <c r="DM454" s="561">
        <v>118.0</v>
      </c>
      <c r="DN454" s="561">
        <v>99.0</v>
      </c>
      <c r="DO454" s="561">
        <v>100.0</v>
      </c>
      <c r="DP454" s="561">
        <v>119.0</v>
      </c>
      <c r="DQ454" s="561">
        <v>113.0</v>
      </c>
      <c r="DR454" s="513">
        <v>101.0</v>
      </c>
      <c r="DS454" s="520" t="s">
        <v>397</v>
      </c>
      <c r="DT454" s="574">
        <f>CV455</f>
        <v>104.04</v>
      </c>
      <c r="DU454" s="520">
        <v>200.0</v>
      </c>
      <c r="DX454" s="510"/>
    </row>
    <row r="455">
      <c r="A455" s="502" t="s">
        <v>291</v>
      </c>
      <c r="B455" s="525"/>
      <c r="C455" s="525"/>
      <c r="D455" s="525"/>
      <c r="E455" s="525"/>
      <c r="F455" s="525"/>
      <c r="G455" s="525"/>
      <c r="H455" s="525"/>
      <c r="I455" s="525"/>
      <c r="J455" s="525"/>
      <c r="K455" s="525"/>
      <c r="L455" s="525"/>
      <c r="M455" s="525"/>
      <c r="N455" s="525"/>
      <c r="O455" s="525"/>
      <c r="P455" s="525"/>
      <c r="Q455" s="525"/>
      <c r="R455" s="525"/>
      <c r="S455" s="525"/>
      <c r="T455" s="525"/>
      <c r="U455" s="525"/>
      <c r="V455" s="525"/>
      <c r="W455" s="525"/>
      <c r="X455" s="525"/>
      <c r="Y455" s="525"/>
      <c r="Z455" s="525"/>
      <c r="AA455" s="525"/>
      <c r="AB455" s="525"/>
      <c r="AC455" s="525"/>
      <c r="AD455" s="525"/>
      <c r="AE455" s="525"/>
      <c r="AF455" s="525"/>
      <c r="AG455" s="525"/>
      <c r="AH455" s="525"/>
      <c r="AI455" s="525"/>
      <c r="AJ455" s="525"/>
      <c r="AK455" s="525"/>
      <c r="AL455" s="525"/>
      <c r="AM455" s="525"/>
      <c r="AN455" s="525"/>
      <c r="AO455" s="525"/>
      <c r="AP455" s="525"/>
      <c r="AQ455" s="525"/>
      <c r="AR455" s="525"/>
      <c r="AS455" s="525"/>
      <c r="AT455" s="525"/>
      <c r="AU455" s="525"/>
      <c r="AV455" s="525"/>
      <c r="AW455" s="525"/>
      <c r="AX455" s="525"/>
      <c r="AY455" s="525"/>
      <c r="AZ455" s="525"/>
      <c r="BA455" s="525"/>
      <c r="BB455" s="525"/>
      <c r="BC455" s="525"/>
      <c r="BD455" s="525"/>
      <c r="BE455" s="525"/>
      <c r="BF455" s="525"/>
      <c r="BG455" s="525"/>
      <c r="BH455" s="525"/>
      <c r="BI455" s="525"/>
      <c r="BJ455" s="525"/>
      <c r="BK455" s="529">
        <v>-167.68</v>
      </c>
      <c r="BL455" s="529">
        <v>-89.36</v>
      </c>
      <c r="BM455" s="529">
        <v>-26.1</v>
      </c>
      <c r="BN455" s="529">
        <v>-389.28</v>
      </c>
      <c r="BO455" s="529">
        <v>54.9</v>
      </c>
      <c r="BP455" s="529">
        <v>22.93</v>
      </c>
      <c r="BQ455" s="529">
        <v>-66.7</v>
      </c>
      <c r="BR455" s="529">
        <v>-203.56</v>
      </c>
      <c r="BS455" s="529">
        <v>-359.15</v>
      </c>
      <c r="BT455" s="529">
        <v>-10.32</v>
      </c>
      <c r="BU455" s="529">
        <v>-130.74</v>
      </c>
      <c r="BV455" s="529">
        <v>82.49</v>
      </c>
      <c r="BW455" s="529">
        <v>14.18</v>
      </c>
      <c r="BX455" s="529">
        <v>93.65</v>
      </c>
      <c r="BY455" s="529">
        <v>96.27</v>
      </c>
      <c r="BZ455" s="529">
        <v>-478.47</v>
      </c>
      <c r="CA455" s="529">
        <v>-2.11</v>
      </c>
      <c r="CB455" s="529">
        <v>81.53</v>
      </c>
      <c r="CC455" s="529">
        <v>-45.15</v>
      </c>
      <c r="CD455" s="529">
        <v>92.28</v>
      </c>
      <c r="CE455" s="529">
        <v>-294.99</v>
      </c>
      <c r="CF455" s="529">
        <v>121.62</v>
      </c>
      <c r="CG455" s="529">
        <v>109.56</v>
      </c>
      <c r="CH455" s="529">
        <v>-81.66</v>
      </c>
      <c r="CI455" s="529">
        <v>-103.42</v>
      </c>
      <c r="CJ455" s="529">
        <v>72.17</v>
      </c>
      <c r="CK455" s="529">
        <v>106.47</v>
      </c>
      <c r="CL455" s="512">
        <v>7.22</v>
      </c>
      <c r="CM455" s="525"/>
      <c r="CN455" s="537">
        <v>65.5</v>
      </c>
      <c r="CO455" s="537">
        <v>124.5</v>
      </c>
      <c r="CP455" s="537">
        <v>87.64</v>
      </c>
      <c r="CQ455" s="537">
        <v>97.75</v>
      </c>
      <c r="CR455" s="537">
        <v>100.91</v>
      </c>
      <c r="CS455" s="537">
        <v>104.82</v>
      </c>
      <c r="CT455" s="537">
        <v>82.23</v>
      </c>
      <c r="CU455" s="537">
        <v>120.19</v>
      </c>
      <c r="CV455" s="536">
        <v>104.04</v>
      </c>
      <c r="CW455" s="593">
        <v>83.92</v>
      </c>
      <c r="CX455" s="593">
        <v>87.88</v>
      </c>
      <c r="CY455" s="593">
        <v>83.46</v>
      </c>
      <c r="CZ455" s="593">
        <v>78.38</v>
      </c>
      <c r="DA455" s="593">
        <v>81.74</v>
      </c>
      <c r="DB455" s="537">
        <v>143.66</v>
      </c>
      <c r="DC455" s="537">
        <v>110.87</v>
      </c>
      <c r="DD455" s="537">
        <v>-118.2</v>
      </c>
      <c r="DE455" s="513">
        <v>0.0</v>
      </c>
      <c r="DF455" s="513">
        <v>0.0</v>
      </c>
      <c r="DG455" s="537">
        <v>73.24</v>
      </c>
      <c r="DH455" s="537">
        <v>90.89</v>
      </c>
      <c r="DI455" s="537">
        <v>79.92</v>
      </c>
      <c r="DJ455" s="537">
        <v>96.85</v>
      </c>
      <c r="DK455" s="537"/>
      <c r="DL455" s="537"/>
      <c r="DM455" s="537"/>
      <c r="DN455" s="561"/>
      <c r="DO455" s="537"/>
      <c r="DP455" s="537"/>
      <c r="DQ455" s="537"/>
      <c r="DR455" s="539"/>
      <c r="DX455" s="530"/>
    </row>
    <row r="456">
      <c r="A456" s="531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  <c r="AT456" s="118"/>
      <c r="AU456" s="118"/>
      <c r="AV456" s="118"/>
      <c r="AW456" s="118"/>
      <c r="AX456" s="118"/>
      <c r="AY456" s="118"/>
      <c r="AZ456" s="118"/>
      <c r="BA456" s="118"/>
      <c r="BB456" s="118"/>
      <c r="BC456" s="118"/>
      <c r="BD456" s="118"/>
      <c r="BE456" s="118"/>
      <c r="BF456" s="118"/>
      <c r="BG456" s="118"/>
      <c r="BH456" s="118"/>
      <c r="BI456" s="118"/>
      <c r="BJ456" s="118"/>
      <c r="BK456" s="118"/>
      <c r="BL456" s="118"/>
      <c r="BM456" s="118"/>
      <c r="BN456" s="118"/>
      <c r="BO456" s="118"/>
      <c r="BP456" s="118"/>
      <c r="BQ456" s="118"/>
      <c r="BR456" s="118"/>
      <c r="BS456" s="118"/>
      <c r="BT456" s="118"/>
      <c r="BU456" s="118"/>
      <c r="BV456" s="118"/>
      <c r="BW456" s="118"/>
      <c r="BX456" s="118"/>
      <c r="BY456" s="118"/>
      <c r="BZ456" s="118"/>
      <c r="CA456" s="118"/>
      <c r="CB456" s="118"/>
      <c r="CC456" s="118"/>
      <c r="CD456" s="118"/>
      <c r="CE456" s="118"/>
      <c r="CF456" s="118"/>
      <c r="CG456" s="118"/>
      <c r="CH456" s="118"/>
      <c r="CI456" s="118"/>
      <c r="CJ456" s="118"/>
      <c r="CK456" s="118"/>
      <c r="CL456" s="118"/>
      <c r="CM456" s="118"/>
      <c r="CN456" s="118"/>
      <c r="CO456" s="118"/>
      <c r="CP456" s="118"/>
      <c r="CQ456" s="118"/>
      <c r="CR456" s="118"/>
      <c r="CS456" s="577"/>
      <c r="CT456" s="118"/>
      <c r="CU456" s="118"/>
      <c r="CV456" s="577"/>
      <c r="CW456" s="577"/>
      <c r="CX456" s="577"/>
      <c r="CY456" s="577"/>
      <c r="CZ456" s="577"/>
      <c r="DA456" s="577"/>
      <c r="DB456" s="118"/>
      <c r="DC456" s="118"/>
      <c r="DD456" s="118"/>
      <c r="DE456" s="118"/>
      <c r="DF456" s="118"/>
      <c r="DG456" s="118"/>
      <c r="DH456" s="118"/>
      <c r="DI456" s="10"/>
      <c r="DJ456" s="118"/>
      <c r="DK456" s="118"/>
      <c r="DL456" s="118"/>
      <c r="DM456" s="118"/>
      <c r="DN456" s="118"/>
      <c r="DO456" s="118"/>
      <c r="DP456" s="118"/>
      <c r="DQ456" s="118"/>
      <c r="DX456" s="530"/>
    </row>
    <row r="457">
      <c r="A457" s="531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  <c r="AT457" s="118"/>
      <c r="AU457" s="118"/>
      <c r="AV457" s="118"/>
      <c r="AW457" s="118"/>
      <c r="AX457" s="118"/>
      <c r="AY457" s="118"/>
      <c r="AZ457" s="118"/>
      <c r="BA457" s="118"/>
      <c r="BB457" s="118"/>
      <c r="BC457" s="118"/>
      <c r="BD457" s="118"/>
      <c r="BE457" s="118"/>
      <c r="BF457" s="118"/>
      <c r="BG457" s="118"/>
      <c r="BH457" s="118"/>
      <c r="BI457" s="118"/>
      <c r="BJ457" s="118"/>
      <c r="BK457" s="118"/>
      <c r="BL457" s="118"/>
      <c r="BM457" s="118"/>
      <c r="BN457" s="118"/>
      <c r="BO457" s="118"/>
      <c r="BP457" s="118"/>
      <c r="BQ457" s="118"/>
      <c r="BR457" s="118"/>
      <c r="BS457" s="118"/>
      <c r="BT457" s="118"/>
      <c r="BU457" s="118"/>
      <c r="BV457" s="118"/>
      <c r="BW457" s="118"/>
      <c r="BX457" s="118"/>
      <c r="BY457" s="118"/>
      <c r="BZ457" s="118"/>
      <c r="CA457" s="118"/>
      <c r="CB457" s="118"/>
      <c r="CC457" s="118"/>
      <c r="CD457" s="118"/>
      <c r="CE457" s="118"/>
      <c r="CF457" s="118"/>
      <c r="CG457" s="118"/>
      <c r="CH457" s="118"/>
      <c r="CI457" s="118"/>
      <c r="CJ457" s="118"/>
      <c r="CK457" s="118"/>
      <c r="CL457" s="118"/>
      <c r="CM457" s="118"/>
      <c r="CN457" s="118"/>
      <c r="CO457" s="118"/>
      <c r="CP457" s="118"/>
      <c r="CQ457" s="118"/>
      <c r="CR457" s="118"/>
      <c r="CS457" s="118"/>
      <c r="CT457" s="118"/>
      <c r="CU457" s="118"/>
      <c r="CV457" s="577"/>
      <c r="CW457" s="577"/>
      <c r="CX457" s="577"/>
      <c r="CY457" s="577"/>
      <c r="CZ457" s="577"/>
      <c r="DA457" s="577"/>
      <c r="DB457" s="118"/>
      <c r="DC457" s="118"/>
      <c r="DD457" s="118"/>
      <c r="DE457" s="118"/>
      <c r="DF457" s="118"/>
      <c r="DG457" s="118"/>
      <c r="DH457" s="118"/>
      <c r="DI457" s="118"/>
      <c r="DJ457" s="118"/>
      <c r="DK457" s="118"/>
      <c r="DL457" s="118"/>
      <c r="DM457" s="118"/>
      <c r="DN457" s="118"/>
      <c r="DO457" s="118"/>
      <c r="DP457" s="118"/>
      <c r="DQ457" s="118"/>
      <c r="DX457" s="530"/>
    </row>
    <row r="458">
      <c r="A458" s="500" t="s">
        <v>12</v>
      </c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  <c r="AT458" s="118"/>
      <c r="AU458" s="118"/>
      <c r="AV458" s="118"/>
      <c r="AW458" s="118"/>
      <c r="AX458" s="118"/>
      <c r="AY458" s="118"/>
      <c r="AZ458" s="118"/>
      <c r="BA458" s="118"/>
      <c r="BB458" s="118"/>
      <c r="BC458" s="118"/>
      <c r="BD458" s="118"/>
      <c r="BE458" s="118"/>
      <c r="BF458" s="118"/>
      <c r="BG458" s="118"/>
      <c r="BH458" s="118"/>
      <c r="BI458" s="118"/>
      <c r="BJ458" s="118"/>
      <c r="BK458" s="118"/>
      <c r="BL458" s="118"/>
      <c r="BM458" s="118"/>
      <c r="BN458" s="118"/>
      <c r="BO458" s="118"/>
      <c r="BP458" s="118"/>
      <c r="BQ458" s="118"/>
      <c r="BR458" s="118"/>
      <c r="BS458" s="118"/>
      <c r="BT458" s="118"/>
      <c r="BU458" s="118"/>
      <c r="BV458" s="118"/>
      <c r="BW458" s="118"/>
      <c r="BX458" s="118"/>
      <c r="BY458" s="118"/>
      <c r="BZ458" s="118"/>
      <c r="CA458" s="118"/>
      <c r="CB458" s="118"/>
      <c r="CC458" s="118"/>
      <c r="CD458" s="118"/>
      <c r="CE458" s="118"/>
      <c r="CF458" s="118"/>
      <c r="CG458" s="118"/>
      <c r="CH458" s="118"/>
      <c r="CI458" s="118"/>
      <c r="CJ458" s="118"/>
      <c r="CK458" s="118"/>
      <c r="CL458" s="118"/>
      <c r="CM458" s="118"/>
      <c r="CN458" s="546" t="s">
        <v>216</v>
      </c>
      <c r="CO458" s="546" t="s">
        <v>355</v>
      </c>
      <c r="CP458" s="546" t="s">
        <v>355</v>
      </c>
      <c r="CQ458" s="546" t="s">
        <v>412</v>
      </c>
      <c r="CR458" s="546" t="s">
        <v>412</v>
      </c>
      <c r="CS458" s="546" t="s">
        <v>355</v>
      </c>
      <c r="CT458" s="546" t="s">
        <v>355</v>
      </c>
      <c r="CU458" s="546" t="s">
        <v>412</v>
      </c>
      <c r="CV458" s="546" t="s">
        <v>353</v>
      </c>
      <c r="CW458" s="546" t="s">
        <v>355</v>
      </c>
      <c r="CX458" s="546" t="s">
        <v>355</v>
      </c>
      <c r="CY458" s="546" t="s">
        <v>412</v>
      </c>
      <c r="CZ458" s="546" t="s">
        <v>412</v>
      </c>
      <c r="DA458" s="546" t="s">
        <v>355</v>
      </c>
      <c r="DB458" s="546" t="s">
        <v>355</v>
      </c>
      <c r="DC458" s="546" t="s">
        <v>412</v>
      </c>
      <c r="DD458" s="546" t="s">
        <v>412</v>
      </c>
      <c r="DE458" s="546" t="s">
        <v>355</v>
      </c>
      <c r="DF458" s="546" t="s">
        <v>355</v>
      </c>
      <c r="DG458" s="546" t="s">
        <v>380</v>
      </c>
      <c r="DH458" s="546" t="s">
        <v>318</v>
      </c>
      <c r="DI458" s="546" t="s">
        <v>355</v>
      </c>
      <c r="DJ458" s="546" t="s">
        <v>355</v>
      </c>
      <c r="DK458" s="546" t="s">
        <v>380</v>
      </c>
      <c r="DL458" s="546" t="s">
        <v>412</v>
      </c>
      <c r="DM458" s="546" t="s">
        <v>355</v>
      </c>
      <c r="DN458" s="546" t="s">
        <v>318</v>
      </c>
      <c r="DO458" s="546" t="s">
        <v>412</v>
      </c>
      <c r="DP458" s="546" t="s">
        <v>353</v>
      </c>
      <c r="DQ458" s="546" t="s">
        <v>428</v>
      </c>
      <c r="DR458" s="520" t="s">
        <v>429</v>
      </c>
      <c r="DT458" s="520" t="s">
        <v>384</v>
      </c>
      <c r="DU458" s="520" t="s">
        <v>332</v>
      </c>
      <c r="DW458" s="520" t="s">
        <v>384</v>
      </c>
      <c r="DX458" s="520" t="s">
        <v>332</v>
      </c>
    </row>
    <row r="459">
      <c r="A459" s="502" t="s">
        <v>288</v>
      </c>
      <c r="B459" s="525"/>
      <c r="C459" s="525"/>
      <c r="D459" s="525"/>
      <c r="E459" s="525"/>
      <c r="F459" s="525"/>
      <c r="G459" s="525"/>
      <c r="H459" s="525"/>
      <c r="I459" s="525"/>
      <c r="J459" s="525"/>
      <c r="K459" s="525"/>
      <c r="L459" s="525"/>
      <c r="M459" s="525"/>
      <c r="N459" s="525"/>
      <c r="O459" s="525"/>
      <c r="P459" s="525"/>
      <c r="Q459" s="525"/>
      <c r="R459" s="525"/>
      <c r="S459" s="525"/>
      <c r="T459" s="525"/>
      <c r="U459" s="525"/>
      <c r="V459" s="525"/>
      <c r="W459" s="525"/>
      <c r="X459" s="525"/>
      <c r="Y459" s="525"/>
      <c r="Z459" s="525"/>
      <c r="AA459" s="525"/>
      <c r="AB459" s="525"/>
      <c r="AC459" s="525"/>
      <c r="AD459" s="525"/>
      <c r="AE459" s="525"/>
      <c r="AF459" s="525"/>
      <c r="AG459" s="525"/>
      <c r="AH459" s="525"/>
      <c r="AI459" s="525"/>
      <c r="AJ459" s="525"/>
      <c r="AK459" s="525"/>
      <c r="AL459" s="525"/>
      <c r="AM459" s="525"/>
      <c r="AN459" s="525"/>
      <c r="AO459" s="525"/>
      <c r="AP459" s="525"/>
      <c r="AQ459" s="525"/>
      <c r="AR459" s="525"/>
      <c r="AS459" s="525"/>
      <c r="AT459" s="525"/>
      <c r="AU459" s="525"/>
      <c r="AV459" s="525"/>
      <c r="AW459" s="525"/>
      <c r="AX459" s="525"/>
      <c r="AY459" s="525"/>
      <c r="AZ459" s="525"/>
      <c r="BA459" s="525"/>
      <c r="BB459" s="525"/>
      <c r="BC459" s="525"/>
      <c r="BD459" s="525"/>
      <c r="BE459" s="525"/>
      <c r="BF459" s="525"/>
      <c r="BG459" s="525"/>
      <c r="BH459" s="525"/>
      <c r="BI459" s="525"/>
      <c r="BJ459" s="525"/>
      <c r="BK459" s="541">
        <v>45689.0</v>
      </c>
      <c r="BL459" s="541">
        <v>45690.0</v>
      </c>
      <c r="BM459" s="541">
        <v>45691.0</v>
      </c>
      <c r="BN459" s="541">
        <v>45692.0</v>
      </c>
      <c r="BO459" s="541">
        <v>45693.0</v>
      </c>
      <c r="BP459" s="541">
        <v>45694.0</v>
      </c>
      <c r="BQ459" s="541">
        <v>45695.0</v>
      </c>
      <c r="BR459" s="541">
        <v>45696.0</v>
      </c>
      <c r="BS459" s="541">
        <v>45697.0</v>
      </c>
      <c r="BT459" s="541">
        <v>45698.0</v>
      </c>
      <c r="BU459" s="541">
        <v>45699.0</v>
      </c>
      <c r="BV459" s="541">
        <v>45700.0</v>
      </c>
      <c r="BW459" s="541">
        <v>45701.0</v>
      </c>
      <c r="BX459" s="541">
        <v>45702.0</v>
      </c>
      <c r="BY459" s="541">
        <v>45703.0</v>
      </c>
      <c r="BZ459" s="541">
        <v>45704.0</v>
      </c>
      <c r="CA459" s="541">
        <v>45705.0</v>
      </c>
      <c r="CB459" s="541">
        <v>45706.0</v>
      </c>
      <c r="CC459" s="541">
        <v>45707.0</v>
      </c>
      <c r="CD459" s="541">
        <v>45708.0</v>
      </c>
      <c r="CE459" s="541">
        <v>45709.0</v>
      </c>
      <c r="CF459" s="541">
        <v>45710.0</v>
      </c>
      <c r="CG459" s="541">
        <v>45711.0</v>
      </c>
      <c r="CH459" s="541">
        <v>45712.0</v>
      </c>
      <c r="CI459" s="541">
        <v>45713.0</v>
      </c>
      <c r="CJ459" s="541">
        <v>45714.0</v>
      </c>
      <c r="CK459" s="541">
        <v>45715.0</v>
      </c>
      <c r="CL459" s="541">
        <v>45716.0</v>
      </c>
      <c r="CM459" s="541"/>
      <c r="CN459" s="602">
        <v>46082.0</v>
      </c>
      <c r="CO459" s="602">
        <v>46083.0</v>
      </c>
      <c r="CP459" s="602">
        <v>46084.0</v>
      </c>
      <c r="CQ459" s="602">
        <v>46085.0</v>
      </c>
      <c r="CR459" s="602">
        <v>46086.0</v>
      </c>
      <c r="CS459" s="602">
        <v>46087.0</v>
      </c>
      <c r="CT459" s="602">
        <v>46088.0</v>
      </c>
      <c r="CU459" s="602">
        <v>46089.0</v>
      </c>
      <c r="CV459" s="602">
        <v>46090.0</v>
      </c>
      <c r="CW459" s="602">
        <v>46091.0</v>
      </c>
      <c r="CX459" s="602">
        <v>46092.0</v>
      </c>
      <c r="CY459" s="602">
        <v>46093.0</v>
      </c>
      <c r="CZ459" s="602">
        <v>46094.0</v>
      </c>
      <c r="DA459" s="602">
        <v>46095.0</v>
      </c>
      <c r="DB459" s="602">
        <v>46096.0</v>
      </c>
      <c r="DC459" s="602">
        <v>46097.0</v>
      </c>
      <c r="DD459" s="602">
        <v>46098.0</v>
      </c>
      <c r="DE459" s="602">
        <v>46099.0</v>
      </c>
      <c r="DF459" s="602">
        <v>46100.0</v>
      </c>
      <c r="DG459" s="602">
        <v>46101.0</v>
      </c>
      <c r="DH459" s="602">
        <v>46102.0</v>
      </c>
      <c r="DI459" s="602">
        <v>46103.0</v>
      </c>
      <c r="DJ459" s="602">
        <v>46104.0</v>
      </c>
      <c r="DK459" s="602">
        <v>46105.0</v>
      </c>
      <c r="DL459" s="602">
        <v>46106.0</v>
      </c>
      <c r="DM459" s="602">
        <v>46107.0</v>
      </c>
      <c r="DN459" s="602">
        <v>46108.0</v>
      </c>
      <c r="DO459" s="602">
        <v>46109.0</v>
      </c>
      <c r="DP459" s="602">
        <v>46110.0</v>
      </c>
      <c r="DQ459" s="602">
        <v>46111.0</v>
      </c>
      <c r="DR459" s="602">
        <v>46112.0</v>
      </c>
      <c r="DS459" s="520" t="s">
        <v>320</v>
      </c>
      <c r="DT459" s="574">
        <f>CO462+CP462+CS462+CT462+CW462+CX462+DA462+DB462</f>
        <v>693.71</v>
      </c>
      <c r="DU459" s="520">
        <v>1700.0</v>
      </c>
      <c r="DX459" s="510"/>
    </row>
    <row r="460">
      <c r="A460" s="502" t="s">
        <v>289</v>
      </c>
      <c r="B460" s="525"/>
      <c r="C460" s="525"/>
      <c r="D460" s="525"/>
      <c r="E460" s="525"/>
      <c r="F460" s="525"/>
      <c r="G460" s="525"/>
      <c r="H460" s="525"/>
      <c r="I460" s="525"/>
      <c r="J460" s="525"/>
      <c r="K460" s="525"/>
      <c r="L460" s="525"/>
      <c r="M460" s="525"/>
      <c r="N460" s="525"/>
      <c r="O460" s="525"/>
      <c r="P460" s="525"/>
      <c r="Q460" s="525"/>
      <c r="R460" s="525"/>
      <c r="S460" s="525"/>
      <c r="T460" s="525"/>
      <c r="U460" s="525"/>
      <c r="V460" s="525"/>
      <c r="W460" s="525"/>
      <c r="X460" s="525"/>
      <c r="Y460" s="525"/>
      <c r="Z460" s="525"/>
      <c r="AA460" s="525"/>
      <c r="AB460" s="525"/>
      <c r="AC460" s="525"/>
      <c r="AD460" s="525"/>
      <c r="AE460" s="525"/>
      <c r="AF460" s="525"/>
      <c r="AG460" s="525"/>
      <c r="AH460" s="525"/>
      <c r="AI460" s="525"/>
      <c r="AJ460" s="525"/>
      <c r="AK460" s="525"/>
      <c r="AL460" s="525"/>
      <c r="AM460" s="525"/>
      <c r="AN460" s="525"/>
      <c r="AO460" s="525"/>
      <c r="AP460" s="525"/>
      <c r="AQ460" s="525"/>
      <c r="AR460" s="525"/>
      <c r="AS460" s="525"/>
      <c r="AT460" s="525"/>
      <c r="AU460" s="525"/>
      <c r="AV460" s="525"/>
      <c r="AW460" s="525"/>
      <c r="AX460" s="525"/>
      <c r="AY460" s="525"/>
      <c r="AZ460" s="525"/>
      <c r="BA460" s="525"/>
      <c r="BB460" s="525"/>
      <c r="BC460" s="525"/>
      <c r="BD460" s="525"/>
      <c r="BE460" s="525"/>
      <c r="BF460" s="525"/>
      <c r="BG460" s="525"/>
      <c r="BH460" s="525"/>
      <c r="BI460" s="525"/>
      <c r="BJ460" s="525"/>
      <c r="BK460" s="512">
        <v>99.0</v>
      </c>
      <c r="BL460" s="512">
        <v>117.0</v>
      </c>
      <c r="BM460" s="512">
        <v>121.0</v>
      </c>
      <c r="BN460" s="512">
        <v>105.0</v>
      </c>
      <c r="BO460" s="512">
        <v>97.0</v>
      </c>
      <c r="BP460" s="512">
        <v>98.0</v>
      </c>
      <c r="BQ460" s="512">
        <v>110.0</v>
      </c>
      <c r="BR460" s="512">
        <v>141.0</v>
      </c>
      <c r="BS460" s="512">
        <v>157.0</v>
      </c>
      <c r="BT460" s="512">
        <v>98.0</v>
      </c>
      <c r="BU460" s="512">
        <v>130.0</v>
      </c>
      <c r="BV460" s="512">
        <v>130.0</v>
      </c>
      <c r="BW460" s="512">
        <v>153.0</v>
      </c>
      <c r="BX460" s="512">
        <v>131.0</v>
      </c>
      <c r="BY460" s="512">
        <v>126.0</v>
      </c>
      <c r="BZ460" s="512">
        <v>160.0</v>
      </c>
      <c r="CA460" s="512">
        <v>151.0</v>
      </c>
      <c r="CB460" s="512">
        <v>99.0</v>
      </c>
      <c r="CC460" s="512">
        <v>125.0</v>
      </c>
      <c r="CD460" s="512">
        <v>168.0</v>
      </c>
      <c r="CE460" s="512">
        <v>164.0</v>
      </c>
      <c r="CF460" s="512">
        <v>174.0</v>
      </c>
      <c r="CG460" s="512">
        <v>161.0</v>
      </c>
      <c r="CH460" s="512">
        <v>117.0</v>
      </c>
      <c r="CI460" s="512">
        <v>139.0</v>
      </c>
      <c r="CJ460" s="512">
        <v>131.0</v>
      </c>
      <c r="CK460" s="512">
        <v>98.0</v>
      </c>
      <c r="CL460" s="512">
        <v>196.0</v>
      </c>
      <c r="CM460" s="514"/>
      <c r="CN460" s="561">
        <v>241.0</v>
      </c>
      <c r="CO460" s="561">
        <v>305.0</v>
      </c>
      <c r="CP460" s="561">
        <v>232.0</v>
      </c>
      <c r="CQ460" s="561">
        <v>300.0</v>
      </c>
      <c r="CR460" s="561">
        <v>337.0</v>
      </c>
      <c r="CS460" s="561">
        <v>277.0</v>
      </c>
      <c r="CT460" s="561">
        <v>315.0</v>
      </c>
      <c r="CU460" s="561">
        <v>185.0</v>
      </c>
      <c r="CV460" s="591">
        <v>224.0</v>
      </c>
      <c r="CW460" s="591">
        <v>206.0</v>
      </c>
      <c r="CX460" s="591">
        <v>162.0</v>
      </c>
      <c r="CY460" s="591">
        <v>205.0</v>
      </c>
      <c r="CZ460" s="591">
        <v>174.0</v>
      </c>
      <c r="DA460" s="591">
        <v>289.0</v>
      </c>
      <c r="DB460" s="561">
        <v>279.0</v>
      </c>
      <c r="DC460" s="561">
        <v>179.0</v>
      </c>
      <c r="DD460" s="561">
        <v>178.0</v>
      </c>
      <c r="DE460" s="561">
        <v>186.0</v>
      </c>
      <c r="DF460" s="561">
        <v>173.0</v>
      </c>
      <c r="DG460" s="561">
        <v>202.0</v>
      </c>
      <c r="DH460" s="561">
        <v>231.0</v>
      </c>
      <c r="DI460" s="561">
        <v>206.0</v>
      </c>
      <c r="DJ460" s="561">
        <v>161.0</v>
      </c>
      <c r="DK460" s="561">
        <v>205.0</v>
      </c>
      <c r="DL460" s="561">
        <v>180.0</v>
      </c>
      <c r="DM460" s="561">
        <v>192.0</v>
      </c>
      <c r="DN460" s="561">
        <v>211.0</v>
      </c>
      <c r="DO460" s="561">
        <v>162.0</v>
      </c>
      <c r="DP460" s="561">
        <v>231.0</v>
      </c>
      <c r="DQ460" s="561">
        <v>186.0</v>
      </c>
      <c r="DR460" s="513">
        <v>143.0</v>
      </c>
      <c r="DS460" s="520" t="s">
        <v>339</v>
      </c>
      <c r="DT460" s="574">
        <f>CN462</f>
        <v>73.1</v>
      </c>
      <c r="DU460" s="520">
        <v>200.0</v>
      </c>
      <c r="DX460" s="510"/>
      <c r="DZ460" s="574">
        <f t="shared" ref="DZ460:DZ461" si="50">SUM(CN460:DR460)</f>
        <v>6757</v>
      </c>
      <c r="EA460" s="530">
        <f t="shared" ref="EA460:EA461" si="51">DZ460/31</f>
        <v>217.9677419</v>
      </c>
    </row>
    <row r="461">
      <c r="A461" s="521" t="s">
        <v>290</v>
      </c>
      <c r="B461" s="525"/>
      <c r="C461" s="525"/>
      <c r="D461" s="525"/>
      <c r="E461" s="525"/>
      <c r="F461" s="525"/>
      <c r="G461" s="525"/>
      <c r="H461" s="525"/>
      <c r="I461" s="525"/>
      <c r="J461" s="525"/>
      <c r="K461" s="525"/>
      <c r="L461" s="525"/>
      <c r="M461" s="525"/>
      <c r="N461" s="525"/>
      <c r="O461" s="525"/>
      <c r="P461" s="525"/>
      <c r="Q461" s="525"/>
      <c r="R461" s="525"/>
      <c r="S461" s="525"/>
      <c r="T461" s="525"/>
      <c r="U461" s="525"/>
      <c r="V461" s="525"/>
      <c r="W461" s="525"/>
      <c r="X461" s="525"/>
      <c r="Y461" s="525"/>
      <c r="Z461" s="525"/>
      <c r="AA461" s="525"/>
      <c r="AB461" s="525"/>
      <c r="AC461" s="525"/>
      <c r="AD461" s="525"/>
      <c r="AE461" s="525"/>
      <c r="AF461" s="525"/>
      <c r="AG461" s="525"/>
      <c r="AH461" s="525"/>
      <c r="AI461" s="525"/>
      <c r="AJ461" s="525"/>
      <c r="AK461" s="525"/>
      <c r="AL461" s="525"/>
      <c r="AM461" s="525"/>
      <c r="AN461" s="525"/>
      <c r="AO461" s="525"/>
      <c r="AP461" s="525"/>
      <c r="AQ461" s="525"/>
      <c r="AR461" s="525"/>
      <c r="AS461" s="525"/>
      <c r="AT461" s="525"/>
      <c r="AU461" s="525"/>
      <c r="AV461" s="525"/>
      <c r="AW461" s="525"/>
      <c r="AX461" s="525"/>
      <c r="AY461" s="525"/>
      <c r="AZ461" s="525"/>
      <c r="BA461" s="525"/>
      <c r="BB461" s="525"/>
      <c r="BC461" s="525"/>
      <c r="BD461" s="525"/>
      <c r="BE461" s="525"/>
      <c r="BF461" s="525"/>
      <c r="BG461" s="525"/>
      <c r="BH461" s="525"/>
      <c r="BI461" s="525"/>
      <c r="BJ461" s="525"/>
      <c r="BK461" s="512">
        <v>44.0</v>
      </c>
      <c r="BL461" s="512">
        <v>55.0</v>
      </c>
      <c r="BM461" s="512">
        <v>47.0</v>
      </c>
      <c r="BN461" s="512">
        <v>39.0</v>
      </c>
      <c r="BO461" s="512">
        <v>54.0</v>
      </c>
      <c r="BP461" s="512">
        <v>46.0</v>
      </c>
      <c r="BQ461" s="512">
        <v>51.0</v>
      </c>
      <c r="BR461" s="512">
        <v>48.0</v>
      </c>
      <c r="BS461" s="512">
        <v>55.0</v>
      </c>
      <c r="BT461" s="512">
        <v>41.0</v>
      </c>
      <c r="BU461" s="512">
        <v>57.0</v>
      </c>
      <c r="BV461" s="512">
        <v>57.0</v>
      </c>
      <c r="BW461" s="512">
        <v>59.0</v>
      </c>
      <c r="BX461" s="512">
        <v>41.0</v>
      </c>
      <c r="BY461" s="512">
        <v>52.0</v>
      </c>
      <c r="BZ461" s="512">
        <v>61.0</v>
      </c>
      <c r="CA461" s="512">
        <v>52.0</v>
      </c>
      <c r="CB461" s="512">
        <v>38.0</v>
      </c>
      <c r="CC461" s="512">
        <v>53.0</v>
      </c>
      <c r="CD461" s="512">
        <v>77.0</v>
      </c>
      <c r="CE461" s="512">
        <v>59.0</v>
      </c>
      <c r="CF461" s="512">
        <v>70.0</v>
      </c>
      <c r="CG461" s="512">
        <v>77.0</v>
      </c>
      <c r="CH461" s="512">
        <v>47.0</v>
      </c>
      <c r="CI461" s="512">
        <v>51.0</v>
      </c>
      <c r="CJ461" s="512">
        <v>54.0</v>
      </c>
      <c r="CK461" s="512">
        <v>43.0</v>
      </c>
      <c r="CL461" s="512">
        <v>75.0</v>
      </c>
      <c r="CM461" s="566">
        <f>SUM(BK461:CL461)/28</f>
        <v>53.67857143</v>
      </c>
      <c r="CN461" s="561">
        <v>85.0</v>
      </c>
      <c r="CO461" s="561">
        <v>105.0</v>
      </c>
      <c r="CP461" s="561">
        <v>88.0</v>
      </c>
      <c r="CQ461" s="561">
        <v>93.0</v>
      </c>
      <c r="CR461" s="561">
        <v>107.0</v>
      </c>
      <c r="CS461" s="561">
        <v>111.0</v>
      </c>
      <c r="CT461" s="561">
        <v>117.0</v>
      </c>
      <c r="CU461" s="561">
        <v>81.0</v>
      </c>
      <c r="CV461" s="591">
        <v>104.0</v>
      </c>
      <c r="CW461" s="591">
        <v>81.0</v>
      </c>
      <c r="CX461" s="591">
        <v>72.0</v>
      </c>
      <c r="CY461" s="591">
        <v>79.0</v>
      </c>
      <c r="CZ461" s="591">
        <v>70.0</v>
      </c>
      <c r="DA461" s="591">
        <v>89.0</v>
      </c>
      <c r="DB461" s="561">
        <v>110.0</v>
      </c>
      <c r="DC461" s="561">
        <v>79.0</v>
      </c>
      <c r="DD461" s="561">
        <v>78.0</v>
      </c>
      <c r="DE461" s="561">
        <v>81.0</v>
      </c>
      <c r="DF461" s="561">
        <v>76.0</v>
      </c>
      <c r="DG461" s="561">
        <v>73.0</v>
      </c>
      <c r="DH461" s="561">
        <v>89.0</v>
      </c>
      <c r="DI461" s="561">
        <v>87.0</v>
      </c>
      <c r="DJ461" s="561">
        <v>68.0</v>
      </c>
      <c r="DK461" s="561">
        <v>80.0</v>
      </c>
      <c r="DL461" s="561">
        <v>81.0</v>
      </c>
      <c r="DM461" s="561">
        <v>82.0</v>
      </c>
      <c r="DN461" s="561">
        <v>82.0</v>
      </c>
      <c r="DO461" s="561">
        <v>66.0</v>
      </c>
      <c r="DP461" s="561">
        <v>92.0</v>
      </c>
      <c r="DQ461" s="561">
        <v>79.0</v>
      </c>
      <c r="DR461" s="539"/>
      <c r="DS461" s="520" t="s">
        <v>397</v>
      </c>
      <c r="DT461" s="574">
        <f>CQ462+CR462+CU462+CY462+CZ462</f>
        <v>369.02</v>
      </c>
      <c r="DU461" s="520">
        <v>1000.0</v>
      </c>
      <c r="DX461" s="510"/>
      <c r="DZ461" s="574">
        <f t="shared" si="50"/>
        <v>2585</v>
      </c>
      <c r="EA461" s="530">
        <f t="shared" si="51"/>
        <v>83.38709677</v>
      </c>
    </row>
    <row r="462">
      <c r="A462" s="502" t="s">
        <v>291</v>
      </c>
      <c r="B462" s="537"/>
      <c r="C462" s="537"/>
      <c r="D462" s="537"/>
      <c r="E462" s="537"/>
      <c r="F462" s="537"/>
      <c r="G462" s="537"/>
      <c r="H462" s="537"/>
      <c r="I462" s="537"/>
      <c r="J462" s="537"/>
      <c r="K462" s="537"/>
      <c r="L462" s="537"/>
      <c r="M462" s="537"/>
      <c r="N462" s="537"/>
      <c r="O462" s="537"/>
      <c r="P462" s="537"/>
      <c r="Q462" s="537"/>
      <c r="R462" s="537"/>
      <c r="S462" s="537"/>
      <c r="T462" s="537"/>
      <c r="U462" s="537"/>
      <c r="V462" s="537"/>
      <c r="W462" s="537"/>
      <c r="X462" s="537"/>
      <c r="Y462" s="537"/>
      <c r="Z462" s="537"/>
      <c r="AA462" s="537"/>
      <c r="AB462" s="537"/>
      <c r="AC462" s="537"/>
      <c r="AD462" s="537"/>
      <c r="AE462" s="537"/>
      <c r="AF462" s="537"/>
      <c r="AG462" s="537"/>
      <c r="AH462" s="537"/>
      <c r="AI462" s="537"/>
      <c r="AJ462" s="537"/>
      <c r="AK462" s="537"/>
      <c r="AL462" s="537"/>
      <c r="AM462" s="537"/>
      <c r="AN462" s="537"/>
      <c r="AO462" s="537"/>
      <c r="AP462" s="537"/>
      <c r="AQ462" s="537"/>
      <c r="AR462" s="537"/>
      <c r="AS462" s="537"/>
      <c r="AT462" s="537"/>
      <c r="AU462" s="537"/>
      <c r="AV462" s="537"/>
      <c r="AW462" s="537"/>
      <c r="AX462" s="537"/>
      <c r="AY462" s="537"/>
      <c r="AZ462" s="537"/>
      <c r="BA462" s="537"/>
      <c r="BB462" s="537"/>
      <c r="BC462" s="537"/>
      <c r="BD462" s="537"/>
      <c r="BE462" s="537"/>
      <c r="BF462" s="537"/>
      <c r="BG462" s="537"/>
      <c r="BH462" s="537"/>
      <c r="BI462" s="537"/>
      <c r="BJ462" s="537"/>
      <c r="BK462" s="537">
        <v>-295.52</v>
      </c>
      <c r="BL462" s="537">
        <v>-42.77</v>
      </c>
      <c r="BM462" s="537">
        <v>24.22</v>
      </c>
      <c r="BN462" s="537">
        <v>-438.28</v>
      </c>
      <c r="BO462" s="537">
        <v>35.84</v>
      </c>
      <c r="BP462" s="537">
        <v>-15.94</v>
      </c>
      <c r="BQ462" s="537">
        <v>33.53</v>
      </c>
      <c r="BR462" s="537">
        <v>48.55</v>
      </c>
      <c r="BS462" s="537">
        <v>-179.22</v>
      </c>
      <c r="BT462" s="537">
        <v>-2.05</v>
      </c>
      <c r="BU462" s="537">
        <v>54.16</v>
      </c>
      <c r="BV462" s="537">
        <v>-203.07</v>
      </c>
      <c r="BW462" s="537">
        <v>53.0</v>
      </c>
      <c r="BX462" s="537">
        <v>35.32</v>
      </c>
      <c r="BY462" s="537">
        <v>52.07</v>
      </c>
      <c r="BZ462" s="537">
        <v>38.49</v>
      </c>
      <c r="CA462" s="537">
        <v>54.6</v>
      </c>
      <c r="CB462" s="537">
        <v>43.14</v>
      </c>
      <c r="CC462" s="537">
        <v>-87.46</v>
      </c>
      <c r="CD462" s="537">
        <v>47.24</v>
      </c>
      <c r="CE462" s="537">
        <v>-66.14</v>
      </c>
      <c r="CF462" s="537">
        <v>54.48</v>
      </c>
      <c r="CG462" s="537">
        <v>59.5</v>
      </c>
      <c r="CH462" s="537">
        <v>-90.39</v>
      </c>
      <c r="CI462" s="537">
        <v>50.36</v>
      </c>
      <c r="CJ462" s="537">
        <v>32.76</v>
      </c>
      <c r="CK462" s="537">
        <v>-310.39</v>
      </c>
      <c r="CL462" s="537">
        <v>-88.51</v>
      </c>
      <c r="CM462" s="537"/>
      <c r="CN462" s="537">
        <v>73.1</v>
      </c>
      <c r="CO462" s="537">
        <v>61.14</v>
      </c>
      <c r="CP462" s="537">
        <v>66.68</v>
      </c>
      <c r="CQ462" s="537">
        <v>83.24</v>
      </c>
      <c r="CR462" s="513">
        <v>68.02</v>
      </c>
      <c r="CS462" s="537">
        <v>97.54</v>
      </c>
      <c r="CT462" s="537">
        <v>112.57</v>
      </c>
      <c r="CU462" s="537">
        <v>54.06</v>
      </c>
      <c r="CV462" s="536">
        <v>69.3</v>
      </c>
      <c r="CW462" s="593">
        <v>91.73</v>
      </c>
      <c r="CX462" s="593">
        <v>55.98</v>
      </c>
      <c r="CY462" s="593">
        <v>72.52</v>
      </c>
      <c r="CZ462" s="595">
        <v>91.18</v>
      </c>
      <c r="DA462" s="593">
        <v>84.72</v>
      </c>
      <c r="DB462" s="537">
        <v>123.35</v>
      </c>
      <c r="DC462" s="537">
        <v>75.41</v>
      </c>
      <c r="DD462" s="513">
        <v>98.54</v>
      </c>
      <c r="DE462" s="537">
        <v>87.3</v>
      </c>
      <c r="DF462" s="537">
        <v>111.08</v>
      </c>
      <c r="DG462" s="537">
        <v>47.89</v>
      </c>
      <c r="DH462" s="537">
        <v>76.14</v>
      </c>
      <c r="DI462" s="537">
        <v>81.93</v>
      </c>
      <c r="DJ462" s="537">
        <v>78.94</v>
      </c>
      <c r="DK462" s="537"/>
      <c r="DL462" s="537"/>
      <c r="DM462" s="537"/>
      <c r="DN462" s="537"/>
      <c r="DO462" s="537"/>
      <c r="DP462" s="537"/>
      <c r="DQ462" s="537"/>
      <c r="DR462" s="539"/>
      <c r="DS462" s="520" t="s">
        <v>314</v>
      </c>
      <c r="DT462" s="574">
        <f>CV462</f>
        <v>69.3</v>
      </c>
      <c r="DU462" s="520">
        <v>200.0</v>
      </c>
      <c r="DX462" s="530"/>
    </row>
    <row r="463">
      <c r="A463" s="531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  <c r="AT463" s="118"/>
      <c r="AU463" s="118"/>
      <c r="AV463" s="118"/>
      <c r="AW463" s="118"/>
      <c r="AX463" s="118"/>
      <c r="AY463" s="118"/>
      <c r="AZ463" s="118"/>
      <c r="BA463" s="118"/>
      <c r="BB463" s="118"/>
      <c r="BC463" s="118"/>
      <c r="BD463" s="118"/>
      <c r="BE463" s="118"/>
      <c r="BF463" s="118"/>
      <c r="BG463" s="118"/>
      <c r="BH463" s="118"/>
      <c r="BI463" s="118"/>
      <c r="BJ463" s="118"/>
      <c r="BK463" s="118"/>
      <c r="BL463" s="118"/>
      <c r="BM463" s="118"/>
      <c r="BN463" s="118"/>
      <c r="BO463" s="118"/>
      <c r="BP463" s="118"/>
      <c r="BQ463" s="118"/>
      <c r="BR463" s="118"/>
      <c r="BS463" s="118"/>
      <c r="BT463" s="118"/>
      <c r="BU463" s="118"/>
      <c r="BV463" s="118"/>
      <c r="BW463" s="118"/>
      <c r="BX463" s="118"/>
      <c r="BY463" s="118"/>
      <c r="BZ463" s="118"/>
      <c r="CA463" s="118"/>
      <c r="CB463" s="118"/>
      <c r="CC463" s="118"/>
      <c r="CD463" s="118"/>
      <c r="CE463" s="118"/>
      <c r="CF463" s="118"/>
      <c r="CG463" s="118"/>
      <c r="CH463" s="118"/>
      <c r="CI463" s="118"/>
      <c r="CJ463" s="118"/>
      <c r="CK463" s="118"/>
      <c r="CL463" s="118"/>
      <c r="CM463" s="118"/>
      <c r="CN463" s="118"/>
      <c r="CO463" s="546"/>
      <c r="CP463" s="118"/>
      <c r="CQ463" s="118"/>
      <c r="CR463" s="118"/>
      <c r="CS463" s="546"/>
      <c r="CT463" s="118"/>
      <c r="CU463" s="118"/>
      <c r="CV463" s="577"/>
      <c r="CW463" s="577"/>
      <c r="CX463" s="577"/>
      <c r="CY463" s="577"/>
      <c r="CZ463" s="577"/>
      <c r="DA463" s="577"/>
      <c r="DB463" s="118"/>
      <c r="DC463" s="118"/>
      <c r="DD463" s="118"/>
      <c r="DE463" s="118"/>
      <c r="DF463" s="118"/>
      <c r="DG463" s="118"/>
      <c r="DH463" s="118"/>
      <c r="DI463" s="118"/>
      <c r="DJ463" s="118"/>
      <c r="DK463" s="118"/>
      <c r="DL463" s="118"/>
      <c r="DM463" s="118"/>
      <c r="DN463" s="546"/>
      <c r="DO463" s="118"/>
      <c r="DP463" s="118"/>
      <c r="DQ463" s="118"/>
      <c r="DX463" s="510"/>
    </row>
    <row r="464">
      <c r="A464" s="531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  <c r="AT464" s="118"/>
      <c r="AU464" s="118"/>
      <c r="AV464" s="118"/>
      <c r="AW464" s="118"/>
      <c r="AX464" s="118"/>
      <c r="AY464" s="118"/>
      <c r="AZ464" s="118"/>
      <c r="BA464" s="118"/>
      <c r="BB464" s="118"/>
      <c r="BC464" s="118"/>
      <c r="BD464" s="118"/>
      <c r="BE464" s="118"/>
      <c r="BF464" s="118"/>
      <c r="BG464" s="118"/>
      <c r="BH464" s="118"/>
      <c r="BI464" s="118"/>
      <c r="BJ464" s="118"/>
      <c r="BK464" s="118"/>
      <c r="BL464" s="118"/>
      <c r="BM464" s="118"/>
      <c r="BN464" s="118"/>
      <c r="BO464" s="118"/>
      <c r="BP464" s="118"/>
      <c r="BQ464" s="118"/>
      <c r="BR464" s="118"/>
      <c r="BS464" s="118"/>
      <c r="BT464" s="118"/>
      <c r="BU464" s="118"/>
      <c r="BV464" s="118"/>
      <c r="BW464" s="118"/>
      <c r="BX464" s="118"/>
      <c r="BY464" s="118"/>
      <c r="BZ464" s="118"/>
      <c r="CA464" s="118"/>
      <c r="CB464" s="118"/>
      <c r="CC464" s="118"/>
      <c r="CD464" s="118"/>
      <c r="CE464" s="118"/>
      <c r="CF464" s="118"/>
      <c r="CG464" s="118"/>
      <c r="CH464" s="118"/>
      <c r="CI464" s="118"/>
      <c r="CJ464" s="118"/>
      <c r="CK464" s="118"/>
      <c r="CL464" s="118"/>
      <c r="CM464" s="118"/>
      <c r="CN464" s="118"/>
      <c r="CO464" s="118"/>
      <c r="CP464" s="118"/>
      <c r="CQ464" s="118"/>
      <c r="CR464" s="118"/>
      <c r="CS464" s="118"/>
      <c r="CT464" s="118"/>
      <c r="CU464" s="118"/>
      <c r="CV464" s="577"/>
      <c r="CW464" s="577"/>
      <c r="CX464" s="577"/>
      <c r="CY464" s="577"/>
      <c r="CZ464" s="577"/>
      <c r="DA464" s="577"/>
      <c r="DB464" s="118"/>
      <c r="DC464" s="118"/>
      <c r="DD464" s="118"/>
      <c r="DE464" s="118"/>
      <c r="DF464" s="118"/>
      <c r="DG464" s="118"/>
      <c r="DH464" s="118"/>
      <c r="DI464" s="118"/>
      <c r="DJ464" s="118"/>
      <c r="DK464" s="118"/>
      <c r="DL464" s="118"/>
      <c r="DM464" s="118"/>
      <c r="DN464" s="118"/>
      <c r="DO464" s="118"/>
      <c r="DP464" s="118"/>
      <c r="DQ464" s="118"/>
      <c r="DX464" s="510"/>
    </row>
    <row r="465">
      <c r="A465" s="500" t="s">
        <v>49</v>
      </c>
      <c r="CN465" s="546" t="s">
        <v>380</v>
      </c>
      <c r="CO465" s="546" t="s">
        <v>380</v>
      </c>
      <c r="CP465" s="546" t="s">
        <v>420</v>
      </c>
      <c r="CQ465" s="546" t="s">
        <v>420</v>
      </c>
      <c r="CR465" s="546" t="s">
        <v>380</v>
      </c>
      <c r="CS465" s="546" t="s">
        <v>380</v>
      </c>
      <c r="CT465" s="546" t="s">
        <v>353</v>
      </c>
      <c r="CU465" s="546" t="s">
        <v>420</v>
      </c>
      <c r="CV465" s="546" t="s">
        <v>380</v>
      </c>
      <c r="CW465" s="546" t="s">
        <v>380</v>
      </c>
      <c r="CX465" s="546" t="s">
        <v>420</v>
      </c>
      <c r="CY465" s="546" t="s">
        <v>420</v>
      </c>
      <c r="CZ465" s="546" t="s">
        <v>430</v>
      </c>
      <c r="DA465" s="546" t="s">
        <v>353</v>
      </c>
      <c r="DB465" s="546" t="s">
        <v>353</v>
      </c>
      <c r="DC465" s="546" t="s">
        <v>420</v>
      </c>
      <c r="DD465" s="546" t="s">
        <v>380</v>
      </c>
      <c r="DE465" s="546" t="s">
        <v>380</v>
      </c>
      <c r="DF465" s="546" t="s">
        <v>420</v>
      </c>
      <c r="DG465" s="546" t="s">
        <v>420</v>
      </c>
      <c r="DH465" s="546" t="s">
        <v>380</v>
      </c>
      <c r="DI465" s="546" t="s">
        <v>380</v>
      </c>
      <c r="DJ465" s="546" t="s">
        <v>420</v>
      </c>
      <c r="DK465" s="546" t="s">
        <v>420</v>
      </c>
      <c r="DL465" s="546" t="s">
        <v>380</v>
      </c>
      <c r="DM465" s="546" t="s">
        <v>380</v>
      </c>
      <c r="DN465" s="546" t="s">
        <v>420</v>
      </c>
      <c r="DO465" s="546" t="s">
        <v>420</v>
      </c>
      <c r="DP465" s="546" t="s">
        <v>380</v>
      </c>
      <c r="DQ465" s="546" t="s">
        <v>380</v>
      </c>
      <c r="DR465" s="520" t="s">
        <v>420</v>
      </c>
      <c r="DT465" s="520"/>
      <c r="DU465" s="520"/>
      <c r="DW465" s="520"/>
      <c r="DX465" s="520"/>
    </row>
    <row r="466">
      <c r="A466" s="502" t="s">
        <v>288</v>
      </c>
      <c r="CN466" s="602">
        <v>46082.0</v>
      </c>
      <c r="CO466" s="602">
        <v>46083.0</v>
      </c>
      <c r="CP466" s="602">
        <v>46084.0</v>
      </c>
      <c r="CQ466" s="602">
        <v>46085.0</v>
      </c>
      <c r="CR466" s="602">
        <v>46086.0</v>
      </c>
      <c r="CS466" s="602">
        <v>46087.0</v>
      </c>
      <c r="CT466" s="602">
        <v>46088.0</v>
      </c>
      <c r="CU466" s="602">
        <v>46089.0</v>
      </c>
      <c r="CV466" s="602">
        <v>46090.0</v>
      </c>
      <c r="CW466" s="602">
        <v>46091.0</v>
      </c>
      <c r="CX466" s="602">
        <v>46092.0</v>
      </c>
      <c r="CY466" s="602">
        <v>46093.0</v>
      </c>
      <c r="CZ466" s="602">
        <v>46094.0</v>
      </c>
      <c r="DA466" s="602">
        <v>46095.0</v>
      </c>
      <c r="DB466" s="602">
        <v>46096.0</v>
      </c>
      <c r="DC466" s="602">
        <v>46097.0</v>
      </c>
      <c r="DD466" s="602">
        <v>46098.0</v>
      </c>
      <c r="DE466" s="602">
        <v>46099.0</v>
      </c>
      <c r="DF466" s="602">
        <v>46100.0</v>
      </c>
      <c r="DG466" s="602">
        <v>46101.0</v>
      </c>
      <c r="DH466" s="602">
        <v>46102.0</v>
      </c>
      <c r="DI466" s="602">
        <v>46103.0</v>
      </c>
      <c r="DJ466" s="602">
        <v>46104.0</v>
      </c>
      <c r="DK466" s="602">
        <v>46105.0</v>
      </c>
      <c r="DL466" s="602">
        <v>46106.0</v>
      </c>
      <c r="DM466" s="602">
        <v>46107.0</v>
      </c>
      <c r="DN466" s="602">
        <v>46108.0</v>
      </c>
      <c r="DO466" s="602">
        <v>46109.0</v>
      </c>
      <c r="DP466" s="602">
        <v>46110.0</v>
      </c>
      <c r="DQ466" s="602">
        <v>46111.0</v>
      </c>
      <c r="DR466" s="602">
        <v>46112.0</v>
      </c>
      <c r="DT466" s="520" t="s">
        <v>384</v>
      </c>
      <c r="DU466" s="520" t="s">
        <v>332</v>
      </c>
      <c r="DW466" s="520" t="s">
        <v>384</v>
      </c>
      <c r="DX466" s="520" t="s">
        <v>332</v>
      </c>
    </row>
    <row r="467">
      <c r="A467" s="502" t="s">
        <v>289</v>
      </c>
      <c r="CN467" s="561">
        <v>167.0</v>
      </c>
      <c r="CO467" s="561">
        <v>205.0</v>
      </c>
      <c r="CP467" s="561">
        <v>166.0</v>
      </c>
      <c r="CQ467" s="561">
        <v>188.0</v>
      </c>
      <c r="CR467" s="561">
        <v>180.0</v>
      </c>
      <c r="CS467" s="561">
        <v>262.0</v>
      </c>
      <c r="CT467" s="561">
        <v>182.0</v>
      </c>
      <c r="CU467" s="561">
        <v>173.0</v>
      </c>
      <c r="CV467" s="561">
        <v>184.0</v>
      </c>
      <c r="CW467" s="561">
        <v>169.0</v>
      </c>
      <c r="CX467" s="561">
        <v>128.0</v>
      </c>
      <c r="CY467" s="561">
        <v>174.0</v>
      </c>
      <c r="CZ467" s="561">
        <v>189.0</v>
      </c>
      <c r="DA467" s="561">
        <v>186.0</v>
      </c>
      <c r="DB467" s="561">
        <v>120.0</v>
      </c>
      <c r="DC467" s="561">
        <v>162.0</v>
      </c>
      <c r="DD467" s="561">
        <v>177.0</v>
      </c>
      <c r="DE467" s="561">
        <v>164.0</v>
      </c>
      <c r="DF467" s="561">
        <v>150.0</v>
      </c>
      <c r="DG467" s="561">
        <v>198.0</v>
      </c>
      <c r="DH467" s="561">
        <v>153.0</v>
      </c>
      <c r="DI467" s="561">
        <v>189.0</v>
      </c>
      <c r="DJ467" s="561">
        <v>220.0</v>
      </c>
      <c r="DK467" s="105">
        <v>187.0</v>
      </c>
      <c r="DL467" s="561">
        <v>218.0</v>
      </c>
      <c r="DM467" s="561">
        <v>212.0</v>
      </c>
      <c r="DN467" s="561">
        <v>183.0</v>
      </c>
      <c r="DO467" s="561">
        <v>199.0</v>
      </c>
      <c r="DP467" s="561">
        <v>167.0</v>
      </c>
      <c r="DQ467" s="561">
        <v>142.0</v>
      </c>
      <c r="DR467" s="513">
        <v>141.0</v>
      </c>
      <c r="DS467" s="520" t="s">
        <v>376</v>
      </c>
      <c r="DT467" s="574">
        <f>CN469+CO469+CR469+CS469+CV469+CW469</f>
        <v>367.91</v>
      </c>
      <c r="DU467" s="520">
        <v>800.0</v>
      </c>
      <c r="DX467" s="510"/>
      <c r="DZ467" s="574">
        <f t="shared" ref="DZ467:DZ468" si="52">SUM(CN467:DQ467)</f>
        <v>5394</v>
      </c>
      <c r="EA467" s="530">
        <f t="shared" ref="EA467:EA468" si="53">DZ467/31</f>
        <v>174</v>
      </c>
    </row>
    <row r="468">
      <c r="A468" s="521" t="s">
        <v>290</v>
      </c>
      <c r="CN468" s="561">
        <v>64.0</v>
      </c>
      <c r="CO468" s="561">
        <v>76.0</v>
      </c>
      <c r="CP468" s="561">
        <v>64.0</v>
      </c>
      <c r="CQ468" s="561">
        <v>72.0</v>
      </c>
      <c r="CR468" s="561">
        <v>69.0</v>
      </c>
      <c r="CS468" s="561">
        <v>91.0</v>
      </c>
      <c r="CT468" s="561">
        <v>75.0</v>
      </c>
      <c r="CU468" s="561">
        <v>64.0</v>
      </c>
      <c r="CV468" s="561">
        <v>80.0</v>
      </c>
      <c r="CW468" s="561">
        <v>73.0</v>
      </c>
      <c r="CX468" s="561">
        <v>51.0</v>
      </c>
      <c r="CY468" s="561">
        <v>68.0</v>
      </c>
      <c r="CZ468" s="561">
        <v>72.0</v>
      </c>
      <c r="DA468" s="561">
        <v>78.0</v>
      </c>
      <c r="DB468" s="561">
        <v>72.0</v>
      </c>
      <c r="DC468" s="561">
        <v>66.0</v>
      </c>
      <c r="DD468" s="561">
        <v>61.0</v>
      </c>
      <c r="DE468" s="561">
        <v>68.0</v>
      </c>
      <c r="DF468" s="561">
        <v>68.0</v>
      </c>
      <c r="DG468" s="561">
        <v>84.0</v>
      </c>
      <c r="DH468" s="561">
        <v>56.0</v>
      </c>
      <c r="DI468" s="561">
        <v>83.0</v>
      </c>
      <c r="DJ468" s="561">
        <v>81.0</v>
      </c>
      <c r="DK468" s="561">
        <v>75.0</v>
      </c>
      <c r="DL468" s="561">
        <v>71.0</v>
      </c>
      <c r="DM468" s="561">
        <v>77.0</v>
      </c>
      <c r="DN468" s="561">
        <v>68.0</v>
      </c>
      <c r="DO468" s="561">
        <v>70.0</v>
      </c>
      <c r="DP468" s="561">
        <v>69.0</v>
      </c>
      <c r="DQ468" s="561">
        <v>69.0</v>
      </c>
      <c r="DR468" s="513">
        <v>69.0</v>
      </c>
      <c r="DS468" s="520" t="s">
        <v>402</v>
      </c>
      <c r="DT468" s="574">
        <f>CP469+CQ469+CU469+CX469+CY469</f>
        <v>301.09</v>
      </c>
      <c r="DU468" s="520">
        <v>500.0</v>
      </c>
      <c r="DX468" s="530"/>
      <c r="DZ468" s="574">
        <f t="shared" si="52"/>
        <v>2135</v>
      </c>
      <c r="EA468" s="530">
        <f t="shared" si="53"/>
        <v>68.87096774</v>
      </c>
    </row>
    <row r="469">
      <c r="A469" s="502" t="s">
        <v>291</v>
      </c>
      <c r="CN469" s="537">
        <v>56.71</v>
      </c>
      <c r="CO469" s="537">
        <v>75.86</v>
      </c>
      <c r="CP469" s="537">
        <v>57.7</v>
      </c>
      <c r="CQ469" s="537">
        <v>60.1</v>
      </c>
      <c r="CR469" s="537">
        <v>67.68</v>
      </c>
      <c r="CS469" s="537">
        <v>64.83</v>
      </c>
      <c r="CT469" s="537">
        <v>51.58</v>
      </c>
      <c r="CU469" s="537">
        <v>74.79</v>
      </c>
      <c r="CV469" s="512">
        <v>58.06</v>
      </c>
      <c r="CW469" s="537">
        <v>44.77</v>
      </c>
      <c r="CX469" s="537">
        <v>57.66</v>
      </c>
      <c r="CY469" s="537">
        <v>50.84</v>
      </c>
      <c r="CZ469" s="537">
        <v>49.34</v>
      </c>
      <c r="DA469" s="513">
        <v>73.54</v>
      </c>
      <c r="DB469" s="537">
        <v>79.07</v>
      </c>
      <c r="DC469" s="537">
        <v>74.08</v>
      </c>
      <c r="DD469" s="537">
        <v>115.31</v>
      </c>
      <c r="DE469" s="537">
        <v>65.96</v>
      </c>
      <c r="DF469" s="537">
        <v>129.34</v>
      </c>
      <c r="DG469" s="537">
        <v>83.96</v>
      </c>
      <c r="DH469" s="537">
        <v>74.09</v>
      </c>
      <c r="DI469" s="537">
        <v>65.69</v>
      </c>
      <c r="DJ469" s="537">
        <v>82.81</v>
      </c>
      <c r="DK469" s="537"/>
      <c r="DL469" s="537"/>
      <c r="DM469" s="537"/>
      <c r="DN469" s="537"/>
      <c r="DO469" s="537"/>
      <c r="DP469" s="537"/>
      <c r="DQ469" s="537"/>
      <c r="DR469" s="539"/>
      <c r="DS469" s="520" t="s">
        <v>314</v>
      </c>
      <c r="DT469" s="574">
        <f>DA469+DB469+CT469</f>
        <v>204.19</v>
      </c>
      <c r="DU469" s="520">
        <v>300.0</v>
      </c>
      <c r="DX469" s="530"/>
    </row>
    <row r="470">
      <c r="A470" s="531"/>
      <c r="DX470" s="530"/>
    </row>
    <row r="471">
      <c r="A471" s="531"/>
      <c r="DX471" s="530"/>
    </row>
    <row r="472">
      <c r="A472" s="531"/>
      <c r="DX472" s="530"/>
    </row>
    <row r="473">
      <c r="A473" s="603" t="s">
        <v>296</v>
      </c>
      <c r="DX473" s="530"/>
    </row>
    <row r="474">
      <c r="A474" s="500" t="s">
        <v>2</v>
      </c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  <c r="AT474" s="118"/>
      <c r="AU474" s="118"/>
      <c r="AV474" s="118"/>
      <c r="AW474" s="118"/>
      <c r="AX474" s="118"/>
      <c r="AY474" s="118"/>
      <c r="AZ474" s="118"/>
      <c r="BA474" s="118"/>
      <c r="BB474" s="118"/>
      <c r="BC474" s="118"/>
      <c r="BD474" s="118"/>
      <c r="BE474" s="118"/>
      <c r="BF474" s="118"/>
      <c r="BG474" s="118"/>
      <c r="BH474" s="118"/>
      <c r="BI474" s="118"/>
      <c r="BJ474" s="118"/>
      <c r="BK474" s="118"/>
      <c r="BL474" s="118"/>
      <c r="BM474" s="118"/>
      <c r="BN474" s="118"/>
      <c r="BO474" s="118"/>
      <c r="BP474" s="118"/>
      <c r="BQ474" s="118"/>
      <c r="BR474" s="118"/>
      <c r="BS474" s="118"/>
      <c r="BT474" s="118"/>
      <c r="BU474" s="118"/>
      <c r="BV474" s="118"/>
      <c r="BW474" s="118"/>
      <c r="BX474" s="118"/>
      <c r="BY474" s="118"/>
      <c r="BZ474" s="118"/>
      <c r="CA474" s="118"/>
      <c r="CB474" s="118"/>
      <c r="CC474" s="118"/>
      <c r="CD474" s="118"/>
      <c r="CE474" s="118"/>
      <c r="CF474" s="118"/>
      <c r="CG474" s="118"/>
      <c r="CH474" s="118"/>
      <c r="CI474" s="118"/>
      <c r="CJ474" s="118"/>
      <c r="CK474" s="118"/>
      <c r="CL474" s="118"/>
      <c r="CM474" s="118"/>
      <c r="CN474" s="546"/>
      <c r="CO474" s="546"/>
      <c r="CP474" s="546"/>
      <c r="CQ474" s="546"/>
      <c r="CR474" s="546"/>
      <c r="CS474" s="546"/>
      <c r="CT474" s="546"/>
      <c r="CU474" s="546"/>
      <c r="CV474" s="546"/>
      <c r="CW474" s="546"/>
      <c r="CX474" s="546"/>
      <c r="CY474" s="501"/>
      <c r="CZ474" s="501"/>
      <c r="DA474" s="546"/>
      <c r="DB474" s="546"/>
      <c r="DC474" s="501"/>
      <c r="DD474" s="501"/>
      <c r="DE474" s="546"/>
      <c r="DF474" s="546"/>
      <c r="DG474" s="546"/>
      <c r="DH474" s="546"/>
      <c r="DI474" s="546"/>
      <c r="DJ474" s="546"/>
      <c r="DK474" s="546"/>
      <c r="DL474" s="546"/>
      <c r="DM474" s="546"/>
      <c r="DN474" s="546"/>
      <c r="DO474" s="546"/>
      <c r="DP474" s="546"/>
      <c r="DQ474" s="546"/>
      <c r="DR474" s="105"/>
      <c r="DX474" s="530"/>
    </row>
    <row r="475">
      <c r="A475" s="502" t="s">
        <v>288</v>
      </c>
      <c r="B475" s="525"/>
      <c r="C475" s="525"/>
      <c r="D475" s="525"/>
      <c r="E475" s="525"/>
      <c r="F475" s="525"/>
      <c r="G475" s="525"/>
      <c r="H475" s="525"/>
      <c r="I475" s="525"/>
      <c r="J475" s="525"/>
      <c r="K475" s="525"/>
      <c r="L475" s="525"/>
      <c r="M475" s="525"/>
      <c r="N475" s="525"/>
      <c r="O475" s="525"/>
      <c r="P475" s="525"/>
      <c r="Q475" s="525"/>
      <c r="R475" s="525"/>
      <c r="S475" s="525"/>
      <c r="T475" s="525"/>
      <c r="U475" s="525"/>
      <c r="V475" s="525"/>
      <c r="W475" s="525"/>
      <c r="X475" s="525"/>
      <c r="Y475" s="525"/>
      <c r="Z475" s="525"/>
      <c r="AA475" s="525"/>
      <c r="AB475" s="525"/>
      <c r="AC475" s="525"/>
      <c r="AD475" s="525"/>
      <c r="AE475" s="525"/>
      <c r="AF475" s="525"/>
      <c r="AG475" s="525"/>
      <c r="AH475" s="525"/>
      <c r="AI475" s="525"/>
      <c r="AJ475" s="525"/>
      <c r="AK475" s="525"/>
      <c r="AL475" s="525"/>
      <c r="AM475" s="525"/>
      <c r="AN475" s="525"/>
      <c r="AO475" s="525"/>
      <c r="AP475" s="525"/>
      <c r="AQ475" s="525"/>
      <c r="AR475" s="525"/>
      <c r="AS475" s="525"/>
      <c r="AT475" s="525"/>
      <c r="AU475" s="525"/>
      <c r="AV475" s="525"/>
      <c r="AW475" s="525"/>
      <c r="AX475" s="525"/>
      <c r="AY475" s="525"/>
      <c r="AZ475" s="525"/>
      <c r="BA475" s="525"/>
      <c r="BB475" s="525"/>
      <c r="BC475" s="525"/>
      <c r="BD475" s="525"/>
      <c r="BE475" s="525"/>
      <c r="BF475" s="525"/>
      <c r="BG475" s="525"/>
      <c r="BH475" s="525"/>
      <c r="BI475" s="525"/>
      <c r="BJ475" s="525"/>
      <c r="BK475" s="541">
        <v>45689.0</v>
      </c>
      <c r="BL475" s="541">
        <v>45690.0</v>
      </c>
      <c r="BM475" s="541">
        <v>45691.0</v>
      </c>
      <c r="BN475" s="541">
        <v>45692.0</v>
      </c>
      <c r="BO475" s="541">
        <v>45693.0</v>
      </c>
      <c r="BP475" s="541">
        <v>45694.0</v>
      </c>
      <c r="BQ475" s="541">
        <v>45695.0</v>
      </c>
      <c r="BR475" s="541">
        <v>45696.0</v>
      </c>
      <c r="BS475" s="541">
        <v>45697.0</v>
      </c>
      <c r="BT475" s="541">
        <v>45698.0</v>
      </c>
      <c r="BU475" s="541">
        <v>45699.0</v>
      </c>
      <c r="BV475" s="541">
        <v>45700.0</v>
      </c>
      <c r="BW475" s="541">
        <v>45701.0</v>
      </c>
      <c r="BX475" s="541">
        <v>45702.0</v>
      </c>
      <c r="BY475" s="541">
        <v>45703.0</v>
      </c>
      <c r="BZ475" s="541">
        <v>45704.0</v>
      </c>
      <c r="CA475" s="541">
        <v>45705.0</v>
      </c>
      <c r="CB475" s="541">
        <v>45706.0</v>
      </c>
      <c r="CC475" s="541">
        <v>45707.0</v>
      </c>
      <c r="CD475" s="541">
        <v>45708.0</v>
      </c>
      <c r="CE475" s="541">
        <v>45709.0</v>
      </c>
      <c r="CF475" s="541">
        <v>45710.0</v>
      </c>
      <c r="CG475" s="541">
        <v>45711.0</v>
      </c>
      <c r="CH475" s="541">
        <v>45712.0</v>
      </c>
      <c r="CI475" s="541">
        <v>45713.0</v>
      </c>
      <c r="CJ475" s="541">
        <v>45714.0</v>
      </c>
      <c r="CK475" s="541">
        <v>45715.0</v>
      </c>
      <c r="CL475" s="541">
        <v>45716.0</v>
      </c>
      <c r="CM475" s="541"/>
      <c r="CN475" s="604">
        <v>46113.0</v>
      </c>
      <c r="CO475" s="604">
        <v>46114.0</v>
      </c>
      <c r="CP475" s="604">
        <v>46115.0</v>
      </c>
      <c r="CQ475" s="604">
        <v>46116.0</v>
      </c>
      <c r="CR475" s="604">
        <v>46117.0</v>
      </c>
      <c r="CS475" s="604">
        <v>46118.0</v>
      </c>
      <c r="CT475" s="604">
        <v>46119.0</v>
      </c>
      <c r="CU475" s="604">
        <v>46120.0</v>
      </c>
      <c r="CV475" s="604">
        <v>46121.0</v>
      </c>
      <c r="CW475" s="604">
        <v>46122.0</v>
      </c>
      <c r="CX475" s="604">
        <v>46123.0</v>
      </c>
      <c r="CY475" s="604">
        <v>46124.0</v>
      </c>
      <c r="CZ475" s="604">
        <v>46125.0</v>
      </c>
      <c r="DA475" s="604">
        <v>46126.0</v>
      </c>
      <c r="DB475" s="604">
        <v>46127.0</v>
      </c>
      <c r="DC475" s="604">
        <v>46128.0</v>
      </c>
      <c r="DD475" s="604">
        <v>46129.0</v>
      </c>
      <c r="DE475" s="604">
        <v>46130.0</v>
      </c>
      <c r="DF475" s="604">
        <v>46131.0</v>
      </c>
      <c r="DG475" s="604">
        <v>46132.0</v>
      </c>
      <c r="DH475" s="604">
        <v>46133.0</v>
      </c>
      <c r="DI475" s="604">
        <v>46134.0</v>
      </c>
      <c r="DJ475" s="604">
        <v>46135.0</v>
      </c>
      <c r="DK475" s="604">
        <v>46136.0</v>
      </c>
      <c r="DL475" s="604">
        <v>46137.0</v>
      </c>
      <c r="DM475" s="604">
        <v>46138.0</v>
      </c>
      <c r="DN475" s="604">
        <v>46139.0</v>
      </c>
      <c r="DO475" s="604">
        <v>46140.0</v>
      </c>
      <c r="DP475" s="604">
        <v>46141.0</v>
      </c>
      <c r="DQ475" s="604">
        <v>46142.0</v>
      </c>
      <c r="DR475" s="604"/>
      <c r="DX475" s="530"/>
    </row>
    <row r="476">
      <c r="A476" s="502" t="s">
        <v>289</v>
      </c>
      <c r="B476" s="525"/>
      <c r="C476" s="525"/>
      <c r="D476" s="525"/>
      <c r="E476" s="525"/>
      <c r="F476" s="525"/>
      <c r="G476" s="525"/>
      <c r="H476" s="525"/>
      <c r="I476" s="525"/>
      <c r="J476" s="525"/>
      <c r="K476" s="525"/>
      <c r="L476" s="525"/>
      <c r="M476" s="525"/>
      <c r="N476" s="525"/>
      <c r="O476" s="525"/>
      <c r="P476" s="525"/>
      <c r="Q476" s="525"/>
      <c r="R476" s="525"/>
      <c r="S476" s="525"/>
      <c r="T476" s="525"/>
      <c r="U476" s="525"/>
      <c r="V476" s="525"/>
      <c r="W476" s="525"/>
      <c r="X476" s="525"/>
      <c r="Y476" s="525"/>
      <c r="Z476" s="525"/>
      <c r="AA476" s="525"/>
      <c r="AB476" s="525"/>
      <c r="AC476" s="525"/>
      <c r="AD476" s="525"/>
      <c r="AE476" s="525"/>
      <c r="AF476" s="525"/>
      <c r="AG476" s="525"/>
      <c r="AH476" s="525"/>
      <c r="AI476" s="525"/>
      <c r="AJ476" s="525"/>
      <c r="AK476" s="525"/>
      <c r="AL476" s="525"/>
      <c r="AM476" s="525"/>
      <c r="AN476" s="525"/>
      <c r="AO476" s="525"/>
      <c r="AP476" s="525"/>
      <c r="AQ476" s="525"/>
      <c r="AR476" s="525"/>
      <c r="AS476" s="525"/>
      <c r="AT476" s="525"/>
      <c r="AU476" s="525"/>
      <c r="AV476" s="525"/>
      <c r="AW476" s="525"/>
      <c r="AX476" s="525"/>
      <c r="AY476" s="525"/>
      <c r="AZ476" s="525"/>
      <c r="BA476" s="525"/>
      <c r="BB476" s="525"/>
      <c r="BC476" s="525"/>
      <c r="BD476" s="525"/>
      <c r="BE476" s="525"/>
      <c r="BF476" s="525"/>
      <c r="BG476" s="525"/>
      <c r="BH476" s="525"/>
      <c r="BI476" s="525"/>
      <c r="BJ476" s="525"/>
      <c r="BK476" s="512">
        <v>67.0</v>
      </c>
      <c r="BL476" s="512">
        <v>133.0</v>
      </c>
      <c r="BM476" s="525"/>
      <c r="BN476" s="512">
        <v>100.0</v>
      </c>
      <c r="BO476" s="512">
        <v>130.0</v>
      </c>
      <c r="BP476" s="512">
        <v>162.0</v>
      </c>
      <c r="BQ476" s="512">
        <v>219.0</v>
      </c>
      <c r="BR476" s="512">
        <v>120.0</v>
      </c>
      <c r="BS476" s="512">
        <v>198.0</v>
      </c>
      <c r="BT476" s="512">
        <v>128.0</v>
      </c>
      <c r="BU476" s="512">
        <v>214.0</v>
      </c>
      <c r="BV476" s="512">
        <v>159.0</v>
      </c>
      <c r="BW476" s="512">
        <v>159.0</v>
      </c>
      <c r="BX476" s="512">
        <v>148.0</v>
      </c>
      <c r="BY476" s="512">
        <v>141.0</v>
      </c>
      <c r="BZ476" s="512">
        <v>125.0</v>
      </c>
      <c r="CA476" s="512">
        <v>160.0</v>
      </c>
      <c r="CB476" s="512">
        <v>188.0</v>
      </c>
      <c r="CC476" s="512">
        <v>189.0</v>
      </c>
      <c r="CD476" s="512">
        <v>177.0</v>
      </c>
      <c r="CE476" s="512">
        <v>175.0</v>
      </c>
      <c r="CF476" s="512">
        <v>172.0</v>
      </c>
      <c r="CG476" s="512">
        <v>204.0</v>
      </c>
      <c r="CH476" s="512">
        <v>198.0</v>
      </c>
      <c r="CI476" s="512">
        <v>163.0</v>
      </c>
      <c r="CJ476" s="512">
        <v>177.0</v>
      </c>
      <c r="CK476" s="512">
        <v>156.0</v>
      </c>
      <c r="CL476" s="512">
        <v>177.0</v>
      </c>
      <c r="CM476" s="512"/>
      <c r="CN476" s="561">
        <v>138.0</v>
      </c>
      <c r="CO476" s="561"/>
      <c r="CP476" s="561"/>
      <c r="CQ476" s="561"/>
      <c r="CR476" s="561"/>
      <c r="CS476" s="561"/>
      <c r="CT476" s="561"/>
      <c r="CU476" s="561"/>
      <c r="CV476" s="591"/>
      <c r="CW476" s="591"/>
      <c r="CX476" s="591"/>
      <c r="CY476" s="591"/>
      <c r="CZ476" s="591"/>
      <c r="DA476" s="591"/>
      <c r="DB476" s="561"/>
      <c r="DC476" s="561"/>
      <c r="DD476" s="561"/>
      <c r="DE476" s="561"/>
      <c r="DF476" s="561"/>
      <c r="DG476" s="561"/>
      <c r="DH476" s="561"/>
      <c r="DI476" s="561"/>
      <c r="DJ476" s="561"/>
      <c r="DK476" s="561"/>
      <c r="DL476" s="561"/>
      <c r="DM476" s="561"/>
      <c r="DN476" s="561"/>
      <c r="DO476" s="561"/>
      <c r="DP476" s="561"/>
      <c r="DQ476" s="561"/>
      <c r="DR476" s="561"/>
      <c r="DX476" s="530"/>
    </row>
    <row r="477">
      <c r="A477" s="521" t="s">
        <v>290</v>
      </c>
      <c r="B477" s="525"/>
      <c r="C477" s="525"/>
      <c r="D477" s="525"/>
      <c r="E477" s="525"/>
      <c r="F477" s="525"/>
      <c r="G477" s="525"/>
      <c r="H477" s="525"/>
      <c r="I477" s="525"/>
      <c r="J477" s="525"/>
      <c r="K477" s="525"/>
      <c r="L477" s="525"/>
      <c r="M477" s="525"/>
      <c r="N477" s="525"/>
      <c r="O477" s="525"/>
      <c r="P477" s="525"/>
      <c r="Q477" s="525"/>
      <c r="R477" s="525"/>
      <c r="S477" s="525"/>
      <c r="T477" s="525"/>
      <c r="U477" s="525"/>
      <c r="V477" s="525"/>
      <c r="W477" s="525"/>
      <c r="X477" s="525"/>
      <c r="Y477" s="525"/>
      <c r="Z477" s="525"/>
      <c r="AA477" s="525"/>
      <c r="AB477" s="525"/>
      <c r="AC477" s="525"/>
      <c r="AD477" s="525"/>
      <c r="AE477" s="525"/>
      <c r="AF477" s="525"/>
      <c r="AG477" s="525"/>
      <c r="AH477" s="525"/>
      <c r="AI477" s="525"/>
      <c r="AJ477" s="525"/>
      <c r="AK477" s="525"/>
      <c r="AL477" s="525"/>
      <c r="AM477" s="525"/>
      <c r="AN477" s="525"/>
      <c r="AO477" s="525"/>
      <c r="AP477" s="525"/>
      <c r="AQ477" s="525"/>
      <c r="AR477" s="525"/>
      <c r="AS477" s="525"/>
      <c r="AT477" s="525"/>
      <c r="AU477" s="525"/>
      <c r="AV477" s="525"/>
      <c r="AW477" s="525"/>
      <c r="AX477" s="525"/>
      <c r="AY477" s="525"/>
      <c r="AZ477" s="525"/>
      <c r="BA477" s="525"/>
      <c r="BB477" s="525"/>
      <c r="BC477" s="525"/>
      <c r="BD477" s="525"/>
      <c r="BE477" s="525"/>
      <c r="BF477" s="525"/>
      <c r="BG477" s="525"/>
      <c r="BH477" s="525"/>
      <c r="BI477" s="525"/>
      <c r="BJ477" s="525"/>
      <c r="BK477" s="512">
        <v>36.0</v>
      </c>
      <c r="BL477" s="512">
        <v>53.0</v>
      </c>
      <c r="BM477" s="525"/>
      <c r="BN477" s="512">
        <v>40.0</v>
      </c>
      <c r="BO477" s="512">
        <v>50.0</v>
      </c>
      <c r="BP477" s="512">
        <v>56.0</v>
      </c>
      <c r="BQ477" s="512">
        <v>70.0</v>
      </c>
      <c r="BR477" s="512">
        <v>51.0</v>
      </c>
      <c r="BS477" s="512">
        <v>63.0</v>
      </c>
      <c r="BT477" s="512">
        <v>62.0</v>
      </c>
      <c r="BU477" s="512">
        <v>68.0</v>
      </c>
      <c r="BV477" s="512">
        <v>65.0</v>
      </c>
      <c r="BW477" s="512">
        <v>64.0</v>
      </c>
      <c r="BX477" s="512">
        <v>64.0</v>
      </c>
      <c r="BY477" s="512">
        <v>67.0</v>
      </c>
      <c r="BZ477" s="512">
        <v>56.0</v>
      </c>
      <c r="CA477" s="512">
        <v>65.0</v>
      </c>
      <c r="CB477" s="512">
        <v>68.0</v>
      </c>
      <c r="CC477" s="512">
        <v>72.0</v>
      </c>
      <c r="CD477" s="512">
        <v>67.0</v>
      </c>
      <c r="CE477" s="512">
        <v>72.0</v>
      </c>
      <c r="CF477" s="512">
        <v>72.0</v>
      </c>
      <c r="CG477" s="512">
        <v>81.0</v>
      </c>
      <c r="CH477" s="512">
        <v>81.0</v>
      </c>
      <c r="CI477" s="512">
        <v>67.0</v>
      </c>
      <c r="CJ477" s="512">
        <v>64.0</v>
      </c>
      <c r="CK477" s="512">
        <v>66.0</v>
      </c>
      <c r="CL477" s="512">
        <v>58.0</v>
      </c>
      <c r="CM477" s="552">
        <f>SUM(BK477:CL477)/28</f>
        <v>60.64285714</v>
      </c>
      <c r="CN477" s="561">
        <v>55.0</v>
      </c>
      <c r="CO477" s="561"/>
      <c r="CP477" s="561"/>
      <c r="CQ477" s="561"/>
      <c r="CR477" s="561"/>
      <c r="CS477" s="561"/>
      <c r="CT477" s="561"/>
      <c r="CU477" s="561"/>
      <c r="CV477" s="591"/>
      <c r="CW477" s="591"/>
      <c r="CX477" s="591"/>
      <c r="CY477" s="591"/>
      <c r="CZ477" s="591"/>
      <c r="DA477" s="591"/>
      <c r="DB477" s="561"/>
      <c r="DC477" s="561"/>
      <c r="DD477" s="561"/>
      <c r="DE477" s="561"/>
      <c r="DF477" s="561"/>
      <c r="DG477" s="561"/>
      <c r="DH477" s="561"/>
      <c r="DI477" s="561"/>
      <c r="DJ477" s="561"/>
      <c r="DK477" s="561"/>
      <c r="DL477" s="561"/>
      <c r="DM477" s="561"/>
      <c r="DN477" s="561"/>
      <c r="DO477" s="561"/>
      <c r="DP477" s="561"/>
      <c r="DQ477" s="561"/>
      <c r="DR477" s="561"/>
      <c r="DX477" s="530"/>
    </row>
    <row r="478">
      <c r="A478" s="553" t="s">
        <v>291</v>
      </c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  <c r="AI478" s="529"/>
      <c r="AJ478" s="529"/>
      <c r="AK478" s="529"/>
      <c r="AL478" s="529"/>
      <c r="AM478" s="529"/>
      <c r="AN478" s="529"/>
      <c r="AO478" s="529"/>
      <c r="AP478" s="529"/>
      <c r="AQ478" s="529"/>
      <c r="AR478" s="529"/>
      <c r="AS478" s="529"/>
      <c r="AT478" s="529"/>
      <c r="AU478" s="529"/>
      <c r="AV478" s="529"/>
      <c r="AW478" s="529"/>
      <c r="AX478" s="529"/>
      <c r="AY478" s="529"/>
      <c r="AZ478" s="529"/>
      <c r="BA478" s="529"/>
      <c r="BB478" s="529"/>
      <c r="BC478" s="529"/>
      <c r="BD478" s="529"/>
      <c r="BE478" s="529"/>
      <c r="BF478" s="529"/>
      <c r="BG478" s="529"/>
      <c r="BH478" s="529"/>
      <c r="BI478" s="529"/>
      <c r="BJ478" s="529"/>
      <c r="BK478" s="529">
        <v>22.22</v>
      </c>
      <c r="BL478" s="529">
        <v>34.11</v>
      </c>
      <c r="BM478" s="529">
        <v>-190.84</v>
      </c>
      <c r="BN478" s="529">
        <v>38.2</v>
      </c>
      <c r="BO478" s="529">
        <v>33.08</v>
      </c>
      <c r="BP478" s="529">
        <v>48.91</v>
      </c>
      <c r="BQ478" s="529">
        <v>44.55</v>
      </c>
      <c r="BR478" s="529">
        <v>30.32</v>
      </c>
      <c r="BS478" s="529">
        <v>-78.02</v>
      </c>
      <c r="BT478" s="529">
        <v>49.19</v>
      </c>
      <c r="BU478" s="529">
        <v>51.41</v>
      </c>
      <c r="BV478" s="529">
        <v>53.58</v>
      </c>
      <c r="BW478" s="529">
        <v>51.03</v>
      </c>
      <c r="BX478" s="529">
        <v>39.79</v>
      </c>
      <c r="BY478" s="529">
        <v>43.96</v>
      </c>
      <c r="BZ478" s="529">
        <v>43.84</v>
      </c>
      <c r="CA478" s="550">
        <v>45.98</v>
      </c>
      <c r="CB478" s="550">
        <v>40.67</v>
      </c>
      <c r="CC478" s="550">
        <v>47.82</v>
      </c>
      <c r="CD478" s="550">
        <v>63.99</v>
      </c>
      <c r="CE478" s="550">
        <v>-209.27</v>
      </c>
      <c r="CF478" s="550">
        <v>73.03</v>
      </c>
      <c r="CG478" s="550">
        <v>65.24</v>
      </c>
      <c r="CH478" s="550">
        <v>-52.31</v>
      </c>
      <c r="CI478" s="550">
        <v>55.56</v>
      </c>
      <c r="CJ478" s="550">
        <v>37.49</v>
      </c>
      <c r="CK478" s="550">
        <v>42.2</v>
      </c>
      <c r="CL478" s="537">
        <v>57.35</v>
      </c>
      <c r="CM478" s="554"/>
      <c r="CN478" s="537"/>
      <c r="CO478" s="537"/>
      <c r="CP478" s="537"/>
      <c r="CQ478" s="537"/>
      <c r="CR478" s="537"/>
      <c r="CS478" s="537"/>
      <c r="CT478" s="537"/>
      <c r="CU478" s="537"/>
      <c r="CV478" s="536"/>
      <c r="CW478" s="593"/>
      <c r="CX478" s="593"/>
      <c r="CY478" s="593"/>
      <c r="CZ478" s="593"/>
      <c r="DA478" s="593"/>
      <c r="DB478" s="537"/>
      <c r="DC478" s="537"/>
      <c r="DD478" s="537"/>
      <c r="DE478" s="537"/>
      <c r="DF478" s="537"/>
      <c r="DG478" s="537"/>
      <c r="DH478" s="537"/>
      <c r="DI478" s="537"/>
      <c r="DJ478" s="537"/>
      <c r="DK478" s="537"/>
      <c r="DL478" s="537"/>
      <c r="DM478" s="537"/>
      <c r="DN478" s="537"/>
      <c r="DO478" s="537"/>
      <c r="DP478" s="537"/>
      <c r="DQ478" s="537"/>
      <c r="DR478" s="537"/>
      <c r="DX478" s="530"/>
    </row>
    <row r="479">
      <c r="A479" s="531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  <c r="AT479" s="118"/>
      <c r="AU479" s="118"/>
      <c r="AV479" s="118"/>
      <c r="AW479" s="118"/>
      <c r="AX479" s="118"/>
      <c r="AY479" s="118"/>
      <c r="AZ479" s="118"/>
      <c r="BA479" s="118"/>
      <c r="BB479" s="118"/>
      <c r="BC479" s="118"/>
      <c r="BD479" s="118"/>
      <c r="BE479" s="118"/>
      <c r="BF479" s="118"/>
      <c r="BG479" s="118"/>
      <c r="BH479" s="118"/>
      <c r="BI479" s="118"/>
      <c r="BJ479" s="118"/>
      <c r="BK479" s="118"/>
      <c r="BL479" s="118"/>
      <c r="BM479" s="118"/>
      <c r="BN479" s="118"/>
      <c r="BO479" s="118"/>
      <c r="BP479" s="118"/>
      <c r="BQ479" s="118"/>
      <c r="BR479" s="118"/>
      <c r="BS479" s="118"/>
      <c r="BT479" s="118"/>
      <c r="BU479" s="118"/>
      <c r="BV479" s="118"/>
      <c r="BW479" s="118"/>
      <c r="BX479" s="118"/>
      <c r="BY479" s="118"/>
      <c r="BZ479" s="118"/>
      <c r="CA479" s="118"/>
      <c r="CB479" s="118"/>
      <c r="CC479" s="118"/>
      <c r="CD479" s="118"/>
      <c r="CE479" s="118"/>
      <c r="CF479" s="118"/>
      <c r="CG479" s="118"/>
      <c r="CH479" s="118"/>
      <c r="CI479" s="118"/>
      <c r="CJ479" s="118"/>
      <c r="CK479" s="118"/>
      <c r="CL479" s="118"/>
      <c r="CM479" s="499"/>
      <c r="CN479" s="118"/>
      <c r="CO479" s="546"/>
      <c r="CP479" s="594"/>
      <c r="CQ479" s="118"/>
      <c r="CR479" s="546"/>
      <c r="CS479" s="118"/>
      <c r="CT479" s="118"/>
      <c r="CU479" s="546"/>
      <c r="CV479" s="577"/>
      <c r="CW479" s="577"/>
      <c r="CX479" s="577"/>
      <c r="CY479" s="577"/>
      <c r="CZ479" s="577"/>
      <c r="DA479" s="577"/>
      <c r="DB479" s="118"/>
      <c r="DC479" s="118"/>
      <c r="DD479" s="118"/>
      <c r="DE479" s="118"/>
      <c r="DF479" s="118"/>
      <c r="DG479" s="118"/>
      <c r="DH479" s="118"/>
      <c r="DI479" s="118"/>
      <c r="DJ479" s="118"/>
      <c r="DK479" s="118"/>
      <c r="DL479" s="118"/>
      <c r="DM479" s="118"/>
      <c r="DN479" s="118"/>
      <c r="DO479" s="118"/>
      <c r="DP479" s="118"/>
      <c r="DQ479" s="118"/>
      <c r="DX479" s="530"/>
    </row>
    <row r="480">
      <c r="A480" s="531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  <c r="AT480" s="118"/>
      <c r="AU480" s="118"/>
      <c r="AV480" s="118"/>
      <c r="AW480" s="118"/>
      <c r="AX480" s="118"/>
      <c r="AY480" s="118"/>
      <c r="AZ480" s="118"/>
      <c r="BA480" s="118"/>
      <c r="BB480" s="118"/>
      <c r="BC480" s="118"/>
      <c r="BD480" s="118"/>
      <c r="BE480" s="118"/>
      <c r="BF480" s="118"/>
      <c r="BG480" s="118"/>
      <c r="BH480" s="118"/>
      <c r="BI480" s="118"/>
      <c r="BJ480" s="118"/>
      <c r="BK480" s="118"/>
      <c r="BL480" s="118"/>
      <c r="BM480" s="118"/>
      <c r="BN480" s="118"/>
      <c r="BO480" s="118"/>
      <c r="BP480" s="118"/>
      <c r="BQ480" s="118"/>
      <c r="BR480" s="118"/>
      <c r="BS480" s="118"/>
      <c r="BT480" s="118"/>
      <c r="BU480" s="118"/>
      <c r="BV480" s="118"/>
      <c r="BW480" s="118"/>
      <c r="BX480" s="118"/>
      <c r="BY480" s="118"/>
      <c r="BZ480" s="118"/>
      <c r="CA480" s="118"/>
      <c r="CB480" s="118"/>
      <c r="CC480" s="118"/>
      <c r="CD480" s="118"/>
      <c r="CE480" s="118"/>
      <c r="CF480" s="118"/>
      <c r="CG480" s="118"/>
      <c r="CH480" s="118"/>
      <c r="CI480" s="118"/>
      <c r="CJ480" s="118"/>
      <c r="CK480" s="118"/>
      <c r="CL480" s="118"/>
      <c r="CM480" s="499"/>
      <c r="CN480" s="118"/>
      <c r="CO480" s="118"/>
      <c r="CP480" s="118"/>
      <c r="CQ480" s="118"/>
      <c r="CR480" s="118"/>
      <c r="CS480" s="118"/>
      <c r="CT480" s="118"/>
      <c r="CU480" s="118"/>
      <c r="CV480" s="577"/>
      <c r="CW480" s="577"/>
      <c r="CX480" s="577"/>
      <c r="CY480" s="577"/>
      <c r="CZ480" s="577"/>
      <c r="DA480" s="577"/>
      <c r="DB480" s="118"/>
      <c r="DC480" s="118"/>
      <c r="DD480" s="118"/>
      <c r="DE480" s="118"/>
      <c r="DF480" s="118"/>
      <c r="DG480" s="118"/>
      <c r="DH480" s="118"/>
      <c r="DI480" s="118"/>
      <c r="DJ480" s="118"/>
      <c r="DK480" s="118"/>
      <c r="DL480" s="118"/>
      <c r="DM480" s="118"/>
      <c r="DN480" s="118"/>
      <c r="DO480" s="118"/>
      <c r="DP480" s="118"/>
      <c r="DQ480" s="118"/>
      <c r="DX480" s="530"/>
    </row>
    <row r="481">
      <c r="A481" s="500" t="s">
        <v>8</v>
      </c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  <c r="AT481" s="118"/>
      <c r="AU481" s="118"/>
      <c r="AV481" s="118"/>
      <c r="AW481" s="118"/>
      <c r="AX481" s="118"/>
      <c r="AY481" s="118"/>
      <c r="AZ481" s="118"/>
      <c r="BA481" s="118"/>
      <c r="BB481" s="118"/>
      <c r="BC481" s="118"/>
      <c r="BD481" s="118"/>
      <c r="BE481" s="118"/>
      <c r="BF481" s="118"/>
      <c r="BG481" s="118"/>
      <c r="BH481" s="118"/>
      <c r="BI481" s="118"/>
      <c r="BJ481" s="118"/>
      <c r="BK481" s="118"/>
      <c r="BL481" s="118"/>
      <c r="BM481" s="118"/>
      <c r="BN481" s="118"/>
      <c r="BO481" s="118"/>
      <c r="BP481" s="118"/>
      <c r="BQ481" s="118"/>
      <c r="BR481" s="118"/>
      <c r="BS481" s="118"/>
      <c r="BT481" s="118"/>
      <c r="BU481" s="118"/>
      <c r="BV481" s="118"/>
      <c r="BW481" s="118"/>
      <c r="BX481" s="118"/>
      <c r="BY481" s="118"/>
      <c r="BZ481" s="118"/>
      <c r="CA481" s="118"/>
      <c r="CB481" s="118"/>
      <c r="CC481" s="118"/>
      <c r="CD481" s="118"/>
      <c r="CE481" s="118"/>
      <c r="CF481" s="118"/>
      <c r="CG481" s="118"/>
      <c r="CH481" s="118"/>
      <c r="CI481" s="118"/>
      <c r="CJ481" s="118"/>
      <c r="CK481" s="118"/>
      <c r="CL481" s="118"/>
      <c r="CM481" s="499"/>
      <c r="CN481" s="546"/>
      <c r="CO481" s="546"/>
      <c r="CP481" s="546"/>
      <c r="CQ481" s="546"/>
      <c r="CR481" s="546"/>
      <c r="CS481" s="546"/>
      <c r="CT481" s="546"/>
      <c r="CU481" s="546"/>
      <c r="CV481" s="546"/>
      <c r="CW481" s="546"/>
      <c r="CX481" s="546"/>
      <c r="CY481" s="546"/>
      <c r="CZ481" s="546"/>
      <c r="DA481" s="546"/>
      <c r="DB481" s="546"/>
      <c r="DC481" s="546"/>
      <c r="DD481" s="546"/>
      <c r="DE481" s="546"/>
      <c r="DF481" s="546"/>
      <c r="DG481" s="546"/>
      <c r="DH481" s="546"/>
      <c r="DI481" s="546"/>
      <c r="DJ481" s="546"/>
      <c r="DK481" s="546"/>
      <c r="DL481" s="546"/>
      <c r="DM481" s="546"/>
      <c r="DN481" s="546"/>
      <c r="DO481" s="546"/>
      <c r="DP481" s="546"/>
      <c r="DQ481" s="546"/>
      <c r="DR481" s="546"/>
      <c r="DX481" s="530"/>
    </row>
    <row r="482">
      <c r="A482" s="502" t="s">
        <v>288</v>
      </c>
      <c r="B482" s="525"/>
      <c r="C482" s="525"/>
      <c r="D482" s="525"/>
      <c r="E482" s="525"/>
      <c r="F482" s="525"/>
      <c r="G482" s="525"/>
      <c r="H482" s="525"/>
      <c r="I482" s="525"/>
      <c r="J482" s="525"/>
      <c r="K482" s="525"/>
      <c r="L482" s="525"/>
      <c r="M482" s="525"/>
      <c r="N482" s="525"/>
      <c r="O482" s="525"/>
      <c r="P482" s="525"/>
      <c r="Q482" s="525"/>
      <c r="R482" s="525"/>
      <c r="S482" s="525"/>
      <c r="T482" s="525"/>
      <c r="U482" s="525"/>
      <c r="V482" s="525"/>
      <c r="W482" s="525"/>
      <c r="X482" s="525"/>
      <c r="Y482" s="525"/>
      <c r="Z482" s="525"/>
      <c r="AA482" s="525"/>
      <c r="AB482" s="525"/>
      <c r="AC482" s="525"/>
      <c r="AD482" s="525"/>
      <c r="AE482" s="525"/>
      <c r="AF482" s="525"/>
      <c r="AG482" s="525"/>
      <c r="AH482" s="525"/>
      <c r="AI482" s="525"/>
      <c r="AJ482" s="525"/>
      <c r="AK482" s="525"/>
      <c r="AL482" s="525"/>
      <c r="AM482" s="525"/>
      <c r="AN482" s="525"/>
      <c r="AO482" s="525"/>
      <c r="AP482" s="525"/>
      <c r="AQ482" s="525"/>
      <c r="AR482" s="525"/>
      <c r="AS482" s="525"/>
      <c r="AT482" s="525"/>
      <c r="AU482" s="525"/>
      <c r="AV482" s="525"/>
      <c r="AW482" s="525"/>
      <c r="AX482" s="525"/>
      <c r="AY482" s="525"/>
      <c r="AZ482" s="525"/>
      <c r="BA482" s="525"/>
      <c r="BB482" s="525"/>
      <c r="BC482" s="525"/>
      <c r="BD482" s="525"/>
      <c r="BE482" s="525"/>
      <c r="BF482" s="525"/>
      <c r="BG482" s="525"/>
      <c r="BH482" s="525"/>
      <c r="BI482" s="525"/>
      <c r="BJ482" s="525"/>
      <c r="BK482" s="541">
        <v>45689.0</v>
      </c>
      <c r="BL482" s="503">
        <v>45690.0</v>
      </c>
      <c r="BM482" s="503">
        <v>45691.0</v>
      </c>
      <c r="BN482" s="541">
        <v>45692.0</v>
      </c>
      <c r="BO482" s="541">
        <v>45693.0</v>
      </c>
      <c r="BP482" s="541">
        <v>45694.0</v>
      </c>
      <c r="BQ482" s="541">
        <v>45695.0</v>
      </c>
      <c r="BR482" s="541">
        <v>45696.0</v>
      </c>
      <c r="BS482" s="541">
        <v>45697.0</v>
      </c>
      <c r="BT482" s="541">
        <v>45698.0</v>
      </c>
      <c r="BU482" s="541">
        <v>45699.0</v>
      </c>
      <c r="BV482" s="541">
        <v>45700.0</v>
      </c>
      <c r="BW482" s="541">
        <v>45701.0</v>
      </c>
      <c r="BX482" s="541">
        <v>45702.0</v>
      </c>
      <c r="BY482" s="541">
        <v>45703.0</v>
      </c>
      <c r="BZ482" s="541">
        <v>45704.0</v>
      </c>
      <c r="CA482" s="541">
        <v>45705.0</v>
      </c>
      <c r="CB482" s="541">
        <v>45706.0</v>
      </c>
      <c r="CC482" s="541">
        <v>45707.0</v>
      </c>
      <c r="CD482" s="541">
        <v>45708.0</v>
      </c>
      <c r="CE482" s="541">
        <v>45709.0</v>
      </c>
      <c r="CF482" s="541">
        <v>45710.0</v>
      </c>
      <c r="CG482" s="541">
        <v>45711.0</v>
      </c>
      <c r="CH482" s="541">
        <v>45712.0</v>
      </c>
      <c r="CI482" s="541">
        <v>45713.0</v>
      </c>
      <c r="CJ482" s="541">
        <v>45714.0</v>
      </c>
      <c r="CK482" s="541">
        <v>45715.0</v>
      </c>
      <c r="CL482" s="541">
        <v>45716.0</v>
      </c>
      <c r="CM482" s="552"/>
      <c r="CN482" s="604">
        <v>46113.0</v>
      </c>
      <c r="CO482" s="604">
        <v>46114.0</v>
      </c>
      <c r="CP482" s="604">
        <v>46115.0</v>
      </c>
      <c r="CQ482" s="604">
        <v>46116.0</v>
      </c>
      <c r="CR482" s="604">
        <v>46117.0</v>
      </c>
      <c r="CS482" s="604">
        <v>46118.0</v>
      </c>
      <c r="CT482" s="604">
        <v>46119.0</v>
      </c>
      <c r="CU482" s="604">
        <v>46120.0</v>
      </c>
      <c r="CV482" s="604">
        <v>46121.0</v>
      </c>
      <c r="CW482" s="604">
        <v>46122.0</v>
      </c>
      <c r="CX482" s="604">
        <v>46123.0</v>
      </c>
      <c r="CY482" s="604">
        <v>46124.0</v>
      </c>
      <c r="CZ482" s="604">
        <v>46125.0</v>
      </c>
      <c r="DA482" s="604">
        <v>46126.0</v>
      </c>
      <c r="DB482" s="604">
        <v>46127.0</v>
      </c>
      <c r="DC482" s="604">
        <v>46128.0</v>
      </c>
      <c r="DD482" s="604">
        <v>46129.0</v>
      </c>
      <c r="DE482" s="604">
        <v>46130.0</v>
      </c>
      <c r="DF482" s="604">
        <v>46131.0</v>
      </c>
      <c r="DG482" s="604">
        <v>46132.0</v>
      </c>
      <c r="DH482" s="604">
        <v>46133.0</v>
      </c>
      <c r="DI482" s="604">
        <v>46134.0</v>
      </c>
      <c r="DJ482" s="604">
        <v>46135.0</v>
      </c>
      <c r="DK482" s="604">
        <v>46136.0</v>
      </c>
      <c r="DL482" s="604">
        <v>46137.0</v>
      </c>
      <c r="DM482" s="604">
        <v>46138.0</v>
      </c>
      <c r="DN482" s="604">
        <v>46139.0</v>
      </c>
      <c r="DO482" s="604">
        <v>46140.0</v>
      </c>
      <c r="DP482" s="604">
        <v>46141.0</v>
      </c>
      <c r="DQ482" s="604">
        <v>46142.0</v>
      </c>
      <c r="DR482" s="602"/>
      <c r="DX482" s="530"/>
    </row>
    <row r="483">
      <c r="A483" s="502" t="s">
        <v>289</v>
      </c>
      <c r="B483" s="525"/>
      <c r="C483" s="525"/>
      <c r="D483" s="525"/>
      <c r="E483" s="525"/>
      <c r="F483" s="525"/>
      <c r="G483" s="525"/>
      <c r="H483" s="525"/>
      <c r="I483" s="525"/>
      <c r="J483" s="525"/>
      <c r="K483" s="525"/>
      <c r="L483" s="525"/>
      <c r="M483" s="525"/>
      <c r="N483" s="525"/>
      <c r="O483" s="525"/>
      <c r="P483" s="525"/>
      <c r="Q483" s="525"/>
      <c r="R483" s="525"/>
      <c r="S483" s="525"/>
      <c r="T483" s="525"/>
      <c r="U483" s="525"/>
      <c r="V483" s="525"/>
      <c r="W483" s="525"/>
      <c r="X483" s="525"/>
      <c r="Y483" s="525"/>
      <c r="Z483" s="525"/>
      <c r="AA483" s="525"/>
      <c r="AB483" s="525"/>
      <c r="AC483" s="525"/>
      <c r="AD483" s="525"/>
      <c r="AE483" s="525"/>
      <c r="AF483" s="525"/>
      <c r="AG483" s="525"/>
      <c r="AH483" s="525"/>
      <c r="AI483" s="525"/>
      <c r="AJ483" s="525"/>
      <c r="AK483" s="525"/>
      <c r="AL483" s="525"/>
      <c r="AM483" s="525"/>
      <c r="AN483" s="525"/>
      <c r="AO483" s="525"/>
      <c r="AP483" s="525"/>
      <c r="AQ483" s="525"/>
      <c r="AR483" s="525"/>
      <c r="AS483" s="525"/>
      <c r="AT483" s="525"/>
      <c r="AU483" s="525"/>
      <c r="AV483" s="525"/>
      <c r="AW483" s="525"/>
      <c r="AX483" s="525"/>
      <c r="AY483" s="525"/>
      <c r="AZ483" s="525"/>
      <c r="BA483" s="525"/>
      <c r="BB483" s="525"/>
      <c r="BC483" s="525"/>
      <c r="BD483" s="525"/>
      <c r="BE483" s="525"/>
      <c r="BF483" s="525"/>
      <c r="BG483" s="525"/>
      <c r="BH483" s="525"/>
      <c r="BI483" s="525"/>
      <c r="BJ483" s="525"/>
      <c r="BK483" s="525"/>
      <c r="BL483" s="518">
        <v>196.0</v>
      </c>
      <c r="BM483" s="518">
        <v>147.0</v>
      </c>
      <c r="BN483" s="525"/>
      <c r="BO483" s="525"/>
      <c r="BP483" s="512">
        <v>193.0</v>
      </c>
      <c r="BQ483" s="512">
        <v>202.0</v>
      </c>
      <c r="BR483" s="512">
        <v>239.0</v>
      </c>
      <c r="BS483" s="525"/>
      <c r="BT483" s="512">
        <v>181.0</v>
      </c>
      <c r="BU483" s="525"/>
      <c r="BV483" s="512">
        <v>292.0</v>
      </c>
      <c r="BW483" s="512">
        <v>258.0</v>
      </c>
      <c r="BX483" s="512">
        <v>267.0</v>
      </c>
      <c r="BY483" s="512">
        <v>214.0</v>
      </c>
      <c r="BZ483" s="512">
        <v>234.0</v>
      </c>
      <c r="CA483" s="512">
        <v>271.0</v>
      </c>
      <c r="CB483" s="512">
        <v>222.0</v>
      </c>
      <c r="CC483" s="512">
        <v>298.0</v>
      </c>
      <c r="CD483" s="512">
        <v>290.0</v>
      </c>
      <c r="CE483" s="512">
        <v>261.0</v>
      </c>
      <c r="CF483" s="512">
        <v>274.0</v>
      </c>
      <c r="CG483" s="512">
        <v>285.0</v>
      </c>
      <c r="CH483" s="512">
        <v>196.0</v>
      </c>
      <c r="CI483" s="512">
        <v>198.0</v>
      </c>
      <c r="CJ483" s="512">
        <v>274.0</v>
      </c>
      <c r="CK483" s="512">
        <v>197.0</v>
      </c>
      <c r="CL483" s="512">
        <v>246.0</v>
      </c>
      <c r="CM483" s="552"/>
      <c r="CN483" s="561">
        <v>242.0</v>
      </c>
      <c r="CO483" s="561"/>
      <c r="CP483" s="561"/>
      <c r="CQ483" s="561"/>
      <c r="CR483" s="561"/>
      <c r="CS483" s="561"/>
      <c r="CT483" s="561"/>
      <c r="CU483" s="561"/>
      <c r="CV483" s="591"/>
      <c r="CW483" s="591"/>
      <c r="CX483" s="591"/>
      <c r="CY483" s="591"/>
      <c r="CZ483" s="591"/>
      <c r="DA483" s="591"/>
      <c r="DB483" s="561"/>
      <c r="DC483" s="561"/>
      <c r="DD483" s="561"/>
      <c r="DE483" s="561"/>
      <c r="DF483" s="561"/>
      <c r="DG483" s="561"/>
      <c r="DH483" s="561"/>
      <c r="DI483" s="561"/>
      <c r="DJ483" s="561"/>
      <c r="DK483" s="513"/>
      <c r="DL483" s="561"/>
      <c r="DM483" s="512"/>
      <c r="DN483" s="561"/>
      <c r="DO483" s="561"/>
      <c r="DP483" s="561"/>
      <c r="DQ483" s="561"/>
      <c r="DR483" s="539"/>
      <c r="DX483" s="530"/>
    </row>
    <row r="484">
      <c r="A484" s="521" t="s">
        <v>290</v>
      </c>
      <c r="B484" s="525"/>
      <c r="C484" s="525"/>
      <c r="D484" s="525"/>
      <c r="E484" s="525"/>
      <c r="F484" s="525"/>
      <c r="G484" s="525"/>
      <c r="H484" s="525"/>
      <c r="I484" s="525"/>
      <c r="J484" s="525"/>
      <c r="K484" s="525"/>
      <c r="L484" s="525"/>
      <c r="M484" s="525"/>
      <c r="N484" s="525"/>
      <c r="O484" s="525"/>
      <c r="P484" s="525"/>
      <c r="Q484" s="525"/>
      <c r="R484" s="525"/>
      <c r="S484" s="525"/>
      <c r="T484" s="525"/>
      <c r="U484" s="525"/>
      <c r="V484" s="525"/>
      <c r="W484" s="525"/>
      <c r="X484" s="525"/>
      <c r="Y484" s="525"/>
      <c r="Z484" s="525"/>
      <c r="AA484" s="525"/>
      <c r="AB484" s="525"/>
      <c r="AC484" s="525"/>
      <c r="AD484" s="525"/>
      <c r="AE484" s="525"/>
      <c r="AF484" s="525"/>
      <c r="AG484" s="525"/>
      <c r="AH484" s="525"/>
      <c r="AI484" s="525"/>
      <c r="AJ484" s="525"/>
      <c r="AK484" s="525"/>
      <c r="AL484" s="525"/>
      <c r="AM484" s="525"/>
      <c r="AN484" s="525"/>
      <c r="AO484" s="525"/>
      <c r="AP484" s="525"/>
      <c r="AQ484" s="525"/>
      <c r="AR484" s="525"/>
      <c r="AS484" s="525"/>
      <c r="AT484" s="525"/>
      <c r="AU484" s="525"/>
      <c r="AV484" s="525"/>
      <c r="AW484" s="525"/>
      <c r="AX484" s="525"/>
      <c r="AY484" s="525"/>
      <c r="AZ484" s="525"/>
      <c r="BA484" s="525"/>
      <c r="BB484" s="525"/>
      <c r="BC484" s="525"/>
      <c r="BD484" s="525"/>
      <c r="BE484" s="525"/>
      <c r="BF484" s="525"/>
      <c r="BG484" s="525"/>
      <c r="BH484" s="525"/>
      <c r="BI484" s="525"/>
      <c r="BJ484" s="525"/>
      <c r="BK484" s="525"/>
      <c r="BL484" s="518">
        <v>82.0</v>
      </c>
      <c r="BM484" s="518">
        <v>67.0</v>
      </c>
      <c r="BN484" s="525"/>
      <c r="BO484" s="525"/>
      <c r="BP484" s="512">
        <v>71.0</v>
      </c>
      <c r="BQ484" s="512">
        <v>80.0</v>
      </c>
      <c r="BR484" s="512">
        <v>95.0</v>
      </c>
      <c r="BS484" s="525"/>
      <c r="BT484" s="512">
        <v>73.0</v>
      </c>
      <c r="BU484" s="525"/>
      <c r="BV484" s="512">
        <v>96.0</v>
      </c>
      <c r="BW484" s="512">
        <v>98.0</v>
      </c>
      <c r="BX484" s="512">
        <v>104.0</v>
      </c>
      <c r="BY484" s="512">
        <v>88.0</v>
      </c>
      <c r="BZ484" s="512">
        <v>86.0</v>
      </c>
      <c r="CA484" s="512">
        <v>101.0</v>
      </c>
      <c r="CB484" s="512">
        <v>88.0</v>
      </c>
      <c r="CC484" s="512">
        <v>106.0</v>
      </c>
      <c r="CD484" s="512">
        <v>103.0</v>
      </c>
      <c r="CE484" s="512">
        <v>89.0</v>
      </c>
      <c r="CF484" s="512">
        <v>119.0</v>
      </c>
      <c r="CG484" s="512">
        <v>116.0</v>
      </c>
      <c r="CH484" s="512">
        <v>86.0</v>
      </c>
      <c r="CI484" s="512">
        <v>89.0</v>
      </c>
      <c r="CJ484" s="512">
        <v>103.0</v>
      </c>
      <c r="CK484" s="512">
        <v>82.0</v>
      </c>
      <c r="CL484" s="512">
        <v>92.0</v>
      </c>
      <c r="CM484" s="552">
        <f>SUM(BK484:CL484)/22</f>
        <v>96.09090909</v>
      </c>
      <c r="CN484" s="561">
        <v>92.0</v>
      </c>
      <c r="CO484" s="561"/>
      <c r="CP484" s="561"/>
      <c r="CQ484" s="561"/>
      <c r="CR484" s="561"/>
      <c r="CS484" s="561"/>
      <c r="CT484" s="561"/>
      <c r="CU484" s="561"/>
      <c r="CV484" s="591"/>
      <c r="CW484" s="591"/>
      <c r="CX484" s="591"/>
      <c r="CY484" s="591"/>
      <c r="CZ484" s="591"/>
      <c r="DA484" s="591"/>
      <c r="DB484" s="561"/>
      <c r="DC484" s="561"/>
      <c r="DD484" s="561"/>
      <c r="DE484" s="561"/>
      <c r="DF484" s="561"/>
      <c r="DG484" s="561"/>
      <c r="DH484" s="561"/>
      <c r="DI484" s="561"/>
      <c r="DJ484" s="561"/>
      <c r="DK484" s="513"/>
      <c r="DL484" s="561"/>
      <c r="DM484" s="561"/>
      <c r="DN484" s="561"/>
      <c r="DO484" s="561"/>
      <c r="DP484" s="561"/>
      <c r="DQ484" s="561"/>
      <c r="DR484" s="539"/>
      <c r="DX484" s="530"/>
    </row>
    <row r="485">
      <c r="A485" s="502" t="s">
        <v>291</v>
      </c>
      <c r="B485" s="525"/>
      <c r="C485" s="525"/>
      <c r="D485" s="525"/>
      <c r="E485" s="525"/>
      <c r="F485" s="525"/>
      <c r="G485" s="525"/>
      <c r="H485" s="525"/>
      <c r="I485" s="525"/>
      <c r="J485" s="525"/>
      <c r="K485" s="525"/>
      <c r="L485" s="525"/>
      <c r="M485" s="525"/>
      <c r="N485" s="525"/>
      <c r="O485" s="525"/>
      <c r="P485" s="525"/>
      <c r="Q485" s="525"/>
      <c r="R485" s="525"/>
      <c r="S485" s="525"/>
      <c r="T485" s="525"/>
      <c r="U485" s="525"/>
      <c r="V485" s="525"/>
      <c r="W485" s="525"/>
      <c r="X485" s="525"/>
      <c r="Y485" s="525"/>
      <c r="Z485" s="525"/>
      <c r="AA485" s="525"/>
      <c r="AB485" s="525"/>
      <c r="AC485" s="525"/>
      <c r="AD485" s="525"/>
      <c r="AE485" s="525"/>
      <c r="AF485" s="525"/>
      <c r="AG485" s="525"/>
      <c r="AH485" s="525"/>
      <c r="AI485" s="525"/>
      <c r="AJ485" s="525"/>
      <c r="AK485" s="525"/>
      <c r="AL485" s="525"/>
      <c r="AM485" s="525"/>
      <c r="AN485" s="525"/>
      <c r="AO485" s="525"/>
      <c r="AP485" s="525"/>
      <c r="AQ485" s="525"/>
      <c r="AR485" s="525"/>
      <c r="AS485" s="525"/>
      <c r="AT485" s="525"/>
      <c r="AU485" s="525"/>
      <c r="AV485" s="525"/>
      <c r="AW485" s="525"/>
      <c r="AX485" s="525"/>
      <c r="AY485" s="525"/>
      <c r="AZ485" s="525"/>
      <c r="BA485" s="525"/>
      <c r="BB485" s="525"/>
      <c r="BC485" s="525"/>
      <c r="BD485" s="525"/>
      <c r="BE485" s="525"/>
      <c r="BF485" s="525"/>
      <c r="BG485" s="525"/>
      <c r="BH485" s="525"/>
      <c r="BI485" s="525"/>
      <c r="BJ485" s="525"/>
      <c r="BK485" s="529">
        <v>-167.68</v>
      </c>
      <c r="BL485" s="529">
        <v>-89.36</v>
      </c>
      <c r="BM485" s="529">
        <v>-26.1</v>
      </c>
      <c r="BN485" s="529">
        <v>-389.28</v>
      </c>
      <c r="BO485" s="529">
        <v>54.9</v>
      </c>
      <c r="BP485" s="529">
        <v>22.93</v>
      </c>
      <c r="BQ485" s="529">
        <v>-66.7</v>
      </c>
      <c r="BR485" s="529">
        <v>-203.56</v>
      </c>
      <c r="BS485" s="529">
        <v>-359.15</v>
      </c>
      <c r="BT485" s="529">
        <v>-10.32</v>
      </c>
      <c r="BU485" s="529">
        <v>-130.74</v>
      </c>
      <c r="BV485" s="529">
        <v>82.49</v>
      </c>
      <c r="BW485" s="529">
        <v>14.18</v>
      </c>
      <c r="BX485" s="529">
        <v>93.65</v>
      </c>
      <c r="BY485" s="529">
        <v>96.27</v>
      </c>
      <c r="BZ485" s="529">
        <v>-478.47</v>
      </c>
      <c r="CA485" s="529">
        <v>-2.11</v>
      </c>
      <c r="CB485" s="529">
        <v>81.53</v>
      </c>
      <c r="CC485" s="529">
        <v>-45.15</v>
      </c>
      <c r="CD485" s="529">
        <v>92.28</v>
      </c>
      <c r="CE485" s="529">
        <v>-294.99</v>
      </c>
      <c r="CF485" s="529">
        <v>121.62</v>
      </c>
      <c r="CG485" s="529">
        <v>109.56</v>
      </c>
      <c r="CH485" s="529">
        <v>-81.66</v>
      </c>
      <c r="CI485" s="529">
        <v>-103.42</v>
      </c>
      <c r="CJ485" s="529">
        <v>72.17</v>
      </c>
      <c r="CK485" s="529">
        <v>106.47</v>
      </c>
      <c r="CL485" s="512">
        <v>7.22</v>
      </c>
      <c r="CM485" s="525"/>
      <c r="CN485" s="537"/>
      <c r="CO485" s="537"/>
      <c r="CP485" s="537"/>
      <c r="CQ485" s="537"/>
      <c r="CR485" s="537"/>
      <c r="CS485" s="537"/>
      <c r="CT485" s="537"/>
      <c r="CU485" s="537"/>
      <c r="CV485" s="536"/>
      <c r="CW485" s="593"/>
      <c r="CX485" s="593"/>
      <c r="CY485" s="593"/>
      <c r="CZ485" s="593"/>
      <c r="DA485" s="593"/>
      <c r="DB485" s="537"/>
      <c r="DC485" s="537"/>
      <c r="DD485" s="537"/>
      <c r="DE485" s="513"/>
      <c r="DF485" s="513"/>
      <c r="DG485" s="537"/>
      <c r="DH485" s="537"/>
      <c r="DI485" s="537"/>
      <c r="DJ485" s="537"/>
      <c r="DK485" s="537"/>
      <c r="DL485" s="537"/>
      <c r="DM485" s="537"/>
      <c r="DN485" s="561"/>
      <c r="DO485" s="537"/>
      <c r="DP485" s="537"/>
      <c r="DQ485" s="537"/>
      <c r="DR485" s="539"/>
      <c r="DX485" s="530"/>
    </row>
    <row r="486">
      <c r="A486" s="531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  <c r="AT486" s="118"/>
      <c r="AU486" s="118"/>
      <c r="AV486" s="118"/>
      <c r="AW486" s="118"/>
      <c r="AX486" s="118"/>
      <c r="AY486" s="118"/>
      <c r="AZ486" s="118"/>
      <c r="BA486" s="118"/>
      <c r="BB486" s="118"/>
      <c r="BC486" s="118"/>
      <c r="BD486" s="118"/>
      <c r="BE486" s="118"/>
      <c r="BF486" s="118"/>
      <c r="BG486" s="118"/>
      <c r="BH486" s="118"/>
      <c r="BI486" s="118"/>
      <c r="BJ486" s="118"/>
      <c r="BK486" s="118"/>
      <c r="BL486" s="118"/>
      <c r="BM486" s="118"/>
      <c r="BN486" s="118"/>
      <c r="BO486" s="118"/>
      <c r="BP486" s="118"/>
      <c r="BQ486" s="118"/>
      <c r="BR486" s="118"/>
      <c r="BS486" s="118"/>
      <c r="BT486" s="118"/>
      <c r="BU486" s="118"/>
      <c r="BV486" s="118"/>
      <c r="BW486" s="118"/>
      <c r="BX486" s="118"/>
      <c r="BY486" s="118"/>
      <c r="BZ486" s="118"/>
      <c r="CA486" s="118"/>
      <c r="CB486" s="118"/>
      <c r="CC486" s="118"/>
      <c r="CD486" s="118"/>
      <c r="CE486" s="118"/>
      <c r="CF486" s="118"/>
      <c r="CG486" s="118"/>
      <c r="CH486" s="118"/>
      <c r="CI486" s="118"/>
      <c r="CJ486" s="118"/>
      <c r="CK486" s="118"/>
      <c r="CL486" s="118"/>
      <c r="CM486" s="118"/>
      <c r="CN486" s="118"/>
      <c r="CO486" s="118"/>
      <c r="CP486" s="118"/>
      <c r="CQ486" s="118"/>
      <c r="CR486" s="118"/>
      <c r="CS486" s="577"/>
      <c r="CT486" s="118"/>
      <c r="CU486" s="118"/>
      <c r="CV486" s="577"/>
      <c r="CW486" s="577"/>
      <c r="CX486" s="577"/>
      <c r="CY486" s="577"/>
      <c r="CZ486" s="577"/>
      <c r="DA486" s="577"/>
      <c r="DB486" s="118"/>
      <c r="DC486" s="118"/>
      <c r="DD486" s="118"/>
      <c r="DE486" s="118"/>
      <c r="DF486" s="118"/>
      <c r="DG486" s="118"/>
      <c r="DH486" s="118"/>
      <c r="DI486" s="10"/>
      <c r="DJ486" s="118"/>
      <c r="DK486" s="118"/>
      <c r="DL486" s="118"/>
      <c r="DM486" s="118"/>
      <c r="DN486" s="118"/>
      <c r="DO486" s="118"/>
      <c r="DP486" s="118"/>
      <c r="DQ486" s="118"/>
      <c r="DX486" s="530"/>
    </row>
    <row r="487">
      <c r="A487" s="531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  <c r="AT487" s="118"/>
      <c r="AU487" s="118"/>
      <c r="AV487" s="118"/>
      <c r="AW487" s="118"/>
      <c r="AX487" s="118"/>
      <c r="AY487" s="118"/>
      <c r="AZ487" s="118"/>
      <c r="BA487" s="118"/>
      <c r="BB487" s="118"/>
      <c r="BC487" s="118"/>
      <c r="BD487" s="118"/>
      <c r="BE487" s="118"/>
      <c r="BF487" s="118"/>
      <c r="BG487" s="118"/>
      <c r="BH487" s="118"/>
      <c r="BI487" s="118"/>
      <c r="BJ487" s="118"/>
      <c r="BK487" s="118"/>
      <c r="BL487" s="118"/>
      <c r="BM487" s="118"/>
      <c r="BN487" s="118"/>
      <c r="BO487" s="118"/>
      <c r="BP487" s="118"/>
      <c r="BQ487" s="118"/>
      <c r="BR487" s="118"/>
      <c r="BS487" s="118"/>
      <c r="BT487" s="118"/>
      <c r="BU487" s="118"/>
      <c r="BV487" s="118"/>
      <c r="BW487" s="118"/>
      <c r="BX487" s="118"/>
      <c r="BY487" s="118"/>
      <c r="BZ487" s="118"/>
      <c r="CA487" s="118"/>
      <c r="CB487" s="118"/>
      <c r="CC487" s="118"/>
      <c r="CD487" s="118"/>
      <c r="CE487" s="118"/>
      <c r="CF487" s="118"/>
      <c r="CG487" s="118"/>
      <c r="CH487" s="118"/>
      <c r="CI487" s="118"/>
      <c r="CJ487" s="118"/>
      <c r="CK487" s="118"/>
      <c r="CL487" s="118"/>
      <c r="CM487" s="118"/>
      <c r="CN487" s="118"/>
      <c r="CO487" s="118"/>
      <c r="CP487" s="118"/>
      <c r="CQ487" s="118"/>
      <c r="CR487" s="118"/>
      <c r="CS487" s="118"/>
      <c r="CT487" s="118"/>
      <c r="CU487" s="118"/>
      <c r="CV487" s="577"/>
      <c r="CW487" s="577"/>
      <c r="CX487" s="577"/>
      <c r="CY487" s="577"/>
      <c r="CZ487" s="577"/>
      <c r="DA487" s="577"/>
      <c r="DB487" s="118"/>
      <c r="DC487" s="118"/>
      <c r="DD487" s="118"/>
      <c r="DE487" s="118"/>
      <c r="DF487" s="118"/>
      <c r="DG487" s="118"/>
      <c r="DH487" s="118"/>
      <c r="DI487" s="118"/>
      <c r="DJ487" s="118"/>
      <c r="DK487" s="118"/>
      <c r="DL487" s="118"/>
      <c r="DM487" s="118"/>
      <c r="DN487" s="118"/>
      <c r="DO487" s="118"/>
      <c r="DP487" s="118"/>
      <c r="DQ487" s="118"/>
      <c r="DX487" s="530"/>
    </row>
    <row r="488">
      <c r="A488" s="500" t="s">
        <v>12</v>
      </c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  <c r="AT488" s="118"/>
      <c r="AU488" s="118"/>
      <c r="AV488" s="118"/>
      <c r="AW488" s="118"/>
      <c r="AX488" s="118"/>
      <c r="AY488" s="118"/>
      <c r="AZ488" s="118"/>
      <c r="BA488" s="118"/>
      <c r="BB488" s="118"/>
      <c r="BC488" s="118"/>
      <c r="BD488" s="118"/>
      <c r="BE488" s="118"/>
      <c r="BF488" s="118"/>
      <c r="BG488" s="118"/>
      <c r="BH488" s="118"/>
      <c r="BI488" s="118"/>
      <c r="BJ488" s="118"/>
      <c r="BK488" s="118"/>
      <c r="BL488" s="118"/>
      <c r="BM488" s="118"/>
      <c r="BN488" s="118"/>
      <c r="BO488" s="118"/>
      <c r="BP488" s="118"/>
      <c r="BQ488" s="118"/>
      <c r="BR488" s="118"/>
      <c r="BS488" s="118"/>
      <c r="BT488" s="118"/>
      <c r="BU488" s="118"/>
      <c r="BV488" s="118"/>
      <c r="BW488" s="118"/>
      <c r="BX488" s="118"/>
      <c r="BY488" s="118"/>
      <c r="BZ488" s="118"/>
      <c r="CA488" s="118"/>
      <c r="CB488" s="118"/>
      <c r="CC488" s="118"/>
      <c r="CD488" s="118"/>
      <c r="CE488" s="118"/>
      <c r="CF488" s="118"/>
      <c r="CG488" s="118"/>
      <c r="CH488" s="118"/>
      <c r="CI488" s="118"/>
      <c r="CJ488" s="118"/>
      <c r="CK488" s="118"/>
      <c r="CL488" s="118"/>
      <c r="CM488" s="118"/>
      <c r="CN488" s="546" t="s">
        <v>431</v>
      </c>
      <c r="CO488" s="546"/>
      <c r="CP488" s="546"/>
      <c r="CQ488" s="546"/>
      <c r="CR488" s="546"/>
      <c r="CS488" s="546"/>
      <c r="CT488" s="546"/>
      <c r="CU488" s="546"/>
      <c r="CV488" s="546"/>
      <c r="CW488" s="546"/>
      <c r="CX488" s="546"/>
      <c r="CY488" s="546"/>
      <c r="CZ488" s="546"/>
      <c r="DA488" s="546"/>
      <c r="DB488" s="546"/>
      <c r="DC488" s="546"/>
      <c r="DD488" s="546"/>
      <c r="DE488" s="546"/>
      <c r="DF488" s="546"/>
      <c r="DG488" s="546"/>
      <c r="DH488" s="546"/>
      <c r="DI488" s="546"/>
      <c r="DJ488" s="546"/>
      <c r="DK488" s="546"/>
      <c r="DL488" s="546"/>
      <c r="DM488" s="546"/>
      <c r="DN488" s="546"/>
      <c r="DO488" s="546"/>
      <c r="DP488" s="546"/>
      <c r="DQ488" s="546"/>
      <c r="DX488" s="530"/>
    </row>
    <row r="489">
      <c r="A489" s="502" t="s">
        <v>288</v>
      </c>
      <c r="B489" s="525"/>
      <c r="C489" s="525"/>
      <c r="D489" s="525"/>
      <c r="E489" s="525"/>
      <c r="F489" s="525"/>
      <c r="G489" s="525"/>
      <c r="H489" s="525"/>
      <c r="I489" s="525"/>
      <c r="J489" s="525"/>
      <c r="K489" s="525"/>
      <c r="L489" s="525"/>
      <c r="M489" s="525"/>
      <c r="N489" s="525"/>
      <c r="O489" s="525"/>
      <c r="P489" s="525"/>
      <c r="Q489" s="525"/>
      <c r="R489" s="525"/>
      <c r="S489" s="525"/>
      <c r="T489" s="525"/>
      <c r="U489" s="525"/>
      <c r="V489" s="525"/>
      <c r="W489" s="525"/>
      <c r="X489" s="525"/>
      <c r="Y489" s="525"/>
      <c r="Z489" s="525"/>
      <c r="AA489" s="525"/>
      <c r="AB489" s="525"/>
      <c r="AC489" s="525"/>
      <c r="AD489" s="525"/>
      <c r="AE489" s="525"/>
      <c r="AF489" s="525"/>
      <c r="AG489" s="525"/>
      <c r="AH489" s="525"/>
      <c r="AI489" s="525"/>
      <c r="AJ489" s="525"/>
      <c r="AK489" s="525"/>
      <c r="AL489" s="525"/>
      <c r="AM489" s="525"/>
      <c r="AN489" s="525"/>
      <c r="AO489" s="525"/>
      <c r="AP489" s="525"/>
      <c r="AQ489" s="525"/>
      <c r="AR489" s="525"/>
      <c r="AS489" s="525"/>
      <c r="AT489" s="525"/>
      <c r="AU489" s="525"/>
      <c r="AV489" s="525"/>
      <c r="AW489" s="525"/>
      <c r="AX489" s="525"/>
      <c r="AY489" s="525"/>
      <c r="AZ489" s="525"/>
      <c r="BA489" s="525"/>
      <c r="BB489" s="525"/>
      <c r="BC489" s="525"/>
      <c r="BD489" s="525"/>
      <c r="BE489" s="525"/>
      <c r="BF489" s="525"/>
      <c r="BG489" s="525"/>
      <c r="BH489" s="525"/>
      <c r="BI489" s="525"/>
      <c r="BJ489" s="525"/>
      <c r="BK489" s="541">
        <v>45689.0</v>
      </c>
      <c r="BL489" s="541">
        <v>45690.0</v>
      </c>
      <c r="BM489" s="541">
        <v>45691.0</v>
      </c>
      <c r="BN489" s="541">
        <v>45692.0</v>
      </c>
      <c r="BO489" s="541">
        <v>45693.0</v>
      </c>
      <c r="BP489" s="541">
        <v>45694.0</v>
      </c>
      <c r="BQ489" s="541">
        <v>45695.0</v>
      </c>
      <c r="BR489" s="541">
        <v>45696.0</v>
      </c>
      <c r="BS489" s="541">
        <v>45697.0</v>
      </c>
      <c r="BT489" s="541">
        <v>45698.0</v>
      </c>
      <c r="BU489" s="541">
        <v>45699.0</v>
      </c>
      <c r="BV489" s="541">
        <v>45700.0</v>
      </c>
      <c r="BW489" s="541">
        <v>45701.0</v>
      </c>
      <c r="BX489" s="541">
        <v>45702.0</v>
      </c>
      <c r="BY489" s="541">
        <v>45703.0</v>
      </c>
      <c r="BZ489" s="541">
        <v>45704.0</v>
      </c>
      <c r="CA489" s="541">
        <v>45705.0</v>
      </c>
      <c r="CB489" s="541">
        <v>45706.0</v>
      </c>
      <c r="CC489" s="541">
        <v>45707.0</v>
      </c>
      <c r="CD489" s="541">
        <v>45708.0</v>
      </c>
      <c r="CE489" s="541">
        <v>45709.0</v>
      </c>
      <c r="CF489" s="541">
        <v>45710.0</v>
      </c>
      <c r="CG489" s="541">
        <v>45711.0</v>
      </c>
      <c r="CH489" s="541">
        <v>45712.0</v>
      </c>
      <c r="CI489" s="541">
        <v>45713.0</v>
      </c>
      <c r="CJ489" s="541">
        <v>45714.0</v>
      </c>
      <c r="CK489" s="541">
        <v>45715.0</v>
      </c>
      <c r="CL489" s="541">
        <v>45716.0</v>
      </c>
      <c r="CM489" s="541"/>
      <c r="CN489" s="604">
        <v>46113.0</v>
      </c>
      <c r="CO489" s="604">
        <v>46114.0</v>
      </c>
      <c r="CP489" s="604">
        <v>46115.0</v>
      </c>
      <c r="CQ489" s="604">
        <v>46116.0</v>
      </c>
      <c r="CR489" s="604">
        <v>46117.0</v>
      </c>
      <c r="CS489" s="604">
        <v>46118.0</v>
      </c>
      <c r="CT489" s="604">
        <v>46119.0</v>
      </c>
      <c r="CU489" s="604">
        <v>46120.0</v>
      </c>
      <c r="CV489" s="604">
        <v>46121.0</v>
      </c>
      <c r="CW489" s="604">
        <v>46122.0</v>
      </c>
      <c r="CX489" s="604">
        <v>46123.0</v>
      </c>
      <c r="CY489" s="604">
        <v>46124.0</v>
      </c>
      <c r="CZ489" s="604">
        <v>46125.0</v>
      </c>
      <c r="DA489" s="604">
        <v>46126.0</v>
      </c>
      <c r="DB489" s="604">
        <v>46127.0</v>
      </c>
      <c r="DC489" s="604">
        <v>46128.0</v>
      </c>
      <c r="DD489" s="604">
        <v>46129.0</v>
      </c>
      <c r="DE489" s="604">
        <v>46130.0</v>
      </c>
      <c r="DF489" s="604">
        <v>46131.0</v>
      </c>
      <c r="DG489" s="604">
        <v>46132.0</v>
      </c>
      <c r="DH489" s="604">
        <v>46133.0</v>
      </c>
      <c r="DI489" s="604">
        <v>46134.0</v>
      </c>
      <c r="DJ489" s="604">
        <v>46135.0</v>
      </c>
      <c r="DK489" s="604">
        <v>46136.0</v>
      </c>
      <c r="DL489" s="604">
        <v>46137.0</v>
      </c>
      <c r="DM489" s="604">
        <v>46138.0</v>
      </c>
      <c r="DN489" s="604">
        <v>46139.0</v>
      </c>
      <c r="DO489" s="604">
        <v>46140.0</v>
      </c>
      <c r="DP489" s="604">
        <v>46141.0</v>
      </c>
      <c r="DQ489" s="604">
        <v>46142.0</v>
      </c>
      <c r="DR489" s="602"/>
      <c r="DX489" s="530"/>
    </row>
    <row r="490">
      <c r="A490" s="502" t="s">
        <v>289</v>
      </c>
      <c r="B490" s="525"/>
      <c r="C490" s="525"/>
      <c r="D490" s="525"/>
      <c r="E490" s="525"/>
      <c r="F490" s="525"/>
      <c r="G490" s="525"/>
      <c r="H490" s="525"/>
      <c r="I490" s="525"/>
      <c r="J490" s="525"/>
      <c r="K490" s="525"/>
      <c r="L490" s="525"/>
      <c r="M490" s="525"/>
      <c r="N490" s="525"/>
      <c r="O490" s="525"/>
      <c r="P490" s="525"/>
      <c r="Q490" s="525"/>
      <c r="R490" s="525"/>
      <c r="S490" s="525"/>
      <c r="T490" s="525"/>
      <c r="U490" s="525"/>
      <c r="V490" s="525"/>
      <c r="W490" s="525"/>
      <c r="X490" s="525"/>
      <c r="Y490" s="525"/>
      <c r="Z490" s="525"/>
      <c r="AA490" s="525"/>
      <c r="AB490" s="525"/>
      <c r="AC490" s="525"/>
      <c r="AD490" s="525"/>
      <c r="AE490" s="525"/>
      <c r="AF490" s="525"/>
      <c r="AG490" s="525"/>
      <c r="AH490" s="525"/>
      <c r="AI490" s="525"/>
      <c r="AJ490" s="525"/>
      <c r="AK490" s="525"/>
      <c r="AL490" s="525"/>
      <c r="AM490" s="525"/>
      <c r="AN490" s="525"/>
      <c r="AO490" s="525"/>
      <c r="AP490" s="525"/>
      <c r="AQ490" s="525"/>
      <c r="AR490" s="525"/>
      <c r="AS490" s="525"/>
      <c r="AT490" s="525"/>
      <c r="AU490" s="525"/>
      <c r="AV490" s="525"/>
      <c r="AW490" s="525"/>
      <c r="AX490" s="525"/>
      <c r="AY490" s="525"/>
      <c r="AZ490" s="525"/>
      <c r="BA490" s="525"/>
      <c r="BB490" s="525"/>
      <c r="BC490" s="525"/>
      <c r="BD490" s="525"/>
      <c r="BE490" s="525"/>
      <c r="BF490" s="525"/>
      <c r="BG490" s="525"/>
      <c r="BH490" s="525"/>
      <c r="BI490" s="525"/>
      <c r="BJ490" s="525"/>
      <c r="BK490" s="512">
        <v>99.0</v>
      </c>
      <c r="BL490" s="512">
        <v>117.0</v>
      </c>
      <c r="BM490" s="512">
        <v>121.0</v>
      </c>
      <c r="BN490" s="512">
        <v>105.0</v>
      </c>
      <c r="BO490" s="512">
        <v>97.0</v>
      </c>
      <c r="BP490" s="512">
        <v>98.0</v>
      </c>
      <c r="BQ490" s="512">
        <v>110.0</v>
      </c>
      <c r="BR490" s="512">
        <v>141.0</v>
      </c>
      <c r="BS490" s="512">
        <v>157.0</v>
      </c>
      <c r="BT490" s="512">
        <v>98.0</v>
      </c>
      <c r="BU490" s="512">
        <v>130.0</v>
      </c>
      <c r="BV490" s="512">
        <v>130.0</v>
      </c>
      <c r="BW490" s="512">
        <v>153.0</v>
      </c>
      <c r="BX490" s="512">
        <v>131.0</v>
      </c>
      <c r="BY490" s="512">
        <v>126.0</v>
      </c>
      <c r="BZ490" s="512">
        <v>160.0</v>
      </c>
      <c r="CA490" s="512">
        <v>151.0</v>
      </c>
      <c r="CB490" s="512">
        <v>99.0</v>
      </c>
      <c r="CC490" s="512">
        <v>125.0</v>
      </c>
      <c r="CD490" s="512">
        <v>168.0</v>
      </c>
      <c r="CE490" s="512">
        <v>164.0</v>
      </c>
      <c r="CF490" s="512">
        <v>174.0</v>
      </c>
      <c r="CG490" s="512">
        <v>161.0</v>
      </c>
      <c r="CH490" s="512">
        <v>117.0</v>
      </c>
      <c r="CI490" s="512">
        <v>139.0</v>
      </c>
      <c r="CJ490" s="512">
        <v>131.0</v>
      </c>
      <c r="CK490" s="512">
        <v>98.0</v>
      </c>
      <c r="CL490" s="512">
        <v>196.0</v>
      </c>
      <c r="CM490" s="514"/>
      <c r="CN490" s="561"/>
      <c r="CO490" s="561"/>
      <c r="CP490" s="561"/>
      <c r="CQ490" s="561"/>
      <c r="CR490" s="561"/>
      <c r="CS490" s="561"/>
      <c r="CT490" s="561"/>
      <c r="CU490" s="561"/>
      <c r="CV490" s="591"/>
      <c r="CW490" s="591"/>
      <c r="CX490" s="591"/>
      <c r="CY490" s="591"/>
      <c r="CZ490" s="591"/>
      <c r="DA490" s="591"/>
      <c r="DB490" s="561"/>
      <c r="DC490" s="561"/>
      <c r="DD490" s="561"/>
      <c r="DE490" s="561"/>
      <c r="DF490" s="561"/>
      <c r="DG490" s="561"/>
      <c r="DH490" s="561"/>
      <c r="DI490" s="561"/>
      <c r="DJ490" s="561"/>
      <c r="DK490" s="561"/>
      <c r="DL490" s="561"/>
      <c r="DM490" s="561"/>
      <c r="DN490" s="561"/>
      <c r="DO490" s="561"/>
      <c r="DP490" s="561"/>
      <c r="DQ490" s="561"/>
      <c r="DR490" s="539"/>
      <c r="DX490" s="530"/>
    </row>
    <row r="491">
      <c r="A491" s="521" t="s">
        <v>290</v>
      </c>
      <c r="B491" s="525"/>
      <c r="C491" s="525"/>
      <c r="D491" s="525"/>
      <c r="E491" s="525"/>
      <c r="F491" s="525"/>
      <c r="G491" s="525"/>
      <c r="H491" s="525"/>
      <c r="I491" s="525"/>
      <c r="J491" s="525"/>
      <c r="K491" s="525"/>
      <c r="L491" s="525"/>
      <c r="M491" s="525"/>
      <c r="N491" s="525"/>
      <c r="O491" s="525"/>
      <c r="P491" s="525"/>
      <c r="Q491" s="525"/>
      <c r="R491" s="525"/>
      <c r="S491" s="525"/>
      <c r="T491" s="525"/>
      <c r="U491" s="525"/>
      <c r="V491" s="525"/>
      <c r="W491" s="525"/>
      <c r="X491" s="525"/>
      <c r="Y491" s="525"/>
      <c r="Z491" s="525"/>
      <c r="AA491" s="525"/>
      <c r="AB491" s="525"/>
      <c r="AC491" s="525"/>
      <c r="AD491" s="525"/>
      <c r="AE491" s="525"/>
      <c r="AF491" s="525"/>
      <c r="AG491" s="525"/>
      <c r="AH491" s="525"/>
      <c r="AI491" s="525"/>
      <c r="AJ491" s="525"/>
      <c r="AK491" s="525"/>
      <c r="AL491" s="525"/>
      <c r="AM491" s="525"/>
      <c r="AN491" s="525"/>
      <c r="AO491" s="525"/>
      <c r="AP491" s="525"/>
      <c r="AQ491" s="525"/>
      <c r="AR491" s="525"/>
      <c r="AS491" s="525"/>
      <c r="AT491" s="525"/>
      <c r="AU491" s="525"/>
      <c r="AV491" s="525"/>
      <c r="AW491" s="525"/>
      <c r="AX491" s="525"/>
      <c r="AY491" s="525"/>
      <c r="AZ491" s="525"/>
      <c r="BA491" s="525"/>
      <c r="BB491" s="525"/>
      <c r="BC491" s="525"/>
      <c r="BD491" s="525"/>
      <c r="BE491" s="525"/>
      <c r="BF491" s="525"/>
      <c r="BG491" s="525"/>
      <c r="BH491" s="525"/>
      <c r="BI491" s="525"/>
      <c r="BJ491" s="525"/>
      <c r="BK491" s="512">
        <v>44.0</v>
      </c>
      <c r="BL491" s="512">
        <v>55.0</v>
      </c>
      <c r="BM491" s="512">
        <v>47.0</v>
      </c>
      <c r="BN491" s="512">
        <v>39.0</v>
      </c>
      <c r="BO491" s="512">
        <v>54.0</v>
      </c>
      <c r="BP491" s="512">
        <v>46.0</v>
      </c>
      <c r="BQ491" s="512">
        <v>51.0</v>
      </c>
      <c r="BR491" s="512">
        <v>48.0</v>
      </c>
      <c r="BS491" s="512">
        <v>55.0</v>
      </c>
      <c r="BT491" s="512">
        <v>41.0</v>
      </c>
      <c r="BU491" s="512">
        <v>57.0</v>
      </c>
      <c r="BV491" s="512">
        <v>57.0</v>
      </c>
      <c r="BW491" s="512">
        <v>59.0</v>
      </c>
      <c r="BX491" s="512">
        <v>41.0</v>
      </c>
      <c r="BY491" s="512">
        <v>52.0</v>
      </c>
      <c r="BZ491" s="512">
        <v>61.0</v>
      </c>
      <c r="CA491" s="512">
        <v>52.0</v>
      </c>
      <c r="CB491" s="512">
        <v>38.0</v>
      </c>
      <c r="CC491" s="512">
        <v>53.0</v>
      </c>
      <c r="CD491" s="512">
        <v>77.0</v>
      </c>
      <c r="CE491" s="512">
        <v>59.0</v>
      </c>
      <c r="CF491" s="512">
        <v>70.0</v>
      </c>
      <c r="CG491" s="512">
        <v>77.0</v>
      </c>
      <c r="CH491" s="512">
        <v>47.0</v>
      </c>
      <c r="CI491" s="512">
        <v>51.0</v>
      </c>
      <c r="CJ491" s="512">
        <v>54.0</v>
      </c>
      <c r="CK491" s="512">
        <v>43.0</v>
      </c>
      <c r="CL491" s="512">
        <v>75.0</v>
      </c>
      <c r="CM491" s="566">
        <f>SUM(BK491:CL491)/28</f>
        <v>53.67857143</v>
      </c>
      <c r="CN491" s="561"/>
      <c r="CO491" s="561"/>
      <c r="CP491" s="561"/>
      <c r="CQ491" s="561"/>
      <c r="CR491" s="561"/>
      <c r="CS491" s="561"/>
      <c r="CT491" s="561"/>
      <c r="CU491" s="561"/>
      <c r="CV491" s="591"/>
      <c r="CW491" s="591"/>
      <c r="CX491" s="591"/>
      <c r="CY491" s="591"/>
      <c r="CZ491" s="591"/>
      <c r="DA491" s="591"/>
      <c r="DB491" s="561"/>
      <c r="DC491" s="561"/>
      <c r="DD491" s="561"/>
      <c r="DE491" s="561"/>
      <c r="DF491" s="561"/>
      <c r="DG491" s="561"/>
      <c r="DH491" s="561"/>
      <c r="DI491" s="561"/>
      <c r="DJ491" s="561"/>
      <c r="DK491" s="561"/>
      <c r="DL491" s="561"/>
      <c r="DM491" s="561"/>
      <c r="DN491" s="561"/>
      <c r="DO491" s="561"/>
      <c r="DP491" s="561"/>
      <c r="DQ491" s="561"/>
      <c r="DR491" s="539"/>
      <c r="DX491" s="530"/>
    </row>
    <row r="492">
      <c r="A492" s="502" t="s">
        <v>291</v>
      </c>
      <c r="B492" s="537"/>
      <c r="C492" s="537"/>
      <c r="D492" s="537"/>
      <c r="E492" s="537"/>
      <c r="F492" s="537"/>
      <c r="G492" s="537"/>
      <c r="H492" s="537"/>
      <c r="I492" s="537"/>
      <c r="J492" s="537"/>
      <c r="K492" s="537"/>
      <c r="L492" s="537"/>
      <c r="M492" s="537"/>
      <c r="N492" s="537"/>
      <c r="O492" s="537"/>
      <c r="P492" s="537"/>
      <c r="Q492" s="537"/>
      <c r="R492" s="537"/>
      <c r="S492" s="537"/>
      <c r="T492" s="537"/>
      <c r="U492" s="537"/>
      <c r="V492" s="537"/>
      <c r="W492" s="537"/>
      <c r="X492" s="537"/>
      <c r="Y492" s="537"/>
      <c r="Z492" s="537"/>
      <c r="AA492" s="537"/>
      <c r="AB492" s="537"/>
      <c r="AC492" s="537"/>
      <c r="AD492" s="537"/>
      <c r="AE492" s="537"/>
      <c r="AF492" s="537"/>
      <c r="AG492" s="537"/>
      <c r="AH492" s="537"/>
      <c r="AI492" s="537"/>
      <c r="AJ492" s="537"/>
      <c r="AK492" s="537"/>
      <c r="AL492" s="537"/>
      <c r="AM492" s="537"/>
      <c r="AN492" s="537"/>
      <c r="AO492" s="537"/>
      <c r="AP492" s="537"/>
      <c r="AQ492" s="537"/>
      <c r="AR492" s="537"/>
      <c r="AS492" s="537"/>
      <c r="AT492" s="537"/>
      <c r="AU492" s="537"/>
      <c r="AV492" s="537"/>
      <c r="AW492" s="537"/>
      <c r="AX492" s="537"/>
      <c r="AY492" s="537"/>
      <c r="AZ492" s="537"/>
      <c r="BA492" s="537"/>
      <c r="BB492" s="537"/>
      <c r="BC492" s="537"/>
      <c r="BD492" s="537"/>
      <c r="BE492" s="537"/>
      <c r="BF492" s="537"/>
      <c r="BG492" s="537"/>
      <c r="BH492" s="537"/>
      <c r="BI492" s="537"/>
      <c r="BJ492" s="537"/>
      <c r="BK492" s="537">
        <v>-295.52</v>
      </c>
      <c r="BL492" s="537">
        <v>-42.77</v>
      </c>
      <c r="BM492" s="537">
        <v>24.22</v>
      </c>
      <c r="BN492" s="537">
        <v>-438.28</v>
      </c>
      <c r="BO492" s="537">
        <v>35.84</v>
      </c>
      <c r="BP492" s="537">
        <v>-15.94</v>
      </c>
      <c r="BQ492" s="537">
        <v>33.53</v>
      </c>
      <c r="BR492" s="537">
        <v>48.55</v>
      </c>
      <c r="BS492" s="537">
        <v>-179.22</v>
      </c>
      <c r="BT492" s="537">
        <v>-2.05</v>
      </c>
      <c r="BU492" s="537">
        <v>54.16</v>
      </c>
      <c r="BV492" s="537">
        <v>-203.07</v>
      </c>
      <c r="BW492" s="537">
        <v>53.0</v>
      </c>
      <c r="BX492" s="537">
        <v>35.32</v>
      </c>
      <c r="BY492" s="537">
        <v>52.07</v>
      </c>
      <c r="BZ492" s="537">
        <v>38.49</v>
      </c>
      <c r="CA492" s="537">
        <v>54.6</v>
      </c>
      <c r="CB492" s="537">
        <v>43.14</v>
      </c>
      <c r="CC492" s="537">
        <v>-87.46</v>
      </c>
      <c r="CD492" s="537">
        <v>47.24</v>
      </c>
      <c r="CE492" s="537">
        <v>-66.14</v>
      </c>
      <c r="CF492" s="537">
        <v>54.48</v>
      </c>
      <c r="CG492" s="537">
        <v>59.5</v>
      </c>
      <c r="CH492" s="537">
        <v>-90.39</v>
      </c>
      <c r="CI492" s="537">
        <v>50.36</v>
      </c>
      <c r="CJ492" s="537">
        <v>32.76</v>
      </c>
      <c r="CK492" s="537">
        <v>-310.39</v>
      </c>
      <c r="CL492" s="537">
        <v>-88.51</v>
      </c>
      <c r="CM492" s="537"/>
      <c r="CN492" s="537"/>
      <c r="CO492" s="537"/>
      <c r="CP492" s="537"/>
      <c r="CQ492" s="537"/>
      <c r="CR492" s="513"/>
      <c r="CS492" s="537"/>
      <c r="CT492" s="537"/>
      <c r="CU492" s="537"/>
      <c r="CV492" s="536"/>
      <c r="CW492" s="593"/>
      <c r="CX492" s="593"/>
      <c r="CY492" s="593"/>
      <c r="CZ492" s="595"/>
      <c r="DA492" s="593"/>
      <c r="DB492" s="537"/>
      <c r="DC492" s="537"/>
      <c r="DD492" s="513"/>
      <c r="DE492" s="537"/>
      <c r="DF492" s="537"/>
      <c r="DG492" s="537"/>
      <c r="DH492" s="537"/>
      <c r="DI492" s="537"/>
      <c r="DJ492" s="537"/>
      <c r="DK492" s="537"/>
      <c r="DL492" s="537"/>
      <c r="DM492" s="537"/>
      <c r="DN492" s="537"/>
      <c r="DO492" s="537"/>
      <c r="DP492" s="537"/>
      <c r="DQ492" s="537"/>
      <c r="DR492" s="539"/>
      <c r="DX492" s="530"/>
    </row>
    <row r="493">
      <c r="A493" s="531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  <c r="AT493" s="118"/>
      <c r="AU493" s="118"/>
      <c r="AV493" s="118"/>
      <c r="AW493" s="118"/>
      <c r="AX493" s="118"/>
      <c r="AY493" s="118"/>
      <c r="AZ493" s="118"/>
      <c r="BA493" s="118"/>
      <c r="BB493" s="118"/>
      <c r="BC493" s="118"/>
      <c r="BD493" s="118"/>
      <c r="BE493" s="118"/>
      <c r="BF493" s="118"/>
      <c r="BG493" s="118"/>
      <c r="BH493" s="118"/>
      <c r="BI493" s="118"/>
      <c r="BJ493" s="118"/>
      <c r="BK493" s="118"/>
      <c r="BL493" s="118"/>
      <c r="BM493" s="118"/>
      <c r="BN493" s="118"/>
      <c r="BO493" s="118"/>
      <c r="BP493" s="118"/>
      <c r="BQ493" s="118"/>
      <c r="BR493" s="118"/>
      <c r="BS493" s="118"/>
      <c r="BT493" s="118"/>
      <c r="BU493" s="118"/>
      <c r="BV493" s="118"/>
      <c r="BW493" s="118"/>
      <c r="BX493" s="118"/>
      <c r="BY493" s="118"/>
      <c r="BZ493" s="118"/>
      <c r="CA493" s="118"/>
      <c r="CB493" s="118"/>
      <c r="CC493" s="118"/>
      <c r="CD493" s="118"/>
      <c r="CE493" s="118"/>
      <c r="CF493" s="118"/>
      <c r="CG493" s="118"/>
      <c r="CH493" s="118"/>
      <c r="CI493" s="118"/>
      <c r="CJ493" s="118"/>
      <c r="CK493" s="118"/>
      <c r="CL493" s="118"/>
      <c r="CM493" s="118"/>
      <c r="CN493" s="118"/>
      <c r="CO493" s="546"/>
      <c r="CP493" s="118"/>
      <c r="CQ493" s="118"/>
      <c r="CR493" s="118"/>
      <c r="CS493" s="546"/>
      <c r="CT493" s="118"/>
      <c r="CU493" s="118"/>
      <c r="CV493" s="577"/>
      <c r="CW493" s="577"/>
      <c r="CX493" s="577"/>
      <c r="CY493" s="577"/>
      <c r="CZ493" s="577"/>
      <c r="DA493" s="577"/>
      <c r="DB493" s="118"/>
      <c r="DC493" s="118"/>
      <c r="DD493" s="118"/>
      <c r="DE493" s="118"/>
      <c r="DF493" s="118"/>
      <c r="DG493" s="118"/>
      <c r="DH493" s="118"/>
      <c r="DI493" s="118"/>
      <c r="DJ493" s="118"/>
      <c r="DK493" s="118"/>
      <c r="DL493" s="118"/>
      <c r="DM493" s="118"/>
      <c r="DN493" s="546"/>
      <c r="DO493" s="118"/>
      <c r="DP493" s="118"/>
      <c r="DQ493" s="118"/>
      <c r="DX493" s="530"/>
    </row>
    <row r="494">
      <c r="A494" s="531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  <c r="AT494" s="118"/>
      <c r="AU494" s="118"/>
      <c r="AV494" s="118"/>
      <c r="AW494" s="118"/>
      <c r="AX494" s="118"/>
      <c r="AY494" s="118"/>
      <c r="AZ494" s="118"/>
      <c r="BA494" s="118"/>
      <c r="BB494" s="118"/>
      <c r="BC494" s="118"/>
      <c r="BD494" s="118"/>
      <c r="BE494" s="118"/>
      <c r="BF494" s="118"/>
      <c r="BG494" s="118"/>
      <c r="BH494" s="118"/>
      <c r="BI494" s="118"/>
      <c r="BJ494" s="118"/>
      <c r="BK494" s="118"/>
      <c r="BL494" s="118"/>
      <c r="BM494" s="118"/>
      <c r="BN494" s="118"/>
      <c r="BO494" s="118"/>
      <c r="BP494" s="118"/>
      <c r="BQ494" s="118"/>
      <c r="BR494" s="118"/>
      <c r="BS494" s="118"/>
      <c r="BT494" s="118"/>
      <c r="BU494" s="118"/>
      <c r="BV494" s="118"/>
      <c r="BW494" s="118"/>
      <c r="BX494" s="118"/>
      <c r="BY494" s="118"/>
      <c r="BZ494" s="118"/>
      <c r="CA494" s="118"/>
      <c r="CB494" s="118"/>
      <c r="CC494" s="118"/>
      <c r="CD494" s="118"/>
      <c r="CE494" s="118"/>
      <c r="CF494" s="118"/>
      <c r="CG494" s="118"/>
      <c r="CH494" s="118"/>
      <c r="CI494" s="118"/>
      <c r="CJ494" s="118"/>
      <c r="CK494" s="118"/>
      <c r="CL494" s="118"/>
      <c r="CM494" s="118"/>
      <c r="CN494" s="118"/>
      <c r="CO494" s="118"/>
      <c r="CP494" s="118"/>
      <c r="CQ494" s="118"/>
      <c r="CR494" s="118"/>
      <c r="CS494" s="118"/>
      <c r="CT494" s="118"/>
      <c r="CU494" s="118"/>
      <c r="CV494" s="577"/>
      <c r="CW494" s="577"/>
      <c r="CX494" s="577"/>
      <c r="CY494" s="577"/>
      <c r="CZ494" s="577"/>
      <c r="DA494" s="577"/>
      <c r="DB494" s="118"/>
      <c r="DC494" s="118"/>
      <c r="DD494" s="118"/>
      <c r="DE494" s="118"/>
      <c r="DF494" s="118"/>
      <c r="DG494" s="118"/>
      <c r="DH494" s="118"/>
      <c r="DI494" s="118"/>
      <c r="DJ494" s="118"/>
      <c r="DK494" s="118"/>
      <c r="DL494" s="118"/>
      <c r="DM494" s="118"/>
      <c r="DN494" s="118"/>
      <c r="DO494" s="118"/>
      <c r="DP494" s="118"/>
      <c r="DQ494" s="118"/>
      <c r="DX494" s="530"/>
    </row>
    <row r="495">
      <c r="A495" s="500" t="s">
        <v>49</v>
      </c>
      <c r="CN495" s="546" t="s">
        <v>426</v>
      </c>
      <c r="CO495" s="546" t="s">
        <v>380</v>
      </c>
      <c r="CP495" s="546" t="s">
        <v>380</v>
      </c>
      <c r="CQ495" s="546" t="s">
        <v>426</v>
      </c>
      <c r="CR495" s="546" t="s">
        <v>426</v>
      </c>
      <c r="CS495" s="546" t="s">
        <v>380</v>
      </c>
      <c r="CT495" s="546" t="s">
        <v>380</v>
      </c>
      <c r="CU495" s="546" t="s">
        <v>426</v>
      </c>
      <c r="CV495" s="546" t="s">
        <v>426</v>
      </c>
      <c r="CW495" s="546" t="s">
        <v>380</v>
      </c>
      <c r="CX495" s="546" t="s">
        <v>380</v>
      </c>
      <c r="CY495" s="546"/>
      <c r="CZ495" s="546"/>
      <c r="DA495" s="546"/>
      <c r="DB495" s="546"/>
      <c r="DC495" s="546"/>
      <c r="DD495" s="546"/>
      <c r="DE495" s="546"/>
      <c r="DF495" s="546"/>
      <c r="DG495" s="546"/>
      <c r="DH495" s="546"/>
      <c r="DI495" s="546"/>
      <c r="DJ495" s="546"/>
      <c r="DK495" s="546"/>
      <c r="DL495" s="546"/>
      <c r="DM495" s="546"/>
      <c r="DN495" s="546"/>
      <c r="DO495" s="546"/>
      <c r="DP495" s="546"/>
      <c r="DQ495" s="546"/>
      <c r="DX495" s="530"/>
    </row>
    <row r="496">
      <c r="A496" s="502" t="s">
        <v>288</v>
      </c>
      <c r="CN496" s="604">
        <v>46113.0</v>
      </c>
      <c r="CO496" s="604">
        <v>46114.0</v>
      </c>
      <c r="CP496" s="604">
        <v>46115.0</v>
      </c>
      <c r="CQ496" s="604">
        <v>46116.0</v>
      </c>
      <c r="CR496" s="604">
        <v>46117.0</v>
      </c>
      <c r="CS496" s="604">
        <v>46118.0</v>
      </c>
      <c r="CT496" s="604">
        <v>46119.0</v>
      </c>
      <c r="CU496" s="604">
        <v>46120.0</v>
      </c>
      <c r="CV496" s="604">
        <v>46121.0</v>
      </c>
      <c r="CW496" s="604">
        <v>46122.0</v>
      </c>
      <c r="CX496" s="604">
        <v>46123.0</v>
      </c>
      <c r="CY496" s="604">
        <v>46124.0</v>
      </c>
      <c r="CZ496" s="604">
        <v>46125.0</v>
      </c>
      <c r="DA496" s="604">
        <v>46126.0</v>
      </c>
      <c r="DB496" s="604">
        <v>46127.0</v>
      </c>
      <c r="DC496" s="604">
        <v>46128.0</v>
      </c>
      <c r="DD496" s="604">
        <v>46129.0</v>
      </c>
      <c r="DE496" s="604">
        <v>46130.0</v>
      </c>
      <c r="DF496" s="604">
        <v>46131.0</v>
      </c>
      <c r="DG496" s="604">
        <v>46132.0</v>
      </c>
      <c r="DH496" s="604">
        <v>46133.0</v>
      </c>
      <c r="DI496" s="604">
        <v>46134.0</v>
      </c>
      <c r="DJ496" s="604">
        <v>46135.0</v>
      </c>
      <c r="DK496" s="604">
        <v>46136.0</v>
      </c>
      <c r="DL496" s="604">
        <v>46137.0</v>
      </c>
      <c r="DM496" s="604">
        <v>46138.0</v>
      </c>
      <c r="DN496" s="604">
        <v>46139.0</v>
      </c>
      <c r="DO496" s="604">
        <v>46140.0</v>
      </c>
      <c r="DP496" s="604">
        <v>46141.0</v>
      </c>
      <c r="DQ496" s="604">
        <v>46142.0</v>
      </c>
      <c r="DR496" s="602"/>
      <c r="DX496" s="530"/>
    </row>
    <row r="497">
      <c r="A497" s="502" t="s">
        <v>289</v>
      </c>
      <c r="CN497" s="561">
        <v>135.0</v>
      </c>
      <c r="CO497" s="561">
        <v>1.0</v>
      </c>
      <c r="CP497" s="561"/>
      <c r="CQ497" s="561"/>
      <c r="CR497" s="561"/>
      <c r="CS497" s="561"/>
      <c r="CT497" s="561"/>
      <c r="CU497" s="561"/>
      <c r="CV497" s="561"/>
      <c r="CW497" s="561"/>
      <c r="CX497" s="561"/>
      <c r="CY497" s="561"/>
      <c r="CZ497" s="561"/>
      <c r="DA497" s="561"/>
      <c r="DB497" s="561"/>
      <c r="DC497" s="561"/>
      <c r="DD497" s="561"/>
      <c r="DE497" s="561"/>
      <c r="DF497" s="561"/>
      <c r="DG497" s="561"/>
      <c r="DH497" s="561"/>
      <c r="DI497" s="561"/>
      <c r="DJ497" s="561"/>
      <c r="DK497" s="105"/>
      <c r="DL497" s="561"/>
      <c r="DM497" s="561"/>
      <c r="DN497" s="561"/>
      <c r="DO497" s="561"/>
      <c r="DP497" s="561"/>
      <c r="DQ497" s="561"/>
      <c r="DR497" s="539"/>
      <c r="DX497" s="530"/>
    </row>
    <row r="498">
      <c r="A498" s="521" t="s">
        <v>290</v>
      </c>
      <c r="CN498" s="561">
        <v>53.0</v>
      </c>
      <c r="CO498" s="561"/>
      <c r="CP498" s="561"/>
      <c r="CQ498" s="561"/>
      <c r="CR498" s="561"/>
      <c r="CS498" s="561"/>
      <c r="CT498" s="561"/>
      <c r="CU498" s="561"/>
      <c r="CV498" s="561"/>
      <c r="CW498" s="561"/>
      <c r="CX498" s="561"/>
      <c r="CY498" s="561"/>
      <c r="CZ498" s="561"/>
      <c r="DA498" s="561"/>
      <c r="DB498" s="561"/>
      <c r="DC498" s="561"/>
      <c r="DD498" s="561"/>
      <c r="DE498" s="561"/>
      <c r="DF498" s="561"/>
      <c r="DG498" s="561"/>
      <c r="DH498" s="561"/>
      <c r="DI498" s="561"/>
      <c r="DJ498" s="561"/>
      <c r="DK498" s="561"/>
      <c r="DL498" s="561"/>
      <c r="DM498" s="561"/>
      <c r="DN498" s="561"/>
      <c r="DO498" s="561"/>
      <c r="DP498" s="561"/>
      <c r="DQ498" s="561"/>
      <c r="DR498" s="539"/>
      <c r="DX498" s="530"/>
    </row>
    <row r="499">
      <c r="A499" s="502" t="s">
        <v>291</v>
      </c>
      <c r="CN499" s="537"/>
      <c r="CO499" s="537"/>
      <c r="CP499" s="537"/>
      <c r="CQ499" s="537"/>
      <c r="CR499" s="537"/>
      <c r="CS499" s="537"/>
      <c r="CT499" s="537"/>
      <c r="CU499" s="537"/>
      <c r="CV499" s="512"/>
      <c r="CW499" s="537"/>
      <c r="CX499" s="537"/>
      <c r="CY499" s="537"/>
      <c r="CZ499" s="537"/>
      <c r="DA499" s="513"/>
      <c r="DB499" s="537"/>
      <c r="DC499" s="537"/>
      <c r="DD499" s="537"/>
      <c r="DE499" s="537"/>
      <c r="DF499" s="537"/>
      <c r="DG499" s="537"/>
      <c r="DH499" s="537"/>
      <c r="DI499" s="537"/>
      <c r="DJ499" s="537"/>
      <c r="DK499" s="537"/>
      <c r="DL499" s="537"/>
      <c r="DM499" s="537"/>
      <c r="DN499" s="537"/>
      <c r="DO499" s="537"/>
      <c r="DP499" s="537"/>
      <c r="DQ499" s="537"/>
      <c r="DR499" s="539"/>
      <c r="DX499" s="530"/>
    </row>
    <row r="500">
      <c r="A500" s="531"/>
      <c r="DX500" s="530"/>
    </row>
    <row r="501">
      <c r="A501" s="531"/>
      <c r="DX501" s="530"/>
    </row>
    <row r="502">
      <c r="A502" s="531"/>
      <c r="DX502" s="530"/>
    </row>
    <row r="503">
      <c r="A503" s="531"/>
      <c r="DX503" s="530"/>
    </row>
    <row r="504">
      <c r="A504" s="531"/>
      <c r="DX504" s="530"/>
    </row>
    <row r="505">
      <c r="A505" s="531"/>
      <c r="DX505" s="530"/>
    </row>
    <row r="506">
      <c r="A506" s="531"/>
      <c r="DX506" s="530"/>
    </row>
    <row r="507">
      <c r="A507" s="531"/>
      <c r="DX507" s="530"/>
    </row>
    <row r="508">
      <c r="A508" s="531"/>
      <c r="DX508" s="530"/>
    </row>
    <row r="509">
      <c r="A509" s="531"/>
      <c r="DX509" s="530"/>
    </row>
    <row r="510">
      <c r="A510" s="531"/>
      <c r="DX510" s="530"/>
    </row>
    <row r="511">
      <c r="A511" s="531"/>
      <c r="DX511" s="530"/>
    </row>
    <row r="512">
      <c r="A512" s="531"/>
      <c r="DX512" s="530"/>
    </row>
    <row r="513">
      <c r="A513" s="531"/>
      <c r="DX513" s="530"/>
    </row>
    <row r="514">
      <c r="A514" s="531"/>
      <c r="DX514" s="530"/>
    </row>
    <row r="515">
      <c r="A515" s="531"/>
      <c r="DX515" s="530"/>
    </row>
    <row r="516">
      <c r="A516" s="531"/>
      <c r="DX516" s="530"/>
    </row>
    <row r="517">
      <c r="A517" s="531"/>
      <c r="DX517" s="530"/>
    </row>
    <row r="518">
      <c r="A518" s="531"/>
      <c r="DX518" s="530"/>
    </row>
    <row r="519">
      <c r="A519" s="531"/>
      <c r="DX519" s="530"/>
    </row>
    <row r="520">
      <c r="A520" s="531"/>
      <c r="DX520" s="530"/>
    </row>
    <row r="521">
      <c r="A521" s="531"/>
      <c r="DX521" s="530"/>
    </row>
    <row r="522">
      <c r="A522" s="531"/>
      <c r="DX522" s="530"/>
    </row>
    <row r="523">
      <c r="A523" s="531"/>
      <c r="DX523" s="530"/>
    </row>
    <row r="524">
      <c r="A524" s="531"/>
      <c r="DX524" s="530"/>
    </row>
    <row r="525">
      <c r="A525" s="531"/>
      <c r="DX525" s="530"/>
    </row>
    <row r="526">
      <c r="A526" s="531"/>
      <c r="DX526" s="530"/>
    </row>
    <row r="527">
      <c r="A527" s="531"/>
      <c r="DX527" s="530"/>
    </row>
    <row r="528">
      <c r="A528" s="531"/>
      <c r="DX528" s="530"/>
    </row>
    <row r="529">
      <c r="A529" s="531"/>
      <c r="DX529" s="530"/>
    </row>
    <row r="530">
      <c r="A530" s="531"/>
      <c r="DX530" s="530"/>
    </row>
    <row r="531">
      <c r="A531" s="531"/>
      <c r="DX531" s="530"/>
    </row>
    <row r="532">
      <c r="A532" s="531"/>
      <c r="DX532" s="530"/>
    </row>
    <row r="533">
      <c r="A533" s="531"/>
      <c r="DX533" s="530"/>
    </row>
    <row r="534">
      <c r="A534" s="531"/>
      <c r="DX534" s="530"/>
    </row>
    <row r="535">
      <c r="A535" s="531"/>
      <c r="DX535" s="530"/>
    </row>
    <row r="536">
      <c r="A536" s="531"/>
      <c r="DX536" s="530"/>
    </row>
    <row r="537">
      <c r="A537" s="531"/>
      <c r="DX537" s="530"/>
    </row>
    <row r="538">
      <c r="A538" s="531"/>
      <c r="DX538" s="530"/>
    </row>
    <row r="539">
      <c r="A539" s="531"/>
      <c r="DX539" s="530"/>
    </row>
    <row r="540">
      <c r="A540" s="531"/>
      <c r="DX540" s="530"/>
    </row>
    <row r="541">
      <c r="A541" s="531"/>
      <c r="DX541" s="530"/>
    </row>
    <row r="542">
      <c r="A542" s="531"/>
      <c r="DX542" s="530"/>
    </row>
    <row r="543">
      <c r="A543" s="531"/>
      <c r="DX543" s="530"/>
    </row>
    <row r="544">
      <c r="A544" s="531"/>
      <c r="DX544" s="530"/>
    </row>
    <row r="545">
      <c r="A545" s="531"/>
      <c r="DX545" s="530"/>
    </row>
    <row r="546">
      <c r="A546" s="531"/>
      <c r="DX546" s="530"/>
    </row>
    <row r="547">
      <c r="A547" s="531"/>
      <c r="DX547" s="530"/>
    </row>
    <row r="548">
      <c r="A548" s="531"/>
      <c r="DX548" s="530"/>
    </row>
    <row r="549">
      <c r="A549" s="531"/>
      <c r="DX549" s="530"/>
    </row>
    <row r="550">
      <c r="A550" s="531"/>
      <c r="DX550" s="530"/>
    </row>
    <row r="551">
      <c r="A551" s="531"/>
      <c r="DX551" s="530"/>
    </row>
    <row r="552">
      <c r="A552" s="531"/>
      <c r="DX552" s="530"/>
    </row>
    <row r="553">
      <c r="A553" s="531"/>
      <c r="DX553" s="530"/>
    </row>
    <row r="554">
      <c r="A554" s="531"/>
      <c r="DX554" s="530"/>
    </row>
    <row r="555">
      <c r="A555" s="531"/>
      <c r="DX555" s="530"/>
    </row>
    <row r="556">
      <c r="A556" s="531"/>
      <c r="DX556" s="530"/>
    </row>
    <row r="557">
      <c r="A557" s="531"/>
      <c r="DX557" s="530"/>
    </row>
    <row r="558">
      <c r="A558" s="531"/>
      <c r="DX558" s="530"/>
    </row>
    <row r="559">
      <c r="A559" s="531"/>
      <c r="DX559" s="530"/>
    </row>
    <row r="560">
      <c r="A560" s="531"/>
      <c r="DX560" s="530"/>
    </row>
    <row r="561">
      <c r="A561" s="531"/>
      <c r="DX561" s="530"/>
    </row>
    <row r="562">
      <c r="A562" s="531"/>
      <c r="DX562" s="530"/>
    </row>
    <row r="563">
      <c r="A563" s="531"/>
      <c r="DX563" s="530"/>
    </row>
    <row r="564">
      <c r="A564" s="531"/>
      <c r="DX564" s="530"/>
    </row>
    <row r="565">
      <c r="A565" s="531"/>
      <c r="DX565" s="530"/>
    </row>
    <row r="566">
      <c r="A566" s="531"/>
      <c r="DX566" s="530"/>
    </row>
    <row r="567">
      <c r="A567" s="531"/>
      <c r="DX567" s="530"/>
    </row>
    <row r="568">
      <c r="A568" s="531"/>
      <c r="DX568" s="530"/>
    </row>
    <row r="569">
      <c r="A569" s="531"/>
      <c r="DX569" s="530"/>
    </row>
    <row r="570">
      <c r="A570" s="531"/>
      <c r="DX570" s="530"/>
    </row>
    <row r="571">
      <c r="A571" s="531"/>
      <c r="DX571" s="530"/>
    </row>
    <row r="572">
      <c r="A572" s="531"/>
      <c r="DX572" s="530"/>
    </row>
    <row r="573">
      <c r="A573" s="531"/>
      <c r="DX573" s="530"/>
    </row>
    <row r="574">
      <c r="A574" s="531"/>
      <c r="DX574" s="530"/>
    </row>
    <row r="575">
      <c r="A575" s="531"/>
      <c r="DX575" s="530"/>
    </row>
    <row r="576">
      <c r="A576" s="531"/>
      <c r="DX576" s="530"/>
    </row>
    <row r="577">
      <c r="A577" s="531"/>
      <c r="DX577" s="530"/>
    </row>
    <row r="578">
      <c r="A578" s="531"/>
      <c r="DX578" s="530"/>
    </row>
    <row r="579">
      <c r="A579" s="531"/>
      <c r="DX579" s="530"/>
    </row>
    <row r="580">
      <c r="A580" s="531"/>
      <c r="DX580" s="530"/>
    </row>
    <row r="581">
      <c r="A581" s="531"/>
      <c r="DX581" s="530"/>
    </row>
    <row r="582">
      <c r="A582" s="531"/>
      <c r="DX582" s="530"/>
    </row>
    <row r="583">
      <c r="A583" s="531"/>
      <c r="DX583" s="530"/>
    </row>
    <row r="584">
      <c r="A584" s="531"/>
      <c r="DX584" s="530"/>
    </row>
    <row r="585">
      <c r="A585" s="531"/>
      <c r="DX585" s="530"/>
    </row>
    <row r="586">
      <c r="A586" s="531"/>
      <c r="DX586" s="530"/>
    </row>
    <row r="587">
      <c r="A587" s="531"/>
      <c r="DX587" s="530"/>
    </row>
    <row r="588">
      <c r="A588" s="531"/>
      <c r="DX588" s="530"/>
    </row>
    <row r="589">
      <c r="A589" s="531"/>
      <c r="DX589" s="530"/>
    </row>
    <row r="590">
      <c r="A590" s="531"/>
      <c r="DX590" s="530"/>
    </row>
    <row r="591">
      <c r="A591" s="531"/>
      <c r="DX591" s="530"/>
    </row>
    <row r="592">
      <c r="A592" s="531"/>
      <c r="DX592" s="530"/>
    </row>
    <row r="593">
      <c r="A593" s="531"/>
      <c r="DX593" s="530"/>
    </row>
    <row r="594">
      <c r="A594" s="531"/>
      <c r="DX594" s="530"/>
    </row>
    <row r="595">
      <c r="A595" s="531"/>
      <c r="DX595" s="530"/>
    </row>
    <row r="596">
      <c r="A596" s="531"/>
      <c r="DX596" s="530"/>
    </row>
    <row r="597">
      <c r="A597" s="531"/>
      <c r="DX597" s="530"/>
    </row>
    <row r="598">
      <c r="A598" s="531"/>
      <c r="DX598" s="530"/>
    </row>
    <row r="599">
      <c r="A599" s="531"/>
      <c r="DX599" s="530"/>
    </row>
    <row r="600">
      <c r="A600" s="531"/>
      <c r="DX600" s="530"/>
    </row>
    <row r="601">
      <c r="A601" s="531"/>
      <c r="DX601" s="530"/>
    </row>
    <row r="602">
      <c r="A602" s="531"/>
      <c r="DX602" s="530"/>
    </row>
    <row r="603">
      <c r="A603" s="531"/>
      <c r="DX603" s="530"/>
    </row>
    <row r="604">
      <c r="A604" s="531"/>
      <c r="DX604" s="530"/>
    </row>
    <row r="605">
      <c r="A605" s="531"/>
      <c r="DX605" s="530"/>
    </row>
    <row r="606">
      <c r="A606" s="531"/>
      <c r="DX606" s="530"/>
    </row>
    <row r="607">
      <c r="A607" s="531"/>
      <c r="DX607" s="530"/>
    </row>
    <row r="608">
      <c r="A608" s="531"/>
      <c r="DX608" s="530"/>
    </row>
    <row r="609">
      <c r="A609" s="531"/>
      <c r="DX609" s="530"/>
    </row>
    <row r="610">
      <c r="A610" s="531"/>
      <c r="DX610" s="530"/>
    </row>
    <row r="611">
      <c r="A611" s="531"/>
      <c r="DX611" s="530"/>
    </row>
    <row r="612">
      <c r="A612" s="531"/>
      <c r="DX612" s="530"/>
    </row>
    <row r="613">
      <c r="A613" s="531"/>
      <c r="DX613" s="530"/>
    </row>
    <row r="614">
      <c r="A614" s="531"/>
      <c r="DX614" s="530"/>
    </row>
    <row r="615">
      <c r="A615" s="531"/>
      <c r="DX615" s="530"/>
    </row>
    <row r="616">
      <c r="A616" s="531"/>
      <c r="DX616" s="530"/>
    </row>
    <row r="617">
      <c r="A617" s="531"/>
      <c r="DX617" s="530"/>
    </row>
    <row r="618">
      <c r="A618" s="531"/>
      <c r="DX618" s="530"/>
    </row>
    <row r="619">
      <c r="A619" s="531"/>
      <c r="DX619" s="530"/>
    </row>
    <row r="620">
      <c r="A620" s="531"/>
      <c r="DX620" s="530"/>
    </row>
    <row r="621">
      <c r="A621" s="531"/>
      <c r="DX621" s="530"/>
    </row>
    <row r="622">
      <c r="A622" s="531"/>
      <c r="DX622" s="530"/>
    </row>
    <row r="623">
      <c r="A623" s="531"/>
      <c r="DX623" s="530"/>
    </row>
    <row r="624">
      <c r="A624" s="531"/>
      <c r="DX624" s="530"/>
    </row>
    <row r="625">
      <c r="A625" s="531"/>
      <c r="DX625" s="530"/>
    </row>
    <row r="626">
      <c r="A626" s="531"/>
      <c r="DX626" s="530"/>
    </row>
    <row r="627">
      <c r="A627" s="531"/>
      <c r="DX627" s="530"/>
    </row>
    <row r="628">
      <c r="A628" s="531"/>
      <c r="DX628" s="530"/>
    </row>
    <row r="629">
      <c r="A629" s="531"/>
      <c r="DX629" s="530"/>
    </row>
    <row r="630">
      <c r="A630" s="531"/>
      <c r="DX630" s="530"/>
    </row>
    <row r="631">
      <c r="A631" s="531"/>
      <c r="DX631" s="530"/>
    </row>
    <row r="632">
      <c r="A632" s="531"/>
      <c r="DX632" s="530"/>
    </row>
    <row r="633">
      <c r="A633" s="531"/>
      <c r="DX633" s="530"/>
    </row>
    <row r="634">
      <c r="A634" s="531"/>
      <c r="DX634" s="530"/>
    </row>
    <row r="635">
      <c r="A635" s="531"/>
      <c r="DX635" s="530"/>
    </row>
    <row r="636">
      <c r="A636" s="531"/>
      <c r="DX636" s="530"/>
    </row>
    <row r="637">
      <c r="A637" s="531"/>
      <c r="DX637" s="530"/>
    </row>
    <row r="638">
      <c r="A638" s="531"/>
      <c r="DX638" s="530"/>
    </row>
    <row r="639">
      <c r="A639" s="531"/>
      <c r="DX639" s="530"/>
    </row>
    <row r="640">
      <c r="A640" s="531"/>
      <c r="DX640" s="530"/>
    </row>
    <row r="641">
      <c r="A641" s="531"/>
      <c r="DX641" s="530"/>
    </row>
    <row r="642">
      <c r="A642" s="531"/>
      <c r="DX642" s="530"/>
    </row>
    <row r="643">
      <c r="A643" s="531"/>
      <c r="DX643" s="530"/>
    </row>
    <row r="644">
      <c r="A644" s="531"/>
      <c r="DX644" s="530"/>
    </row>
    <row r="645">
      <c r="A645" s="531"/>
      <c r="DX645" s="530"/>
    </row>
    <row r="646">
      <c r="A646" s="531"/>
      <c r="DX646" s="530"/>
    </row>
    <row r="647">
      <c r="A647" s="531"/>
      <c r="DX647" s="530"/>
    </row>
    <row r="648">
      <c r="A648" s="531"/>
      <c r="DX648" s="530"/>
    </row>
    <row r="649">
      <c r="A649" s="531"/>
      <c r="DX649" s="530"/>
    </row>
    <row r="650">
      <c r="A650" s="531"/>
      <c r="DX650" s="530"/>
    </row>
    <row r="651">
      <c r="A651" s="531"/>
      <c r="DX651" s="530"/>
    </row>
    <row r="652">
      <c r="A652" s="531"/>
      <c r="DX652" s="530"/>
    </row>
    <row r="653">
      <c r="A653" s="531"/>
      <c r="DX653" s="530"/>
    </row>
    <row r="654">
      <c r="A654" s="531"/>
      <c r="DX654" s="530"/>
    </row>
    <row r="655">
      <c r="A655" s="531"/>
      <c r="DX655" s="530"/>
    </row>
    <row r="656">
      <c r="A656" s="531"/>
      <c r="DX656" s="530"/>
    </row>
    <row r="657">
      <c r="A657" s="531"/>
      <c r="DX657" s="530"/>
    </row>
    <row r="658">
      <c r="A658" s="531"/>
      <c r="DX658" s="530"/>
    </row>
    <row r="659">
      <c r="A659" s="531"/>
      <c r="DX659" s="530"/>
    </row>
    <row r="660">
      <c r="A660" s="531"/>
      <c r="DX660" s="530"/>
    </row>
    <row r="661">
      <c r="A661" s="531"/>
      <c r="DX661" s="530"/>
    </row>
    <row r="662">
      <c r="A662" s="531"/>
      <c r="DX662" s="530"/>
    </row>
    <row r="663">
      <c r="A663" s="531"/>
      <c r="DX663" s="530"/>
    </row>
    <row r="664">
      <c r="A664" s="531"/>
      <c r="DX664" s="530"/>
    </row>
    <row r="665">
      <c r="A665" s="531"/>
      <c r="DX665" s="530"/>
    </row>
    <row r="666">
      <c r="A666" s="531"/>
      <c r="DX666" s="530"/>
    </row>
    <row r="667">
      <c r="A667" s="531"/>
      <c r="DX667" s="530"/>
    </row>
    <row r="668">
      <c r="A668" s="531"/>
      <c r="DX668" s="530"/>
    </row>
    <row r="669">
      <c r="A669" s="531"/>
      <c r="DX669" s="530"/>
    </row>
    <row r="670">
      <c r="A670" s="531"/>
      <c r="DX670" s="530"/>
    </row>
    <row r="671">
      <c r="A671" s="531"/>
      <c r="DX671" s="530"/>
    </row>
    <row r="672">
      <c r="A672" s="531"/>
      <c r="DX672" s="530"/>
    </row>
    <row r="673">
      <c r="A673" s="531"/>
      <c r="DX673" s="530"/>
    </row>
    <row r="674">
      <c r="A674" s="531"/>
      <c r="DX674" s="530"/>
    </row>
    <row r="675">
      <c r="A675" s="531"/>
      <c r="DX675" s="530"/>
    </row>
    <row r="676">
      <c r="A676" s="531"/>
      <c r="DX676" s="530"/>
    </row>
    <row r="677">
      <c r="A677" s="531"/>
      <c r="DX677" s="530"/>
    </row>
    <row r="678">
      <c r="A678" s="531"/>
      <c r="DX678" s="530"/>
    </row>
    <row r="679">
      <c r="A679" s="531"/>
      <c r="DX679" s="530"/>
    </row>
    <row r="680">
      <c r="A680" s="531"/>
      <c r="DX680" s="530"/>
    </row>
    <row r="681">
      <c r="A681" s="531"/>
      <c r="DX681" s="530"/>
    </row>
    <row r="682">
      <c r="A682" s="531"/>
      <c r="DX682" s="530"/>
    </row>
    <row r="683">
      <c r="A683" s="531"/>
      <c r="DX683" s="530"/>
    </row>
    <row r="684">
      <c r="A684" s="531"/>
      <c r="DX684" s="530"/>
    </row>
    <row r="685">
      <c r="A685" s="531"/>
      <c r="DX685" s="530"/>
    </row>
    <row r="686">
      <c r="A686" s="531"/>
      <c r="DX686" s="530"/>
    </row>
    <row r="687">
      <c r="A687" s="531"/>
      <c r="DX687" s="530"/>
    </row>
    <row r="688">
      <c r="A688" s="531"/>
      <c r="DX688" s="530"/>
    </row>
    <row r="689">
      <c r="A689" s="531"/>
      <c r="DX689" s="530"/>
    </row>
    <row r="690">
      <c r="A690" s="531"/>
      <c r="DX690" s="530"/>
    </row>
    <row r="691">
      <c r="A691" s="531"/>
      <c r="DX691" s="530"/>
    </row>
    <row r="692">
      <c r="A692" s="531"/>
      <c r="DX692" s="530"/>
    </row>
    <row r="693">
      <c r="A693" s="531"/>
      <c r="DX693" s="530"/>
    </row>
    <row r="694">
      <c r="A694" s="531"/>
      <c r="DX694" s="530"/>
    </row>
    <row r="695">
      <c r="A695" s="531"/>
      <c r="DX695" s="530"/>
    </row>
    <row r="696">
      <c r="A696" s="531"/>
      <c r="DX696" s="530"/>
    </row>
    <row r="697">
      <c r="A697" s="531"/>
      <c r="DX697" s="530"/>
    </row>
    <row r="698">
      <c r="A698" s="531"/>
      <c r="DX698" s="530"/>
    </row>
    <row r="699">
      <c r="A699" s="531"/>
      <c r="DX699" s="530"/>
    </row>
    <row r="700">
      <c r="A700" s="531"/>
      <c r="DX700" s="530"/>
    </row>
    <row r="701">
      <c r="A701" s="531"/>
      <c r="DX701" s="530"/>
    </row>
    <row r="702">
      <c r="A702" s="531"/>
      <c r="DX702" s="530"/>
    </row>
    <row r="703">
      <c r="A703" s="531"/>
      <c r="DX703" s="530"/>
    </row>
    <row r="704">
      <c r="A704" s="531"/>
      <c r="DX704" s="530"/>
    </row>
    <row r="705">
      <c r="A705" s="531"/>
      <c r="DX705" s="530"/>
    </row>
    <row r="706">
      <c r="A706" s="531"/>
      <c r="DX706" s="530"/>
    </row>
    <row r="707">
      <c r="A707" s="531"/>
      <c r="DX707" s="530"/>
    </row>
    <row r="708">
      <c r="A708" s="531"/>
      <c r="DX708" s="530"/>
    </row>
    <row r="709">
      <c r="A709" s="531"/>
      <c r="DX709" s="530"/>
    </row>
    <row r="710">
      <c r="A710" s="531"/>
      <c r="DX710" s="530"/>
    </row>
    <row r="711">
      <c r="A711" s="531"/>
      <c r="DX711" s="530"/>
    </row>
    <row r="712">
      <c r="A712" s="531"/>
      <c r="DX712" s="530"/>
    </row>
    <row r="713">
      <c r="A713" s="531"/>
      <c r="DX713" s="530"/>
    </row>
    <row r="714">
      <c r="A714" s="531"/>
      <c r="DX714" s="530"/>
    </row>
    <row r="715">
      <c r="A715" s="531"/>
      <c r="DX715" s="530"/>
    </row>
    <row r="716">
      <c r="A716" s="531"/>
      <c r="DX716" s="530"/>
    </row>
    <row r="717">
      <c r="A717" s="531"/>
      <c r="DX717" s="530"/>
    </row>
    <row r="718">
      <c r="A718" s="531"/>
      <c r="DX718" s="530"/>
    </row>
    <row r="719">
      <c r="A719" s="531"/>
      <c r="DX719" s="530"/>
    </row>
    <row r="720">
      <c r="A720" s="531"/>
      <c r="DX720" s="530"/>
    </row>
    <row r="721">
      <c r="A721" s="531"/>
      <c r="DX721" s="530"/>
    </row>
    <row r="722">
      <c r="A722" s="531"/>
      <c r="DX722" s="530"/>
    </row>
    <row r="723">
      <c r="A723" s="531"/>
      <c r="DX723" s="530"/>
    </row>
    <row r="724">
      <c r="A724" s="531"/>
      <c r="DX724" s="530"/>
    </row>
    <row r="725">
      <c r="A725" s="531"/>
      <c r="DX725" s="530"/>
    </row>
    <row r="726">
      <c r="A726" s="531"/>
      <c r="DX726" s="530"/>
    </row>
    <row r="727">
      <c r="A727" s="531"/>
      <c r="DX727" s="530"/>
    </row>
    <row r="728">
      <c r="A728" s="531"/>
      <c r="DX728" s="530"/>
    </row>
    <row r="729">
      <c r="A729" s="531"/>
      <c r="DX729" s="530"/>
    </row>
    <row r="730">
      <c r="A730" s="531"/>
      <c r="DX730" s="530"/>
    </row>
    <row r="731">
      <c r="A731" s="531"/>
      <c r="DX731" s="530"/>
    </row>
    <row r="732">
      <c r="A732" s="531"/>
      <c r="DX732" s="530"/>
    </row>
    <row r="733">
      <c r="A733" s="531"/>
      <c r="DX733" s="530"/>
    </row>
    <row r="734">
      <c r="A734" s="531"/>
      <c r="DX734" s="530"/>
    </row>
    <row r="735">
      <c r="A735" s="531"/>
      <c r="DX735" s="530"/>
    </row>
    <row r="736">
      <c r="A736" s="531"/>
      <c r="DX736" s="530"/>
    </row>
    <row r="737">
      <c r="A737" s="531"/>
      <c r="DX737" s="530"/>
    </row>
    <row r="738">
      <c r="A738" s="531"/>
      <c r="DX738" s="530"/>
    </row>
    <row r="739">
      <c r="A739" s="531"/>
      <c r="DX739" s="530"/>
    </row>
    <row r="740">
      <c r="A740" s="531"/>
      <c r="DX740" s="530"/>
    </row>
    <row r="741">
      <c r="A741" s="531"/>
      <c r="DX741" s="530"/>
    </row>
    <row r="742">
      <c r="A742" s="531"/>
      <c r="DX742" s="530"/>
    </row>
    <row r="743">
      <c r="A743" s="531"/>
      <c r="DX743" s="530"/>
    </row>
    <row r="744">
      <c r="A744" s="531"/>
      <c r="DX744" s="530"/>
    </row>
    <row r="745">
      <c r="A745" s="531"/>
      <c r="DX745" s="530"/>
    </row>
    <row r="746">
      <c r="A746" s="531"/>
      <c r="DX746" s="530"/>
    </row>
    <row r="747">
      <c r="A747" s="531"/>
      <c r="DX747" s="530"/>
    </row>
    <row r="748">
      <c r="A748" s="531"/>
      <c r="DX748" s="530"/>
    </row>
    <row r="749">
      <c r="A749" s="531"/>
      <c r="DX749" s="530"/>
    </row>
    <row r="750">
      <c r="A750" s="531"/>
      <c r="DX750" s="530"/>
    </row>
    <row r="751">
      <c r="A751" s="531"/>
      <c r="DX751" s="530"/>
    </row>
    <row r="752">
      <c r="A752" s="531"/>
      <c r="DX752" s="530"/>
    </row>
    <row r="753">
      <c r="A753" s="531"/>
      <c r="DX753" s="530"/>
    </row>
    <row r="754">
      <c r="A754" s="531"/>
      <c r="DX754" s="530"/>
    </row>
    <row r="755">
      <c r="A755" s="531"/>
      <c r="DX755" s="530"/>
    </row>
    <row r="756">
      <c r="A756" s="531"/>
      <c r="DX756" s="530"/>
    </row>
    <row r="757">
      <c r="A757" s="531"/>
      <c r="DX757" s="530"/>
    </row>
    <row r="758">
      <c r="A758" s="531"/>
      <c r="DX758" s="530"/>
    </row>
    <row r="759">
      <c r="A759" s="531"/>
      <c r="DX759" s="530"/>
    </row>
    <row r="760">
      <c r="A760" s="531"/>
      <c r="DX760" s="530"/>
    </row>
    <row r="761">
      <c r="A761" s="531"/>
      <c r="DX761" s="530"/>
    </row>
    <row r="762">
      <c r="A762" s="531"/>
      <c r="DX762" s="530"/>
    </row>
    <row r="763">
      <c r="A763" s="531"/>
      <c r="DX763" s="530"/>
    </row>
    <row r="764">
      <c r="A764" s="531"/>
      <c r="DX764" s="530"/>
    </row>
    <row r="765">
      <c r="A765" s="531"/>
      <c r="DX765" s="530"/>
    </row>
    <row r="766">
      <c r="A766" s="531"/>
      <c r="DX766" s="530"/>
    </row>
    <row r="767">
      <c r="A767" s="531"/>
      <c r="DX767" s="530"/>
    </row>
    <row r="768">
      <c r="A768" s="531"/>
      <c r="DX768" s="530"/>
    </row>
    <row r="769">
      <c r="A769" s="531"/>
      <c r="DX769" s="530"/>
    </row>
    <row r="770">
      <c r="A770" s="531"/>
      <c r="DX770" s="530"/>
    </row>
    <row r="771">
      <c r="A771" s="531"/>
      <c r="DX771" s="530"/>
    </row>
    <row r="772">
      <c r="A772" s="531"/>
      <c r="DX772" s="530"/>
    </row>
    <row r="773">
      <c r="A773" s="531"/>
      <c r="DX773" s="530"/>
    </row>
    <row r="774">
      <c r="A774" s="531"/>
      <c r="DX774" s="530"/>
    </row>
    <row r="775">
      <c r="A775" s="531"/>
      <c r="DX775" s="530"/>
    </row>
    <row r="776">
      <c r="A776" s="531"/>
      <c r="DX776" s="530"/>
    </row>
    <row r="777">
      <c r="A777" s="531"/>
      <c r="DX777" s="530"/>
    </row>
    <row r="778">
      <c r="A778" s="531"/>
      <c r="DX778" s="530"/>
    </row>
    <row r="779">
      <c r="A779" s="531"/>
      <c r="DX779" s="530"/>
    </row>
    <row r="780">
      <c r="A780" s="531"/>
      <c r="DX780" s="530"/>
    </row>
    <row r="781">
      <c r="A781" s="531"/>
      <c r="DX781" s="530"/>
    </row>
    <row r="782">
      <c r="A782" s="531"/>
      <c r="DX782" s="530"/>
    </row>
    <row r="783">
      <c r="A783" s="531"/>
      <c r="DX783" s="530"/>
    </row>
    <row r="784">
      <c r="A784" s="531"/>
      <c r="DX784" s="530"/>
    </row>
    <row r="785">
      <c r="A785" s="531"/>
      <c r="DX785" s="530"/>
    </row>
    <row r="786">
      <c r="A786" s="531"/>
      <c r="DX786" s="530"/>
    </row>
    <row r="787">
      <c r="A787" s="531"/>
      <c r="DX787" s="530"/>
    </row>
    <row r="788">
      <c r="A788" s="531"/>
      <c r="DX788" s="530"/>
    </row>
    <row r="789">
      <c r="A789" s="531"/>
      <c r="DX789" s="530"/>
    </row>
    <row r="790">
      <c r="A790" s="531"/>
      <c r="DX790" s="530"/>
    </row>
    <row r="791">
      <c r="A791" s="531"/>
      <c r="DX791" s="530"/>
    </row>
    <row r="792">
      <c r="A792" s="531"/>
      <c r="DX792" s="530"/>
    </row>
    <row r="793">
      <c r="A793" s="531"/>
      <c r="DX793" s="530"/>
    </row>
    <row r="794">
      <c r="A794" s="531"/>
      <c r="DX794" s="530"/>
    </row>
    <row r="795">
      <c r="A795" s="531"/>
      <c r="DX795" s="530"/>
    </row>
    <row r="796">
      <c r="A796" s="531"/>
      <c r="DX796" s="530"/>
    </row>
    <row r="797">
      <c r="A797" s="531"/>
      <c r="DX797" s="530"/>
    </row>
    <row r="798">
      <c r="A798" s="531"/>
      <c r="DX798" s="530"/>
    </row>
    <row r="799">
      <c r="A799" s="531"/>
      <c r="DX799" s="530"/>
    </row>
    <row r="800">
      <c r="A800" s="531"/>
      <c r="DX800" s="530"/>
    </row>
    <row r="801">
      <c r="A801" s="531"/>
      <c r="DX801" s="530"/>
    </row>
    <row r="802">
      <c r="A802" s="531"/>
      <c r="DX802" s="530"/>
    </row>
    <row r="803">
      <c r="A803" s="531"/>
      <c r="DX803" s="530"/>
    </row>
    <row r="804">
      <c r="A804" s="531"/>
      <c r="DX804" s="530"/>
    </row>
    <row r="805">
      <c r="A805" s="531"/>
      <c r="DX805" s="530"/>
    </row>
    <row r="806">
      <c r="A806" s="531"/>
      <c r="DX806" s="530"/>
    </row>
    <row r="807">
      <c r="A807" s="531"/>
      <c r="DX807" s="530"/>
    </row>
    <row r="808">
      <c r="A808" s="531"/>
      <c r="DX808" s="530"/>
    </row>
    <row r="809">
      <c r="A809" s="531"/>
      <c r="DX809" s="530"/>
    </row>
    <row r="810">
      <c r="A810" s="531"/>
      <c r="DX810" s="530"/>
    </row>
    <row r="811">
      <c r="A811" s="531"/>
      <c r="DX811" s="530"/>
    </row>
    <row r="812">
      <c r="A812" s="531"/>
      <c r="DX812" s="530"/>
    </row>
    <row r="813">
      <c r="A813" s="531"/>
      <c r="DX813" s="530"/>
    </row>
    <row r="814">
      <c r="A814" s="531"/>
      <c r="DX814" s="530"/>
    </row>
    <row r="815">
      <c r="A815" s="531"/>
      <c r="DX815" s="530"/>
    </row>
    <row r="816">
      <c r="A816" s="531"/>
      <c r="DX816" s="530"/>
    </row>
    <row r="817">
      <c r="A817" s="531"/>
      <c r="DX817" s="530"/>
    </row>
    <row r="818">
      <c r="A818" s="531"/>
      <c r="DX818" s="530"/>
    </row>
    <row r="819">
      <c r="A819" s="531"/>
      <c r="DX819" s="530"/>
    </row>
    <row r="820">
      <c r="A820" s="531"/>
      <c r="DX820" s="530"/>
    </row>
    <row r="821">
      <c r="A821" s="531"/>
      <c r="DX821" s="530"/>
    </row>
    <row r="822">
      <c r="A822" s="531"/>
      <c r="DX822" s="530"/>
    </row>
    <row r="823">
      <c r="A823" s="531"/>
      <c r="DX823" s="530"/>
    </row>
    <row r="824">
      <c r="A824" s="531"/>
      <c r="DX824" s="530"/>
    </row>
    <row r="825">
      <c r="A825" s="531"/>
      <c r="DX825" s="530"/>
    </row>
    <row r="826">
      <c r="A826" s="531"/>
      <c r="DX826" s="530"/>
    </row>
    <row r="827">
      <c r="A827" s="531"/>
      <c r="DX827" s="530"/>
    </row>
    <row r="828">
      <c r="A828" s="531"/>
      <c r="DX828" s="530"/>
    </row>
    <row r="829">
      <c r="A829" s="531"/>
      <c r="DX829" s="530"/>
    </row>
    <row r="830">
      <c r="A830" s="531"/>
      <c r="DX830" s="530"/>
    </row>
    <row r="831">
      <c r="A831" s="531"/>
      <c r="DX831" s="530"/>
    </row>
    <row r="832">
      <c r="A832" s="531"/>
      <c r="DX832" s="530"/>
    </row>
    <row r="833">
      <c r="A833" s="531"/>
      <c r="DX833" s="530"/>
    </row>
    <row r="834">
      <c r="A834" s="531"/>
      <c r="DX834" s="530"/>
    </row>
    <row r="835">
      <c r="A835" s="531"/>
      <c r="DX835" s="530"/>
    </row>
    <row r="836">
      <c r="A836" s="531"/>
      <c r="DX836" s="530"/>
    </row>
    <row r="837">
      <c r="A837" s="531"/>
      <c r="DX837" s="530"/>
    </row>
    <row r="838">
      <c r="A838" s="531"/>
      <c r="DX838" s="530"/>
    </row>
    <row r="839">
      <c r="A839" s="531"/>
      <c r="DX839" s="530"/>
    </row>
    <row r="840">
      <c r="A840" s="531"/>
      <c r="DX840" s="530"/>
    </row>
    <row r="841">
      <c r="A841" s="531"/>
      <c r="DX841" s="530"/>
    </row>
    <row r="842">
      <c r="A842" s="531"/>
      <c r="DX842" s="530"/>
    </row>
    <row r="843">
      <c r="A843" s="531"/>
      <c r="DX843" s="530"/>
    </row>
    <row r="844">
      <c r="A844" s="531"/>
      <c r="DX844" s="530"/>
    </row>
    <row r="845">
      <c r="A845" s="531"/>
      <c r="DX845" s="530"/>
    </row>
    <row r="846">
      <c r="A846" s="531"/>
      <c r="DX846" s="530"/>
    </row>
    <row r="847">
      <c r="A847" s="531"/>
      <c r="DX847" s="530"/>
    </row>
    <row r="848">
      <c r="A848" s="531"/>
      <c r="DX848" s="530"/>
    </row>
    <row r="849">
      <c r="A849" s="531"/>
      <c r="DX849" s="530"/>
    </row>
    <row r="850">
      <c r="A850" s="531"/>
      <c r="DX850" s="530"/>
    </row>
    <row r="851">
      <c r="A851" s="531"/>
      <c r="DX851" s="530"/>
    </row>
    <row r="852">
      <c r="A852" s="531"/>
      <c r="DX852" s="530"/>
    </row>
    <row r="853">
      <c r="A853" s="531"/>
      <c r="DX853" s="530"/>
    </row>
    <row r="854">
      <c r="A854" s="531"/>
      <c r="DX854" s="530"/>
    </row>
    <row r="855">
      <c r="A855" s="531"/>
      <c r="DX855" s="530"/>
    </row>
    <row r="856">
      <c r="A856" s="531"/>
      <c r="DX856" s="530"/>
    </row>
    <row r="857">
      <c r="A857" s="531"/>
      <c r="DX857" s="530"/>
    </row>
    <row r="858">
      <c r="A858" s="531"/>
      <c r="DX858" s="530"/>
    </row>
    <row r="859">
      <c r="A859" s="531"/>
      <c r="DX859" s="530"/>
    </row>
    <row r="860">
      <c r="A860" s="531"/>
      <c r="DX860" s="530"/>
    </row>
    <row r="861">
      <c r="A861" s="531"/>
      <c r="DX861" s="530"/>
    </row>
    <row r="862">
      <c r="A862" s="531"/>
      <c r="DX862" s="530"/>
    </row>
    <row r="863">
      <c r="A863" s="531"/>
      <c r="DX863" s="530"/>
    </row>
    <row r="864">
      <c r="A864" s="531"/>
      <c r="DX864" s="530"/>
    </row>
    <row r="865">
      <c r="A865" s="531"/>
      <c r="DX865" s="530"/>
    </row>
    <row r="866">
      <c r="A866" s="531"/>
      <c r="DX866" s="530"/>
    </row>
    <row r="867">
      <c r="A867" s="531"/>
      <c r="DX867" s="530"/>
    </row>
    <row r="868">
      <c r="A868" s="531"/>
      <c r="DX868" s="530"/>
    </row>
    <row r="869">
      <c r="A869" s="531"/>
      <c r="DX869" s="530"/>
    </row>
    <row r="870">
      <c r="A870" s="531"/>
      <c r="DX870" s="530"/>
    </row>
    <row r="871">
      <c r="A871" s="531"/>
      <c r="DX871" s="530"/>
    </row>
    <row r="872">
      <c r="A872" s="531"/>
      <c r="DX872" s="530"/>
    </row>
    <row r="873">
      <c r="A873" s="531"/>
      <c r="DX873" s="530"/>
    </row>
    <row r="874">
      <c r="A874" s="531"/>
      <c r="DX874" s="530"/>
    </row>
    <row r="875">
      <c r="A875" s="531"/>
      <c r="DX875" s="530"/>
    </row>
    <row r="876">
      <c r="A876" s="531"/>
      <c r="DX876" s="530"/>
    </row>
    <row r="877">
      <c r="A877" s="531"/>
      <c r="DX877" s="530"/>
    </row>
    <row r="878">
      <c r="A878" s="531"/>
      <c r="DX878" s="530"/>
    </row>
    <row r="879">
      <c r="A879" s="531"/>
      <c r="DX879" s="530"/>
    </row>
    <row r="880">
      <c r="A880" s="531"/>
      <c r="DX880" s="530"/>
    </row>
    <row r="881">
      <c r="A881" s="531"/>
      <c r="DX881" s="530"/>
    </row>
    <row r="882">
      <c r="A882" s="531"/>
      <c r="DX882" s="530"/>
    </row>
    <row r="883">
      <c r="A883" s="531"/>
      <c r="DX883" s="530"/>
    </row>
    <row r="884">
      <c r="A884" s="531"/>
      <c r="DX884" s="530"/>
    </row>
    <row r="885">
      <c r="A885" s="531"/>
      <c r="DX885" s="530"/>
    </row>
    <row r="886">
      <c r="A886" s="531"/>
      <c r="DX886" s="530"/>
    </row>
    <row r="887">
      <c r="A887" s="531"/>
      <c r="DX887" s="530"/>
    </row>
    <row r="888">
      <c r="A888" s="531"/>
      <c r="DX888" s="530"/>
    </row>
    <row r="889">
      <c r="A889" s="531"/>
      <c r="DX889" s="530"/>
    </row>
    <row r="890">
      <c r="A890" s="531"/>
      <c r="DX890" s="530"/>
    </row>
    <row r="891">
      <c r="A891" s="531"/>
      <c r="DX891" s="530"/>
    </row>
    <row r="892">
      <c r="A892" s="531"/>
      <c r="DX892" s="530"/>
    </row>
    <row r="893">
      <c r="A893" s="531"/>
      <c r="DX893" s="530"/>
    </row>
    <row r="894">
      <c r="A894" s="531"/>
      <c r="DX894" s="530"/>
    </row>
    <row r="895">
      <c r="A895" s="531"/>
      <c r="DX895" s="530"/>
    </row>
    <row r="896">
      <c r="A896" s="531"/>
      <c r="DX896" s="530"/>
    </row>
    <row r="897">
      <c r="A897" s="531"/>
      <c r="DX897" s="530"/>
    </row>
    <row r="898">
      <c r="A898" s="531"/>
      <c r="DX898" s="530"/>
    </row>
    <row r="899">
      <c r="A899" s="531"/>
      <c r="DX899" s="530"/>
    </row>
    <row r="900">
      <c r="A900" s="531"/>
      <c r="DX900" s="530"/>
    </row>
    <row r="901">
      <c r="A901" s="531"/>
      <c r="DX901" s="530"/>
    </row>
    <row r="902">
      <c r="A902" s="531"/>
      <c r="DX902" s="530"/>
    </row>
    <row r="903">
      <c r="A903" s="531"/>
      <c r="DX903" s="530"/>
    </row>
    <row r="904">
      <c r="A904" s="531"/>
      <c r="DX904" s="530"/>
    </row>
    <row r="905">
      <c r="A905" s="531"/>
      <c r="DX905" s="530"/>
    </row>
    <row r="906">
      <c r="A906" s="531"/>
      <c r="DX906" s="530"/>
    </row>
    <row r="907">
      <c r="A907" s="531"/>
      <c r="DX907" s="530"/>
    </row>
    <row r="908">
      <c r="A908" s="531"/>
      <c r="DX908" s="530"/>
    </row>
    <row r="909">
      <c r="A909" s="531"/>
      <c r="DX909" s="530"/>
    </row>
    <row r="910">
      <c r="A910" s="531"/>
      <c r="DX910" s="530"/>
    </row>
    <row r="911">
      <c r="A911" s="531"/>
      <c r="DX911" s="530"/>
    </row>
    <row r="912">
      <c r="A912" s="531"/>
      <c r="DX912" s="530"/>
    </row>
    <row r="913">
      <c r="A913" s="531"/>
      <c r="DX913" s="530"/>
    </row>
    <row r="914">
      <c r="A914" s="531"/>
      <c r="DX914" s="530"/>
    </row>
    <row r="915">
      <c r="A915" s="531"/>
      <c r="DX915" s="530"/>
    </row>
    <row r="916">
      <c r="A916" s="531"/>
      <c r="DX916" s="530"/>
    </row>
    <row r="917">
      <c r="A917" s="531"/>
      <c r="DX917" s="530"/>
    </row>
    <row r="918">
      <c r="A918" s="531"/>
      <c r="DX918" s="530"/>
    </row>
    <row r="919">
      <c r="A919" s="531"/>
      <c r="DX919" s="530"/>
    </row>
    <row r="920">
      <c r="A920" s="531"/>
      <c r="DX920" s="530"/>
    </row>
    <row r="921">
      <c r="A921" s="531"/>
      <c r="DX921" s="530"/>
    </row>
    <row r="922">
      <c r="A922" s="531"/>
      <c r="DX922" s="530"/>
    </row>
    <row r="923">
      <c r="A923" s="531"/>
      <c r="DX923" s="530"/>
    </row>
    <row r="924">
      <c r="A924" s="531"/>
      <c r="DX924" s="530"/>
    </row>
    <row r="925">
      <c r="A925" s="531"/>
      <c r="DX925" s="530"/>
    </row>
    <row r="926">
      <c r="A926" s="531"/>
      <c r="DX926" s="530"/>
    </row>
    <row r="927">
      <c r="A927" s="531"/>
      <c r="DX927" s="530"/>
    </row>
    <row r="928">
      <c r="A928" s="531"/>
      <c r="DX928" s="530"/>
    </row>
    <row r="929">
      <c r="A929" s="531"/>
      <c r="DX929" s="530"/>
    </row>
    <row r="930">
      <c r="A930" s="531"/>
      <c r="DX930" s="530"/>
    </row>
    <row r="931">
      <c r="A931" s="531"/>
      <c r="DX931" s="530"/>
    </row>
    <row r="932">
      <c r="A932" s="531"/>
      <c r="DX932" s="530"/>
    </row>
    <row r="933">
      <c r="A933" s="531"/>
      <c r="DX933" s="530"/>
    </row>
    <row r="934">
      <c r="A934" s="531"/>
      <c r="DX934" s="530"/>
    </row>
    <row r="935">
      <c r="A935" s="531"/>
      <c r="DX935" s="530"/>
    </row>
    <row r="936">
      <c r="A936" s="531"/>
      <c r="DX936" s="530"/>
    </row>
    <row r="937">
      <c r="A937" s="531"/>
      <c r="DX937" s="530"/>
    </row>
    <row r="938">
      <c r="A938" s="531"/>
      <c r="DX938" s="530"/>
    </row>
    <row r="939">
      <c r="A939" s="531"/>
      <c r="DX939" s="530"/>
    </row>
    <row r="940">
      <c r="A940" s="531"/>
      <c r="DX940" s="530"/>
    </row>
    <row r="941">
      <c r="A941" s="531"/>
      <c r="DX941" s="530"/>
    </row>
    <row r="942">
      <c r="A942" s="531"/>
      <c r="DX942" s="530"/>
    </row>
    <row r="943">
      <c r="A943" s="531"/>
      <c r="DX943" s="530"/>
    </row>
    <row r="944">
      <c r="A944" s="531"/>
      <c r="DX944" s="530"/>
    </row>
    <row r="945">
      <c r="A945" s="531"/>
      <c r="DX945" s="530"/>
    </row>
    <row r="946">
      <c r="A946" s="531"/>
      <c r="DX946" s="530"/>
    </row>
    <row r="947">
      <c r="A947" s="531"/>
      <c r="DX947" s="530"/>
    </row>
    <row r="948">
      <c r="A948" s="531"/>
      <c r="DX948" s="530"/>
    </row>
    <row r="949">
      <c r="A949" s="531"/>
      <c r="DX949" s="530"/>
    </row>
    <row r="950">
      <c r="A950" s="531"/>
      <c r="DX950" s="530"/>
    </row>
    <row r="951">
      <c r="A951" s="531"/>
      <c r="DX951" s="530"/>
    </row>
    <row r="952">
      <c r="A952" s="531"/>
      <c r="DX952" s="530"/>
    </row>
    <row r="953">
      <c r="A953" s="531"/>
      <c r="DX953" s="530"/>
    </row>
    <row r="954">
      <c r="A954" s="531"/>
      <c r="DX954" s="530"/>
    </row>
    <row r="955">
      <c r="A955" s="531"/>
      <c r="DX955" s="530"/>
    </row>
  </sheetData>
  <autoFilter ref="$A$268:$DR$274"/>
  <conditionalFormatting sqref="A6:BO6 BK27:CO27 A34 BK34:CQ34 A41 BK41:CL41 A48:CR48 A55 BK55:EQ55 A62 BK62:DQ62 A69 BK69:CL69 CN69:DQ69 A76:DR76 A83 BK83:DR83 A90 CN90:CX90 A98 BK98:DR98 A105 BK105:CL105 CN105:DR105 A112:DR112 A119 BK119:DR119 A126 CN126:DR126 A134 BK134:DR134 A141 BK141:CL141 CN141:DR141 A148:DR148 A155 BK155:DR155 A161 CN161:DR161 A168 BK168:DR168 A174 BK174:CL174 CN174:DR174 A181:DR181 A187 BK187:DR187 A194 CN194:DR194 A202 BK202:DR202 A209 BK209:CL209 CN209:DR209 A216:DR216 A223 BK223:DR223 A230 CN230:DR230 A238 BK238:DR238 A245 BK245:CL245 CN245:DR245 A252:DR252 A259 BK259:DR259 A266 CN266:DR266 A273 BK273:DN273 DP273:DR273 DO274 A280 BK280:CL280 CN280:DR280 A287:DR287 A294 BK294:DR294 A301 CN301:DR301 A309 BK309:CO309 CQ309:DR309 CP310 A316 BK316:CL316 CN316:DR316 A323:DR323 A330 BK330:DR330 A337 CN337:DR337 A344 BK344:CO344 CQ344:DR344 CP345 A351 BK351:CL351 CN351:DR351 A358:DR358 A367 BK367:DR367 A375 CN375:DR375 A382 BK382:CO382 CP382:CP383 CQ382:DR382 A389 BK389:CL389 CN389:DR389 A396:DR396 A403 BK403:DR403 A410 CN410:DR410 A417 BK417:CO417 CP417:CP418 CQ417:DQ417 A424 BK424:CL424 CN424:DQ424 A431:DQ431 A438 CN438:DQ438 A448 BK448:CO448 CP448:CP449 CQ448:DR448 A455 BK455:CL455 CN455:DQ455 A462:DQ462 A469 CN469:DQ469 A478 BK478:CO478 CP478:CP479 CQ478:DR478 A485 BK485:CL485 CN485:DQ485 A492:DQ492 A499 CN499:DQ499">
    <cfRule type="cellIs" dxfId="0" priority="1" operator="lessThan">
      <formula>0</formula>
    </cfRule>
  </conditionalFormatting>
  <conditionalFormatting sqref="A6:BO6 BK27:CO27 A34 BK34:CQ34 A41 BK41:CL41 A48:CR48 A55 BK55:EQ55 A62 BK62:DQ62 A69 BK69:CL69 CN69:DQ69 A76:DR76 A83 BK83:DR83 A90 CN90:CX90 A98 BK98:DR98 A105 BK105:CL105 CN105:DR105 A112:DR112 A119 BK119:DR119 A126 CN126:DR126 A134 BK134:DR134 A141 BK141:CL141 CN141:DR141 A148:DR148 A155 BK155:DR155 A161 CN161:DR161 A168 BK168:DR168 A174 BK174:CL174 CN174:DR174 A181:DR181 A187 BK187:DR187 A194 CN194:DR194 A202 BK202:DR202 A209 BK209:CL209 CN209:DR209 A216:DR216 A223 BK223:DR223 A230 CN230:DR230 A238 BK238:DR238 A245 BK245:CL245 CN245:DR245 A252:DR252 A259 BK259:DR259 A266 CN266:DR266 A273 BK273:DN273 DP273:DR273 DO274 A280 BK280:CL280 CN280:DR280 A287:DR287 A294 BK294:DR294 A301 CN301:DR301 A309 BK309:CO309 CQ309:DR309 CP310 A316 BK316:CL316 CN316:DR316 A323:DR323 A330 BK330:DR330 A337 CN337:DR337 A344 BK344:CO344 CQ344:DR344 CP345 A351 BK351:CL351 CN351:DR351 A358:DR358 A367 BK367:DR367 A375 CN375:DR375 A382 BK382:CO382 CP382:CP383 CQ382:DR382 A389 BK389:CL389 CN389:DR389 A396:DR396 A403 BK403:DR403 A410 CN410:DR410 A417 BK417:CO417 CP417:CP418 CQ417:DQ417 A424 BK424:CL424 CN424:DQ424 A431:DQ431 A438 CN438:DQ438 A448 BK448:CO448 CP448:CP449 CQ448:DR448 A455 BK455:CL455 CN455:DQ455 A462:DQ462 A469 CN469:DQ469 A478 BK478:CO478 CP478:CP479 CQ478:DR478 A485 BK485:CL485 CN485:DQ485 A492:DQ492 A499 CN499:DQ499">
    <cfRule type="cellIs" dxfId="1" priority="2" operator="greaterThanOrEqual">
      <formula>0</formula>
    </cfRule>
  </conditionalFormatting>
  <conditionalFormatting sqref="AY12:AY13 AZ12 A13:AX13 BB13:BO13">
    <cfRule type="cellIs" dxfId="0" priority="3" operator="lessThan">
      <formula>0</formula>
    </cfRule>
  </conditionalFormatting>
  <conditionalFormatting sqref="AY12:AY13 AZ12 A13:AX13 BB13:BO13">
    <cfRule type="cellIs" dxfId="2" priority="4" operator="greaterThanOrEqual">
      <formula>0</formula>
    </cfRule>
  </conditionalFormatting>
  <conditionalFormatting sqref="BP6:CO6 BP13:BZ13 CB13:CO13 A20:CO20 CR20:EQ20 A27:CF27 A34:CF34 BK41:CL41 A48:CR48 BK55:EQ55 A62:CF62 BK69:CL69 A76:DR76 BK83:DR83 CN90:CX90 A98:CF98 BK105:CL105 A112:CM112 BK119:CM119 A134:CF134 BK141:CL141 A148:CM148 BK155:CM155 A168:CF168 BK174:CL174 A181:CM181 BK187:CM187 A202:CF202 BK209:CL209 A216:CM216 BK223:CM223 A238:CF238 BK245:CL245 A252:CM252 BK259:CM259 A273:CF273 BK280:CL280 A287:CM287 BK294:CM294 A309:CF309 BK316:CL316 A323:CM323 BK330:CM330 A344:CF344 BK351:CL351 A358:CM358 BK367:CM367 A382:CF382 BK389:CL389 A396:CM396 BK403:CM403 A417:CF417 BK424:CL424 A431:CM431 A448:CF448 BK455:CL455 A462:CM462 A478:CF478 BK485:CL485 A492:CM492">
    <cfRule type="cellIs" dxfId="0" priority="5" operator="lessThan">
      <formula>0</formula>
    </cfRule>
  </conditionalFormatting>
  <conditionalFormatting sqref="BP6:CO6 BP13:BZ13 CB13:CO13 A20:CO20 CR20:EQ20 A27:CF27 A34:CF34 BK41:CL41 A48:CR48 BK55:EQ55 A62:CF62 BK69:CL69 A76:DR76 BK83:DR83 CN90:CX90 A98:CF98 BK105:CL105 A112:CM112 BK119:CM119 A134:CF134 BK141:CL141 A148:CM148 BK155:CM155 A168:CF168 BK174:CL174 A181:CM181 BK187:CM187 A202:CF202 BK209:CL209 A216:CM216 BK223:CM223 A238:CF238 BK245:CL245 A252:CM252 BK259:CM259 A273:CF273 BK280:CL280 A287:CM287 BK294:CM294 A309:CF309 BK316:CL316 A323:CM323 BK330:CM330 A344:CF344 BK351:CL351 A358:CM358 BK367:CM367 A382:CF382 BK389:CL389 A396:CM396 BK403:CM403 A417:CF417 BK424:CL424 A431:CM431 A448:CF448 BK455:CL455 A462:CM462 A478:CF478 BK485:CL485 A492:CM492">
    <cfRule type="cellIs" dxfId="2" priority="6" operator="greaterThanOrEqual">
      <formula>0</formula>
    </cfRule>
  </conditionalFormatting>
  <conditionalFormatting sqref="CN236:DQ236 CN243:DQ243 CN250:DQ250 CN257:DQ257 CN264:DQ264 CN271:DQ271 CN278:DJ278 DL278 DN278:DN280 DO278:DQ278 CN285:DE285 DG285:DQ285 DF286 CN292:DQ292 CN299:DQ299 CN307:DQ307 CN314:DJ314 DN314:DN316 DO314:DQ314 CN321:DE321 DG321:DQ321 DF322 CN328:DQ328 CN335:DQ335 CN342:DQ342 CN349:DJ349 DN349:DN351 DO349:DQ349 CN356:DE356 DG356:DQ356 DF357 CN365:DQ365 CN373:DJ373 DL373:DQ373 CN380:DQ380 CN387:DJ387 DN387:DN389 DO387:DQ387 CN394:DE394 DG394:DQ394 DF395 CN401:DQ401 CN408:DJ408 DL408:DQ408 CN415:DQ415 CN422:DJ422 DN422:DN424 DO422 DQ422 CN429:DE429 DG429:DQ429 DF430 CN436:DJ436 DL436:DQ436 CN446:DR446 CN453:DJ453 DN453:DN455 DO453:DQ453 CN460:DE460 DG460:DQ460 DF461 CN467:DJ467 DL467:DQ467 CN476:DR476 CN483:DJ483 DN483:DN485 DO483:DQ483 CN490:DE490 DG490:DQ490 DF491 CN497:DJ497 DL497:DQ497">
    <cfRule type="cellIs" dxfId="3" priority="7" operator="greaterThanOrEqual">
      <formula>350</formula>
    </cfRule>
  </conditionalFormatting>
  <conditionalFormatting sqref="CN236:DQ236 CN243:DQ243 CN250:DQ250 CN257:DQ257 CN264:DQ264 CN271:DQ271 CN278:DJ278 DL278 DN278:DN280 DO278:DQ278 CN285:DE285 DG285:DQ285 DF286 CN292:DQ292 CN299:DQ299 CN307:DQ307 CN314:DJ314 DN314:DN316 DO314:DQ314 CN321:DE321 DG321:DQ321 DF322 CN328:DQ328 CN335:DQ335 CN342:DQ342 CN349:DJ349 DN349:DN351 DO349:DQ349 CN356:DE356 DG356:DQ356 DF357 CN365:DQ365 CN373:DJ373 DL373:DQ373 CN380:DQ380 CN387:DJ387 DN387:DN389 DO387:DQ387 CN394:DE394 DG394:DQ394 DF395 CN401:DQ401 CN408:DJ408 DL408:DQ408 CN415:DQ415 CN422:DJ422 DN422:DN424 DO422 DQ422 CN429:DE429 DG429:DQ429 DF430 CN436:DJ436 DL436:DQ436 CN446:DR446 CN453:DJ453 DN453:DN455 DO453:DQ453 CN460:DE460 DG460:DQ460 DF461 CN467:DJ467 DL467:DQ467 CN476:DR476 CN483:DJ483 DN483:DN485 DO483:DQ483 CN490:DE490 DG490:DQ490 DF491 CN497:DJ497 DL497:DQ497">
    <cfRule type="cellIs" dxfId="4" priority="8" operator="greaterThanOrEqual">
      <formula>400</formula>
    </cfRule>
  </conditionalFormatting>
  <conditionalFormatting sqref="CN236:DQ236 CN243:DQ243 CN250:DQ250 CN257:DQ257 CN264:DQ264 CN271:DQ271 CN278:DJ278 DL278 DN278:DN280 DO278:DQ278 CN285:DE285 DG285:DQ285 DF286 CN292:DQ292 CN299:DQ299 CN307:DQ307 CN314:DJ314 DN314:DN316 DO314:DQ314 CN321:DE321 DG321:DQ321 DF322 CN328:DQ328 CN335:DQ335 CN342:DQ342 CN349:DJ349 DN349:DN351 DO349:DQ349 CN356:DE356 DG356:DQ356 DF357 CN365:DQ365 CN373:DJ373 DL373:DQ373 CN380:DQ380 CN387:DJ387 DN387:DN389 DO387:DQ387 CN394:DE394 DG394:DQ394 DF395 CN401:DQ401 CN408:DJ408 DL408:DQ408 CN415:DQ415 CN422:DJ422 DN422:DN424 DO422 DQ422 CN429:DE429 DG429:DQ429 DF430 CN436:DJ436 DL436:DQ436 CN446:DR446 CN453:DJ453 DN453:DN455 DO453:DQ453 CN460:DE460 DG460:DQ460 DF461 CN467:DJ467 DL467:DQ467 CN476:DR476 CN483:DJ483 DN483:DN485 DO483:DQ483 CN490:DE490 DG490:DQ490 DF491 CN497:DJ497 DL497:DQ497">
    <cfRule type="cellIs" dxfId="5" priority="9" operator="greaterThanOrEqual">
      <formula>450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63"/>
    <col customWidth="1" min="2" max="2" width="22.88"/>
    <col customWidth="1" min="3" max="3" width="9.38"/>
    <col customWidth="1" min="4" max="4" width="16.13"/>
    <col customWidth="1" min="5" max="5" width="39.13"/>
    <col customWidth="1" min="6" max="6" width="20.75"/>
    <col customWidth="1" min="7" max="7" width="10.0"/>
    <col customWidth="1" min="8" max="8" width="31.5"/>
    <col customWidth="1" min="9" max="9" width="14.88"/>
  </cols>
  <sheetData>
    <row r="1">
      <c r="A1" s="512" t="s">
        <v>432</v>
      </c>
      <c r="B1" s="512" t="s">
        <v>433</v>
      </c>
      <c r="C1" s="605" t="s">
        <v>434</v>
      </c>
      <c r="D1" s="512">
        <v>4.3449023624E10</v>
      </c>
      <c r="E1" s="606" t="s">
        <v>435</v>
      </c>
      <c r="F1" s="607" t="s">
        <v>436</v>
      </c>
      <c r="G1" s="606" t="s">
        <v>437</v>
      </c>
      <c r="H1" s="608" t="s">
        <v>438</v>
      </c>
    </row>
    <row r="2">
      <c r="A2" s="609" t="s">
        <v>439</v>
      </c>
      <c r="B2" s="610" t="s">
        <v>440</v>
      </c>
      <c r="C2" s="611">
        <v>45033.0</v>
      </c>
      <c r="D2" s="610">
        <v>7.393419851E9</v>
      </c>
      <c r="E2" s="612" t="s">
        <v>441</v>
      </c>
      <c r="F2" s="612" t="s">
        <v>442</v>
      </c>
      <c r="G2" s="612" t="s">
        <v>443</v>
      </c>
      <c r="H2" s="613" t="s">
        <v>444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09"/>
      <c r="B3" s="609" t="s">
        <v>445</v>
      </c>
      <c r="C3" s="614">
        <v>45034.0</v>
      </c>
      <c r="D3" s="609">
        <v>6.79096568E9</v>
      </c>
      <c r="E3" s="615" t="s">
        <v>446</v>
      </c>
      <c r="F3" s="615" t="s">
        <v>447</v>
      </c>
      <c r="G3" s="615" t="s">
        <v>448</v>
      </c>
      <c r="H3" s="613" t="s">
        <v>444</v>
      </c>
    </row>
    <row r="4">
      <c r="A4" s="512" t="s">
        <v>432</v>
      </c>
      <c r="B4" s="512" t="s">
        <v>449</v>
      </c>
      <c r="C4" s="616">
        <v>45294.0</v>
      </c>
      <c r="D4" s="512">
        <v>2.753873512E10</v>
      </c>
      <c r="E4" s="617" t="s">
        <v>450</v>
      </c>
      <c r="F4" s="606" t="s">
        <v>436</v>
      </c>
      <c r="G4" s="606" t="s">
        <v>451</v>
      </c>
      <c r="H4" s="608" t="s">
        <v>452</v>
      </c>
    </row>
    <row r="5">
      <c r="A5" s="512" t="s">
        <v>439</v>
      </c>
      <c r="B5" s="512" t="s">
        <v>445</v>
      </c>
      <c r="C5" s="618">
        <v>45599.0</v>
      </c>
      <c r="D5" s="546">
        <v>2.3987887593E10</v>
      </c>
      <c r="E5" s="619" t="s">
        <v>453</v>
      </c>
      <c r="F5" s="619" t="s">
        <v>454</v>
      </c>
      <c r="G5" s="619" t="s">
        <v>455</v>
      </c>
      <c r="H5" s="620"/>
    </row>
    <row r="6">
      <c r="A6" s="512" t="s">
        <v>432</v>
      </c>
      <c r="B6" s="512" t="s">
        <v>456</v>
      </c>
      <c r="C6" s="605">
        <v>45600.0</v>
      </c>
      <c r="D6" s="512">
        <v>2.4585551176E10</v>
      </c>
      <c r="E6" s="606" t="s">
        <v>457</v>
      </c>
      <c r="F6" s="606" t="s">
        <v>458</v>
      </c>
      <c r="G6" s="606" t="s">
        <v>459</v>
      </c>
      <c r="H6" s="621" t="s">
        <v>452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</row>
    <row r="7">
      <c r="A7" s="512" t="s">
        <v>432</v>
      </c>
      <c r="B7" s="512" t="s">
        <v>460</v>
      </c>
      <c r="C7" s="541">
        <v>45600.0</v>
      </c>
      <c r="D7" s="512">
        <v>2.3303802201E10</v>
      </c>
      <c r="E7" s="606" t="s">
        <v>461</v>
      </c>
      <c r="F7" s="606" t="s">
        <v>454</v>
      </c>
      <c r="G7" s="606" t="s">
        <v>462</v>
      </c>
      <c r="H7" s="621" t="s">
        <v>452</v>
      </c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</row>
    <row r="8">
      <c r="A8" s="512" t="s">
        <v>432</v>
      </c>
      <c r="B8" s="512" t="s">
        <v>449</v>
      </c>
      <c r="C8" s="622">
        <v>45604.0</v>
      </c>
      <c r="D8" s="512">
        <v>2.4111821618E10</v>
      </c>
      <c r="E8" s="606" t="s">
        <v>463</v>
      </c>
      <c r="F8" s="606" t="s">
        <v>464</v>
      </c>
      <c r="G8" s="606" t="s">
        <v>465</v>
      </c>
      <c r="H8" s="608" t="s">
        <v>466</v>
      </c>
    </row>
    <row r="9">
      <c r="A9" s="512" t="s">
        <v>432</v>
      </c>
      <c r="B9" s="512" t="s">
        <v>449</v>
      </c>
      <c r="C9" s="605">
        <v>45604.0</v>
      </c>
      <c r="D9" s="512">
        <v>2.6053918958E10</v>
      </c>
      <c r="E9" s="606" t="s">
        <v>467</v>
      </c>
      <c r="F9" s="606" t="s">
        <v>468</v>
      </c>
      <c r="G9" s="606" t="s">
        <v>469</v>
      </c>
      <c r="H9" s="621" t="s">
        <v>466</v>
      </c>
    </row>
    <row r="10">
      <c r="A10" s="512" t="s">
        <v>432</v>
      </c>
      <c r="B10" s="512" t="s">
        <v>470</v>
      </c>
      <c r="C10" s="541">
        <v>45604.0</v>
      </c>
      <c r="D10" s="512">
        <v>2.4631528925E10</v>
      </c>
      <c r="E10" s="617" t="s">
        <v>471</v>
      </c>
      <c r="F10" s="606" t="s">
        <v>468</v>
      </c>
      <c r="G10" s="606" t="s">
        <v>472</v>
      </c>
      <c r="H10" s="621" t="s">
        <v>466</v>
      </c>
    </row>
    <row r="11">
      <c r="A11" s="512" t="s">
        <v>432</v>
      </c>
      <c r="B11" s="512" t="s">
        <v>449</v>
      </c>
      <c r="C11" s="605">
        <v>45604.0</v>
      </c>
      <c r="D11" s="512">
        <v>2.4916976448E10</v>
      </c>
      <c r="E11" s="617" t="s">
        <v>473</v>
      </c>
      <c r="F11" s="606" t="s">
        <v>474</v>
      </c>
      <c r="G11" s="606" t="s">
        <v>475</v>
      </c>
      <c r="H11" s="621" t="s">
        <v>466</v>
      </c>
    </row>
    <row r="12">
      <c r="A12" s="512" t="s">
        <v>432</v>
      </c>
      <c r="B12" s="606" t="s">
        <v>476</v>
      </c>
      <c r="C12" s="622">
        <v>45604.0</v>
      </c>
      <c r="D12" s="623">
        <v>2.4111821548E10</v>
      </c>
      <c r="E12" s="624" t="s">
        <v>477</v>
      </c>
      <c r="F12" s="606" t="s">
        <v>464</v>
      </c>
      <c r="G12" s="606" t="s">
        <v>478</v>
      </c>
      <c r="H12" s="608" t="s">
        <v>466</v>
      </c>
    </row>
    <row r="13">
      <c r="A13" s="512" t="s">
        <v>432</v>
      </c>
      <c r="B13" s="512" t="s">
        <v>449</v>
      </c>
      <c r="C13" s="605">
        <v>45605.0</v>
      </c>
      <c r="D13" s="512">
        <v>2.6213623764E10</v>
      </c>
      <c r="E13" s="606" t="s">
        <v>479</v>
      </c>
      <c r="F13" s="606" t="s">
        <v>468</v>
      </c>
      <c r="G13" s="606" t="s">
        <v>480</v>
      </c>
      <c r="H13" s="608" t="s">
        <v>466</v>
      </c>
    </row>
    <row r="14">
      <c r="A14" s="512" t="s">
        <v>439</v>
      </c>
      <c r="B14" s="512" t="s">
        <v>449</v>
      </c>
      <c r="C14" s="541">
        <v>45606.0</v>
      </c>
      <c r="D14" s="512">
        <v>2.5716667399E10</v>
      </c>
      <c r="E14" s="617" t="s">
        <v>481</v>
      </c>
      <c r="F14" s="606" t="s">
        <v>436</v>
      </c>
      <c r="G14" s="606" t="s">
        <v>482</v>
      </c>
      <c r="H14" s="608" t="s">
        <v>483</v>
      </c>
    </row>
    <row r="15">
      <c r="A15" s="512" t="s">
        <v>439</v>
      </c>
      <c r="B15" s="512" t="s">
        <v>449</v>
      </c>
      <c r="C15" s="541">
        <v>45606.0</v>
      </c>
      <c r="D15" s="512">
        <v>2.1843768589E10</v>
      </c>
      <c r="E15" s="617" t="s">
        <v>484</v>
      </c>
      <c r="F15" s="606" t="s">
        <v>436</v>
      </c>
      <c r="G15" s="606" t="s">
        <v>485</v>
      </c>
      <c r="H15" s="608" t="s">
        <v>483</v>
      </c>
    </row>
    <row r="16">
      <c r="A16" s="512" t="s">
        <v>432</v>
      </c>
      <c r="B16" s="512" t="s">
        <v>449</v>
      </c>
      <c r="C16" s="541">
        <v>45607.0</v>
      </c>
      <c r="D16" s="512">
        <v>2.6212177431E10</v>
      </c>
      <c r="E16" s="617" t="s">
        <v>486</v>
      </c>
      <c r="F16" s="606" t="s">
        <v>436</v>
      </c>
      <c r="G16" s="606" t="s">
        <v>487</v>
      </c>
      <c r="H16" s="608" t="s">
        <v>452</v>
      </c>
    </row>
    <row r="17">
      <c r="A17" s="512" t="s">
        <v>439</v>
      </c>
      <c r="B17" s="512" t="s">
        <v>449</v>
      </c>
      <c r="C17" s="541">
        <v>45609.0</v>
      </c>
      <c r="D17" s="512">
        <v>2.3773226637E10</v>
      </c>
      <c r="E17" s="617" t="s">
        <v>488</v>
      </c>
      <c r="F17" s="606" t="s">
        <v>436</v>
      </c>
      <c r="G17" s="606" t="s">
        <v>489</v>
      </c>
      <c r="H17" s="608" t="s">
        <v>483</v>
      </c>
    </row>
    <row r="18">
      <c r="A18" s="512" t="s">
        <v>439</v>
      </c>
      <c r="B18" s="512" t="s">
        <v>490</v>
      </c>
      <c r="C18" s="541">
        <v>45609.0</v>
      </c>
      <c r="D18" s="512">
        <v>7.257334646E9</v>
      </c>
      <c r="E18" s="617" t="s">
        <v>491</v>
      </c>
      <c r="F18" s="606" t="s">
        <v>436</v>
      </c>
      <c r="G18" s="606" t="s">
        <v>492</v>
      </c>
      <c r="H18" s="608" t="s">
        <v>483</v>
      </c>
    </row>
    <row r="19">
      <c r="A19" s="512" t="s">
        <v>432</v>
      </c>
      <c r="B19" s="512" t="s">
        <v>493</v>
      </c>
      <c r="C19" s="605">
        <v>45612.0</v>
      </c>
      <c r="D19" s="625">
        <v>2.0151976928E10</v>
      </c>
      <c r="E19" s="606" t="s">
        <v>494</v>
      </c>
      <c r="F19" s="606" t="s">
        <v>436</v>
      </c>
      <c r="G19" s="606" t="s">
        <v>495</v>
      </c>
      <c r="H19" s="608" t="s">
        <v>496</v>
      </c>
    </row>
    <row r="20">
      <c r="A20" s="512" t="s">
        <v>432</v>
      </c>
      <c r="B20" s="512" t="s">
        <v>497</v>
      </c>
      <c r="C20" s="542">
        <v>45613.0</v>
      </c>
      <c r="D20" s="625">
        <v>6.834995269E9</v>
      </c>
      <c r="E20" s="606" t="s">
        <v>498</v>
      </c>
      <c r="F20" s="606" t="s">
        <v>499</v>
      </c>
      <c r="G20" s="606" t="s">
        <v>500</v>
      </c>
      <c r="H20" s="608" t="s">
        <v>452</v>
      </c>
    </row>
    <row r="21">
      <c r="A21" s="512" t="s">
        <v>432</v>
      </c>
      <c r="B21" s="512" t="s">
        <v>493</v>
      </c>
      <c r="C21" s="605">
        <v>45613.0</v>
      </c>
      <c r="D21" s="625">
        <v>2.5951486774E10</v>
      </c>
      <c r="E21" s="617" t="s">
        <v>501</v>
      </c>
      <c r="F21" s="606" t="s">
        <v>436</v>
      </c>
      <c r="G21" s="606" t="s">
        <v>502</v>
      </c>
      <c r="H21" s="608" t="s">
        <v>452</v>
      </c>
    </row>
    <row r="22">
      <c r="A22" s="512" t="s">
        <v>503</v>
      </c>
      <c r="B22" s="512" t="s">
        <v>504</v>
      </c>
      <c r="C22" s="616">
        <v>45616.0</v>
      </c>
      <c r="D22" s="512">
        <v>2.4604992981E10</v>
      </c>
      <c r="E22" s="606" t="s">
        <v>505</v>
      </c>
      <c r="F22" s="606" t="s">
        <v>506</v>
      </c>
      <c r="G22" s="606" t="s">
        <v>507</v>
      </c>
      <c r="H22" s="608" t="s">
        <v>508</v>
      </c>
    </row>
    <row r="23">
      <c r="A23" s="512" t="s">
        <v>509</v>
      </c>
      <c r="B23" s="512" t="s">
        <v>470</v>
      </c>
      <c r="C23" s="605">
        <v>45618.0</v>
      </c>
      <c r="D23" s="512">
        <v>2.4548584917E10</v>
      </c>
      <c r="E23" s="606" t="s">
        <v>510</v>
      </c>
      <c r="F23" s="606" t="s">
        <v>511</v>
      </c>
      <c r="G23" s="606">
        <v>143.0</v>
      </c>
      <c r="H23" s="608" t="s">
        <v>512</v>
      </c>
    </row>
    <row r="24">
      <c r="A24" s="512" t="s">
        <v>432</v>
      </c>
      <c r="B24" s="512" t="s">
        <v>449</v>
      </c>
      <c r="C24" s="605">
        <v>45618.0</v>
      </c>
      <c r="D24" s="512">
        <v>2.5127175674E10</v>
      </c>
      <c r="E24" s="606" t="s">
        <v>513</v>
      </c>
      <c r="F24" s="606" t="s">
        <v>436</v>
      </c>
      <c r="G24" s="606" t="s">
        <v>514</v>
      </c>
      <c r="H24" s="608" t="s">
        <v>515</v>
      </c>
    </row>
    <row r="25">
      <c r="A25" s="512" t="s">
        <v>509</v>
      </c>
      <c r="B25" s="512" t="s">
        <v>449</v>
      </c>
      <c r="C25" s="605">
        <v>45619.0</v>
      </c>
      <c r="D25" s="512">
        <v>2.533392455E10</v>
      </c>
      <c r="E25" s="606" t="s">
        <v>516</v>
      </c>
      <c r="F25" s="606" t="s">
        <v>511</v>
      </c>
      <c r="G25" s="606">
        <v>285.0</v>
      </c>
      <c r="H25" s="608" t="s">
        <v>496</v>
      </c>
    </row>
    <row r="26">
      <c r="A26" s="512" t="s">
        <v>432</v>
      </c>
      <c r="B26" s="512" t="s">
        <v>449</v>
      </c>
      <c r="C26" s="605">
        <v>45619.0</v>
      </c>
      <c r="D26" s="512">
        <v>2.5358388417E10</v>
      </c>
      <c r="E26" s="617" t="s">
        <v>517</v>
      </c>
      <c r="F26" s="606" t="s">
        <v>518</v>
      </c>
      <c r="G26" s="606" t="s">
        <v>519</v>
      </c>
      <c r="H26" s="608" t="s">
        <v>452</v>
      </c>
    </row>
    <row r="27">
      <c r="A27" s="512" t="s">
        <v>520</v>
      </c>
      <c r="B27" s="512" t="s">
        <v>449</v>
      </c>
      <c r="C27" s="626">
        <v>45619.0</v>
      </c>
      <c r="D27" s="512">
        <v>2.552461329E10</v>
      </c>
      <c r="E27" s="606" t="s">
        <v>521</v>
      </c>
      <c r="F27" s="606" t="s">
        <v>518</v>
      </c>
      <c r="G27" s="606" t="s">
        <v>522</v>
      </c>
      <c r="H27" s="608" t="s">
        <v>452</v>
      </c>
    </row>
    <row r="28">
      <c r="A28" s="512" t="s">
        <v>432</v>
      </c>
      <c r="B28" s="512" t="s">
        <v>523</v>
      </c>
      <c r="C28" s="605">
        <v>45622.0</v>
      </c>
      <c r="D28" s="512">
        <v>2.6907975228E10</v>
      </c>
      <c r="E28" s="606" t="s">
        <v>524</v>
      </c>
      <c r="F28" s="606" t="s">
        <v>518</v>
      </c>
      <c r="G28" s="606" t="s">
        <v>525</v>
      </c>
      <c r="H28" s="608" t="s">
        <v>515</v>
      </c>
    </row>
    <row r="29">
      <c r="A29" s="512" t="s">
        <v>432</v>
      </c>
      <c r="B29" s="512" t="s">
        <v>449</v>
      </c>
      <c r="C29" s="605">
        <v>45622.0</v>
      </c>
      <c r="D29" s="512">
        <v>2.6529519168E10</v>
      </c>
      <c r="E29" s="606" t="s">
        <v>526</v>
      </c>
      <c r="F29" s="606" t="s">
        <v>527</v>
      </c>
      <c r="G29" s="606" t="s">
        <v>528</v>
      </c>
      <c r="H29" s="608" t="s">
        <v>515</v>
      </c>
    </row>
    <row r="30">
      <c r="A30" s="512" t="s">
        <v>432</v>
      </c>
      <c r="B30" s="512" t="s">
        <v>449</v>
      </c>
      <c r="C30" s="605">
        <v>45622.0</v>
      </c>
      <c r="D30" s="512">
        <v>2.562584131E10</v>
      </c>
      <c r="E30" s="617" t="s">
        <v>529</v>
      </c>
      <c r="F30" s="606" t="s">
        <v>518</v>
      </c>
      <c r="G30" s="606" t="s">
        <v>530</v>
      </c>
      <c r="H30" s="608" t="s">
        <v>515</v>
      </c>
    </row>
    <row r="31">
      <c r="A31" s="512" t="s">
        <v>432</v>
      </c>
      <c r="B31" s="512" t="s">
        <v>449</v>
      </c>
      <c r="C31" s="605">
        <v>45622.0</v>
      </c>
      <c r="D31" s="512">
        <v>2.4088508638E10</v>
      </c>
      <c r="E31" s="606" t="s">
        <v>531</v>
      </c>
      <c r="F31" s="606" t="s">
        <v>532</v>
      </c>
      <c r="G31" s="606" t="s">
        <v>533</v>
      </c>
      <c r="H31" s="608" t="s">
        <v>515</v>
      </c>
    </row>
    <row r="32">
      <c r="A32" s="512" t="s">
        <v>439</v>
      </c>
      <c r="B32" s="512" t="s">
        <v>534</v>
      </c>
      <c r="C32" s="605">
        <v>45623.0</v>
      </c>
      <c r="D32" s="512">
        <v>2.6236654723E10</v>
      </c>
      <c r="E32" s="606" t="s">
        <v>535</v>
      </c>
      <c r="F32" s="606" t="s">
        <v>536</v>
      </c>
      <c r="G32" s="606">
        <v>1957.0</v>
      </c>
      <c r="H32" s="608" t="s">
        <v>537</v>
      </c>
    </row>
    <row r="33">
      <c r="A33" s="512" t="s">
        <v>439</v>
      </c>
      <c r="B33" s="512" t="s">
        <v>449</v>
      </c>
      <c r="C33" s="605">
        <v>45623.0</v>
      </c>
      <c r="D33" s="512">
        <v>2.502913874E10</v>
      </c>
      <c r="E33" s="606" t="s">
        <v>538</v>
      </c>
      <c r="F33" s="606" t="s">
        <v>518</v>
      </c>
      <c r="G33" s="606" t="s">
        <v>539</v>
      </c>
      <c r="H33" s="608" t="s">
        <v>515</v>
      </c>
    </row>
    <row r="34">
      <c r="A34" s="627" t="s">
        <v>439</v>
      </c>
      <c r="B34" s="512" t="s">
        <v>470</v>
      </c>
      <c r="C34" s="605">
        <v>45624.0</v>
      </c>
      <c r="D34" s="512">
        <v>2.5012318285E10</v>
      </c>
      <c r="E34" s="606" t="s">
        <v>540</v>
      </c>
      <c r="F34" s="606" t="s">
        <v>518</v>
      </c>
      <c r="G34" s="606">
        <v>1003.0</v>
      </c>
      <c r="H34" s="608" t="s">
        <v>537</v>
      </c>
    </row>
    <row r="35">
      <c r="A35" s="512" t="s">
        <v>503</v>
      </c>
      <c r="B35" s="512" t="s">
        <v>470</v>
      </c>
      <c r="C35" s="605">
        <v>45624.0</v>
      </c>
      <c r="D35" s="512">
        <v>2.6901624493E10</v>
      </c>
      <c r="E35" s="606" t="s">
        <v>541</v>
      </c>
      <c r="F35" s="606" t="s">
        <v>518</v>
      </c>
      <c r="G35" s="606" t="s">
        <v>1</v>
      </c>
      <c r="H35" s="608" t="s">
        <v>537</v>
      </c>
    </row>
    <row r="36">
      <c r="A36" s="512" t="s">
        <v>520</v>
      </c>
      <c r="B36" s="512" t="s">
        <v>449</v>
      </c>
      <c r="C36" s="605">
        <v>45626.0</v>
      </c>
      <c r="D36" s="512">
        <v>2.5438209016E10</v>
      </c>
      <c r="E36" s="617" t="s">
        <v>542</v>
      </c>
      <c r="F36" s="606" t="s">
        <v>518</v>
      </c>
      <c r="G36" s="606" t="s">
        <v>543</v>
      </c>
      <c r="H36" s="608" t="s">
        <v>452</v>
      </c>
    </row>
    <row r="37">
      <c r="A37" s="512" t="s">
        <v>432</v>
      </c>
      <c r="B37" s="512" t="s">
        <v>449</v>
      </c>
      <c r="C37" s="605">
        <v>45626.0</v>
      </c>
      <c r="D37" s="512">
        <v>2.510012417E10</v>
      </c>
      <c r="E37" s="606" t="s">
        <v>544</v>
      </c>
      <c r="F37" s="606" t="s">
        <v>518</v>
      </c>
      <c r="G37" s="606" t="s">
        <v>545</v>
      </c>
      <c r="H37" s="608" t="s">
        <v>515</v>
      </c>
    </row>
    <row r="38">
      <c r="A38" s="512" t="s">
        <v>439</v>
      </c>
      <c r="B38" s="512" t="s">
        <v>534</v>
      </c>
      <c r="C38" s="605">
        <v>45627.0</v>
      </c>
      <c r="D38" s="512">
        <v>2.5660417395E10</v>
      </c>
      <c r="E38" s="606" t="s">
        <v>546</v>
      </c>
      <c r="F38" s="606" t="s">
        <v>518</v>
      </c>
      <c r="G38" s="606">
        <v>795.0</v>
      </c>
      <c r="H38" s="608" t="s">
        <v>537</v>
      </c>
    </row>
    <row r="39">
      <c r="A39" s="512" t="s">
        <v>432</v>
      </c>
      <c r="B39" s="512" t="s">
        <v>449</v>
      </c>
      <c r="C39" s="605">
        <v>45628.0</v>
      </c>
      <c r="D39" s="512">
        <v>2.4343500051E10</v>
      </c>
      <c r="E39" s="617" t="s">
        <v>547</v>
      </c>
      <c r="F39" s="606" t="s">
        <v>518</v>
      </c>
      <c r="G39" s="606" t="s">
        <v>548</v>
      </c>
      <c r="H39" s="608" t="s">
        <v>452</v>
      </c>
    </row>
    <row r="40">
      <c r="A40" s="512" t="s">
        <v>432</v>
      </c>
      <c r="B40" s="512" t="s">
        <v>449</v>
      </c>
      <c r="C40" s="618">
        <v>45628.0</v>
      </c>
      <c r="D40" s="546">
        <v>2.5086651078E10</v>
      </c>
      <c r="E40" s="628" t="s">
        <v>547</v>
      </c>
      <c r="F40" s="619" t="s">
        <v>518</v>
      </c>
      <c r="G40" s="619" t="s">
        <v>548</v>
      </c>
      <c r="H40" s="629" t="s">
        <v>452</v>
      </c>
    </row>
    <row r="41">
      <c r="A41" s="512" t="s">
        <v>432</v>
      </c>
      <c r="B41" s="512" t="s">
        <v>449</v>
      </c>
      <c r="C41" s="605">
        <v>45628.0</v>
      </c>
      <c r="D41" s="512">
        <v>2.5397108855E10</v>
      </c>
      <c r="E41" s="617" t="s">
        <v>549</v>
      </c>
      <c r="F41" s="606" t="s">
        <v>518</v>
      </c>
      <c r="G41" s="606" t="s">
        <v>550</v>
      </c>
      <c r="H41" s="608" t="s">
        <v>452</v>
      </c>
    </row>
    <row r="42">
      <c r="A42" s="512" t="s">
        <v>503</v>
      </c>
      <c r="B42" s="512" t="s">
        <v>449</v>
      </c>
      <c r="C42" s="605">
        <v>45629.0</v>
      </c>
      <c r="D42" s="512">
        <v>2.5283381338E10</v>
      </c>
      <c r="E42" s="606" t="s">
        <v>551</v>
      </c>
      <c r="F42" s="606" t="s">
        <v>436</v>
      </c>
      <c r="G42" s="606" t="s">
        <v>552</v>
      </c>
      <c r="H42" s="608" t="s">
        <v>537</v>
      </c>
    </row>
    <row r="43">
      <c r="A43" s="512" t="s">
        <v>503</v>
      </c>
      <c r="B43" s="512" t="s">
        <v>449</v>
      </c>
      <c r="C43" s="605">
        <v>45629.0</v>
      </c>
      <c r="D43" s="512">
        <v>2.6874631671E10</v>
      </c>
      <c r="E43" s="606" t="s">
        <v>553</v>
      </c>
      <c r="F43" s="606" t="s">
        <v>518</v>
      </c>
      <c r="G43" s="606" t="s">
        <v>554</v>
      </c>
      <c r="H43" s="608" t="s">
        <v>537</v>
      </c>
    </row>
    <row r="44">
      <c r="A44" s="512" t="s">
        <v>503</v>
      </c>
      <c r="B44" s="512" t="s">
        <v>449</v>
      </c>
      <c r="C44" s="605">
        <v>45630.0</v>
      </c>
      <c r="D44" s="512">
        <v>2.497760268E10</v>
      </c>
      <c r="E44" s="606" t="s">
        <v>555</v>
      </c>
      <c r="F44" s="606" t="s">
        <v>518</v>
      </c>
      <c r="G44" s="606">
        <v>405.0</v>
      </c>
      <c r="H44" s="608" t="s">
        <v>537</v>
      </c>
    </row>
    <row r="45">
      <c r="A45" s="512" t="s">
        <v>503</v>
      </c>
      <c r="B45" s="512" t="s">
        <v>449</v>
      </c>
      <c r="C45" s="630">
        <v>45630.0</v>
      </c>
      <c r="D45" s="512">
        <v>2.6003251624E10</v>
      </c>
      <c r="E45" s="606" t="s">
        <v>556</v>
      </c>
      <c r="F45" s="606" t="s">
        <v>518</v>
      </c>
      <c r="G45" s="606">
        <v>405.0</v>
      </c>
      <c r="H45" s="608" t="s">
        <v>537</v>
      </c>
    </row>
    <row r="46">
      <c r="A46" s="512" t="s">
        <v>503</v>
      </c>
      <c r="B46" s="512" t="s">
        <v>449</v>
      </c>
      <c r="C46" s="605">
        <v>45632.0</v>
      </c>
      <c r="D46" s="512">
        <v>2.5729658413E10</v>
      </c>
      <c r="E46" s="606" t="s">
        <v>557</v>
      </c>
      <c r="F46" s="606" t="s">
        <v>518</v>
      </c>
      <c r="G46" s="606">
        <v>2506.0</v>
      </c>
      <c r="H46" s="608" t="s">
        <v>537</v>
      </c>
    </row>
    <row r="47">
      <c r="A47" s="512" t="s">
        <v>503</v>
      </c>
      <c r="B47" s="512" t="s">
        <v>449</v>
      </c>
      <c r="C47" s="605">
        <v>45632.0</v>
      </c>
      <c r="D47" s="512">
        <v>2.7159166499E10</v>
      </c>
      <c r="E47" s="606" t="s">
        <v>558</v>
      </c>
      <c r="F47" s="606" t="s">
        <v>518</v>
      </c>
      <c r="G47" s="606" t="s">
        <v>559</v>
      </c>
      <c r="H47" s="608" t="s">
        <v>452</v>
      </c>
    </row>
    <row r="48">
      <c r="A48" s="512" t="s">
        <v>503</v>
      </c>
      <c r="B48" s="512" t="s">
        <v>449</v>
      </c>
      <c r="C48" s="605">
        <v>45632.0</v>
      </c>
      <c r="D48" s="512">
        <v>1.7013631583E10</v>
      </c>
      <c r="E48" s="606" t="s">
        <v>560</v>
      </c>
      <c r="F48" s="606" t="s">
        <v>518</v>
      </c>
      <c r="G48" s="606"/>
      <c r="H48" s="608" t="s">
        <v>452</v>
      </c>
    </row>
    <row r="49">
      <c r="A49" s="512" t="s">
        <v>432</v>
      </c>
      <c r="B49" s="512" t="s">
        <v>449</v>
      </c>
      <c r="C49" s="605">
        <v>45633.0</v>
      </c>
      <c r="D49" s="512">
        <v>2.3105913467E10</v>
      </c>
      <c r="E49" s="606" t="s">
        <v>561</v>
      </c>
      <c r="F49" s="606" t="s">
        <v>518</v>
      </c>
      <c r="G49" s="606" t="s">
        <v>562</v>
      </c>
      <c r="H49" s="608" t="s">
        <v>515</v>
      </c>
    </row>
    <row r="50">
      <c r="A50" s="512" t="s">
        <v>503</v>
      </c>
      <c r="B50" s="512" t="s">
        <v>449</v>
      </c>
      <c r="C50" s="605">
        <v>45633.0</v>
      </c>
      <c r="D50" s="512">
        <v>2.6809045213E10</v>
      </c>
      <c r="E50" s="606" t="s">
        <v>563</v>
      </c>
      <c r="F50" s="606" t="s">
        <v>518</v>
      </c>
      <c r="G50" s="606"/>
      <c r="H50" s="608" t="s">
        <v>452</v>
      </c>
    </row>
    <row r="51">
      <c r="A51" s="512" t="s">
        <v>432</v>
      </c>
      <c r="B51" s="512" t="s">
        <v>449</v>
      </c>
      <c r="C51" s="605">
        <v>45634.0</v>
      </c>
      <c r="D51" s="512">
        <v>2.7390000394E10</v>
      </c>
      <c r="E51" s="606" t="s">
        <v>564</v>
      </c>
      <c r="F51" s="606" t="s">
        <v>518</v>
      </c>
      <c r="G51" s="606" t="s">
        <v>565</v>
      </c>
      <c r="H51" s="608" t="s">
        <v>515</v>
      </c>
    </row>
    <row r="52">
      <c r="A52" s="512" t="s">
        <v>503</v>
      </c>
      <c r="B52" s="512" t="s">
        <v>449</v>
      </c>
      <c r="C52" s="605">
        <v>45635.0</v>
      </c>
      <c r="D52" s="512">
        <v>2.6045788958E10</v>
      </c>
      <c r="E52" s="606" t="s">
        <v>560</v>
      </c>
      <c r="F52" s="606" t="s">
        <v>518</v>
      </c>
      <c r="G52" s="606" t="s">
        <v>566</v>
      </c>
      <c r="H52" s="608" t="s">
        <v>452</v>
      </c>
    </row>
    <row r="53">
      <c r="A53" s="512" t="s">
        <v>503</v>
      </c>
      <c r="B53" s="512" t="s">
        <v>449</v>
      </c>
      <c r="C53" s="616">
        <v>45636.0</v>
      </c>
      <c r="D53" s="512">
        <v>2.5213026448E10</v>
      </c>
      <c r="E53" s="606" t="s">
        <v>567</v>
      </c>
      <c r="F53" s="606" t="s">
        <v>436</v>
      </c>
      <c r="G53" s="606" t="s">
        <v>568</v>
      </c>
      <c r="H53" s="608" t="s">
        <v>537</v>
      </c>
    </row>
    <row r="54">
      <c r="A54" s="512" t="s">
        <v>432</v>
      </c>
      <c r="B54" s="512" t="s">
        <v>449</v>
      </c>
      <c r="C54" s="616">
        <v>45636.0</v>
      </c>
      <c r="D54" s="512">
        <v>2.7467927388E10</v>
      </c>
      <c r="E54" s="606" t="s">
        <v>569</v>
      </c>
      <c r="F54" s="606" t="s">
        <v>436</v>
      </c>
      <c r="G54" s="606" t="s">
        <v>570</v>
      </c>
      <c r="H54" s="608" t="s">
        <v>515</v>
      </c>
    </row>
    <row r="55">
      <c r="A55" s="512" t="s">
        <v>432</v>
      </c>
      <c r="B55" s="512" t="s">
        <v>449</v>
      </c>
      <c r="C55" s="605">
        <v>45636.0</v>
      </c>
      <c r="D55" s="512">
        <v>2.5224034487E10</v>
      </c>
      <c r="E55" s="606" t="s">
        <v>571</v>
      </c>
      <c r="F55" s="606" t="s">
        <v>518</v>
      </c>
      <c r="G55" s="606" t="s">
        <v>572</v>
      </c>
      <c r="H55" s="608" t="s">
        <v>515</v>
      </c>
    </row>
    <row r="56">
      <c r="A56" s="512" t="s">
        <v>503</v>
      </c>
      <c r="B56" s="512" t="s">
        <v>449</v>
      </c>
      <c r="C56" s="605">
        <v>45636.0</v>
      </c>
      <c r="D56" s="512">
        <v>2.7492425139E10</v>
      </c>
      <c r="E56" s="606" t="s">
        <v>573</v>
      </c>
      <c r="F56" s="606" t="s">
        <v>518</v>
      </c>
      <c r="G56" s="606" t="s">
        <v>574</v>
      </c>
      <c r="H56" s="608" t="s">
        <v>537</v>
      </c>
    </row>
    <row r="57">
      <c r="A57" s="512" t="s">
        <v>503</v>
      </c>
      <c r="B57" s="512" t="s">
        <v>449</v>
      </c>
      <c r="C57" s="616">
        <v>45636.0</v>
      </c>
      <c r="D57" s="512">
        <v>2.5205504731E10</v>
      </c>
      <c r="E57" s="606" t="s">
        <v>575</v>
      </c>
      <c r="F57" s="606" t="s">
        <v>436</v>
      </c>
      <c r="G57" s="606" t="s">
        <v>576</v>
      </c>
      <c r="H57" s="608" t="s">
        <v>537</v>
      </c>
    </row>
    <row r="58">
      <c r="A58" s="512" t="s">
        <v>503</v>
      </c>
      <c r="B58" s="512" t="s">
        <v>449</v>
      </c>
      <c r="C58" s="605">
        <v>45636.0</v>
      </c>
      <c r="D58" s="512">
        <v>2.3469131083E10</v>
      </c>
      <c r="E58" s="606" t="s">
        <v>577</v>
      </c>
      <c r="F58" s="606" t="s">
        <v>518</v>
      </c>
      <c r="G58" s="606" t="s">
        <v>578</v>
      </c>
      <c r="H58" s="608" t="s">
        <v>537</v>
      </c>
    </row>
    <row r="59">
      <c r="A59" s="512" t="s">
        <v>432</v>
      </c>
      <c r="B59" s="512" t="s">
        <v>449</v>
      </c>
      <c r="C59" s="605">
        <v>45636.0</v>
      </c>
      <c r="D59" s="512">
        <v>1.5161539241E10</v>
      </c>
      <c r="E59" s="606" t="s">
        <v>579</v>
      </c>
      <c r="F59" s="606" t="s">
        <v>518</v>
      </c>
      <c r="G59" s="606" t="s">
        <v>580</v>
      </c>
      <c r="H59" s="608" t="s">
        <v>515</v>
      </c>
    </row>
    <row r="60">
      <c r="A60" s="512" t="s">
        <v>432</v>
      </c>
      <c r="B60" s="512" t="s">
        <v>449</v>
      </c>
      <c r="C60" s="631">
        <v>45637.0</v>
      </c>
      <c r="D60" s="512">
        <v>2.5947337123E10</v>
      </c>
      <c r="E60" s="606" t="s">
        <v>581</v>
      </c>
      <c r="F60" s="606" t="s">
        <v>436</v>
      </c>
      <c r="G60" s="606" t="s">
        <v>582</v>
      </c>
      <c r="H60" s="608" t="s">
        <v>515</v>
      </c>
    </row>
    <row r="61">
      <c r="A61" s="512" t="s">
        <v>503</v>
      </c>
      <c r="B61" s="512" t="s">
        <v>449</v>
      </c>
      <c r="C61" s="632">
        <v>45637.0</v>
      </c>
      <c r="D61" s="512">
        <v>2.3533932065E10</v>
      </c>
      <c r="E61" s="606" t="s">
        <v>583</v>
      </c>
      <c r="F61" s="606" t="s">
        <v>436</v>
      </c>
      <c r="G61" s="606" t="s">
        <v>584</v>
      </c>
      <c r="H61" s="608" t="s">
        <v>585</v>
      </c>
    </row>
    <row r="62">
      <c r="A62" s="512" t="s">
        <v>503</v>
      </c>
      <c r="B62" s="512" t="s">
        <v>449</v>
      </c>
      <c r="C62" s="616">
        <v>45637.0</v>
      </c>
      <c r="D62" s="512">
        <v>8.510133909E9</v>
      </c>
      <c r="E62" s="606" t="s">
        <v>586</v>
      </c>
      <c r="F62" s="606" t="s">
        <v>436</v>
      </c>
      <c r="G62" s="606" t="s">
        <v>587</v>
      </c>
      <c r="H62" s="608" t="s">
        <v>537</v>
      </c>
    </row>
    <row r="63">
      <c r="A63" s="609" t="s">
        <v>439</v>
      </c>
      <c r="B63" s="512" t="s">
        <v>449</v>
      </c>
      <c r="C63" s="616">
        <v>45641.0</v>
      </c>
      <c r="D63" s="512">
        <v>2.600167281E10</v>
      </c>
      <c r="E63" s="606" t="s">
        <v>588</v>
      </c>
      <c r="F63" s="606" t="s">
        <v>436</v>
      </c>
      <c r="G63" s="606" t="s">
        <v>589</v>
      </c>
      <c r="H63" s="608" t="s">
        <v>537</v>
      </c>
    </row>
    <row r="64">
      <c r="A64" s="512" t="s">
        <v>432</v>
      </c>
      <c r="B64" s="512" t="s">
        <v>449</v>
      </c>
      <c r="C64" s="616">
        <v>45641.0</v>
      </c>
      <c r="D64" s="512">
        <v>2.6395640804E10</v>
      </c>
      <c r="E64" s="617" t="s">
        <v>590</v>
      </c>
      <c r="F64" s="606" t="s">
        <v>436</v>
      </c>
      <c r="G64" s="606" t="s">
        <v>591</v>
      </c>
      <c r="H64" s="608" t="s">
        <v>452</v>
      </c>
    </row>
    <row r="65">
      <c r="A65" s="609" t="s">
        <v>439</v>
      </c>
      <c r="B65" s="512" t="s">
        <v>449</v>
      </c>
      <c r="C65" s="616">
        <v>45641.0</v>
      </c>
      <c r="D65" s="512">
        <v>2.5283449686E10</v>
      </c>
      <c r="E65" s="606" t="s">
        <v>592</v>
      </c>
      <c r="F65" s="606" t="s">
        <v>436</v>
      </c>
      <c r="G65" s="606" t="s">
        <v>593</v>
      </c>
      <c r="H65" s="608" t="s">
        <v>537</v>
      </c>
    </row>
    <row r="66">
      <c r="A66" s="512" t="s">
        <v>439</v>
      </c>
      <c r="B66" s="512" t="s">
        <v>449</v>
      </c>
      <c r="C66" s="616">
        <v>45642.0</v>
      </c>
      <c r="D66" s="512">
        <v>2.5648795548E10</v>
      </c>
      <c r="E66" s="606" t="s">
        <v>594</v>
      </c>
      <c r="F66" s="606" t="s">
        <v>499</v>
      </c>
      <c r="G66" s="606" t="s">
        <v>595</v>
      </c>
      <c r="H66" s="608" t="s">
        <v>585</v>
      </c>
    </row>
    <row r="67">
      <c r="A67" s="512" t="s">
        <v>439</v>
      </c>
      <c r="B67" s="512" t="s">
        <v>449</v>
      </c>
      <c r="C67" s="616">
        <v>45642.0</v>
      </c>
      <c r="D67" s="512">
        <v>2.779390181E10</v>
      </c>
      <c r="E67" s="617" t="s">
        <v>596</v>
      </c>
      <c r="F67" s="606" t="s">
        <v>499</v>
      </c>
      <c r="G67" s="606"/>
      <c r="H67" s="608" t="s">
        <v>585</v>
      </c>
    </row>
    <row r="68">
      <c r="A68" s="512" t="s">
        <v>439</v>
      </c>
      <c r="B68" s="512" t="s">
        <v>449</v>
      </c>
      <c r="C68" s="616">
        <v>45643.0</v>
      </c>
      <c r="D68" s="512">
        <v>2.3875756598E10</v>
      </c>
      <c r="E68" s="606" t="s">
        <v>597</v>
      </c>
      <c r="F68" s="606" t="s">
        <v>598</v>
      </c>
      <c r="G68" s="606" t="s">
        <v>599</v>
      </c>
      <c r="H68" s="608" t="s">
        <v>585</v>
      </c>
    </row>
    <row r="69">
      <c r="A69" s="512" t="s">
        <v>432</v>
      </c>
      <c r="B69" s="512" t="s">
        <v>449</v>
      </c>
      <c r="C69" s="616">
        <v>45644.0</v>
      </c>
      <c r="D69" s="512">
        <v>2.7772475661E10</v>
      </c>
      <c r="E69" s="606" t="s">
        <v>600</v>
      </c>
      <c r="F69" s="606" t="s">
        <v>518</v>
      </c>
      <c r="G69" s="606" t="s">
        <v>601</v>
      </c>
      <c r="H69" s="608" t="s">
        <v>515</v>
      </c>
    </row>
    <row r="70">
      <c r="A70" s="512" t="s">
        <v>439</v>
      </c>
      <c r="B70" s="512" t="s">
        <v>449</v>
      </c>
      <c r="C70" s="616">
        <v>45645.0</v>
      </c>
      <c r="D70" s="512">
        <v>2.645673756E10</v>
      </c>
      <c r="E70" s="606" t="s">
        <v>602</v>
      </c>
      <c r="F70" s="606" t="s">
        <v>436</v>
      </c>
      <c r="G70" s="606" t="s">
        <v>603</v>
      </c>
      <c r="H70" s="608" t="s">
        <v>537</v>
      </c>
    </row>
    <row r="71">
      <c r="A71" s="512" t="s">
        <v>439</v>
      </c>
      <c r="B71" s="512" t="s">
        <v>449</v>
      </c>
      <c r="C71" s="616">
        <v>45645.0</v>
      </c>
      <c r="D71" s="512">
        <v>2.2569865201E10</v>
      </c>
      <c r="E71" s="606" t="s">
        <v>604</v>
      </c>
      <c r="F71" s="606" t="s">
        <v>436</v>
      </c>
      <c r="G71" s="606" t="s">
        <v>605</v>
      </c>
      <c r="H71" s="608" t="s">
        <v>537</v>
      </c>
    </row>
    <row r="72">
      <c r="A72" s="512" t="s">
        <v>439</v>
      </c>
      <c r="B72" s="512" t="s">
        <v>606</v>
      </c>
      <c r="C72" s="616">
        <v>45646.0</v>
      </c>
      <c r="D72" s="512">
        <v>2.7591456602E10</v>
      </c>
      <c r="E72" s="606" t="s">
        <v>607</v>
      </c>
      <c r="F72" s="606" t="s">
        <v>518</v>
      </c>
      <c r="G72" s="606" t="s">
        <v>608</v>
      </c>
      <c r="H72" s="608" t="s">
        <v>585</v>
      </c>
    </row>
    <row r="73">
      <c r="A73" s="512" t="s">
        <v>432</v>
      </c>
      <c r="B73" s="512" t="s">
        <v>449</v>
      </c>
      <c r="C73" s="616">
        <v>45647.0</v>
      </c>
      <c r="D73" s="512">
        <v>2.5079414853E10</v>
      </c>
      <c r="E73" s="617" t="s">
        <v>609</v>
      </c>
      <c r="F73" s="606" t="s">
        <v>518</v>
      </c>
      <c r="G73" s="606" t="s">
        <v>610</v>
      </c>
      <c r="H73" s="608" t="s">
        <v>452</v>
      </c>
    </row>
    <row r="74">
      <c r="A74" s="512" t="s">
        <v>439</v>
      </c>
      <c r="B74" s="512" t="s">
        <v>449</v>
      </c>
      <c r="C74" s="616">
        <v>45648.0</v>
      </c>
      <c r="D74" s="512">
        <v>1.3981680648E10</v>
      </c>
      <c r="E74" s="606" t="s">
        <v>611</v>
      </c>
      <c r="F74" s="606" t="s">
        <v>436</v>
      </c>
      <c r="G74" s="606" t="s">
        <v>612</v>
      </c>
      <c r="H74" s="608" t="s">
        <v>537</v>
      </c>
    </row>
    <row r="75">
      <c r="A75" s="512" t="s">
        <v>439</v>
      </c>
      <c r="B75" s="512" t="s">
        <v>449</v>
      </c>
      <c r="C75" s="616">
        <v>45648.0</v>
      </c>
      <c r="D75" s="512">
        <v>2.5901071602E10</v>
      </c>
      <c r="E75" s="617" t="s">
        <v>613</v>
      </c>
      <c r="F75" s="606" t="s">
        <v>436</v>
      </c>
      <c r="G75" s="606" t="s">
        <v>614</v>
      </c>
      <c r="H75" s="608" t="s">
        <v>537</v>
      </c>
    </row>
    <row r="76">
      <c r="A76" s="512" t="s">
        <v>439</v>
      </c>
      <c r="B76" s="512" t="s">
        <v>449</v>
      </c>
      <c r="C76" s="616">
        <v>45648.0</v>
      </c>
      <c r="D76" s="512">
        <v>2.7100173128E10</v>
      </c>
      <c r="E76" s="617" t="s">
        <v>615</v>
      </c>
      <c r="F76" s="606" t="s">
        <v>436</v>
      </c>
      <c r="G76" s="606" t="s">
        <v>616</v>
      </c>
      <c r="H76" s="608" t="s">
        <v>537</v>
      </c>
    </row>
    <row r="77">
      <c r="A77" s="512" t="s">
        <v>617</v>
      </c>
      <c r="B77" s="512" t="s">
        <v>449</v>
      </c>
      <c r="C77" s="616">
        <v>45648.0</v>
      </c>
      <c r="D77" s="512">
        <v>2.5188747024E10</v>
      </c>
      <c r="E77" s="617" t="s">
        <v>618</v>
      </c>
      <c r="F77" s="606" t="s">
        <v>518</v>
      </c>
      <c r="G77" s="606" t="s">
        <v>619</v>
      </c>
      <c r="H77" s="608" t="s">
        <v>452</v>
      </c>
    </row>
    <row r="78">
      <c r="A78" s="512" t="s">
        <v>432</v>
      </c>
      <c r="B78" s="512" t="s">
        <v>449</v>
      </c>
      <c r="C78" s="616">
        <v>45649.0</v>
      </c>
      <c r="D78" s="512">
        <v>2.6425330302E10</v>
      </c>
      <c r="E78" s="606" t="s">
        <v>620</v>
      </c>
      <c r="F78" s="606" t="s">
        <v>518</v>
      </c>
      <c r="G78" s="606" t="s">
        <v>621</v>
      </c>
      <c r="H78" s="608" t="s">
        <v>585</v>
      </c>
    </row>
    <row r="79">
      <c r="A79" s="512" t="s">
        <v>617</v>
      </c>
      <c r="B79" s="512" t="s">
        <v>449</v>
      </c>
      <c r="C79" s="616">
        <v>45649.0</v>
      </c>
      <c r="D79" s="512">
        <v>2.8052300222E10</v>
      </c>
      <c r="E79" s="606" t="s">
        <v>526</v>
      </c>
      <c r="F79" s="606" t="s">
        <v>436</v>
      </c>
      <c r="G79" s="606" t="s">
        <v>622</v>
      </c>
      <c r="H79" s="608" t="s">
        <v>623</v>
      </c>
    </row>
    <row r="80">
      <c r="A80" s="512" t="s">
        <v>439</v>
      </c>
      <c r="B80" s="512" t="s">
        <v>449</v>
      </c>
      <c r="C80" s="616">
        <v>45649.0</v>
      </c>
      <c r="D80" s="512">
        <v>2.5991258868E10</v>
      </c>
      <c r="E80" s="606" t="s">
        <v>624</v>
      </c>
      <c r="F80" s="606" t="s">
        <v>436</v>
      </c>
      <c r="G80" s="606" t="s">
        <v>625</v>
      </c>
      <c r="H80" s="608" t="s">
        <v>537</v>
      </c>
    </row>
    <row r="81">
      <c r="A81" s="512" t="s">
        <v>439</v>
      </c>
      <c r="B81" s="512" t="s">
        <v>449</v>
      </c>
      <c r="C81" s="616">
        <v>45649.0</v>
      </c>
      <c r="D81" s="512">
        <v>2.6751841184E10</v>
      </c>
      <c r="E81" s="606" t="s">
        <v>626</v>
      </c>
      <c r="F81" s="606" t="s">
        <v>436</v>
      </c>
      <c r="G81" s="606" t="s">
        <v>627</v>
      </c>
      <c r="H81" s="608" t="s">
        <v>537</v>
      </c>
    </row>
    <row r="82">
      <c r="A82" s="512" t="s">
        <v>432</v>
      </c>
      <c r="B82" s="512" t="s">
        <v>449</v>
      </c>
      <c r="C82" s="616">
        <v>45649.0</v>
      </c>
      <c r="D82" s="512">
        <v>2.6366480409E10</v>
      </c>
      <c r="E82" s="606" t="s">
        <v>628</v>
      </c>
      <c r="F82" s="606" t="s">
        <v>598</v>
      </c>
      <c r="G82" s="606" t="s">
        <v>629</v>
      </c>
      <c r="H82" s="608" t="s">
        <v>585</v>
      </c>
    </row>
    <row r="83">
      <c r="A83" s="512" t="s">
        <v>617</v>
      </c>
      <c r="B83" s="512" t="s">
        <v>449</v>
      </c>
      <c r="C83" s="616">
        <v>45650.0</v>
      </c>
      <c r="D83" s="512">
        <v>2.8060014069E10</v>
      </c>
      <c r="E83" s="606" t="s">
        <v>630</v>
      </c>
      <c r="F83" s="606" t="s">
        <v>518</v>
      </c>
      <c r="G83" s="606" t="s">
        <v>631</v>
      </c>
      <c r="H83" s="608" t="s">
        <v>632</v>
      </c>
    </row>
    <row r="84">
      <c r="A84" s="512" t="s">
        <v>432</v>
      </c>
      <c r="B84" s="512" t="s">
        <v>449</v>
      </c>
      <c r="C84" s="616">
        <v>45650.0</v>
      </c>
      <c r="D84" s="512">
        <v>2.8118422205E10</v>
      </c>
      <c r="E84" s="617" t="s">
        <v>633</v>
      </c>
      <c r="F84" s="606" t="s">
        <v>518</v>
      </c>
      <c r="G84" s="606" t="s">
        <v>634</v>
      </c>
      <c r="H84" s="608" t="s">
        <v>452</v>
      </c>
    </row>
    <row r="85">
      <c r="A85" s="512" t="s">
        <v>432</v>
      </c>
      <c r="B85" s="512" t="s">
        <v>449</v>
      </c>
      <c r="C85" s="616">
        <v>45650.0</v>
      </c>
      <c r="D85" s="512">
        <v>2.7910509633E10</v>
      </c>
      <c r="E85" s="617" t="s">
        <v>635</v>
      </c>
      <c r="F85" s="606" t="s">
        <v>436</v>
      </c>
      <c r="G85" s="606"/>
      <c r="H85" s="608" t="s">
        <v>452</v>
      </c>
    </row>
    <row r="86">
      <c r="A86" s="512" t="s">
        <v>617</v>
      </c>
      <c r="B86" s="512" t="s">
        <v>449</v>
      </c>
      <c r="C86" s="616">
        <v>45651.0</v>
      </c>
      <c r="D86" s="512">
        <v>2.6378890313E10</v>
      </c>
      <c r="E86" s="617" t="s">
        <v>636</v>
      </c>
      <c r="F86" s="606" t="s">
        <v>518</v>
      </c>
      <c r="G86" s="606" t="s">
        <v>637</v>
      </c>
      <c r="H86" s="608" t="s">
        <v>632</v>
      </c>
    </row>
    <row r="87">
      <c r="A87" s="512" t="s">
        <v>439</v>
      </c>
      <c r="B87" s="512" t="s">
        <v>449</v>
      </c>
      <c r="C87" s="616">
        <v>45651.0</v>
      </c>
      <c r="D87" s="512">
        <v>2.5651098975E10</v>
      </c>
      <c r="E87" s="606" t="s">
        <v>638</v>
      </c>
      <c r="F87" s="606" t="s">
        <v>598</v>
      </c>
      <c r="G87" s="606"/>
      <c r="H87" s="608" t="s">
        <v>585</v>
      </c>
    </row>
    <row r="88">
      <c r="A88" s="512" t="s">
        <v>432</v>
      </c>
      <c r="B88" s="512" t="s">
        <v>449</v>
      </c>
      <c r="C88" s="616">
        <v>45652.0</v>
      </c>
      <c r="D88" s="512">
        <v>2.8361140594E10</v>
      </c>
      <c r="E88" s="606" t="s">
        <v>639</v>
      </c>
      <c r="F88" s="606" t="s">
        <v>436</v>
      </c>
      <c r="G88" s="606" t="s">
        <v>640</v>
      </c>
      <c r="H88" s="608" t="s">
        <v>452</v>
      </c>
    </row>
    <row r="89">
      <c r="A89" s="512" t="s">
        <v>432</v>
      </c>
      <c r="B89" s="512" t="s">
        <v>449</v>
      </c>
      <c r="C89" s="616">
        <v>45652.0</v>
      </c>
      <c r="D89" s="512">
        <v>2.6022920951E10</v>
      </c>
      <c r="E89" s="606" t="s">
        <v>641</v>
      </c>
      <c r="F89" s="606" t="s">
        <v>436</v>
      </c>
      <c r="G89" s="606" t="s">
        <v>642</v>
      </c>
      <c r="H89" s="608" t="s">
        <v>452</v>
      </c>
    </row>
    <row r="90">
      <c r="A90" s="512" t="s">
        <v>432</v>
      </c>
      <c r="B90" s="512" t="s">
        <v>449</v>
      </c>
      <c r="C90" s="616">
        <v>45652.0</v>
      </c>
      <c r="D90" s="512">
        <v>2.716467115E10</v>
      </c>
      <c r="E90" s="606" t="s">
        <v>643</v>
      </c>
      <c r="F90" s="606" t="s">
        <v>436</v>
      </c>
      <c r="G90" s="606" t="s">
        <v>644</v>
      </c>
      <c r="H90" s="608" t="s">
        <v>645</v>
      </c>
    </row>
    <row r="91">
      <c r="A91" s="512" t="s">
        <v>432</v>
      </c>
      <c r="B91" s="512" t="s">
        <v>646</v>
      </c>
      <c r="C91" s="616">
        <v>45652.0</v>
      </c>
      <c r="D91" s="512">
        <v>2.8246115094E10</v>
      </c>
      <c r="E91" s="606" t="s">
        <v>647</v>
      </c>
      <c r="F91" s="606" t="s">
        <v>436</v>
      </c>
      <c r="G91" s="606" t="s">
        <v>648</v>
      </c>
      <c r="H91" s="608" t="s">
        <v>452</v>
      </c>
    </row>
    <row r="92">
      <c r="A92" s="512" t="s">
        <v>439</v>
      </c>
      <c r="B92" s="512" t="s">
        <v>449</v>
      </c>
      <c r="C92" s="616">
        <v>45652.0</v>
      </c>
      <c r="D92" s="512">
        <v>2.6361169593E10</v>
      </c>
      <c r="E92" s="606" t="s">
        <v>649</v>
      </c>
      <c r="F92" s="606" t="s">
        <v>436</v>
      </c>
      <c r="G92" s="606" t="s">
        <v>650</v>
      </c>
      <c r="H92" s="608" t="s">
        <v>537</v>
      </c>
    </row>
    <row r="93">
      <c r="A93" s="512" t="s">
        <v>432</v>
      </c>
      <c r="B93" s="512" t="s">
        <v>449</v>
      </c>
      <c r="C93" s="616">
        <v>45653.0</v>
      </c>
      <c r="D93" s="512">
        <v>2.6830249301E10</v>
      </c>
      <c r="E93" s="606" t="s">
        <v>651</v>
      </c>
      <c r="F93" s="606" t="s">
        <v>436</v>
      </c>
      <c r="G93" s="606" t="s">
        <v>652</v>
      </c>
      <c r="H93" s="608" t="s">
        <v>515</v>
      </c>
    </row>
    <row r="94">
      <c r="A94" s="512" t="s">
        <v>432</v>
      </c>
      <c r="B94" s="512" t="s">
        <v>449</v>
      </c>
      <c r="C94" s="616">
        <v>45653.0</v>
      </c>
      <c r="D94" s="512">
        <v>2.8246000126E10</v>
      </c>
      <c r="E94" s="617" t="s">
        <v>653</v>
      </c>
      <c r="F94" s="606" t="s">
        <v>436</v>
      </c>
      <c r="G94" s="606" t="s">
        <v>654</v>
      </c>
      <c r="H94" s="608" t="s">
        <v>623</v>
      </c>
    </row>
    <row r="95">
      <c r="A95" s="512" t="s">
        <v>432</v>
      </c>
      <c r="B95" s="512" t="s">
        <v>449</v>
      </c>
      <c r="C95" s="616">
        <v>45653.0</v>
      </c>
      <c r="D95" s="512">
        <v>2.6645074758E10</v>
      </c>
      <c r="E95" s="606" t="s">
        <v>655</v>
      </c>
      <c r="F95" s="606" t="s">
        <v>436</v>
      </c>
      <c r="G95" s="606" t="s">
        <v>656</v>
      </c>
      <c r="H95" s="608" t="s">
        <v>515</v>
      </c>
    </row>
    <row r="96">
      <c r="A96" s="512" t="s">
        <v>432</v>
      </c>
      <c r="B96" s="512" t="s">
        <v>449</v>
      </c>
      <c r="C96" s="616">
        <v>45653.0</v>
      </c>
      <c r="D96" s="512">
        <v>2.825581681E10</v>
      </c>
      <c r="E96" s="606" t="s">
        <v>657</v>
      </c>
      <c r="F96" s="606" t="s">
        <v>436</v>
      </c>
      <c r="G96" s="606" t="s">
        <v>658</v>
      </c>
      <c r="H96" s="608" t="s">
        <v>515</v>
      </c>
    </row>
    <row r="97">
      <c r="A97" s="512" t="s">
        <v>617</v>
      </c>
      <c r="B97" s="512" t="s">
        <v>449</v>
      </c>
      <c r="C97" s="616">
        <v>45653.0</v>
      </c>
      <c r="D97" s="512">
        <v>2.5856209583E10</v>
      </c>
      <c r="E97" s="617" t="s">
        <v>659</v>
      </c>
      <c r="F97" s="606" t="s">
        <v>436</v>
      </c>
      <c r="G97" s="606" t="s">
        <v>660</v>
      </c>
      <c r="H97" s="608" t="s">
        <v>623</v>
      </c>
    </row>
    <row r="98">
      <c r="A98" s="512" t="s">
        <v>432</v>
      </c>
      <c r="B98" s="512" t="s">
        <v>449</v>
      </c>
      <c r="C98" s="616">
        <v>45653.0</v>
      </c>
      <c r="D98" s="512">
        <v>2.5401309853E10</v>
      </c>
      <c r="E98" s="606" t="s">
        <v>661</v>
      </c>
      <c r="F98" s="606" t="s">
        <v>436</v>
      </c>
      <c r="G98" s="606" t="s">
        <v>662</v>
      </c>
      <c r="H98" s="608" t="s">
        <v>515</v>
      </c>
    </row>
    <row r="99">
      <c r="A99" s="512" t="s">
        <v>432</v>
      </c>
      <c r="B99" s="512" t="s">
        <v>449</v>
      </c>
      <c r="C99" s="616">
        <v>45653.0</v>
      </c>
      <c r="D99" s="512">
        <v>2.6651379603E10</v>
      </c>
      <c r="E99" s="606" t="s">
        <v>663</v>
      </c>
      <c r="F99" s="606" t="s">
        <v>436</v>
      </c>
      <c r="G99" s="606" t="s">
        <v>664</v>
      </c>
      <c r="H99" s="608" t="s">
        <v>515</v>
      </c>
    </row>
    <row r="100">
      <c r="A100" s="512" t="s">
        <v>617</v>
      </c>
      <c r="B100" s="512" t="s">
        <v>449</v>
      </c>
      <c r="C100" s="616">
        <v>45653.0</v>
      </c>
      <c r="D100" s="512"/>
      <c r="E100" s="606" t="s">
        <v>665</v>
      </c>
      <c r="F100" s="606" t="s">
        <v>436</v>
      </c>
      <c r="G100" s="606"/>
      <c r="H100" s="608" t="s">
        <v>623</v>
      </c>
    </row>
    <row r="101">
      <c r="A101" s="512" t="s">
        <v>432</v>
      </c>
      <c r="B101" s="512" t="s">
        <v>449</v>
      </c>
      <c r="C101" s="616">
        <v>45654.0</v>
      </c>
      <c r="D101" s="512">
        <v>2.8376547535E10</v>
      </c>
      <c r="E101" s="606" t="s">
        <v>609</v>
      </c>
      <c r="F101" s="606" t="s">
        <v>436</v>
      </c>
      <c r="G101" s="606" t="s">
        <v>666</v>
      </c>
      <c r="H101" s="608" t="s">
        <v>515</v>
      </c>
    </row>
    <row r="102">
      <c r="A102" s="512" t="s">
        <v>432</v>
      </c>
      <c r="B102" s="512" t="s">
        <v>449</v>
      </c>
      <c r="C102" s="605">
        <v>45654.0</v>
      </c>
      <c r="D102" s="512">
        <v>2.6221245421E10</v>
      </c>
      <c r="E102" s="606" t="s">
        <v>667</v>
      </c>
      <c r="F102" s="606" t="s">
        <v>436</v>
      </c>
      <c r="G102" s="606" t="s">
        <v>668</v>
      </c>
      <c r="H102" s="608" t="s">
        <v>515</v>
      </c>
    </row>
    <row r="103">
      <c r="A103" s="512" t="s">
        <v>617</v>
      </c>
      <c r="B103" s="512" t="s">
        <v>669</v>
      </c>
      <c r="C103" s="616">
        <v>45655.0</v>
      </c>
      <c r="D103" s="512">
        <v>2.598913698E10</v>
      </c>
      <c r="E103" s="617" t="s">
        <v>670</v>
      </c>
      <c r="F103" s="606" t="s">
        <v>436</v>
      </c>
      <c r="G103" s="606">
        <v>919.0</v>
      </c>
      <c r="H103" s="608" t="s">
        <v>623</v>
      </c>
    </row>
    <row r="104">
      <c r="A104" s="512" t="s">
        <v>432</v>
      </c>
      <c r="B104" s="512" t="s">
        <v>669</v>
      </c>
      <c r="C104" s="616">
        <v>45655.0</v>
      </c>
      <c r="D104" s="512"/>
      <c r="E104" s="606" t="s">
        <v>671</v>
      </c>
      <c r="F104" s="606" t="s">
        <v>436</v>
      </c>
      <c r="G104" s="606"/>
      <c r="H104" s="608" t="s">
        <v>452</v>
      </c>
    </row>
    <row r="105">
      <c r="A105" s="512" t="s">
        <v>439</v>
      </c>
      <c r="B105" s="512" t="s">
        <v>449</v>
      </c>
      <c r="C105" s="616">
        <v>45656.0</v>
      </c>
      <c r="D105" s="512">
        <v>2.022038604E10</v>
      </c>
      <c r="E105" s="606" t="s">
        <v>672</v>
      </c>
      <c r="F105" s="606" t="s">
        <v>436</v>
      </c>
      <c r="G105" s="606" t="s">
        <v>673</v>
      </c>
      <c r="H105" s="608" t="s">
        <v>537</v>
      </c>
    </row>
    <row r="106">
      <c r="A106" s="512" t="s">
        <v>432</v>
      </c>
      <c r="B106" s="512" t="s">
        <v>449</v>
      </c>
      <c r="C106" s="616">
        <v>45656.0</v>
      </c>
      <c r="D106" s="512">
        <v>2.8450716051E10</v>
      </c>
      <c r="E106" s="606" t="s">
        <v>674</v>
      </c>
      <c r="F106" s="606" t="s">
        <v>436</v>
      </c>
      <c r="G106" s="606" t="s">
        <v>675</v>
      </c>
      <c r="H106" s="608" t="s">
        <v>515</v>
      </c>
    </row>
    <row r="107">
      <c r="A107" s="512" t="s">
        <v>439</v>
      </c>
      <c r="B107" s="512" t="s">
        <v>449</v>
      </c>
      <c r="C107" s="616">
        <v>45656.0</v>
      </c>
      <c r="D107" s="512">
        <v>2.813533341E10</v>
      </c>
      <c r="E107" s="606" t="s">
        <v>676</v>
      </c>
      <c r="F107" s="606" t="s">
        <v>436</v>
      </c>
      <c r="G107" s="606" t="s">
        <v>677</v>
      </c>
      <c r="H107" s="608" t="s">
        <v>537</v>
      </c>
    </row>
    <row r="108">
      <c r="A108" s="512" t="s">
        <v>432</v>
      </c>
      <c r="B108" s="512" t="s">
        <v>449</v>
      </c>
      <c r="C108" s="616">
        <v>45656.0</v>
      </c>
      <c r="D108" s="512">
        <v>2.6002910656E10</v>
      </c>
      <c r="E108" s="606" t="s">
        <v>678</v>
      </c>
      <c r="F108" s="606" t="s">
        <v>436</v>
      </c>
      <c r="G108" s="606" t="s">
        <v>679</v>
      </c>
      <c r="H108" s="608" t="s">
        <v>515</v>
      </c>
    </row>
    <row r="109">
      <c r="A109" s="512" t="s">
        <v>439</v>
      </c>
      <c r="B109" s="512" t="s">
        <v>680</v>
      </c>
      <c r="C109" s="616">
        <v>45656.0</v>
      </c>
      <c r="D109" s="512">
        <v>2.5661224242E10</v>
      </c>
      <c r="E109" s="606" t="s">
        <v>681</v>
      </c>
      <c r="F109" s="606" t="s">
        <v>436</v>
      </c>
      <c r="G109" s="606" t="s">
        <v>682</v>
      </c>
      <c r="H109" s="608" t="s">
        <v>537</v>
      </c>
    </row>
    <row r="110">
      <c r="A110" s="512" t="s">
        <v>439</v>
      </c>
      <c r="B110" s="512" t="s">
        <v>460</v>
      </c>
      <c r="C110" s="616">
        <v>45656.0</v>
      </c>
      <c r="D110" s="512">
        <v>2.2432212011E10</v>
      </c>
      <c r="E110" s="606" t="s">
        <v>683</v>
      </c>
      <c r="F110" s="606" t="s">
        <v>436</v>
      </c>
      <c r="G110" s="606" t="s">
        <v>684</v>
      </c>
      <c r="H110" s="608" t="s">
        <v>537</v>
      </c>
    </row>
    <row r="111">
      <c r="A111" s="512" t="s">
        <v>432</v>
      </c>
      <c r="B111" s="512" t="s">
        <v>433</v>
      </c>
      <c r="C111" s="605">
        <v>45663.0</v>
      </c>
      <c r="D111" s="512">
        <v>4.2611069002E10</v>
      </c>
      <c r="E111" s="606" t="s">
        <v>685</v>
      </c>
      <c r="F111" s="607" t="s">
        <v>436</v>
      </c>
      <c r="G111" s="606">
        <v>340.0</v>
      </c>
      <c r="H111" s="608" t="s">
        <v>686</v>
      </c>
    </row>
    <row r="112">
      <c r="A112" s="512" t="s">
        <v>432</v>
      </c>
      <c r="B112" s="512" t="s">
        <v>449</v>
      </c>
      <c r="C112" s="605">
        <v>45663.0</v>
      </c>
      <c r="D112" s="512">
        <v>4.5957398826E10</v>
      </c>
      <c r="E112" s="606" t="s">
        <v>687</v>
      </c>
      <c r="F112" s="607" t="s">
        <v>436</v>
      </c>
      <c r="G112" s="606">
        <v>481.0</v>
      </c>
      <c r="H112" s="608" t="s">
        <v>686</v>
      </c>
    </row>
    <row r="113">
      <c r="A113" s="512" t="s">
        <v>432</v>
      </c>
      <c r="B113" s="512" t="s">
        <v>688</v>
      </c>
      <c r="C113" s="605">
        <v>45663.0</v>
      </c>
      <c r="D113" s="512">
        <v>4.4186046479E10</v>
      </c>
      <c r="E113" s="606" t="s">
        <v>689</v>
      </c>
      <c r="F113" s="607" t="s">
        <v>436</v>
      </c>
      <c r="G113" s="606">
        <v>945.0</v>
      </c>
      <c r="H113" s="608" t="s">
        <v>686</v>
      </c>
    </row>
    <row r="114">
      <c r="A114" s="512" t="s">
        <v>690</v>
      </c>
      <c r="B114" s="512" t="s">
        <v>449</v>
      </c>
      <c r="C114" s="605">
        <v>45663.0</v>
      </c>
      <c r="D114" s="512">
        <v>4.7297056339E10</v>
      </c>
      <c r="E114" s="606" t="s">
        <v>691</v>
      </c>
      <c r="F114" s="607" t="s">
        <v>436</v>
      </c>
      <c r="G114" s="606" t="s">
        <v>692</v>
      </c>
      <c r="H114" s="608" t="s">
        <v>693</v>
      </c>
    </row>
    <row r="115">
      <c r="A115" s="512" t="s">
        <v>617</v>
      </c>
      <c r="B115" s="512" t="s">
        <v>449</v>
      </c>
      <c r="C115" s="618">
        <v>45663.0</v>
      </c>
      <c r="D115" s="546">
        <v>3.1976013019E10</v>
      </c>
      <c r="E115" s="619" t="s">
        <v>694</v>
      </c>
      <c r="F115" s="633" t="s">
        <v>436</v>
      </c>
      <c r="G115" s="619" t="s">
        <v>695</v>
      </c>
      <c r="H115" s="629" t="s">
        <v>696</v>
      </c>
    </row>
    <row r="116" hidden="1">
      <c r="A116" s="512" t="s">
        <v>432</v>
      </c>
      <c r="B116" s="512" t="s">
        <v>449</v>
      </c>
      <c r="C116" s="616">
        <v>45661.0</v>
      </c>
      <c r="D116" s="512">
        <v>2.8699129552E10</v>
      </c>
      <c r="E116" s="617" t="s">
        <v>697</v>
      </c>
      <c r="F116" s="606" t="s">
        <v>436</v>
      </c>
      <c r="G116" s="606" t="s">
        <v>698</v>
      </c>
      <c r="H116" s="608" t="s">
        <v>699</v>
      </c>
    </row>
    <row r="117" hidden="1">
      <c r="A117" s="512" t="s">
        <v>432</v>
      </c>
      <c r="B117" s="512" t="s">
        <v>700</v>
      </c>
      <c r="C117" s="616">
        <v>45661.0</v>
      </c>
      <c r="D117" s="512">
        <v>1.2667347646E10</v>
      </c>
      <c r="E117" s="606" t="s">
        <v>701</v>
      </c>
      <c r="F117" s="606" t="s">
        <v>436</v>
      </c>
      <c r="G117" s="606" t="s">
        <v>702</v>
      </c>
      <c r="H117" s="608" t="s">
        <v>699</v>
      </c>
    </row>
    <row r="118" hidden="1">
      <c r="A118" s="512" t="s">
        <v>432</v>
      </c>
      <c r="B118" s="512" t="s">
        <v>703</v>
      </c>
      <c r="C118" s="616">
        <v>45663.0</v>
      </c>
      <c r="D118" s="512">
        <v>2.6115669617E10</v>
      </c>
      <c r="E118" s="617" t="s">
        <v>704</v>
      </c>
      <c r="F118" s="606" t="s">
        <v>436</v>
      </c>
      <c r="G118" s="606" t="s">
        <v>705</v>
      </c>
      <c r="H118" s="608" t="s">
        <v>452</v>
      </c>
    </row>
    <row r="119" hidden="1">
      <c r="A119" s="512" t="s">
        <v>617</v>
      </c>
      <c r="B119" s="512" t="s">
        <v>703</v>
      </c>
      <c r="C119" s="616">
        <v>45664.0</v>
      </c>
      <c r="D119" s="512">
        <v>2.6943279024E10</v>
      </c>
      <c r="E119" s="617" t="s">
        <v>706</v>
      </c>
      <c r="F119" s="606" t="s">
        <v>436</v>
      </c>
      <c r="G119" s="606" t="s">
        <v>707</v>
      </c>
      <c r="H119" s="608" t="s">
        <v>623</v>
      </c>
    </row>
    <row r="120" hidden="1">
      <c r="A120" s="512" t="s">
        <v>439</v>
      </c>
      <c r="B120" s="512" t="s">
        <v>708</v>
      </c>
      <c r="C120" s="616">
        <v>45664.0</v>
      </c>
      <c r="D120" s="512">
        <v>2.8618085005E10</v>
      </c>
      <c r="E120" s="606" t="s">
        <v>709</v>
      </c>
      <c r="F120" s="606" t="s">
        <v>436</v>
      </c>
      <c r="G120" s="606" t="s">
        <v>710</v>
      </c>
      <c r="H120" s="608" t="s">
        <v>537</v>
      </c>
    </row>
    <row r="121" hidden="1">
      <c r="A121" s="512" t="s">
        <v>439</v>
      </c>
      <c r="B121" s="512" t="s">
        <v>449</v>
      </c>
      <c r="C121" s="616">
        <v>45664.0</v>
      </c>
      <c r="D121" s="512">
        <v>2.8185058928E10</v>
      </c>
      <c r="E121" s="606" t="s">
        <v>711</v>
      </c>
      <c r="F121" s="606" t="s">
        <v>499</v>
      </c>
      <c r="G121" s="606" t="s">
        <v>712</v>
      </c>
      <c r="H121" s="608" t="s">
        <v>537</v>
      </c>
    </row>
    <row r="122" hidden="1">
      <c r="A122" s="512" t="s">
        <v>617</v>
      </c>
      <c r="B122" s="512" t="s">
        <v>449</v>
      </c>
      <c r="C122" s="616">
        <v>45664.0</v>
      </c>
      <c r="D122" s="512">
        <v>2.670613747E10</v>
      </c>
      <c r="E122" s="617" t="s">
        <v>713</v>
      </c>
      <c r="F122" s="606" t="s">
        <v>499</v>
      </c>
      <c r="G122" s="606" t="s">
        <v>714</v>
      </c>
      <c r="H122" s="608" t="s">
        <v>623</v>
      </c>
    </row>
    <row r="123" hidden="1">
      <c r="A123" s="512" t="s">
        <v>617</v>
      </c>
      <c r="B123" s="512" t="s">
        <v>449</v>
      </c>
      <c r="C123" s="616">
        <v>45664.0</v>
      </c>
      <c r="D123" s="512">
        <v>2.7857221301E10</v>
      </c>
      <c r="E123" s="617" t="s">
        <v>715</v>
      </c>
      <c r="F123" s="606" t="s">
        <v>499</v>
      </c>
      <c r="G123" s="606" t="s">
        <v>716</v>
      </c>
      <c r="H123" s="608" t="s">
        <v>623</v>
      </c>
    </row>
    <row r="124" hidden="1">
      <c r="A124" s="512" t="s">
        <v>617</v>
      </c>
      <c r="B124" s="512" t="s">
        <v>449</v>
      </c>
      <c r="C124" s="616">
        <v>45664.0</v>
      </c>
      <c r="D124" s="512">
        <v>2.8224939616E10</v>
      </c>
      <c r="E124" s="617" t="s">
        <v>717</v>
      </c>
      <c r="F124" s="606" t="s">
        <v>499</v>
      </c>
      <c r="G124" s="606" t="s">
        <v>718</v>
      </c>
      <c r="H124" s="608" t="s">
        <v>623</v>
      </c>
    </row>
    <row r="125" hidden="1">
      <c r="A125" s="512" t="s">
        <v>432</v>
      </c>
      <c r="B125" s="512" t="s">
        <v>449</v>
      </c>
      <c r="C125" s="616">
        <v>45665.0</v>
      </c>
      <c r="D125" s="512">
        <v>2.6625688187E10</v>
      </c>
      <c r="E125" s="606" t="s">
        <v>719</v>
      </c>
      <c r="F125" s="606" t="s">
        <v>436</v>
      </c>
      <c r="G125" s="606" t="s">
        <v>720</v>
      </c>
      <c r="H125" s="608" t="s">
        <v>515</v>
      </c>
    </row>
    <row r="126" hidden="1">
      <c r="A126" s="512" t="s">
        <v>432</v>
      </c>
      <c r="B126" s="512" t="s">
        <v>721</v>
      </c>
      <c r="C126" s="616">
        <v>45665.0</v>
      </c>
      <c r="D126" s="512">
        <v>2.68136304E10</v>
      </c>
      <c r="E126" s="606" t="s">
        <v>722</v>
      </c>
      <c r="F126" s="606" t="s">
        <v>436</v>
      </c>
      <c r="G126" s="606" t="s">
        <v>723</v>
      </c>
      <c r="H126" s="608" t="s">
        <v>515</v>
      </c>
    </row>
    <row r="127" hidden="1">
      <c r="A127" s="512" t="s">
        <v>432</v>
      </c>
      <c r="B127" s="512" t="s">
        <v>449</v>
      </c>
      <c r="C127" s="616"/>
      <c r="D127" s="512">
        <v>2.6755214873E10</v>
      </c>
      <c r="E127" s="617" t="s">
        <v>724</v>
      </c>
      <c r="F127" s="606" t="s">
        <v>436</v>
      </c>
      <c r="G127" s="606" t="s">
        <v>725</v>
      </c>
      <c r="H127" s="608" t="s">
        <v>726</v>
      </c>
    </row>
    <row r="128" hidden="1">
      <c r="A128" s="512" t="s">
        <v>439</v>
      </c>
      <c r="B128" s="512" t="s">
        <v>449</v>
      </c>
      <c r="C128" s="605">
        <v>45667.0</v>
      </c>
      <c r="D128" s="512">
        <v>2.6831275571E10</v>
      </c>
      <c r="E128" s="606" t="s">
        <v>727</v>
      </c>
      <c r="F128" s="606" t="s">
        <v>436</v>
      </c>
      <c r="G128" s="606" t="s">
        <v>728</v>
      </c>
      <c r="H128" s="608" t="s">
        <v>537</v>
      </c>
    </row>
    <row r="129" hidden="1">
      <c r="A129" s="512" t="s">
        <v>439</v>
      </c>
      <c r="B129" s="512" t="s">
        <v>449</v>
      </c>
      <c r="C129" s="605">
        <v>45667.0</v>
      </c>
      <c r="D129" s="512">
        <v>2.5913739547E10</v>
      </c>
      <c r="E129" s="606" t="s">
        <v>729</v>
      </c>
      <c r="F129" s="606" t="s">
        <v>730</v>
      </c>
      <c r="G129" s="606" t="s">
        <v>731</v>
      </c>
      <c r="H129" s="608" t="s">
        <v>537</v>
      </c>
    </row>
    <row r="130" hidden="1">
      <c r="A130" s="512" t="s">
        <v>439</v>
      </c>
      <c r="B130" s="512" t="s">
        <v>449</v>
      </c>
      <c r="C130" s="605">
        <v>45667.0</v>
      </c>
      <c r="D130" s="512">
        <v>2.8806642999E10</v>
      </c>
      <c r="E130" s="606" t="s">
        <v>732</v>
      </c>
      <c r="F130" s="606" t="s">
        <v>436</v>
      </c>
      <c r="G130" s="606" t="s">
        <v>733</v>
      </c>
      <c r="H130" s="608" t="s">
        <v>537</v>
      </c>
    </row>
    <row r="131" hidden="1">
      <c r="A131" s="512" t="s">
        <v>432</v>
      </c>
      <c r="B131" s="512" t="s">
        <v>449</v>
      </c>
      <c r="C131" s="605">
        <v>45668.0</v>
      </c>
      <c r="D131" s="512">
        <v>2.6634440123E10</v>
      </c>
      <c r="E131" s="606" t="s">
        <v>734</v>
      </c>
      <c r="F131" s="606" t="s">
        <v>436</v>
      </c>
      <c r="G131" s="606" t="s">
        <v>735</v>
      </c>
      <c r="H131" s="608" t="s">
        <v>515</v>
      </c>
    </row>
    <row r="132" hidden="1">
      <c r="A132" s="512" t="s">
        <v>617</v>
      </c>
      <c r="B132" s="512" t="s">
        <v>449</v>
      </c>
      <c r="C132" s="605">
        <v>45670.0</v>
      </c>
      <c r="D132" s="512">
        <v>2.8834771663E10</v>
      </c>
      <c r="E132" s="617" t="s">
        <v>736</v>
      </c>
      <c r="F132" s="606" t="s">
        <v>436</v>
      </c>
      <c r="G132" s="606" t="s">
        <v>737</v>
      </c>
      <c r="H132" s="608" t="s">
        <v>623</v>
      </c>
    </row>
    <row r="133" hidden="1">
      <c r="A133" s="512" t="s">
        <v>439</v>
      </c>
      <c r="B133" s="512" t="s">
        <v>449</v>
      </c>
      <c r="C133" s="605">
        <v>45671.0</v>
      </c>
      <c r="D133" s="512">
        <v>2.5665065958E10</v>
      </c>
      <c r="E133" s="606" t="s">
        <v>738</v>
      </c>
      <c r="F133" s="606" t="s">
        <v>436</v>
      </c>
      <c r="G133" s="606" t="s">
        <v>739</v>
      </c>
      <c r="H133" s="608" t="s">
        <v>740</v>
      </c>
    </row>
    <row r="134" hidden="1">
      <c r="A134" s="512" t="s">
        <v>432</v>
      </c>
      <c r="B134" s="512" t="s">
        <v>669</v>
      </c>
      <c r="C134" s="605">
        <v>45671.0</v>
      </c>
      <c r="D134" s="512">
        <v>2.6578074209E10</v>
      </c>
      <c r="E134" s="606" t="s">
        <v>741</v>
      </c>
      <c r="F134" s="606" t="s">
        <v>518</v>
      </c>
      <c r="G134" s="606" t="s">
        <v>742</v>
      </c>
      <c r="H134" s="608" t="s">
        <v>743</v>
      </c>
    </row>
    <row r="135" hidden="1">
      <c r="A135" s="512" t="s">
        <v>439</v>
      </c>
      <c r="B135" s="512" t="s">
        <v>744</v>
      </c>
      <c r="C135" s="605">
        <v>45672.0</v>
      </c>
      <c r="D135" s="512">
        <v>2.8254893207E10</v>
      </c>
      <c r="E135" s="606" t="s">
        <v>745</v>
      </c>
      <c r="F135" s="606" t="s">
        <v>436</v>
      </c>
      <c r="G135" s="606" t="s">
        <v>746</v>
      </c>
      <c r="H135" s="608" t="s">
        <v>740</v>
      </c>
    </row>
    <row r="136" hidden="1">
      <c r="A136" s="512" t="s">
        <v>439</v>
      </c>
      <c r="B136" s="512" t="s">
        <v>449</v>
      </c>
      <c r="C136" s="605">
        <v>45672.0</v>
      </c>
      <c r="D136" s="512">
        <v>2.9029469591E10</v>
      </c>
      <c r="E136" s="606" t="s">
        <v>747</v>
      </c>
      <c r="F136" s="606" t="s">
        <v>436</v>
      </c>
      <c r="G136" s="606" t="s">
        <v>748</v>
      </c>
      <c r="H136" s="608" t="s">
        <v>496</v>
      </c>
    </row>
    <row r="137" hidden="1">
      <c r="A137" s="512" t="s">
        <v>439</v>
      </c>
      <c r="B137" s="512" t="s">
        <v>449</v>
      </c>
      <c r="C137" s="605">
        <v>45672.0</v>
      </c>
      <c r="D137" s="512">
        <v>1.9439479191E10</v>
      </c>
      <c r="E137" s="606" t="s">
        <v>749</v>
      </c>
      <c r="F137" s="606" t="s">
        <v>436</v>
      </c>
      <c r="G137" s="606" t="s">
        <v>750</v>
      </c>
      <c r="H137" s="608" t="s">
        <v>496</v>
      </c>
    </row>
    <row r="138" hidden="1">
      <c r="A138" s="512" t="s">
        <v>432</v>
      </c>
      <c r="B138" s="512" t="s">
        <v>449</v>
      </c>
      <c r="C138" s="605">
        <v>45672.0</v>
      </c>
      <c r="D138" s="512">
        <v>2.6638638902E10</v>
      </c>
      <c r="E138" s="606" t="s">
        <v>751</v>
      </c>
      <c r="F138" s="606" t="s">
        <v>436</v>
      </c>
      <c r="G138" s="606" t="s">
        <v>752</v>
      </c>
      <c r="H138" s="608" t="s">
        <v>515</v>
      </c>
    </row>
    <row r="139" hidden="1">
      <c r="A139" s="512" t="s">
        <v>432</v>
      </c>
      <c r="B139" s="512" t="s">
        <v>449</v>
      </c>
      <c r="C139" s="605">
        <v>45672.0</v>
      </c>
      <c r="D139" s="634">
        <v>2.8193669445E10</v>
      </c>
      <c r="E139" s="606" t="s">
        <v>753</v>
      </c>
      <c r="F139" s="606" t="s">
        <v>436</v>
      </c>
      <c r="G139" s="606" t="s">
        <v>754</v>
      </c>
      <c r="H139" s="608" t="s">
        <v>515</v>
      </c>
    </row>
    <row r="140" hidden="1">
      <c r="A140" s="512" t="s">
        <v>439</v>
      </c>
      <c r="B140" s="512" t="s">
        <v>755</v>
      </c>
      <c r="C140" s="635">
        <v>45672.0</v>
      </c>
      <c r="D140" s="512">
        <v>2.6113042406E10</v>
      </c>
      <c r="E140" s="606" t="s">
        <v>756</v>
      </c>
      <c r="F140" s="606" t="s">
        <v>499</v>
      </c>
      <c r="G140" s="606" t="s">
        <v>757</v>
      </c>
      <c r="H140" s="608" t="s">
        <v>740</v>
      </c>
    </row>
    <row r="141" hidden="1">
      <c r="A141" s="512" t="s">
        <v>617</v>
      </c>
      <c r="B141" s="512" t="s">
        <v>449</v>
      </c>
      <c r="C141" s="616">
        <v>45673.0</v>
      </c>
      <c r="D141" s="512">
        <v>2.7489419535E10</v>
      </c>
      <c r="E141" s="606" t="s">
        <v>758</v>
      </c>
      <c r="F141" s="606" t="s">
        <v>436</v>
      </c>
      <c r="G141" s="606" t="s">
        <v>759</v>
      </c>
      <c r="H141" s="608" t="s">
        <v>515</v>
      </c>
    </row>
    <row r="142" hidden="1">
      <c r="A142" s="512" t="s">
        <v>439</v>
      </c>
      <c r="B142" s="512" t="s">
        <v>449</v>
      </c>
      <c r="C142" s="616">
        <v>45673.0</v>
      </c>
      <c r="D142" s="512">
        <v>2.7662610835E10</v>
      </c>
      <c r="E142" s="606" t="s">
        <v>760</v>
      </c>
      <c r="F142" s="606" t="s">
        <v>598</v>
      </c>
      <c r="G142" s="606" t="s">
        <v>761</v>
      </c>
      <c r="H142" s="608" t="s">
        <v>585</v>
      </c>
    </row>
    <row r="143" hidden="1">
      <c r="A143" s="512" t="s">
        <v>439</v>
      </c>
      <c r="B143" s="512" t="s">
        <v>646</v>
      </c>
      <c r="C143" s="616">
        <v>45673.0</v>
      </c>
      <c r="D143" s="512">
        <v>2.7923677305E10</v>
      </c>
      <c r="E143" s="606" t="s">
        <v>762</v>
      </c>
      <c r="F143" s="606" t="s">
        <v>499</v>
      </c>
      <c r="G143" s="606" t="s">
        <v>763</v>
      </c>
      <c r="H143" s="608" t="s">
        <v>585</v>
      </c>
    </row>
    <row r="144" hidden="1">
      <c r="A144" s="512" t="s">
        <v>432</v>
      </c>
      <c r="B144" s="512" t="s">
        <v>669</v>
      </c>
      <c r="C144" s="616">
        <v>45673.0</v>
      </c>
      <c r="D144" s="512">
        <v>2.7597324436E10</v>
      </c>
      <c r="E144" s="606" t="s">
        <v>764</v>
      </c>
      <c r="F144" s="606" t="s">
        <v>436</v>
      </c>
      <c r="G144" s="606">
        <v>5924.0</v>
      </c>
      <c r="H144" s="608" t="s">
        <v>765</v>
      </c>
    </row>
    <row r="145" hidden="1">
      <c r="A145" s="512" t="s">
        <v>617</v>
      </c>
      <c r="B145" s="512" t="s">
        <v>669</v>
      </c>
      <c r="C145" s="616">
        <v>45676.0</v>
      </c>
      <c r="D145" s="512">
        <v>1.6019348783E10</v>
      </c>
      <c r="E145" s="617" t="s">
        <v>766</v>
      </c>
      <c r="F145" s="606" t="s">
        <v>436</v>
      </c>
      <c r="G145" s="606" t="s">
        <v>767</v>
      </c>
      <c r="H145" s="608" t="s">
        <v>623</v>
      </c>
    </row>
    <row r="146" hidden="1">
      <c r="A146" s="512" t="s">
        <v>439</v>
      </c>
      <c r="B146" s="512" t="s">
        <v>646</v>
      </c>
      <c r="C146" s="616">
        <v>45676.0</v>
      </c>
      <c r="D146" s="512">
        <v>2.2179183688E10</v>
      </c>
      <c r="E146" s="606" t="s">
        <v>768</v>
      </c>
      <c r="F146" s="606" t="s">
        <v>499</v>
      </c>
      <c r="G146" s="606" t="s">
        <v>769</v>
      </c>
      <c r="H146" s="608" t="s">
        <v>585</v>
      </c>
    </row>
    <row r="147" hidden="1">
      <c r="A147" s="512" t="s">
        <v>432</v>
      </c>
      <c r="B147" s="512" t="s">
        <v>449</v>
      </c>
      <c r="C147" s="616">
        <v>45678.0</v>
      </c>
      <c r="D147" s="512">
        <v>2.683585179E10</v>
      </c>
      <c r="E147" s="606" t="s">
        <v>770</v>
      </c>
      <c r="F147" s="606" t="s">
        <v>436</v>
      </c>
      <c r="G147" s="606" t="s">
        <v>771</v>
      </c>
      <c r="H147" s="608" t="s">
        <v>740</v>
      </c>
    </row>
    <row r="148" hidden="1">
      <c r="A148" s="512" t="s">
        <v>617</v>
      </c>
      <c r="B148" s="512" t="s">
        <v>449</v>
      </c>
      <c r="C148" s="616">
        <v>45678.0</v>
      </c>
      <c r="D148" s="512">
        <v>2.9499539333E10</v>
      </c>
      <c r="E148" s="617" t="s">
        <v>772</v>
      </c>
      <c r="F148" s="606" t="s">
        <v>436</v>
      </c>
      <c r="G148" s="606">
        <v>1427.0</v>
      </c>
      <c r="H148" s="608" t="s">
        <v>623</v>
      </c>
    </row>
    <row r="149" hidden="1">
      <c r="A149" s="512" t="s">
        <v>432</v>
      </c>
      <c r="B149" s="512" t="s">
        <v>449</v>
      </c>
      <c r="C149" s="616">
        <v>45678.0</v>
      </c>
      <c r="D149" s="512">
        <v>2.6002210659E10</v>
      </c>
      <c r="E149" s="606" t="s">
        <v>773</v>
      </c>
      <c r="F149" s="606" t="s">
        <v>499</v>
      </c>
      <c r="G149" s="606" t="s">
        <v>774</v>
      </c>
      <c r="H149" s="608" t="s">
        <v>740</v>
      </c>
    </row>
    <row r="150" hidden="1">
      <c r="A150" s="512" t="s">
        <v>432</v>
      </c>
      <c r="B150" s="512" t="s">
        <v>646</v>
      </c>
      <c r="C150" s="635">
        <v>45680.0</v>
      </c>
      <c r="D150" s="512">
        <v>2.8166897435E10</v>
      </c>
      <c r="E150" s="606" t="s">
        <v>775</v>
      </c>
      <c r="F150" s="606" t="s">
        <v>436</v>
      </c>
      <c r="G150" s="606" t="s">
        <v>776</v>
      </c>
      <c r="H150" s="608" t="s">
        <v>740</v>
      </c>
    </row>
    <row r="151" hidden="1">
      <c r="A151" s="512" t="s">
        <v>439</v>
      </c>
      <c r="B151" s="512" t="s">
        <v>449</v>
      </c>
      <c r="C151" s="616">
        <v>45680.0</v>
      </c>
      <c r="D151" s="512">
        <v>2.959373988E10</v>
      </c>
      <c r="E151" s="606" t="s">
        <v>777</v>
      </c>
      <c r="F151" s="606" t="s">
        <v>499</v>
      </c>
      <c r="G151" s="606" t="s">
        <v>778</v>
      </c>
      <c r="H151" s="608" t="s">
        <v>585</v>
      </c>
    </row>
    <row r="152" hidden="1">
      <c r="A152" s="512" t="s">
        <v>617</v>
      </c>
      <c r="B152" s="512" t="s">
        <v>449</v>
      </c>
      <c r="C152" s="616">
        <v>45680.0</v>
      </c>
      <c r="D152" s="512">
        <v>2.7798586689E10</v>
      </c>
      <c r="E152" s="606" t="s">
        <v>779</v>
      </c>
      <c r="F152" s="606" t="s">
        <v>436</v>
      </c>
      <c r="G152" s="606">
        <v>499.0</v>
      </c>
      <c r="H152" s="608" t="s">
        <v>699</v>
      </c>
    </row>
    <row r="153" hidden="1">
      <c r="A153" s="512" t="s">
        <v>439</v>
      </c>
      <c r="B153" s="512" t="s">
        <v>780</v>
      </c>
      <c r="C153" s="616">
        <v>45681.0</v>
      </c>
      <c r="D153" s="512">
        <v>2.7431135073E10</v>
      </c>
      <c r="E153" s="606" t="s">
        <v>781</v>
      </c>
      <c r="F153" s="606" t="s">
        <v>499</v>
      </c>
      <c r="G153" s="606" t="s">
        <v>782</v>
      </c>
      <c r="H153" s="608" t="s">
        <v>585</v>
      </c>
    </row>
    <row r="154" hidden="1">
      <c r="A154" s="512" t="s">
        <v>432</v>
      </c>
      <c r="B154" s="512" t="s">
        <v>449</v>
      </c>
      <c r="C154" s="616">
        <v>45682.0</v>
      </c>
      <c r="D154" s="512">
        <v>1.8460677144E10</v>
      </c>
      <c r="E154" s="617" t="s">
        <v>783</v>
      </c>
      <c r="F154" s="606" t="s">
        <v>436</v>
      </c>
      <c r="G154" s="606" t="s">
        <v>784</v>
      </c>
      <c r="H154" s="608" t="s">
        <v>452</v>
      </c>
    </row>
    <row r="155" hidden="1">
      <c r="A155" s="512" t="s">
        <v>432</v>
      </c>
      <c r="B155" s="512" t="s">
        <v>449</v>
      </c>
      <c r="C155" s="635">
        <v>45682.0</v>
      </c>
      <c r="D155" s="512">
        <v>2.6392471618E10</v>
      </c>
      <c r="E155" s="617" t="s">
        <v>785</v>
      </c>
      <c r="F155" s="606" t="s">
        <v>786</v>
      </c>
      <c r="G155" s="606" t="s">
        <v>787</v>
      </c>
      <c r="H155" s="608" t="s">
        <v>452</v>
      </c>
    </row>
    <row r="156" hidden="1">
      <c r="A156" s="512" t="s">
        <v>432</v>
      </c>
      <c r="B156" s="512" t="s">
        <v>449</v>
      </c>
      <c r="C156" s="616">
        <v>45682.0</v>
      </c>
      <c r="D156" s="512">
        <v>2.6425657597E10</v>
      </c>
      <c r="E156" s="617" t="s">
        <v>788</v>
      </c>
      <c r="F156" s="606" t="s">
        <v>436</v>
      </c>
      <c r="G156" s="606"/>
      <c r="H156" s="608" t="s">
        <v>452</v>
      </c>
    </row>
    <row r="157" hidden="1">
      <c r="A157" s="512" t="s">
        <v>432</v>
      </c>
      <c r="B157" s="512" t="s">
        <v>744</v>
      </c>
      <c r="C157" s="616">
        <v>45682.0</v>
      </c>
      <c r="D157" s="512">
        <v>2.7677964288E10</v>
      </c>
      <c r="E157" s="617" t="s">
        <v>789</v>
      </c>
      <c r="F157" s="606" t="s">
        <v>436</v>
      </c>
      <c r="G157" s="606" t="s">
        <v>790</v>
      </c>
      <c r="H157" s="608" t="s">
        <v>452</v>
      </c>
    </row>
    <row r="158" hidden="1">
      <c r="A158" s="512" t="s">
        <v>432</v>
      </c>
      <c r="B158" s="512" t="s">
        <v>449</v>
      </c>
      <c r="C158" s="616">
        <v>45683.0</v>
      </c>
      <c r="D158" s="512">
        <v>2.3540534897E10</v>
      </c>
      <c r="E158" s="617" t="s">
        <v>791</v>
      </c>
      <c r="F158" s="606" t="s">
        <v>436</v>
      </c>
      <c r="G158" s="606" t="s">
        <v>792</v>
      </c>
      <c r="H158" s="608" t="s">
        <v>452</v>
      </c>
    </row>
    <row r="159" hidden="1">
      <c r="A159" s="512" t="s">
        <v>432</v>
      </c>
      <c r="B159" s="512" t="s">
        <v>449</v>
      </c>
      <c r="C159" s="616">
        <v>45683.0</v>
      </c>
      <c r="D159" s="512">
        <v>2.9575635766E10</v>
      </c>
      <c r="E159" s="617" t="s">
        <v>793</v>
      </c>
      <c r="F159" s="606" t="s">
        <v>518</v>
      </c>
      <c r="G159" s="606" t="s">
        <v>792</v>
      </c>
      <c r="H159" s="608" t="s">
        <v>452</v>
      </c>
    </row>
    <row r="160" hidden="1">
      <c r="A160" s="512" t="s">
        <v>432</v>
      </c>
      <c r="B160" s="512" t="s">
        <v>449</v>
      </c>
      <c r="C160" s="616">
        <v>45683.0</v>
      </c>
      <c r="D160" s="512">
        <v>2.7846863531E10</v>
      </c>
      <c r="E160" s="617" t="s">
        <v>794</v>
      </c>
      <c r="F160" s="606" t="s">
        <v>436</v>
      </c>
      <c r="G160" s="606" t="s">
        <v>795</v>
      </c>
      <c r="H160" s="608" t="s">
        <v>452</v>
      </c>
    </row>
    <row r="161" hidden="1">
      <c r="A161" s="512" t="s">
        <v>439</v>
      </c>
      <c r="B161" s="512" t="s">
        <v>449</v>
      </c>
      <c r="C161" s="616">
        <v>45684.0</v>
      </c>
      <c r="D161" s="512">
        <v>2.781303282E10</v>
      </c>
      <c r="E161" s="606" t="s">
        <v>796</v>
      </c>
      <c r="F161" s="606" t="s">
        <v>436</v>
      </c>
      <c r="G161" s="606" t="s">
        <v>797</v>
      </c>
      <c r="H161" s="608" t="s">
        <v>740</v>
      </c>
    </row>
    <row r="162" hidden="1">
      <c r="A162" s="512" t="s">
        <v>439</v>
      </c>
      <c r="B162" s="512" t="s">
        <v>449</v>
      </c>
      <c r="C162" s="616">
        <v>45684.0</v>
      </c>
      <c r="D162" s="512">
        <v>2.8521966227E10</v>
      </c>
      <c r="E162" s="606" t="s">
        <v>798</v>
      </c>
      <c r="F162" s="606" t="s">
        <v>436</v>
      </c>
      <c r="G162" s="606" t="s">
        <v>799</v>
      </c>
      <c r="H162" s="608" t="s">
        <v>496</v>
      </c>
    </row>
    <row r="163" hidden="1">
      <c r="A163" s="512" t="s">
        <v>432</v>
      </c>
      <c r="B163" s="512" t="s">
        <v>497</v>
      </c>
      <c r="C163" s="616">
        <v>45684.0</v>
      </c>
      <c r="D163" s="512">
        <v>2.9674022535E10</v>
      </c>
      <c r="E163" s="617" t="s">
        <v>800</v>
      </c>
      <c r="F163" s="606" t="s">
        <v>518</v>
      </c>
      <c r="G163" s="606"/>
      <c r="H163" s="608" t="s">
        <v>452</v>
      </c>
    </row>
    <row r="164" hidden="1">
      <c r="A164" s="512" t="s">
        <v>617</v>
      </c>
      <c r="B164" s="512" t="s">
        <v>497</v>
      </c>
      <c r="C164" s="616">
        <v>45685.0</v>
      </c>
      <c r="D164" s="512">
        <v>2.7411480552E10</v>
      </c>
      <c r="E164" s="617" t="s">
        <v>801</v>
      </c>
      <c r="F164" s="606" t="s">
        <v>518</v>
      </c>
      <c r="G164" s="606" t="s">
        <v>802</v>
      </c>
      <c r="H164" s="608" t="s">
        <v>623</v>
      </c>
    </row>
    <row r="165" hidden="1">
      <c r="A165" s="512" t="s">
        <v>617</v>
      </c>
      <c r="B165" s="512" t="s">
        <v>497</v>
      </c>
      <c r="C165" s="616">
        <v>45685.0</v>
      </c>
      <c r="D165" s="512">
        <v>2.5998144164E10</v>
      </c>
      <c r="E165" s="606" t="s">
        <v>803</v>
      </c>
      <c r="F165" s="606" t="s">
        <v>518</v>
      </c>
      <c r="G165" s="606" t="s">
        <v>804</v>
      </c>
      <c r="H165" s="608" t="s">
        <v>623</v>
      </c>
    </row>
    <row r="166" hidden="1">
      <c r="A166" s="512" t="s">
        <v>432</v>
      </c>
      <c r="B166" s="512" t="s">
        <v>646</v>
      </c>
      <c r="C166" s="635">
        <v>45685.0</v>
      </c>
      <c r="D166" s="512">
        <v>2.859401912E10</v>
      </c>
      <c r="E166" s="606" t="s">
        <v>805</v>
      </c>
      <c r="F166" s="606" t="s">
        <v>436</v>
      </c>
      <c r="G166" s="606" t="s">
        <v>806</v>
      </c>
      <c r="H166" s="608" t="s">
        <v>807</v>
      </c>
    </row>
    <row r="167" hidden="1">
      <c r="A167" s="512" t="s">
        <v>432</v>
      </c>
      <c r="B167" s="512" t="s">
        <v>646</v>
      </c>
      <c r="C167" s="616">
        <v>45685.0</v>
      </c>
      <c r="D167" s="512">
        <v>2.5366263303E10</v>
      </c>
      <c r="E167" s="606" t="s">
        <v>808</v>
      </c>
      <c r="F167" s="606" t="s">
        <v>499</v>
      </c>
      <c r="G167" s="606" t="s">
        <v>809</v>
      </c>
      <c r="H167" s="608" t="s">
        <v>740</v>
      </c>
    </row>
    <row r="168" hidden="1">
      <c r="A168" s="512" t="s">
        <v>439</v>
      </c>
      <c r="B168" s="512" t="s">
        <v>810</v>
      </c>
      <c r="C168" s="616">
        <v>45686.0</v>
      </c>
      <c r="D168" s="512">
        <v>2.4901186214E10</v>
      </c>
      <c r="E168" s="606" t="s">
        <v>811</v>
      </c>
      <c r="F168" s="606" t="s">
        <v>436</v>
      </c>
      <c r="G168" s="606" t="s">
        <v>812</v>
      </c>
      <c r="H168" s="608" t="s">
        <v>740</v>
      </c>
    </row>
    <row r="169" hidden="1">
      <c r="A169" s="512" t="s">
        <v>439</v>
      </c>
      <c r="B169" s="512" t="s">
        <v>449</v>
      </c>
      <c r="C169" s="616">
        <v>45686.0</v>
      </c>
      <c r="D169" s="512">
        <v>2.6083773412E10</v>
      </c>
      <c r="E169" s="606" t="s">
        <v>813</v>
      </c>
      <c r="F169" s="606" t="s">
        <v>436</v>
      </c>
      <c r="G169" s="606" t="s">
        <v>814</v>
      </c>
      <c r="H169" s="608" t="s">
        <v>740</v>
      </c>
    </row>
    <row r="170" hidden="1">
      <c r="A170" s="512" t="s">
        <v>617</v>
      </c>
      <c r="B170" s="512" t="s">
        <v>449</v>
      </c>
      <c r="C170" s="616">
        <v>45687.0</v>
      </c>
      <c r="D170" s="512">
        <v>2.9595461744E10</v>
      </c>
      <c r="E170" s="617" t="s">
        <v>815</v>
      </c>
      <c r="F170" s="606" t="s">
        <v>436</v>
      </c>
      <c r="G170" s="606" t="s">
        <v>816</v>
      </c>
      <c r="H170" s="608" t="s">
        <v>623</v>
      </c>
    </row>
    <row r="171" hidden="1">
      <c r="A171" s="512" t="s">
        <v>617</v>
      </c>
      <c r="B171" s="512" t="s">
        <v>817</v>
      </c>
      <c r="C171" s="616">
        <v>45688.0</v>
      </c>
      <c r="D171" s="512">
        <v>2.2178427154E10</v>
      </c>
      <c r="E171" s="606" t="s">
        <v>818</v>
      </c>
      <c r="F171" s="606" t="s">
        <v>436</v>
      </c>
      <c r="G171" s="606" t="s">
        <v>819</v>
      </c>
      <c r="H171" s="608" t="s">
        <v>820</v>
      </c>
    </row>
    <row r="172" hidden="1">
      <c r="A172" s="512" t="s">
        <v>617</v>
      </c>
      <c r="B172" s="512" t="s">
        <v>817</v>
      </c>
      <c r="C172" s="616">
        <v>45688.0</v>
      </c>
      <c r="D172" s="512">
        <v>2.4257933272E10</v>
      </c>
      <c r="E172" s="606" t="s">
        <v>821</v>
      </c>
      <c r="F172" s="606" t="s">
        <v>436</v>
      </c>
      <c r="G172" s="606" t="s">
        <v>822</v>
      </c>
      <c r="H172" s="608" t="s">
        <v>699</v>
      </c>
    </row>
    <row r="173">
      <c r="A173" s="512" t="s">
        <v>823</v>
      </c>
      <c r="B173" s="512" t="s">
        <v>449</v>
      </c>
      <c r="C173" s="618">
        <v>45666.0</v>
      </c>
      <c r="D173" s="546">
        <v>3.7029849649E10</v>
      </c>
      <c r="E173" s="619" t="s">
        <v>824</v>
      </c>
      <c r="F173" s="633" t="s">
        <v>436</v>
      </c>
      <c r="G173" s="619" t="s">
        <v>825</v>
      </c>
      <c r="H173" s="629" t="s">
        <v>693</v>
      </c>
    </row>
    <row r="174" hidden="1" collapsed="1">
      <c r="A174" s="512" t="s">
        <v>432</v>
      </c>
      <c r="B174" s="512" t="s">
        <v>449</v>
      </c>
      <c r="C174" s="616">
        <v>45689.0</v>
      </c>
      <c r="D174" s="512">
        <v>2.6461576254E10</v>
      </c>
      <c r="E174" s="617" t="s">
        <v>826</v>
      </c>
      <c r="F174" s="606" t="s">
        <v>436</v>
      </c>
      <c r="G174" s="606" t="s">
        <v>827</v>
      </c>
      <c r="H174" s="608" t="s">
        <v>452</v>
      </c>
    </row>
    <row r="175" hidden="1" outlineLevel="1">
      <c r="A175" s="512" t="s">
        <v>617</v>
      </c>
      <c r="B175" s="512" t="s">
        <v>449</v>
      </c>
      <c r="C175" s="616">
        <v>45689.0</v>
      </c>
      <c r="D175" s="512">
        <v>2.8185478426E10</v>
      </c>
      <c r="E175" s="617" t="s">
        <v>828</v>
      </c>
      <c r="F175" s="606" t="s">
        <v>436</v>
      </c>
      <c r="G175" s="606" t="s">
        <v>829</v>
      </c>
      <c r="H175" s="608" t="s">
        <v>830</v>
      </c>
    </row>
    <row r="176" hidden="1">
      <c r="A176" s="512" t="s">
        <v>617</v>
      </c>
      <c r="B176" s="512" t="s">
        <v>449</v>
      </c>
      <c r="C176" s="616">
        <v>45690.0</v>
      </c>
      <c r="D176" s="512">
        <v>2.809948174E10</v>
      </c>
      <c r="E176" s="617" t="s">
        <v>831</v>
      </c>
      <c r="F176" s="606" t="s">
        <v>436</v>
      </c>
      <c r="G176" s="606" t="s">
        <v>832</v>
      </c>
      <c r="H176" s="608" t="s">
        <v>623</v>
      </c>
    </row>
    <row r="177" hidden="1">
      <c r="A177" s="512" t="s">
        <v>617</v>
      </c>
      <c r="B177" s="512" t="s">
        <v>449</v>
      </c>
      <c r="C177" s="616">
        <v>45690.0</v>
      </c>
      <c r="D177" s="512">
        <v>3.0053315492E10</v>
      </c>
      <c r="E177" s="617" t="s">
        <v>833</v>
      </c>
      <c r="F177" s="606" t="s">
        <v>436</v>
      </c>
      <c r="G177" s="606" t="s">
        <v>834</v>
      </c>
      <c r="H177" s="608" t="s">
        <v>623</v>
      </c>
    </row>
    <row r="178" hidden="1">
      <c r="A178" s="512" t="s">
        <v>432</v>
      </c>
      <c r="B178" s="512" t="s">
        <v>646</v>
      </c>
      <c r="C178" s="616">
        <v>45690.0</v>
      </c>
      <c r="D178" s="512">
        <v>2.6499819244E10</v>
      </c>
      <c r="E178" s="606" t="s">
        <v>835</v>
      </c>
      <c r="F178" s="606" t="s">
        <v>436</v>
      </c>
      <c r="G178" s="606" t="s">
        <v>836</v>
      </c>
      <c r="H178" s="608" t="s">
        <v>740</v>
      </c>
    </row>
    <row r="179" hidden="1">
      <c r="A179" s="512" t="s">
        <v>432</v>
      </c>
      <c r="B179" s="512" t="s">
        <v>646</v>
      </c>
      <c r="C179" s="605">
        <v>45690.0</v>
      </c>
      <c r="D179" s="512">
        <v>2.4191388144E10</v>
      </c>
      <c r="E179" s="606" t="s">
        <v>837</v>
      </c>
      <c r="F179" s="606" t="s">
        <v>499</v>
      </c>
      <c r="G179" s="606" t="s">
        <v>838</v>
      </c>
      <c r="H179" s="608" t="s">
        <v>740</v>
      </c>
    </row>
    <row r="180" hidden="1">
      <c r="A180" s="512" t="s">
        <v>439</v>
      </c>
      <c r="B180" s="512" t="s">
        <v>839</v>
      </c>
      <c r="C180" s="616">
        <v>45690.0</v>
      </c>
      <c r="D180" s="636">
        <v>2.5407913494E10</v>
      </c>
      <c r="E180" s="606" t="s">
        <v>840</v>
      </c>
      <c r="F180" s="606" t="s">
        <v>436</v>
      </c>
      <c r="G180" s="606" t="s">
        <v>841</v>
      </c>
      <c r="H180" s="608" t="s">
        <v>515</v>
      </c>
    </row>
    <row r="181" hidden="1">
      <c r="A181" s="512" t="s">
        <v>432</v>
      </c>
      <c r="B181" s="512" t="s">
        <v>842</v>
      </c>
      <c r="C181" s="605">
        <v>45691.0</v>
      </c>
      <c r="D181" s="512">
        <v>2.859533918E10</v>
      </c>
      <c r="E181" s="606" t="s">
        <v>843</v>
      </c>
      <c r="F181" s="606" t="s">
        <v>499</v>
      </c>
      <c r="G181" s="606" t="s">
        <v>844</v>
      </c>
      <c r="H181" s="608" t="s">
        <v>496</v>
      </c>
    </row>
    <row r="182" hidden="1">
      <c r="A182" s="512" t="s">
        <v>432</v>
      </c>
      <c r="B182" s="512" t="s">
        <v>646</v>
      </c>
      <c r="C182" s="605">
        <v>45691.0</v>
      </c>
      <c r="D182" s="512">
        <v>2.7495805418E10</v>
      </c>
      <c r="E182" s="606" t="s">
        <v>845</v>
      </c>
      <c r="F182" s="606" t="s">
        <v>436</v>
      </c>
      <c r="G182" s="606" t="s">
        <v>846</v>
      </c>
      <c r="H182" s="608" t="s">
        <v>740</v>
      </c>
    </row>
    <row r="183" hidden="1">
      <c r="A183" s="512" t="s">
        <v>617</v>
      </c>
      <c r="B183" s="512" t="s">
        <v>646</v>
      </c>
      <c r="C183" s="605">
        <v>45691.0</v>
      </c>
      <c r="D183" s="512">
        <v>2.5161510502E10</v>
      </c>
      <c r="E183" s="617" t="s">
        <v>847</v>
      </c>
      <c r="F183" s="606" t="s">
        <v>436</v>
      </c>
      <c r="G183" s="606" t="s">
        <v>750</v>
      </c>
      <c r="H183" s="608" t="s">
        <v>623</v>
      </c>
    </row>
    <row r="184" hidden="1">
      <c r="A184" s="512" t="s">
        <v>439</v>
      </c>
      <c r="B184" s="512" t="s">
        <v>606</v>
      </c>
      <c r="C184" s="605">
        <v>45693.0</v>
      </c>
      <c r="D184" s="512">
        <v>2.4611829968E10</v>
      </c>
      <c r="E184" s="606" t="s">
        <v>848</v>
      </c>
      <c r="F184" s="606" t="s">
        <v>436</v>
      </c>
      <c r="G184" s="606" t="s">
        <v>849</v>
      </c>
      <c r="H184" s="608" t="s">
        <v>850</v>
      </c>
    </row>
    <row r="185" hidden="1">
      <c r="A185" s="512" t="s">
        <v>439</v>
      </c>
      <c r="B185" s="512" t="s">
        <v>646</v>
      </c>
      <c r="C185" s="605">
        <v>45693.0</v>
      </c>
      <c r="D185" s="512">
        <v>6.130653471E9</v>
      </c>
      <c r="E185" s="606" t="s">
        <v>851</v>
      </c>
      <c r="F185" s="606" t="s">
        <v>436</v>
      </c>
      <c r="G185" s="606" t="s">
        <v>852</v>
      </c>
      <c r="H185" s="608" t="s">
        <v>850</v>
      </c>
    </row>
    <row r="186" hidden="1">
      <c r="A186" s="512" t="s">
        <v>432</v>
      </c>
      <c r="B186" s="512" t="s">
        <v>853</v>
      </c>
      <c r="C186" s="605">
        <v>45694.0</v>
      </c>
      <c r="D186" s="512">
        <v>3.0037673599E10</v>
      </c>
      <c r="E186" s="606" t="s">
        <v>854</v>
      </c>
      <c r="F186" s="606" t="s">
        <v>499</v>
      </c>
      <c r="G186" s="606" t="s">
        <v>855</v>
      </c>
      <c r="H186" s="608" t="s">
        <v>740</v>
      </c>
    </row>
    <row r="187" hidden="1">
      <c r="A187" s="512" t="s">
        <v>439</v>
      </c>
      <c r="B187" s="512" t="s">
        <v>853</v>
      </c>
      <c r="C187" s="605">
        <v>45694.0</v>
      </c>
      <c r="D187" s="512">
        <v>3.019906407E10</v>
      </c>
      <c r="E187" s="617" t="s">
        <v>856</v>
      </c>
      <c r="F187" s="606" t="s">
        <v>499</v>
      </c>
      <c r="G187" s="637" t="s">
        <v>857</v>
      </c>
      <c r="H187" s="608" t="s">
        <v>850</v>
      </c>
    </row>
    <row r="188" hidden="1">
      <c r="A188" s="512" t="s">
        <v>432</v>
      </c>
      <c r="B188" s="512" t="s">
        <v>460</v>
      </c>
      <c r="C188" s="605">
        <v>45694.0</v>
      </c>
      <c r="D188" s="512">
        <v>2.8541128642E10</v>
      </c>
      <c r="E188" s="606" t="s">
        <v>858</v>
      </c>
      <c r="F188" s="606" t="s">
        <v>436</v>
      </c>
      <c r="G188" s="606" t="s">
        <v>859</v>
      </c>
      <c r="H188" s="608" t="s">
        <v>740</v>
      </c>
    </row>
    <row r="189" hidden="1">
      <c r="A189" s="512" t="s">
        <v>432</v>
      </c>
      <c r="B189" s="512" t="s">
        <v>460</v>
      </c>
      <c r="C189" s="605">
        <v>45694.0</v>
      </c>
      <c r="D189" s="512">
        <v>2.8541128644E10</v>
      </c>
      <c r="E189" s="606" t="s">
        <v>860</v>
      </c>
      <c r="F189" s="606" t="s">
        <v>436</v>
      </c>
      <c r="G189" s="606" t="s">
        <v>859</v>
      </c>
      <c r="H189" s="608" t="s">
        <v>740</v>
      </c>
    </row>
    <row r="190" hidden="1">
      <c r="A190" s="512" t="s">
        <v>432</v>
      </c>
      <c r="B190" s="512" t="s">
        <v>646</v>
      </c>
      <c r="C190" s="626">
        <v>45694.0</v>
      </c>
      <c r="D190" s="512">
        <v>2.0721511978E10</v>
      </c>
      <c r="E190" s="606" t="s">
        <v>861</v>
      </c>
      <c r="F190" s="606" t="s">
        <v>436</v>
      </c>
      <c r="G190" s="606" t="s">
        <v>862</v>
      </c>
      <c r="H190" s="608" t="s">
        <v>740</v>
      </c>
    </row>
    <row r="191" hidden="1">
      <c r="A191" s="512" t="s">
        <v>432</v>
      </c>
      <c r="B191" s="512" t="s">
        <v>646</v>
      </c>
      <c r="C191" s="605">
        <v>45694.0</v>
      </c>
      <c r="D191" s="512">
        <v>2.5357400973E10</v>
      </c>
      <c r="E191" s="606" t="s">
        <v>863</v>
      </c>
      <c r="F191" s="606" t="s">
        <v>436</v>
      </c>
      <c r="G191" s="606" t="s">
        <v>864</v>
      </c>
      <c r="H191" s="608" t="s">
        <v>740</v>
      </c>
    </row>
    <row r="192" hidden="1">
      <c r="A192" s="512" t="s">
        <v>432</v>
      </c>
      <c r="B192" s="512" t="s">
        <v>646</v>
      </c>
      <c r="C192" s="605">
        <v>45694.0</v>
      </c>
      <c r="D192" s="512">
        <v>2.8259861144E10</v>
      </c>
      <c r="E192" s="606" t="s">
        <v>865</v>
      </c>
      <c r="F192" s="606" t="s">
        <v>436</v>
      </c>
      <c r="G192" s="606" t="s">
        <v>866</v>
      </c>
      <c r="H192" s="608" t="s">
        <v>740</v>
      </c>
    </row>
    <row r="193" hidden="1">
      <c r="A193" s="512" t="s">
        <v>432</v>
      </c>
      <c r="B193" s="512" t="s">
        <v>646</v>
      </c>
      <c r="C193" s="605">
        <v>45694.0</v>
      </c>
      <c r="D193" s="512">
        <v>2.9763993204E10</v>
      </c>
      <c r="E193" s="606" t="s">
        <v>867</v>
      </c>
      <c r="F193" s="606" t="s">
        <v>499</v>
      </c>
      <c r="G193" s="606" t="s">
        <v>868</v>
      </c>
      <c r="H193" s="608" t="s">
        <v>740</v>
      </c>
    </row>
    <row r="194" hidden="1">
      <c r="A194" s="512" t="s">
        <v>432</v>
      </c>
      <c r="B194" s="512" t="s">
        <v>646</v>
      </c>
      <c r="C194" s="605">
        <v>45694.0</v>
      </c>
      <c r="D194" s="512">
        <v>2.599493606E10</v>
      </c>
      <c r="E194" s="606" t="s">
        <v>869</v>
      </c>
      <c r="F194" s="606" t="s">
        <v>499</v>
      </c>
      <c r="G194" s="606" t="s">
        <v>870</v>
      </c>
      <c r="H194" s="608" t="s">
        <v>740</v>
      </c>
    </row>
    <row r="195" hidden="1">
      <c r="A195" s="512" t="s">
        <v>617</v>
      </c>
      <c r="B195" s="512" t="s">
        <v>646</v>
      </c>
      <c r="C195" s="605">
        <v>45694.0</v>
      </c>
      <c r="D195" s="512">
        <v>2.6722374497E10</v>
      </c>
      <c r="E195" s="617" t="s">
        <v>871</v>
      </c>
      <c r="F195" s="606" t="s">
        <v>499</v>
      </c>
      <c r="G195" s="606" t="s">
        <v>872</v>
      </c>
      <c r="H195" s="608" t="s">
        <v>830</v>
      </c>
    </row>
    <row r="196" hidden="1">
      <c r="A196" s="512" t="s">
        <v>617</v>
      </c>
      <c r="B196" s="512" t="s">
        <v>449</v>
      </c>
      <c r="C196" s="605">
        <v>45695.0</v>
      </c>
      <c r="D196" s="512">
        <v>2.7005221562E10</v>
      </c>
      <c r="E196" s="606" t="s">
        <v>873</v>
      </c>
      <c r="F196" s="606" t="s">
        <v>436</v>
      </c>
      <c r="G196" s="606" t="s">
        <v>874</v>
      </c>
      <c r="H196" s="608" t="s">
        <v>699</v>
      </c>
    </row>
    <row r="197" hidden="1">
      <c r="A197" s="512" t="s">
        <v>617</v>
      </c>
      <c r="B197" s="512" t="s">
        <v>449</v>
      </c>
      <c r="C197" s="605">
        <v>45695.0</v>
      </c>
      <c r="D197" s="512"/>
      <c r="E197" s="606" t="s">
        <v>875</v>
      </c>
      <c r="F197" s="606" t="s">
        <v>436</v>
      </c>
      <c r="G197" s="606" t="s">
        <v>876</v>
      </c>
      <c r="H197" s="608" t="s">
        <v>699</v>
      </c>
    </row>
    <row r="198" hidden="1">
      <c r="A198" s="512" t="s">
        <v>439</v>
      </c>
      <c r="B198" s="512" t="s">
        <v>449</v>
      </c>
      <c r="C198" s="626">
        <v>45695.0</v>
      </c>
      <c r="D198" s="512">
        <v>2.4611829969E10</v>
      </c>
      <c r="E198" s="606" t="s">
        <v>877</v>
      </c>
      <c r="F198" s="606" t="s">
        <v>436</v>
      </c>
      <c r="G198" s="606" t="s">
        <v>878</v>
      </c>
      <c r="H198" s="608" t="s">
        <v>515</v>
      </c>
    </row>
    <row r="199" hidden="1">
      <c r="A199" s="512" t="s">
        <v>432</v>
      </c>
      <c r="B199" s="512" t="s">
        <v>646</v>
      </c>
      <c r="C199" s="605">
        <v>45696.0</v>
      </c>
      <c r="D199" s="512">
        <v>3.0285855835E10</v>
      </c>
      <c r="E199" s="606" t="s">
        <v>879</v>
      </c>
      <c r="F199" s="606" t="s">
        <v>499</v>
      </c>
      <c r="G199" s="606" t="s">
        <v>880</v>
      </c>
      <c r="H199" s="608" t="s">
        <v>740</v>
      </c>
    </row>
    <row r="200" hidden="1">
      <c r="A200" s="512" t="s">
        <v>432</v>
      </c>
      <c r="B200" s="512" t="s">
        <v>646</v>
      </c>
      <c r="C200" s="605">
        <v>45696.0</v>
      </c>
      <c r="D200" s="512">
        <v>2.7441381414E10</v>
      </c>
      <c r="E200" s="606" t="s">
        <v>881</v>
      </c>
      <c r="F200" s="606" t="s">
        <v>499</v>
      </c>
      <c r="G200" s="606" t="s">
        <v>882</v>
      </c>
      <c r="H200" s="608" t="s">
        <v>740</v>
      </c>
    </row>
    <row r="201" hidden="1">
      <c r="A201" s="512" t="s">
        <v>432</v>
      </c>
      <c r="B201" s="512" t="s">
        <v>883</v>
      </c>
      <c r="C201" s="605">
        <v>45696.0</v>
      </c>
      <c r="D201" s="512">
        <v>2.2530108037E10</v>
      </c>
      <c r="E201" s="606" t="s">
        <v>884</v>
      </c>
      <c r="F201" s="606" t="s">
        <v>499</v>
      </c>
      <c r="G201" s="606" t="s">
        <v>885</v>
      </c>
      <c r="H201" s="608" t="s">
        <v>740</v>
      </c>
    </row>
    <row r="202" hidden="1">
      <c r="A202" s="512" t="s">
        <v>432</v>
      </c>
      <c r="B202" s="512" t="s">
        <v>886</v>
      </c>
      <c r="C202" s="605">
        <v>45696.0</v>
      </c>
      <c r="D202" s="512">
        <v>2.7753923133E10</v>
      </c>
      <c r="E202" s="606" t="s">
        <v>887</v>
      </c>
      <c r="F202" s="606" t="s">
        <v>499</v>
      </c>
      <c r="G202" s="606" t="s">
        <v>888</v>
      </c>
      <c r="H202" s="608" t="s">
        <v>740</v>
      </c>
    </row>
    <row r="203" hidden="1">
      <c r="A203" s="512" t="s">
        <v>432</v>
      </c>
      <c r="B203" s="512" t="s">
        <v>853</v>
      </c>
      <c r="C203" s="605">
        <v>45696.0</v>
      </c>
      <c r="D203" s="512">
        <v>2.7813274213E10</v>
      </c>
      <c r="E203" s="606" t="s">
        <v>889</v>
      </c>
      <c r="F203" s="606" t="s">
        <v>436</v>
      </c>
      <c r="G203" s="606" t="s">
        <v>890</v>
      </c>
      <c r="H203" s="608" t="s">
        <v>740</v>
      </c>
    </row>
    <row r="204" hidden="1">
      <c r="A204" s="512" t="s">
        <v>432</v>
      </c>
      <c r="B204" s="512" t="s">
        <v>646</v>
      </c>
      <c r="C204" s="605">
        <v>45696.0</v>
      </c>
      <c r="D204" s="512">
        <v>2.9763993248E10</v>
      </c>
      <c r="E204" s="606" t="s">
        <v>867</v>
      </c>
      <c r="F204" s="606" t="s">
        <v>499</v>
      </c>
      <c r="G204" s="606" t="s">
        <v>868</v>
      </c>
      <c r="H204" s="608" t="s">
        <v>740</v>
      </c>
    </row>
    <row r="205" hidden="1">
      <c r="A205" s="512" t="s">
        <v>439</v>
      </c>
      <c r="B205" s="512" t="s">
        <v>449</v>
      </c>
      <c r="C205" s="605">
        <v>45696.0</v>
      </c>
      <c r="D205" s="512">
        <v>3.0213115913E10</v>
      </c>
      <c r="E205" s="606" t="s">
        <v>891</v>
      </c>
      <c r="F205" s="606" t="s">
        <v>436</v>
      </c>
      <c r="G205" s="606" t="s">
        <v>892</v>
      </c>
      <c r="H205" s="608" t="s">
        <v>515</v>
      </c>
    </row>
    <row r="206" hidden="1">
      <c r="A206" s="512" t="s">
        <v>432</v>
      </c>
      <c r="B206" s="512" t="s">
        <v>646</v>
      </c>
      <c r="C206" s="605">
        <v>45696.0</v>
      </c>
      <c r="D206" s="512">
        <v>2.5103246722E10</v>
      </c>
      <c r="E206" s="606" t="s">
        <v>893</v>
      </c>
      <c r="F206" s="606" t="s">
        <v>499</v>
      </c>
      <c r="G206" s="606" t="s">
        <v>894</v>
      </c>
      <c r="H206" s="608" t="s">
        <v>740</v>
      </c>
    </row>
    <row r="207" hidden="1">
      <c r="A207" s="512" t="s">
        <v>617</v>
      </c>
      <c r="B207" s="512" t="s">
        <v>646</v>
      </c>
      <c r="C207" s="605">
        <v>45697.0</v>
      </c>
      <c r="D207" s="512">
        <v>2.4609713202E10</v>
      </c>
      <c r="E207" s="617" t="s">
        <v>895</v>
      </c>
      <c r="F207" s="606" t="s">
        <v>499</v>
      </c>
      <c r="G207" s="606" t="s">
        <v>896</v>
      </c>
      <c r="H207" s="608" t="s">
        <v>623</v>
      </c>
    </row>
    <row r="208" hidden="1">
      <c r="A208" s="512" t="s">
        <v>439</v>
      </c>
      <c r="B208" s="512" t="s">
        <v>449</v>
      </c>
      <c r="C208" s="605">
        <v>45697.0</v>
      </c>
      <c r="D208" s="512">
        <v>2.8132805273E10</v>
      </c>
      <c r="E208" s="606" t="s">
        <v>897</v>
      </c>
      <c r="F208" s="606" t="s">
        <v>436</v>
      </c>
      <c r="G208" s="606" t="s">
        <v>482</v>
      </c>
      <c r="H208" s="608" t="s">
        <v>515</v>
      </c>
    </row>
    <row r="209" hidden="1">
      <c r="A209" s="512" t="s">
        <v>439</v>
      </c>
      <c r="B209" s="512" t="s">
        <v>449</v>
      </c>
      <c r="C209" s="605">
        <v>45699.0</v>
      </c>
      <c r="D209" s="512">
        <v>2.7336514783E10</v>
      </c>
      <c r="E209" s="617" t="s">
        <v>898</v>
      </c>
      <c r="F209" s="606" t="s">
        <v>436</v>
      </c>
      <c r="G209" s="606" t="s">
        <v>656</v>
      </c>
      <c r="H209" s="608" t="s">
        <v>850</v>
      </c>
    </row>
    <row r="210" hidden="1">
      <c r="A210" s="512" t="s">
        <v>432</v>
      </c>
      <c r="B210" s="512" t="s">
        <v>449</v>
      </c>
      <c r="C210" s="616">
        <v>45699.0</v>
      </c>
      <c r="D210" s="512">
        <v>2.5891167689E10</v>
      </c>
      <c r="E210" s="606" t="s">
        <v>899</v>
      </c>
      <c r="F210" s="606" t="s">
        <v>499</v>
      </c>
      <c r="G210" s="606" t="s">
        <v>900</v>
      </c>
      <c r="H210" s="608" t="s">
        <v>901</v>
      </c>
    </row>
    <row r="211" hidden="1">
      <c r="A211" s="512" t="s">
        <v>432</v>
      </c>
      <c r="B211" s="512" t="s">
        <v>449</v>
      </c>
      <c r="C211" s="616">
        <v>45699.0</v>
      </c>
      <c r="D211" s="512">
        <v>2.979305218E10</v>
      </c>
      <c r="E211" s="606" t="s">
        <v>902</v>
      </c>
      <c r="F211" s="606" t="s">
        <v>499</v>
      </c>
      <c r="G211" s="606" t="s">
        <v>903</v>
      </c>
      <c r="H211" s="608" t="s">
        <v>901</v>
      </c>
    </row>
    <row r="212" hidden="1">
      <c r="A212" s="512" t="s">
        <v>432</v>
      </c>
      <c r="B212" s="512" t="s">
        <v>904</v>
      </c>
      <c r="C212" s="605">
        <v>45700.0</v>
      </c>
      <c r="D212" s="512">
        <v>2.7858271662E10</v>
      </c>
      <c r="E212" s="606" t="s">
        <v>905</v>
      </c>
      <c r="F212" s="606" t="s">
        <v>436</v>
      </c>
      <c r="G212" s="606" t="s">
        <v>906</v>
      </c>
      <c r="H212" s="608" t="s">
        <v>740</v>
      </c>
    </row>
    <row r="213" hidden="1">
      <c r="A213" s="512" t="s">
        <v>432</v>
      </c>
      <c r="B213" s="512" t="s">
        <v>646</v>
      </c>
      <c r="C213" s="616">
        <v>45700.0</v>
      </c>
      <c r="D213" s="512">
        <v>2.3464879538E10</v>
      </c>
      <c r="E213" s="606" t="s">
        <v>907</v>
      </c>
      <c r="F213" s="606" t="s">
        <v>499</v>
      </c>
      <c r="G213" s="606" t="s">
        <v>908</v>
      </c>
      <c r="H213" s="608" t="s">
        <v>740</v>
      </c>
    </row>
    <row r="214" hidden="1">
      <c r="A214" s="512" t="s">
        <v>432</v>
      </c>
      <c r="B214" s="512" t="s">
        <v>646</v>
      </c>
      <c r="C214" s="616">
        <v>45701.0</v>
      </c>
      <c r="D214" s="512">
        <v>2.8884759153E10</v>
      </c>
      <c r="E214" s="606" t="s">
        <v>909</v>
      </c>
      <c r="F214" s="606" t="s">
        <v>499</v>
      </c>
      <c r="G214" s="606" t="s">
        <v>910</v>
      </c>
      <c r="H214" s="608" t="s">
        <v>740</v>
      </c>
    </row>
    <row r="215" hidden="1">
      <c r="A215" s="512" t="s">
        <v>432</v>
      </c>
      <c r="B215" s="512" t="s">
        <v>911</v>
      </c>
      <c r="C215" s="616">
        <v>45701.0</v>
      </c>
      <c r="D215" s="512">
        <v>2.9216393676E10</v>
      </c>
      <c r="E215" s="606" t="s">
        <v>912</v>
      </c>
      <c r="F215" s="606" t="s">
        <v>436</v>
      </c>
      <c r="G215" s="606" t="s">
        <v>913</v>
      </c>
      <c r="H215" s="608" t="s">
        <v>740</v>
      </c>
    </row>
    <row r="216" hidden="1">
      <c r="A216" s="512" t="s">
        <v>432</v>
      </c>
      <c r="B216" s="512" t="s">
        <v>449</v>
      </c>
      <c r="C216" s="616">
        <v>45701.0</v>
      </c>
      <c r="D216" s="512">
        <v>9.8883249671E10</v>
      </c>
      <c r="E216" s="606" t="s">
        <v>914</v>
      </c>
      <c r="F216" s="606" t="s">
        <v>436</v>
      </c>
      <c r="G216" s="606" t="s">
        <v>915</v>
      </c>
      <c r="H216" s="608" t="s">
        <v>496</v>
      </c>
    </row>
    <row r="217" hidden="1">
      <c r="A217" s="512" t="s">
        <v>617</v>
      </c>
      <c r="B217" s="512" t="s">
        <v>449</v>
      </c>
      <c r="C217" s="616">
        <v>45701.0</v>
      </c>
      <c r="D217" s="512">
        <v>2.4354241453E10</v>
      </c>
      <c r="E217" s="617" t="s">
        <v>916</v>
      </c>
      <c r="F217" s="606" t="s">
        <v>436</v>
      </c>
      <c r="G217" s="606">
        <v>557.0</v>
      </c>
      <c r="H217" s="608" t="s">
        <v>623</v>
      </c>
    </row>
    <row r="218" hidden="1">
      <c r="A218" s="512" t="s">
        <v>617</v>
      </c>
      <c r="B218" s="512" t="s">
        <v>449</v>
      </c>
      <c r="C218" s="616">
        <v>45701.0</v>
      </c>
      <c r="D218" s="512">
        <v>2.8312696997E10</v>
      </c>
      <c r="E218" s="617" t="s">
        <v>917</v>
      </c>
      <c r="F218" s="606" t="s">
        <v>436</v>
      </c>
      <c r="G218" s="606">
        <v>8043.0</v>
      </c>
      <c r="H218" s="608" t="s">
        <v>623</v>
      </c>
    </row>
    <row r="219" hidden="1">
      <c r="A219" s="512" t="s">
        <v>439</v>
      </c>
      <c r="B219" s="512" t="s">
        <v>449</v>
      </c>
      <c r="C219" s="616">
        <v>45701.0</v>
      </c>
      <c r="D219" s="512">
        <v>3.0458855768E10</v>
      </c>
      <c r="E219" s="617" t="s">
        <v>918</v>
      </c>
      <c r="F219" s="606" t="s">
        <v>436</v>
      </c>
      <c r="G219" s="606" t="s">
        <v>919</v>
      </c>
      <c r="H219" s="608" t="s">
        <v>850</v>
      </c>
    </row>
    <row r="220" hidden="1">
      <c r="A220" s="512" t="s">
        <v>432</v>
      </c>
      <c r="B220" s="512" t="s">
        <v>449</v>
      </c>
      <c r="C220" s="616">
        <v>45701.0</v>
      </c>
      <c r="D220" s="512">
        <v>3.0280704286E10</v>
      </c>
      <c r="E220" s="606" t="s">
        <v>920</v>
      </c>
      <c r="F220" s="606" t="s">
        <v>921</v>
      </c>
      <c r="G220" s="606" t="s">
        <v>910</v>
      </c>
      <c r="H220" s="608" t="s">
        <v>496</v>
      </c>
    </row>
    <row r="221" hidden="1">
      <c r="A221" s="512" t="s">
        <v>432</v>
      </c>
      <c r="B221" s="512" t="s">
        <v>646</v>
      </c>
      <c r="C221" s="635">
        <v>45701.0</v>
      </c>
      <c r="D221" s="512">
        <v>2.7693996151E10</v>
      </c>
      <c r="E221" s="606" t="s">
        <v>922</v>
      </c>
      <c r="F221" s="606" t="s">
        <v>499</v>
      </c>
      <c r="G221" s="606" t="s">
        <v>923</v>
      </c>
      <c r="H221" s="608" t="s">
        <v>740</v>
      </c>
    </row>
    <row r="222" hidden="1">
      <c r="A222" s="512" t="s">
        <v>432</v>
      </c>
      <c r="B222" s="512" t="s">
        <v>449</v>
      </c>
      <c r="C222" s="616">
        <v>45701.0</v>
      </c>
      <c r="D222" s="512">
        <v>3.0557097611E10</v>
      </c>
      <c r="E222" s="606" t="s">
        <v>924</v>
      </c>
      <c r="F222" s="606" t="s">
        <v>436</v>
      </c>
      <c r="G222" s="606" t="s">
        <v>925</v>
      </c>
      <c r="H222" s="608" t="s">
        <v>496</v>
      </c>
    </row>
    <row r="223" hidden="1">
      <c r="A223" s="512" t="s">
        <v>432</v>
      </c>
      <c r="B223" s="512" t="s">
        <v>433</v>
      </c>
      <c r="C223" s="616">
        <v>45701.0</v>
      </c>
      <c r="D223" s="512">
        <v>2.6309155894E10</v>
      </c>
      <c r="E223" s="606" t="s">
        <v>926</v>
      </c>
      <c r="F223" s="606" t="s">
        <v>436</v>
      </c>
      <c r="G223" s="606" t="s">
        <v>927</v>
      </c>
      <c r="H223" s="608" t="s">
        <v>496</v>
      </c>
    </row>
    <row r="224" hidden="1">
      <c r="A224" s="512" t="s">
        <v>432</v>
      </c>
      <c r="B224" s="512" t="s">
        <v>449</v>
      </c>
      <c r="C224" s="616">
        <v>45701.0</v>
      </c>
      <c r="D224" s="512">
        <v>2.9679254663E10</v>
      </c>
      <c r="E224" s="606" t="s">
        <v>928</v>
      </c>
      <c r="F224" s="606" t="s">
        <v>436</v>
      </c>
      <c r="G224" s="606" t="s">
        <v>929</v>
      </c>
      <c r="H224" s="608" t="s">
        <v>496</v>
      </c>
    </row>
    <row r="225" hidden="1">
      <c r="A225" s="512" t="s">
        <v>439</v>
      </c>
      <c r="B225" s="512" t="s">
        <v>449</v>
      </c>
      <c r="C225" s="616">
        <v>45702.0</v>
      </c>
      <c r="D225" s="512">
        <v>2.8847640853E10</v>
      </c>
      <c r="E225" s="617" t="s">
        <v>930</v>
      </c>
      <c r="F225" s="606" t="s">
        <v>436</v>
      </c>
      <c r="G225" s="606">
        <v>326.0</v>
      </c>
      <c r="H225" s="608" t="s">
        <v>850</v>
      </c>
    </row>
    <row r="226" hidden="1">
      <c r="A226" s="512" t="s">
        <v>432</v>
      </c>
      <c r="B226" s="512" t="s">
        <v>449</v>
      </c>
      <c r="C226" s="635">
        <v>45702.0</v>
      </c>
      <c r="D226" s="512">
        <v>2.7526593504E10</v>
      </c>
      <c r="E226" s="606" t="s">
        <v>931</v>
      </c>
      <c r="F226" s="606" t="s">
        <v>436</v>
      </c>
      <c r="G226" s="606">
        <v>2952.0</v>
      </c>
      <c r="H226" s="608" t="s">
        <v>901</v>
      </c>
    </row>
    <row r="227" hidden="1">
      <c r="A227" s="512" t="s">
        <v>432</v>
      </c>
      <c r="B227" s="512" t="s">
        <v>449</v>
      </c>
      <c r="C227" s="616">
        <v>45702.0</v>
      </c>
      <c r="D227" s="512">
        <v>2.5410820337E10</v>
      </c>
      <c r="E227" s="606" t="s">
        <v>932</v>
      </c>
      <c r="F227" s="606" t="s">
        <v>499</v>
      </c>
      <c r="G227" s="606">
        <v>1395.0</v>
      </c>
      <c r="H227" s="608" t="s">
        <v>901</v>
      </c>
    </row>
    <row r="228" hidden="1">
      <c r="A228" s="512" t="s">
        <v>432</v>
      </c>
      <c r="B228" s="512" t="s">
        <v>933</v>
      </c>
      <c r="C228" s="616">
        <v>45702.0</v>
      </c>
      <c r="D228" s="512">
        <v>3.0268492024E10</v>
      </c>
      <c r="E228" s="606" t="s">
        <v>934</v>
      </c>
      <c r="F228" s="606" t="s">
        <v>499</v>
      </c>
      <c r="G228" s="606">
        <v>5445.0</v>
      </c>
      <c r="H228" s="608" t="s">
        <v>901</v>
      </c>
    </row>
    <row r="229" hidden="1">
      <c r="A229" s="512" t="s">
        <v>432</v>
      </c>
      <c r="B229" s="512" t="s">
        <v>935</v>
      </c>
      <c r="C229" s="616">
        <v>45703.0</v>
      </c>
      <c r="D229" s="512">
        <v>2.8602358247E10</v>
      </c>
      <c r="E229" s="606" t="s">
        <v>936</v>
      </c>
      <c r="F229" s="606" t="s">
        <v>499</v>
      </c>
      <c r="G229" s="606">
        <v>2101.0</v>
      </c>
      <c r="H229" s="608" t="s">
        <v>901</v>
      </c>
    </row>
    <row r="230" hidden="1">
      <c r="A230" s="512" t="s">
        <v>432</v>
      </c>
      <c r="B230" s="512" t="s">
        <v>937</v>
      </c>
      <c r="C230" s="616">
        <v>45703.0</v>
      </c>
      <c r="D230" s="512">
        <v>2.5540074253E10</v>
      </c>
      <c r="E230" s="606" t="s">
        <v>938</v>
      </c>
      <c r="F230" s="606" t="s">
        <v>499</v>
      </c>
      <c r="G230" s="606">
        <v>628.0</v>
      </c>
      <c r="H230" s="608" t="s">
        <v>901</v>
      </c>
    </row>
    <row r="231" hidden="1">
      <c r="A231" s="512" t="s">
        <v>617</v>
      </c>
      <c r="B231" s="512" t="s">
        <v>939</v>
      </c>
      <c r="C231" s="616">
        <v>45704.0</v>
      </c>
      <c r="D231" s="512">
        <v>2.8254114982E10</v>
      </c>
      <c r="E231" s="606" t="s">
        <v>940</v>
      </c>
      <c r="F231" s="606" t="s">
        <v>436</v>
      </c>
      <c r="G231" s="606" t="s">
        <v>941</v>
      </c>
      <c r="H231" s="608" t="s">
        <v>696</v>
      </c>
    </row>
    <row r="232" hidden="1">
      <c r="A232" s="512" t="s">
        <v>617</v>
      </c>
      <c r="B232" s="512" t="s">
        <v>433</v>
      </c>
      <c r="C232" s="616">
        <v>45704.0</v>
      </c>
      <c r="D232" s="512">
        <v>2.9216299858E10</v>
      </c>
      <c r="E232" s="606" t="s">
        <v>758</v>
      </c>
      <c r="F232" s="606" t="s">
        <v>436</v>
      </c>
      <c r="G232" s="606" t="s">
        <v>625</v>
      </c>
      <c r="H232" s="608" t="s">
        <v>696</v>
      </c>
    </row>
    <row r="233" hidden="1">
      <c r="A233" s="512" t="s">
        <v>617</v>
      </c>
      <c r="B233" s="512" t="s">
        <v>449</v>
      </c>
      <c r="C233" s="635">
        <v>45704.0</v>
      </c>
      <c r="D233" s="512">
        <v>3.078686569E10</v>
      </c>
      <c r="E233" s="606" t="s">
        <v>942</v>
      </c>
      <c r="F233" s="606" t="s">
        <v>436</v>
      </c>
      <c r="G233" s="606" t="s">
        <v>943</v>
      </c>
      <c r="H233" s="608" t="s">
        <v>696</v>
      </c>
    </row>
    <row r="234" hidden="1">
      <c r="A234" s="512" t="s">
        <v>617</v>
      </c>
      <c r="B234" s="512" t="s">
        <v>433</v>
      </c>
      <c r="C234" s="616">
        <v>45704.0</v>
      </c>
      <c r="D234" s="512">
        <v>3.0786865679E10</v>
      </c>
      <c r="E234" s="606" t="s">
        <v>942</v>
      </c>
      <c r="F234" s="606" t="s">
        <v>436</v>
      </c>
      <c r="G234" s="606" t="s">
        <v>943</v>
      </c>
      <c r="H234" s="608" t="s">
        <v>696</v>
      </c>
    </row>
    <row r="235" hidden="1">
      <c r="A235" s="512" t="s">
        <v>617</v>
      </c>
      <c r="B235" s="512" t="s">
        <v>449</v>
      </c>
      <c r="C235" s="616">
        <v>45704.0</v>
      </c>
      <c r="D235" s="512">
        <v>3.0601597838E10</v>
      </c>
      <c r="E235" s="606" t="s">
        <v>944</v>
      </c>
      <c r="F235" s="606" t="s">
        <v>436</v>
      </c>
      <c r="G235" s="606" t="s">
        <v>945</v>
      </c>
      <c r="H235" s="608" t="s">
        <v>696</v>
      </c>
    </row>
    <row r="236" hidden="1">
      <c r="A236" s="512" t="s">
        <v>617</v>
      </c>
      <c r="B236" s="512" t="s">
        <v>449</v>
      </c>
      <c r="C236" s="616">
        <v>45704.0</v>
      </c>
      <c r="D236" s="512">
        <v>2.8663156586E10</v>
      </c>
      <c r="E236" s="606" t="s">
        <v>946</v>
      </c>
      <c r="F236" s="606" t="s">
        <v>436</v>
      </c>
      <c r="G236" s="606" t="s">
        <v>947</v>
      </c>
      <c r="H236" s="608" t="s">
        <v>696</v>
      </c>
    </row>
    <row r="237" hidden="1">
      <c r="A237" s="512" t="s">
        <v>617</v>
      </c>
      <c r="B237" s="512" t="s">
        <v>449</v>
      </c>
      <c r="C237" s="616">
        <v>45705.0</v>
      </c>
      <c r="D237" s="512">
        <v>2.7189003307E10</v>
      </c>
      <c r="E237" s="606" t="s">
        <v>948</v>
      </c>
      <c r="F237" s="606" t="s">
        <v>436</v>
      </c>
      <c r="G237" s="606" t="s">
        <v>949</v>
      </c>
      <c r="H237" s="608" t="s">
        <v>696</v>
      </c>
    </row>
    <row r="238" hidden="1">
      <c r="A238" s="512" t="s">
        <v>432</v>
      </c>
      <c r="B238" s="512" t="s">
        <v>950</v>
      </c>
      <c r="C238" s="616">
        <v>45705.0</v>
      </c>
      <c r="D238" s="512">
        <v>2.8480637069E10</v>
      </c>
      <c r="E238" s="606" t="s">
        <v>951</v>
      </c>
      <c r="F238" s="606" t="s">
        <v>499</v>
      </c>
      <c r="G238" s="606" t="s">
        <v>952</v>
      </c>
      <c r="H238" s="608" t="s">
        <v>740</v>
      </c>
    </row>
    <row r="239" hidden="1">
      <c r="A239" s="512" t="s">
        <v>432</v>
      </c>
      <c r="B239" s="512" t="s">
        <v>646</v>
      </c>
      <c r="C239" s="616">
        <v>45705.0</v>
      </c>
      <c r="D239" s="512">
        <v>2.6099533224E10</v>
      </c>
      <c r="E239" s="606" t="s">
        <v>953</v>
      </c>
      <c r="F239" s="606" t="s">
        <v>499</v>
      </c>
      <c r="G239" s="606" t="s">
        <v>954</v>
      </c>
      <c r="H239" s="608" t="s">
        <v>740</v>
      </c>
    </row>
    <row r="240" hidden="1">
      <c r="A240" s="512" t="s">
        <v>439</v>
      </c>
      <c r="B240" s="512" t="s">
        <v>955</v>
      </c>
      <c r="C240" s="616">
        <v>45705.0</v>
      </c>
      <c r="D240" s="512">
        <v>2.929794008E10</v>
      </c>
      <c r="E240" s="606" t="s">
        <v>956</v>
      </c>
      <c r="F240" s="606" t="s">
        <v>499</v>
      </c>
      <c r="G240" s="606" t="s">
        <v>957</v>
      </c>
      <c r="H240" s="608" t="s">
        <v>901</v>
      </c>
    </row>
    <row r="241" hidden="1">
      <c r="A241" s="512" t="s">
        <v>617</v>
      </c>
      <c r="B241" s="512" t="s">
        <v>955</v>
      </c>
      <c r="C241" s="616">
        <v>45705.0</v>
      </c>
      <c r="D241" s="512">
        <v>3.0557147149E10</v>
      </c>
      <c r="E241" s="617" t="s">
        <v>958</v>
      </c>
      <c r="F241" s="606" t="s">
        <v>499</v>
      </c>
      <c r="G241" s="606" t="s">
        <v>959</v>
      </c>
      <c r="H241" s="608" t="s">
        <v>623</v>
      </c>
    </row>
    <row r="242" hidden="1">
      <c r="A242" s="512" t="s">
        <v>432</v>
      </c>
      <c r="B242" s="512" t="s">
        <v>646</v>
      </c>
      <c r="C242" s="616">
        <v>45705.0</v>
      </c>
      <c r="D242" s="512">
        <v>2.7225953698E10</v>
      </c>
      <c r="E242" s="606" t="s">
        <v>960</v>
      </c>
      <c r="F242" s="606" t="s">
        <v>436</v>
      </c>
      <c r="G242" s="606" t="s">
        <v>961</v>
      </c>
      <c r="H242" s="608" t="s">
        <v>740</v>
      </c>
    </row>
    <row r="243" hidden="1">
      <c r="A243" s="512" t="s">
        <v>432</v>
      </c>
      <c r="B243" s="512" t="s">
        <v>646</v>
      </c>
      <c r="C243" s="616">
        <v>45707.0</v>
      </c>
      <c r="D243" s="512">
        <v>1.7012171705E10</v>
      </c>
      <c r="E243" s="606" t="s">
        <v>962</v>
      </c>
      <c r="F243" s="606" t="s">
        <v>499</v>
      </c>
      <c r="G243" s="606" t="s">
        <v>963</v>
      </c>
      <c r="H243" s="608" t="s">
        <v>901</v>
      </c>
    </row>
    <row r="244" hidden="1">
      <c r="A244" s="512" t="s">
        <v>432</v>
      </c>
      <c r="B244" s="512" t="s">
        <v>646</v>
      </c>
      <c r="C244" s="616">
        <v>45707.0</v>
      </c>
      <c r="D244" s="512">
        <v>3.0954947146E10</v>
      </c>
      <c r="E244" s="606" t="s">
        <v>964</v>
      </c>
      <c r="F244" s="606" t="s">
        <v>499</v>
      </c>
      <c r="G244" s="606" t="s">
        <v>965</v>
      </c>
      <c r="H244" s="608" t="s">
        <v>901</v>
      </c>
    </row>
    <row r="245" hidden="1">
      <c r="A245" s="512" t="s">
        <v>439</v>
      </c>
      <c r="B245" s="512" t="s">
        <v>646</v>
      </c>
      <c r="C245" s="616">
        <v>45707.0</v>
      </c>
      <c r="D245" s="512">
        <v>2.5756712036E10</v>
      </c>
      <c r="E245" s="617" t="s">
        <v>966</v>
      </c>
      <c r="F245" s="606" t="s">
        <v>499</v>
      </c>
      <c r="G245" s="606" t="s">
        <v>967</v>
      </c>
      <c r="H245" s="608" t="s">
        <v>850</v>
      </c>
    </row>
    <row r="246" hidden="1">
      <c r="A246" s="512" t="s">
        <v>617</v>
      </c>
      <c r="B246" s="512" t="s">
        <v>646</v>
      </c>
      <c r="C246" s="616">
        <v>45707.0</v>
      </c>
      <c r="D246" s="512">
        <v>2.5879424952E10</v>
      </c>
      <c r="E246" s="606" t="s">
        <v>968</v>
      </c>
      <c r="F246" s="606" t="s">
        <v>499</v>
      </c>
      <c r="G246" s="606" t="s">
        <v>969</v>
      </c>
      <c r="H246" s="608" t="s">
        <v>623</v>
      </c>
    </row>
    <row r="247" hidden="1">
      <c r="A247" s="512" t="s">
        <v>617</v>
      </c>
      <c r="B247" s="512" t="s">
        <v>449</v>
      </c>
      <c r="C247" s="616">
        <v>45709.0</v>
      </c>
      <c r="D247" s="512">
        <v>1.3665435695E10</v>
      </c>
      <c r="E247" s="606" t="s">
        <v>970</v>
      </c>
      <c r="F247" s="606" t="s">
        <v>436</v>
      </c>
      <c r="G247" s="606" t="s">
        <v>971</v>
      </c>
      <c r="H247" s="608" t="s">
        <v>696</v>
      </c>
    </row>
    <row r="248" hidden="1">
      <c r="A248" s="512" t="s">
        <v>432</v>
      </c>
      <c r="B248" s="512" t="s">
        <v>646</v>
      </c>
      <c r="C248" s="616">
        <v>45709.0</v>
      </c>
      <c r="D248" s="512">
        <v>2.7131541306E10</v>
      </c>
      <c r="E248" s="606" t="s">
        <v>972</v>
      </c>
      <c r="F248" s="606" t="s">
        <v>499</v>
      </c>
      <c r="G248" s="606" t="s">
        <v>973</v>
      </c>
      <c r="H248" s="608" t="s">
        <v>740</v>
      </c>
    </row>
    <row r="249" hidden="1">
      <c r="A249" s="512" t="s">
        <v>432</v>
      </c>
      <c r="B249" s="512" t="s">
        <v>646</v>
      </c>
      <c r="C249" s="616">
        <v>45709.0</v>
      </c>
      <c r="D249" s="512">
        <v>3.063569208E10</v>
      </c>
      <c r="E249" s="606" t="s">
        <v>974</v>
      </c>
      <c r="F249" s="606" t="s">
        <v>436</v>
      </c>
      <c r="G249" s="606" t="s">
        <v>975</v>
      </c>
      <c r="H249" s="608" t="s">
        <v>740</v>
      </c>
    </row>
    <row r="250" hidden="1">
      <c r="A250" s="512" t="s">
        <v>432</v>
      </c>
      <c r="B250" s="512" t="s">
        <v>646</v>
      </c>
      <c r="C250" s="616">
        <v>45709.0</v>
      </c>
      <c r="D250" s="512">
        <v>2.5446574974E10</v>
      </c>
      <c r="E250" s="606" t="s">
        <v>976</v>
      </c>
      <c r="F250" s="606" t="s">
        <v>499</v>
      </c>
      <c r="G250" s="606" t="s">
        <v>977</v>
      </c>
      <c r="H250" s="608" t="s">
        <v>740</v>
      </c>
    </row>
    <row r="251" hidden="1">
      <c r="A251" s="512" t="s">
        <v>617</v>
      </c>
      <c r="B251" s="512" t="s">
        <v>646</v>
      </c>
      <c r="C251" s="616">
        <v>45710.0</v>
      </c>
      <c r="D251" s="512">
        <v>2.8518777672E10</v>
      </c>
      <c r="E251" s="617" t="s">
        <v>978</v>
      </c>
      <c r="F251" s="606" t="s">
        <v>499</v>
      </c>
      <c r="G251" s="606" t="s">
        <v>827</v>
      </c>
      <c r="H251" s="608" t="s">
        <v>623</v>
      </c>
    </row>
    <row r="252" hidden="1">
      <c r="A252" s="512" t="s">
        <v>432</v>
      </c>
      <c r="B252" s="512" t="s">
        <v>646</v>
      </c>
      <c r="C252" s="616">
        <v>45710.0</v>
      </c>
      <c r="D252" s="512">
        <v>2.7247196922E10</v>
      </c>
      <c r="E252" s="606" t="s">
        <v>979</v>
      </c>
      <c r="F252" s="606" t="s">
        <v>499</v>
      </c>
      <c r="G252" s="606" t="s">
        <v>980</v>
      </c>
      <c r="H252" s="608" t="s">
        <v>901</v>
      </c>
    </row>
    <row r="253" hidden="1">
      <c r="A253" s="512" t="s">
        <v>617</v>
      </c>
      <c r="B253" s="512" t="s">
        <v>646</v>
      </c>
      <c r="C253" s="616">
        <v>45710.0</v>
      </c>
      <c r="D253" s="512">
        <v>2.6232938493E10</v>
      </c>
      <c r="E253" s="617" t="s">
        <v>981</v>
      </c>
      <c r="F253" s="606" t="s">
        <v>499</v>
      </c>
      <c r="G253" s="606" t="s">
        <v>982</v>
      </c>
      <c r="H253" s="608" t="s">
        <v>623</v>
      </c>
    </row>
    <row r="254" hidden="1">
      <c r="A254" s="512" t="s">
        <v>439</v>
      </c>
      <c r="B254" s="512" t="s">
        <v>646</v>
      </c>
      <c r="C254" s="616">
        <v>45710.0</v>
      </c>
      <c r="D254" s="512">
        <v>3.1068871447E10</v>
      </c>
      <c r="E254" s="617" t="s">
        <v>983</v>
      </c>
      <c r="F254" s="606" t="s">
        <v>499</v>
      </c>
      <c r="G254" s="606" t="s">
        <v>984</v>
      </c>
      <c r="H254" s="608" t="s">
        <v>850</v>
      </c>
    </row>
    <row r="255" hidden="1">
      <c r="A255" s="512" t="s">
        <v>432</v>
      </c>
      <c r="B255" s="512" t="s">
        <v>950</v>
      </c>
      <c r="C255" s="616">
        <v>45711.0</v>
      </c>
      <c r="D255" s="512">
        <v>2.7265250209E10</v>
      </c>
      <c r="E255" s="606" t="s">
        <v>985</v>
      </c>
      <c r="F255" s="606" t="s">
        <v>499</v>
      </c>
      <c r="G255" s="606" t="s">
        <v>986</v>
      </c>
      <c r="H255" s="608" t="s">
        <v>901</v>
      </c>
    </row>
    <row r="256" hidden="1">
      <c r="A256" s="512" t="s">
        <v>439</v>
      </c>
      <c r="B256" s="512" t="s">
        <v>987</v>
      </c>
      <c r="C256" s="605">
        <v>45711.0</v>
      </c>
      <c r="D256" s="512">
        <v>2.5623327017E10</v>
      </c>
      <c r="E256" s="617" t="s">
        <v>988</v>
      </c>
      <c r="F256" s="606" t="s">
        <v>436</v>
      </c>
      <c r="G256" s="606" t="s">
        <v>989</v>
      </c>
      <c r="H256" s="608" t="s">
        <v>452</v>
      </c>
    </row>
    <row r="257" hidden="1">
      <c r="A257" s="512" t="s">
        <v>439</v>
      </c>
      <c r="B257" s="512" t="s">
        <v>449</v>
      </c>
      <c r="C257" s="616">
        <v>45711.0</v>
      </c>
      <c r="D257" s="512">
        <v>2.8823007586E10</v>
      </c>
      <c r="E257" s="617" t="s">
        <v>990</v>
      </c>
      <c r="F257" s="606" t="s">
        <v>436</v>
      </c>
      <c r="G257" s="606" t="s">
        <v>991</v>
      </c>
      <c r="H257" s="608" t="s">
        <v>452</v>
      </c>
    </row>
    <row r="258" hidden="1">
      <c r="A258" s="512" t="s">
        <v>439</v>
      </c>
      <c r="B258" s="512" t="s">
        <v>992</v>
      </c>
      <c r="C258" s="616">
        <v>45711.0</v>
      </c>
      <c r="D258" s="512">
        <v>1.9879974182E10</v>
      </c>
      <c r="E258" s="617" t="s">
        <v>993</v>
      </c>
      <c r="F258" s="606" t="s">
        <v>518</v>
      </c>
      <c r="G258" s="606" t="s">
        <v>994</v>
      </c>
      <c r="H258" s="608" t="s">
        <v>452</v>
      </c>
    </row>
    <row r="259" hidden="1">
      <c r="A259" s="512" t="s">
        <v>432</v>
      </c>
      <c r="B259" s="512" t="s">
        <v>995</v>
      </c>
      <c r="C259" s="616">
        <v>45711.0</v>
      </c>
      <c r="D259" s="512">
        <v>2.9949641917E10</v>
      </c>
      <c r="E259" s="606" t="s">
        <v>996</v>
      </c>
      <c r="F259" s="606" t="s">
        <v>499</v>
      </c>
      <c r="G259" s="606" t="s">
        <v>997</v>
      </c>
      <c r="H259" s="608" t="s">
        <v>901</v>
      </c>
    </row>
    <row r="260" hidden="1">
      <c r="A260" s="512" t="s">
        <v>617</v>
      </c>
      <c r="B260" s="512" t="s">
        <v>995</v>
      </c>
      <c r="C260" s="616">
        <v>45711.0</v>
      </c>
      <c r="D260" s="512">
        <v>2.7103732323E10</v>
      </c>
      <c r="E260" s="606" t="s">
        <v>998</v>
      </c>
      <c r="F260" s="606" t="s">
        <v>499</v>
      </c>
      <c r="G260" s="606" t="s">
        <v>999</v>
      </c>
      <c r="H260" s="608" t="s">
        <v>623</v>
      </c>
    </row>
    <row r="261" hidden="1">
      <c r="A261" s="512" t="s">
        <v>617</v>
      </c>
      <c r="B261" s="512" t="s">
        <v>995</v>
      </c>
      <c r="C261" s="616">
        <v>45711.0</v>
      </c>
      <c r="D261" s="512">
        <v>3.0055776993E10</v>
      </c>
      <c r="E261" s="606" t="s">
        <v>1000</v>
      </c>
      <c r="F261" s="606" t="s">
        <v>499</v>
      </c>
      <c r="G261" s="606" t="s">
        <v>1001</v>
      </c>
      <c r="H261" s="608" t="s">
        <v>623</v>
      </c>
    </row>
    <row r="262" hidden="1">
      <c r="A262" s="512" t="s">
        <v>617</v>
      </c>
      <c r="B262" s="512" t="s">
        <v>433</v>
      </c>
      <c r="C262" s="616">
        <v>45712.0</v>
      </c>
      <c r="D262" s="512">
        <v>2.9315137968E10</v>
      </c>
      <c r="E262" s="606" t="s">
        <v>1002</v>
      </c>
      <c r="F262" s="606" t="s">
        <v>436</v>
      </c>
      <c r="G262" s="606" t="s">
        <v>1003</v>
      </c>
      <c r="H262" s="608" t="s">
        <v>696</v>
      </c>
    </row>
    <row r="263" hidden="1">
      <c r="A263" s="512" t="s">
        <v>617</v>
      </c>
      <c r="B263" s="512" t="s">
        <v>995</v>
      </c>
      <c r="C263" s="605">
        <v>45712.0</v>
      </c>
      <c r="D263" s="512">
        <v>2.5115224486E10</v>
      </c>
      <c r="E263" s="606" t="s">
        <v>1004</v>
      </c>
      <c r="F263" s="606" t="s">
        <v>436</v>
      </c>
      <c r="G263" s="606" t="s">
        <v>1005</v>
      </c>
      <c r="H263" s="608" t="s">
        <v>696</v>
      </c>
    </row>
    <row r="264" hidden="1">
      <c r="A264" s="512" t="s">
        <v>439</v>
      </c>
      <c r="B264" s="512" t="s">
        <v>680</v>
      </c>
      <c r="C264" s="626">
        <v>45712.0</v>
      </c>
      <c r="D264" s="512">
        <v>2.8669435051E10</v>
      </c>
      <c r="E264" s="617" t="s">
        <v>1006</v>
      </c>
      <c r="F264" s="606" t="s">
        <v>518</v>
      </c>
      <c r="G264" s="606" t="s">
        <v>1007</v>
      </c>
      <c r="H264" s="608" t="s">
        <v>1008</v>
      </c>
    </row>
    <row r="265" hidden="1">
      <c r="A265" s="512" t="s">
        <v>439</v>
      </c>
      <c r="B265" s="512" t="s">
        <v>680</v>
      </c>
      <c r="C265" s="605">
        <v>45713.0</v>
      </c>
      <c r="D265" s="638">
        <v>2.77858137E10</v>
      </c>
      <c r="E265" s="617" t="s">
        <v>1009</v>
      </c>
      <c r="F265" s="606" t="s">
        <v>518</v>
      </c>
      <c r="G265" s="606" t="s">
        <v>1010</v>
      </c>
      <c r="H265" s="608" t="s">
        <v>850</v>
      </c>
    </row>
    <row r="266" hidden="1">
      <c r="A266" s="512" t="s">
        <v>432</v>
      </c>
      <c r="B266" s="512" t="s">
        <v>646</v>
      </c>
      <c r="C266" s="605">
        <v>45713.0</v>
      </c>
      <c r="D266" s="512">
        <v>3.1070835615E10</v>
      </c>
      <c r="E266" s="606" t="s">
        <v>1011</v>
      </c>
      <c r="F266" s="606" t="s">
        <v>499</v>
      </c>
      <c r="G266" s="606" t="s">
        <v>1012</v>
      </c>
      <c r="H266" s="608" t="s">
        <v>740</v>
      </c>
    </row>
    <row r="267" hidden="1">
      <c r="A267" s="512" t="s">
        <v>432</v>
      </c>
      <c r="B267" s="512" t="s">
        <v>987</v>
      </c>
      <c r="C267" s="605">
        <v>45714.0</v>
      </c>
      <c r="D267" s="512">
        <v>2.4296481527E10</v>
      </c>
      <c r="E267" s="606" t="s">
        <v>1013</v>
      </c>
      <c r="F267" s="606" t="s">
        <v>499</v>
      </c>
      <c r="G267" s="606" t="s">
        <v>612</v>
      </c>
      <c r="H267" s="608" t="s">
        <v>901</v>
      </c>
    </row>
    <row r="268" hidden="1">
      <c r="A268" s="512" t="s">
        <v>439</v>
      </c>
      <c r="B268" s="512" t="s">
        <v>646</v>
      </c>
      <c r="C268" s="605">
        <v>45714.0</v>
      </c>
      <c r="D268" s="512">
        <v>2.8167854159E10</v>
      </c>
      <c r="E268" s="617" t="s">
        <v>1014</v>
      </c>
      <c r="F268" s="606" t="s">
        <v>499</v>
      </c>
      <c r="G268" s="606" t="s">
        <v>1015</v>
      </c>
      <c r="H268" s="608" t="s">
        <v>850</v>
      </c>
    </row>
    <row r="269" hidden="1">
      <c r="A269" s="512" t="s">
        <v>439</v>
      </c>
      <c r="B269" s="512" t="s">
        <v>646</v>
      </c>
      <c r="C269" s="605">
        <v>45714.0</v>
      </c>
      <c r="D269" s="512">
        <v>1.7607372952E10</v>
      </c>
      <c r="E269" s="617" t="s">
        <v>1016</v>
      </c>
      <c r="F269" s="606" t="s">
        <v>499</v>
      </c>
      <c r="G269" s="606" t="s">
        <v>1017</v>
      </c>
      <c r="H269" s="608" t="s">
        <v>850</v>
      </c>
    </row>
    <row r="270" hidden="1">
      <c r="A270" s="512" t="s">
        <v>432</v>
      </c>
      <c r="B270" s="512" t="s">
        <v>449</v>
      </c>
      <c r="C270" s="626">
        <v>45714.0</v>
      </c>
      <c r="D270" s="512">
        <v>2.5908080573E10</v>
      </c>
      <c r="E270" s="606" t="s">
        <v>1018</v>
      </c>
      <c r="F270" s="606" t="s">
        <v>499</v>
      </c>
      <c r="G270" s="606" t="s">
        <v>1019</v>
      </c>
      <c r="H270" s="608" t="s">
        <v>901</v>
      </c>
    </row>
    <row r="271" hidden="1">
      <c r="A271" s="512" t="s">
        <v>432</v>
      </c>
      <c r="B271" s="512" t="s">
        <v>449</v>
      </c>
      <c r="C271" s="626">
        <v>45715.0</v>
      </c>
      <c r="D271" s="512">
        <v>2.5326142007E10</v>
      </c>
      <c r="E271" s="606" t="s">
        <v>1020</v>
      </c>
      <c r="F271" s="606" t="s">
        <v>499</v>
      </c>
      <c r="G271" s="606" t="s">
        <v>1021</v>
      </c>
      <c r="H271" s="608" t="s">
        <v>901</v>
      </c>
    </row>
    <row r="272" hidden="1">
      <c r="A272" s="512" t="s">
        <v>432</v>
      </c>
      <c r="B272" s="512" t="s">
        <v>449</v>
      </c>
      <c r="C272" s="605">
        <v>45715.0</v>
      </c>
      <c r="D272" s="512">
        <v>2.9226446512E10</v>
      </c>
      <c r="E272" s="606" t="s">
        <v>1022</v>
      </c>
      <c r="F272" s="606" t="s">
        <v>499</v>
      </c>
      <c r="G272" s="606" t="s">
        <v>1023</v>
      </c>
      <c r="H272" s="608" t="s">
        <v>901</v>
      </c>
    </row>
    <row r="273" hidden="1">
      <c r="A273" s="512" t="s">
        <v>432</v>
      </c>
      <c r="B273" s="512" t="s">
        <v>646</v>
      </c>
      <c r="C273" s="605">
        <v>45715.0</v>
      </c>
      <c r="D273" s="512">
        <v>3.1389872733E10</v>
      </c>
      <c r="E273" s="606" t="s">
        <v>1024</v>
      </c>
      <c r="F273" s="606" t="s">
        <v>499</v>
      </c>
      <c r="G273" s="606" t="s">
        <v>1025</v>
      </c>
      <c r="H273" s="608" t="s">
        <v>901</v>
      </c>
    </row>
    <row r="274" hidden="1">
      <c r="A274" s="512" t="s">
        <v>1026</v>
      </c>
      <c r="B274" s="512" t="s">
        <v>646</v>
      </c>
      <c r="C274" s="605">
        <v>45715.0</v>
      </c>
      <c r="D274" s="512">
        <v>2.4337117046E10</v>
      </c>
      <c r="E274" s="606" t="s">
        <v>1027</v>
      </c>
      <c r="F274" s="606" t="s">
        <v>506</v>
      </c>
      <c r="G274" s="606">
        <v>1684.0</v>
      </c>
      <c r="H274" s="608" t="s">
        <v>1028</v>
      </c>
    </row>
    <row r="275" hidden="1">
      <c r="A275" s="512" t="s">
        <v>432</v>
      </c>
      <c r="B275" s="512" t="s">
        <v>646</v>
      </c>
      <c r="C275" s="605">
        <v>45715.0</v>
      </c>
      <c r="D275" s="512">
        <v>3.1417688063E10</v>
      </c>
      <c r="E275" s="606" t="s">
        <v>1029</v>
      </c>
      <c r="F275" s="606" t="s">
        <v>499</v>
      </c>
      <c r="G275" s="606" t="s">
        <v>1030</v>
      </c>
      <c r="H275" s="608" t="s">
        <v>901</v>
      </c>
    </row>
    <row r="276" hidden="1">
      <c r="A276" s="512" t="s">
        <v>439</v>
      </c>
      <c r="B276" s="512" t="s">
        <v>646</v>
      </c>
      <c r="C276" s="605">
        <v>45715.0</v>
      </c>
      <c r="D276" s="512">
        <v>2.9618560625E10</v>
      </c>
      <c r="E276" s="606" t="s">
        <v>1031</v>
      </c>
      <c r="F276" s="606" t="s">
        <v>499</v>
      </c>
      <c r="G276" s="606" t="s">
        <v>1032</v>
      </c>
      <c r="H276" s="608" t="s">
        <v>585</v>
      </c>
    </row>
    <row r="277" hidden="1">
      <c r="A277" s="512" t="s">
        <v>617</v>
      </c>
      <c r="B277" s="512" t="s">
        <v>646</v>
      </c>
      <c r="C277" s="605">
        <v>45715.0</v>
      </c>
      <c r="D277" s="512">
        <v>2.8400844319E10</v>
      </c>
      <c r="E277" s="606" t="s">
        <v>932</v>
      </c>
      <c r="F277" s="606" t="s">
        <v>499</v>
      </c>
      <c r="G277" s="606" t="s">
        <v>1033</v>
      </c>
      <c r="H277" s="608" t="s">
        <v>623</v>
      </c>
    </row>
    <row r="278" hidden="1">
      <c r="A278" s="512" t="s">
        <v>617</v>
      </c>
      <c r="B278" s="512" t="s">
        <v>646</v>
      </c>
      <c r="C278" s="605">
        <v>45715.0</v>
      </c>
      <c r="D278" s="512">
        <v>2.834693842E10</v>
      </c>
      <c r="E278" s="606" t="s">
        <v>1034</v>
      </c>
      <c r="F278" s="606" t="s">
        <v>499</v>
      </c>
      <c r="G278" s="606" t="s">
        <v>1035</v>
      </c>
      <c r="H278" s="608" t="s">
        <v>623</v>
      </c>
    </row>
    <row r="279" hidden="1">
      <c r="A279" s="512" t="s">
        <v>617</v>
      </c>
      <c r="B279" s="512" t="s">
        <v>646</v>
      </c>
      <c r="C279" s="605">
        <v>45716.0</v>
      </c>
      <c r="D279" s="512">
        <v>2.1276858204E10</v>
      </c>
      <c r="E279" s="606" t="s">
        <v>1036</v>
      </c>
      <c r="F279" s="606" t="s">
        <v>499</v>
      </c>
      <c r="G279" s="606" t="s">
        <v>619</v>
      </c>
      <c r="H279" s="608" t="s">
        <v>623</v>
      </c>
    </row>
    <row r="280" hidden="1">
      <c r="A280" s="512" t="s">
        <v>432</v>
      </c>
      <c r="B280" s="512" t="s">
        <v>646</v>
      </c>
      <c r="C280" s="605">
        <v>45716.0</v>
      </c>
      <c r="D280" s="512">
        <v>3.1394036743E10</v>
      </c>
      <c r="E280" s="606" t="s">
        <v>1037</v>
      </c>
      <c r="F280" s="606" t="s">
        <v>499</v>
      </c>
      <c r="G280" s="606" t="s">
        <v>1038</v>
      </c>
      <c r="H280" s="608" t="s">
        <v>740</v>
      </c>
    </row>
    <row r="281" hidden="1">
      <c r="A281" s="512" t="s">
        <v>1026</v>
      </c>
      <c r="B281" s="512" t="s">
        <v>1039</v>
      </c>
      <c r="C281" s="605">
        <v>45716.0</v>
      </c>
      <c r="D281" s="512">
        <v>2.8685423512E10</v>
      </c>
      <c r="E281" s="606" t="s">
        <v>1040</v>
      </c>
      <c r="F281" s="606" t="s">
        <v>499</v>
      </c>
      <c r="G281" s="606" t="s">
        <v>1041</v>
      </c>
      <c r="H281" s="608" t="s">
        <v>901</v>
      </c>
    </row>
    <row r="282" hidden="1">
      <c r="A282" s="512" t="s">
        <v>432</v>
      </c>
      <c r="B282" s="512" t="s">
        <v>1042</v>
      </c>
      <c r="C282" s="605">
        <v>45716.0</v>
      </c>
      <c r="D282" s="512">
        <v>2.5089364778E10</v>
      </c>
      <c r="E282" s="606" t="s">
        <v>1043</v>
      </c>
      <c r="F282" s="606" t="s">
        <v>499</v>
      </c>
      <c r="G282" s="606" t="s">
        <v>1044</v>
      </c>
      <c r="H282" s="608" t="s">
        <v>740</v>
      </c>
    </row>
    <row r="283" hidden="1">
      <c r="A283" s="512" t="s">
        <v>432</v>
      </c>
      <c r="B283" s="512" t="s">
        <v>646</v>
      </c>
      <c r="C283" s="626">
        <v>45716.0</v>
      </c>
      <c r="D283" s="512">
        <v>2.4823509433E10</v>
      </c>
      <c r="E283" s="606" t="s">
        <v>1045</v>
      </c>
      <c r="F283" s="606" t="s">
        <v>499</v>
      </c>
      <c r="G283" s="606" t="s">
        <v>1046</v>
      </c>
      <c r="H283" s="608" t="s">
        <v>740</v>
      </c>
    </row>
    <row r="284" hidden="1">
      <c r="A284" s="512" t="s">
        <v>439</v>
      </c>
      <c r="B284" s="512" t="s">
        <v>1047</v>
      </c>
      <c r="C284" s="605">
        <v>45716.0</v>
      </c>
      <c r="D284" s="512">
        <v>9.689341902E9</v>
      </c>
      <c r="E284" s="606" t="s">
        <v>1048</v>
      </c>
      <c r="F284" s="606" t="s">
        <v>499</v>
      </c>
      <c r="G284" s="606" t="s">
        <v>1049</v>
      </c>
      <c r="H284" s="608" t="s">
        <v>585</v>
      </c>
    </row>
    <row r="285">
      <c r="A285" s="512" t="s">
        <v>617</v>
      </c>
      <c r="B285" s="512" t="s">
        <v>449</v>
      </c>
      <c r="C285" s="618">
        <v>45666.0</v>
      </c>
      <c r="D285" s="546">
        <v>3.4615179714E10</v>
      </c>
      <c r="E285" s="619" t="s">
        <v>1050</v>
      </c>
      <c r="F285" s="633" t="s">
        <v>436</v>
      </c>
      <c r="G285" s="619"/>
      <c r="H285" s="629" t="s">
        <v>696</v>
      </c>
    </row>
    <row r="286" hidden="1">
      <c r="A286" s="512" t="s">
        <v>432</v>
      </c>
      <c r="B286" s="512" t="s">
        <v>1051</v>
      </c>
      <c r="C286" s="605">
        <v>45717.0</v>
      </c>
      <c r="D286" s="512">
        <v>2.8096224315E10</v>
      </c>
      <c r="E286" s="617" t="s">
        <v>1052</v>
      </c>
      <c r="F286" s="606" t="s">
        <v>518</v>
      </c>
      <c r="G286" s="606" t="s">
        <v>1053</v>
      </c>
      <c r="H286" s="608" t="s">
        <v>1054</v>
      </c>
    </row>
    <row r="287" hidden="1">
      <c r="A287" s="512" t="s">
        <v>432</v>
      </c>
      <c r="B287" s="512" t="s">
        <v>992</v>
      </c>
      <c r="C287" s="605">
        <v>45717.0</v>
      </c>
      <c r="D287" s="512">
        <v>2.9887099384E10</v>
      </c>
      <c r="E287" s="617" t="s">
        <v>1055</v>
      </c>
      <c r="F287" s="606" t="s">
        <v>518</v>
      </c>
      <c r="G287" s="606" t="s">
        <v>1056</v>
      </c>
      <c r="H287" s="608" t="s">
        <v>1054</v>
      </c>
    </row>
    <row r="288" hidden="1">
      <c r="A288" s="512" t="s">
        <v>432</v>
      </c>
      <c r="B288" s="512" t="s">
        <v>680</v>
      </c>
      <c r="C288" s="605">
        <v>45717.0</v>
      </c>
      <c r="D288" s="512">
        <v>2.6374514354E10</v>
      </c>
      <c r="E288" s="617" t="s">
        <v>1057</v>
      </c>
      <c r="F288" s="606" t="s">
        <v>518</v>
      </c>
      <c r="G288" s="606" t="s">
        <v>1058</v>
      </c>
      <c r="H288" s="608" t="s">
        <v>1054</v>
      </c>
    </row>
    <row r="289" hidden="1">
      <c r="A289" s="512" t="s">
        <v>432</v>
      </c>
      <c r="B289" s="512" t="s">
        <v>680</v>
      </c>
      <c r="C289" s="626">
        <v>45717.0</v>
      </c>
      <c r="D289" s="512">
        <v>2.9922894219E10</v>
      </c>
      <c r="E289" s="617" t="s">
        <v>1059</v>
      </c>
      <c r="F289" s="606" t="s">
        <v>518</v>
      </c>
      <c r="G289" s="606" t="s">
        <v>1060</v>
      </c>
      <c r="H289" s="608" t="s">
        <v>1054</v>
      </c>
    </row>
    <row r="290" hidden="1">
      <c r="A290" s="512" t="s">
        <v>432</v>
      </c>
      <c r="B290" s="512" t="s">
        <v>680</v>
      </c>
      <c r="C290" s="626">
        <v>45717.0</v>
      </c>
      <c r="D290" s="512">
        <v>2.5728794536E10</v>
      </c>
      <c r="E290" s="617" t="s">
        <v>1061</v>
      </c>
      <c r="F290" s="606" t="s">
        <v>518</v>
      </c>
      <c r="G290" s="606" t="s">
        <v>1062</v>
      </c>
      <c r="H290" s="608" t="s">
        <v>1054</v>
      </c>
    </row>
    <row r="291" hidden="1">
      <c r="A291" s="512" t="s">
        <v>432</v>
      </c>
      <c r="B291" s="512" t="s">
        <v>992</v>
      </c>
      <c r="C291" s="605">
        <v>45717.0</v>
      </c>
      <c r="D291" s="512">
        <v>2.8517392654E10</v>
      </c>
      <c r="E291" s="617" t="s">
        <v>1063</v>
      </c>
      <c r="F291" s="606" t="s">
        <v>518</v>
      </c>
      <c r="G291" s="606"/>
      <c r="H291" s="608" t="s">
        <v>1054</v>
      </c>
    </row>
    <row r="292" hidden="1">
      <c r="A292" s="512" t="s">
        <v>432</v>
      </c>
      <c r="B292" s="512" t="s">
        <v>1064</v>
      </c>
      <c r="C292" s="605">
        <v>45718.0</v>
      </c>
      <c r="D292" s="512">
        <v>2.9906944195E10</v>
      </c>
      <c r="E292" s="606" t="s">
        <v>1065</v>
      </c>
      <c r="F292" s="606" t="s">
        <v>436</v>
      </c>
      <c r="G292" s="606" t="s">
        <v>1066</v>
      </c>
      <c r="H292" s="608" t="s">
        <v>696</v>
      </c>
    </row>
    <row r="293" hidden="1">
      <c r="A293" s="512" t="s">
        <v>432</v>
      </c>
      <c r="B293" s="512" t="s">
        <v>1067</v>
      </c>
      <c r="C293" s="605">
        <v>45718.0</v>
      </c>
      <c r="D293" s="512">
        <v>2.3861065575E10</v>
      </c>
      <c r="E293" s="606" t="s">
        <v>1068</v>
      </c>
      <c r="F293" s="606" t="s">
        <v>436</v>
      </c>
      <c r="G293" s="606" t="s">
        <v>1069</v>
      </c>
      <c r="H293" s="608" t="s">
        <v>696</v>
      </c>
    </row>
    <row r="294" hidden="1">
      <c r="A294" s="512" t="s">
        <v>439</v>
      </c>
      <c r="B294" s="512" t="s">
        <v>433</v>
      </c>
      <c r="C294" s="605">
        <v>45718.0</v>
      </c>
      <c r="D294" s="512">
        <v>3.1388072298E10</v>
      </c>
      <c r="E294" s="606" t="s">
        <v>1070</v>
      </c>
      <c r="F294" s="606" t="s">
        <v>499</v>
      </c>
      <c r="G294" s="606" t="s">
        <v>1071</v>
      </c>
      <c r="H294" s="608" t="s">
        <v>901</v>
      </c>
    </row>
    <row r="295" hidden="1">
      <c r="A295" s="512" t="s">
        <v>439</v>
      </c>
      <c r="B295" s="512" t="s">
        <v>449</v>
      </c>
      <c r="C295" s="605">
        <v>45718.0</v>
      </c>
      <c r="D295" s="512">
        <v>2.792056612E10</v>
      </c>
      <c r="E295" s="606" t="s">
        <v>1072</v>
      </c>
      <c r="F295" s="606" t="s">
        <v>499</v>
      </c>
      <c r="G295" s="606" t="s">
        <v>1073</v>
      </c>
      <c r="H295" s="608" t="s">
        <v>901</v>
      </c>
    </row>
    <row r="296" hidden="1">
      <c r="A296" s="512" t="s">
        <v>432</v>
      </c>
      <c r="B296" s="512" t="s">
        <v>449</v>
      </c>
      <c r="C296" s="605">
        <v>45719.0</v>
      </c>
      <c r="D296" s="512">
        <v>2.9549851929E10</v>
      </c>
      <c r="E296" s="606" t="s">
        <v>1074</v>
      </c>
      <c r="F296" s="606" t="s">
        <v>436</v>
      </c>
      <c r="G296" s="606" t="s">
        <v>1075</v>
      </c>
      <c r="H296" s="608" t="s">
        <v>696</v>
      </c>
    </row>
    <row r="297" hidden="1">
      <c r="A297" s="512" t="s">
        <v>439</v>
      </c>
      <c r="B297" s="512" t="s">
        <v>950</v>
      </c>
      <c r="C297" s="605">
        <v>45719.0</v>
      </c>
      <c r="D297" s="512">
        <v>1.1834955077E10</v>
      </c>
      <c r="E297" s="606" t="s">
        <v>1076</v>
      </c>
      <c r="F297" s="606" t="s">
        <v>499</v>
      </c>
      <c r="G297" s="606" t="s">
        <v>1077</v>
      </c>
      <c r="H297" s="608" t="s">
        <v>901</v>
      </c>
    </row>
    <row r="298" hidden="1">
      <c r="A298" s="512" t="s">
        <v>432</v>
      </c>
      <c r="B298" s="512" t="s">
        <v>995</v>
      </c>
      <c r="C298" s="605">
        <v>45719.0</v>
      </c>
      <c r="D298" s="512">
        <v>2.2916308256E10</v>
      </c>
      <c r="E298" s="606" t="s">
        <v>1078</v>
      </c>
      <c r="F298" s="606" t="s">
        <v>436</v>
      </c>
      <c r="G298" s="606" t="s">
        <v>1079</v>
      </c>
      <c r="H298" s="608" t="s">
        <v>696</v>
      </c>
    </row>
    <row r="299" hidden="1">
      <c r="A299" s="512" t="s">
        <v>432</v>
      </c>
      <c r="B299" s="512" t="s">
        <v>995</v>
      </c>
      <c r="C299" s="605">
        <v>45719.0</v>
      </c>
      <c r="D299" s="512">
        <v>2.7696487558E10</v>
      </c>
      <c r="E299" s="606" t="s">
        <v>1080</v>
      </c>
      <c r="F299" s="606" t="s">
        <v>436</v>
      </c>
      <c r="G299" s="606" t="s">
        <v>1081</v>
      </c>
      <c r="H299" s="608" t="s">
        <v>696</v>
      </c>
    </row>
    <row r="300" hidden="1">
      <c r="A300" s="512" t="s">
        <v>617</v>
      </c>
      <c r="B300" s="512" t="s">
        <v>995</v>
      </c>
      <c r="C300" s="605">
        <v>45719.0</v>
      </c>
      <c r="D300" s="512">
        <v>3.0857941362E10</v>
      </c>
      <c r="E300" s="617" t="s">
        <v>1082</v>
      </c>
      <c r="F300" s="606" t="s">
        <v>436</v>
      </c>
      <c r="G300" s="606">
        <v>3305.0</v>
      </c>
      <c r="H300" s="608" t="s">
        <v>623</v>
      </c>
    </row>
    <row r="301" hidden="1">
      <c r="A301" s="512" t="s">
        <v>439</v>
      </c>
      <c r="B301" s="512" t="s">
        <v>433</v>
      </c>
      <c r="C301" s="605">
        <v>45720.0</v>
      </c>
      <c r="D301" s="512">
        <v>2.9213351564E10</v>
      </c>
      <c r="E301" s="606" t="s">
        <v>1083</v>
      </c>
      <c r="F301" s="606" t="s">
        <v>436</v>
      </c>
      <c r="G301" s="606" t="s">
        <v>587</v>
      </c>
      <c r="H301" s="608" t="s">
        <v>901</v>
      </c>
    </row>
    <row r="302" hidden="1">
      <c r="A302" s="512" t="s">
        <v>439</v>
      </c>
      <c r="B302" s="512" t="s">
        <v>1084</v>
      </c>
      <c r="C302" s="605">
        <v>45720.0</v>
      </c>
      <c r="D302" s="512">
        <v>2.8100688624E10</v>
      </c>
      <c r="E302" s="606" t="s">
        <v>1085</v>
      </c>
      <c r="F302" s="606" t="s">
        <v>499</v>
      </c>
      <c r="G302" s="606" t="s">
        <v>1086</v>
      </c>
      <c r="H302" s="608" t="s">
        <v>901</v>
      </c>
    </row>
    <row r="303" hidden="1">
      <c r="A303" s="512" t="s">
        <v>439</v>
      </c>
      <c r="B303" s="512" t="s">
        <v>1087</v>
      </c>
      <c r="C303" s="605">
        <v>45720.0</v>
      </c>
      <c r="D303" s="512">
        <v>2.5662967964E10</v>
      </c>
      <c r="E303" s="606" t="s">
        <v>1088</v>
      </c>
      <c r="F303" s="606" t="s">
        <v>436</v>
      </c>
      <c r="G303" s="606" t="s">
        <v>1089</v>
      </c>
      <c r="H303" s="608" t="s">
        <v>901</v>
      </c>
    </row>
    <row r="304" hidden="1">
      <c r="A304" s="512" t="s">
        <v>432</v>
      </c>
      <c r="B304" s="512" t="s">
        <v>995</v>
      </c>
      <c r="C304" s="605">
        <v>45720.0</v>
      </c>
      <c r="D304" s="512">
        <v>2.9005533889E10</v>
      </c>
      <c r="E304" s="606" t="s">
        <v>1090</v>
      </c>
      <c r="F304" s="606" t="s">
        <v>436</v>
      </c>
      <c r="G304" s="606" t="s">
        <v>1091</v>
      </c>
      <c r="H304" s="608" t="s">
        <v>696</v>
      </c>
    </row>
    <row r="305" hidden="1">
      <c r="A305" s="512" t="s">
        <v>432</v>
      </c>
      <c r="B305" s="512" t="s">
        <v>433</v>
      </c>
      <c r="C305" s="605">
        <v>45720.0</v>
      </c>
      <c r="D305" s="512">
        <v>2.8098352693E10</v>
      </c>
      <c r="E305" s="606" t="s">
        <v>1092</v>
      </c>
      <c r="F305" s="606" t="s">
        <v>436</v>
      </c>
      <c r="G305" s="606" t="s">
        <v>1093</v>
      </c>
      <c r="H305" s="608" t="s">
        <v>696</v>
      </c>
    </row>
    <row r="306" hidden="1">
      <c r="A306" s="512" t="s">
        <v>617</v>
      </c>
      <c r="B306" s="512" t="s">
        <v>995</v>
      </c>
      <c r="C306" s="605">
        <v>45721.0</v>
      </c>
      <c r="D306" s="512">
        <v>5.677700049E9</v>
      </c>
      <c r="E306" s="617" t="s">
        <v>1094</v>
      </c>
      <c r="F306" s="606" t="s">
        <v>436</v>
      </c>
      <c r="G306" s="606" t="s">
        <v>1095</v>
      </c>
      <c r="H306" s="608" t="s">
        <v>1096</v>
      </c>
    </row>
    <row r="307" hidden="1">
      <c r="A307" s="512" t="s">
        <v>439</v>
      </c>
      <c r="B307" s="512" t="s">
        <v>995</v>
      </c>
      <c r="C307" s="605">
        <v>45721.0</v>
      </c>
      <c r="D307" s="512">
        <v>3.1663693948E10</v>
      </c>
      <c r="E307" s="617" t="s">
        <v>1097</v>
      </c>
      <c r="F307" s="606" t="s">
        <v>436</v>
      </c>
      <c r="G307" s="606" t="s">
        <v>1098</v>
      </c>
      <c r="H307" s="608" t="s">
        <v>850</v>
      </c>
    </row>
    <row r="308" hidden="1">
      <c r="A308" s="512" t="s">
        <v>617</v>
      </c>
      <c r="B308" s="512" t="s">
        <v>995</v>
      </c>
      <c r="C308" s="605">
        <v>45721.0</v>
      </c>
      <c r="D308" s="512">
        <v>3.1487781365E10</v>
      </c>
      <c r="E308" s="617" t="s">
        <v>1099</v>
      </c>
      <c r="F308" s="606" t="s">
        <v>436</v>
      </c>
      <c r="G308" s="606" t="s">
        <v>1100</v>
      </c>
      <c r="H308" s="608" t="s">
        <v>1096</v>
      </c>
    </row>
    <row r="309" hidden="1">
      <c r="A309" s="512" t="s">
        <v>617</v>
      </c>
      <c r="B309" s="512" t="s">
        <v>1101</v>
      </c>
      <c r="C309" s="605">
        <v>45722.0</v>
      </c>
      <c r="D309" s="512">
        <v>3.0961267213E10</v>
      </c>
      <c r="E309" s="617" t="s">
        <v>1102</v>
      </c>
      <c r="F309" s="606" t="s">
        <v>436</v>
      </c>
      <c r="G309" s="606" t="s">
        <v>971</v>
      </c>
      <c r="H309" s="608" t="s">
        <v>1096</v>
      </c>
    </row>
    <row r="310" hidden="1">
      <c r="A310" s="512" t="s">
        <v>617</v>
      </c>
      <c r="B310" s="512" t="s">
        <v>1103</v>
      </c>
      <c r="C310" s="605">
        <v>45722.0</v>
      </c>
      <c r="D310" s="512">
        <v>2.8910038224E10</v>
      </c>
      <c r="E310" s="617" t="s">
        <v>1104</v>
      </c>
      <c r="F310" s="606" t="s">
        <v>436</v>
      </c>
      <c r="G310" s="606" t="s">
        <v>1105</v>
      </c>
      <c r="H310" s="608" t="s">
        <v>1096</v>
      </c>
    </row>
    <row r="311" hidden="1">
      <c r="A311" s="512" t="s">
        <v>617</v>
      </c>
      <c r="B311" s="512" t="s">
        <v>1106</v>
      </c>
      <c r="C311" s="605">
        <v>45723.0</v>
      </c>
      <c r="D311" s="512">
        <v>2.7320353746E10</v>
      </c>
      <c r="E311" s="617" t="s">
        <v>1107</v>
      </c>
      <c r="F311" s="606" t="s">
        <v>518</v>
      </c>
      <c r="G311" s="606" t="s">
        <v>1108</v>
      </c>
      <c r="H311" s="608" t="s">
        <v>1054</v>
      </c>
    </row>
    <row r="312" hidden="1">
      <c r="A312" s="512" t="s">
        <v>617</v>
      </c>
      <c r="B312" s="512" t="s">
        <v>992</v>
      </c>
      <c r="C312" s="605">
        <v>45723.0</v>
      </c>
      <c r="D312" s="512">
        <v>3.1665102319E10</v>
      </c>
      <c r="E312" s="617" t="s">
        <v>1109</v>
      </c>
      <c r="F312" s="606" t="s">
        <v>518</v>
      </c>
      <c r="G312" s="606"/>
      <c r="H312" s="608" t="s">
        <v>1054</v>
      </c>
    </row>
    <row r="313" hidden="1">
      <c r="A313" s="512" t="s">
        <v>617</v>
      </c>
      <c r="B313" s="512" t="s">
        <v>680</v>
      </c>
      <c r="C313" s="605">
        <v>45723.0</v>
      </c>
      <c r="D313" s="512">
        <v>2.7484207704E10</v>
      </c>
      <c r="E313" s="617" t="s">
        <v>1110</v>
      </c>
      <c r="F313" s="606" t="s">
        <v>518</v>
      </c>
      <c r="G313" s="606" t="s">
        <v>1111</v>
      </c>
      <c r="H313" s="608" t="s">
        <v>1054</v>
      </c>
    </row>
    <row r="314" hidden="1">
      <c r="A314" s="512" t="s">
        <v>439</v>
      </c>
      <c r="B314" s="512" t="s">
        <v>1084</v>
      </c>
      <c r="C314" s="605">
        <v>45723.0</v>
      </c>
      <c r="D314" s="512">
        <v>3.0127989974E10</v>
      </c>
      <c r="E314" s="606" t="s">
        <v>1112</v>
      </c>
      <c r="F314" s="606" t="s">
        <v>1113</v>
      </c>
      <c r="G314" s="606" t="s">
        <v>1114</v>
      </c>
      <c r="H314" s="608" t="s">
        <v>901</v>
      </c>
    </row>
    <row r="315" hidden="1">
      <c r="A315" s="512" t="s">
        <v>439</v>
      </c>
      <c r="B315" s="512" t="s">
        <v>1087</v>
      </c>
      <c r="C315" s="605">
        <v>45724.0</v>
      </c>
      <c r="D315" s="512">
        <v>2.8542768494E10</v>
      </c>
      <c r="E315" s="606" t="s">
        <v>1115</v>
      </c>
      <c r="F315" s="606" t="s">
        <v>499</v>
      </c>
      <c r="G315" s="606" t="s">
        <v>1116</v>
      </c>
      <c r="H315" s="608" t="s">
        <v>901</v>
      </c>
    </row>
    <row r="316" hidden="1">
      <c r="A316" s="512" t="s">
        <v>439</v>
      </c>
      <c r="B316" s="512" t="s">
        <v>1087</v>
      </c>
      <c r="C316" s="626">
        <v>45724.0</v>
      </c>
      <c r="D316" s="512">
        <v>2.6311125737E10</v>
      </c>
      <c r="E316" s="606" t="s">
        <v>1117</v>
      </c>
      <c r="F316" s="606" t="s">
        <v>499</v>
      </c>
      <c r="G316" s="606" t="s">
        <v>1118</v>
      </c>
      <c r="H316" s="608" t="s">
        <v>901</v>
      </c>
    </row>
    <row r="317" hidden="1">
      <c r="A317" s="512" t="s">
        <v>439</v>
      </c>
      <c r="B317" s="512" t="s">
        <v>1087</v>
      </c>
      <c r="C317" s="605">
        <v>45724.0</v>
      </c>
      <c r="D317" s="512">
        <v>1.2847180624E10</v>
      </c>
      <c r="E317" s="606" t="s">
        <v>1119</v>
      </c>
      <c r="F317" s="606" t="s">
        <v>499</v>
      </c>
      <c r="G317" s="606" t="s">
        <v>1120</v>
      </c>
      <c r="H317" s="608" t="s">
        <v>901</v>
      </c>
    </row>
    <row r="318" hidden="1">
      <c r="A318" s="512" t="s">
        <v>432</v>
      </c>
      <c r="B318" s="512" t="s">
        <v>433</v>
      </c>
      <c r="C318" s="605">
        <v>45724.0</v>
      </c>
      <c r="D318" s="512">
        <v>2.9435242502E10</v>
      </c>
      <c r="E318" s="606" t="s">
        <v>1121</v>
      </c>
      <c r="F318" s="606" t="s">
        <v>499</v>
      </c>
      <c r="G318" s="606" t="s">
        <v>1122</v>
      </c>
      <c r="H318" s="608" t="s">
        <v>740</v>
      </c>
    </row>
    <row r="319" hidden="1">
      <c r="A319" s="512" t="s">
        <v>432</v>
      </c>
      <c r="B319" s="512" t="s">
        <v>646</v>
      </c>
      <c r="C319" s="605">
        <v>45724.0</v>
      </c>
      <c r="D319" s="634">
        <v>2.214367348E10</v>
      </c>
      <c r="E319" s="606" t="s">
        <v>1123</v>
      </c>
      <c r="F319" s="606" t="s">
        <v>499</v>
      </c>
      <c r="G319" s="606" t="s">
        <v>1124</v>
      </c>
      <c r="H319" s="608" t="s">
        <v>1125</v>
      </c>
    </row>
    <row r="320" hidden="1">
      <c r="A320" s="512" t="s">
        <v>617</v>
      </c>
      <c r="B320" s="512" t="s">
        <v>433</v>
      </c>
      <c r="C320" s="605">
        <v>45724.0</v>
      </c>
      <c r="D320" s="512">
        <v>2.9688009079E10</v>
      </c>
      <c r="E320" s="606" t="s">
        <v>1126</v>
      </c>
      <c r="F320" s="606" t="s">
        <v>436</v>
      </c>
      <c r="G320" s="606"/>
      <c r="H320" s="608" t="s">
        <v>696</v>
      </c>
    </row>
    <row r="321" hidden="1">
      <c r="A321" s="512" t="s">
        <v>432</v>
      </c>
      <c r="B321" s="512" t="s">
        <v>950</v>
      </c>
      <c r="C321" s="605">
        <v>45724.0</v>
      </c>
      <c r="D321" s="512">
        <v>2.97617285E10</v>
      </c>
      <c r="E321" s="606" t="s">
        <v>1127</v>
      </c>
      <c r="F321" s="606" t="s">
        <v>499</v>
      </c>
      <c r="G321" s="606" t="s">
        <v>1128</v>
      </c>
      <c r="H321" s="608" t="s">
        <v>740</v>
      </c>
    </row>
    <row r="322" hidden="1">
      <c r="A322" s="512" t="s">
        <v>432</v>
      </c>
      <c r="B322" s="512" t="s">
        <v>1129</v>
      </c>
      <c r="C322" s="605">
        <v>45724.0</v>
      </c>
      <c r="D322" s="512">
        <v>2.9009072313E10</v>
      </c>
      <c r="E322" s="606" t="s">
        <v>1130</v>
      </c>
      <c r="F322" s="606" t="s">
        <v>499</v>
      </c>
      <c r="G322" s="606" t="s">
        <v>1131</v>
      </c>
      <c r="H322" s="608" t="s">
        <v>740</v>
      </c>
    </row>
    <row r="323" hidden="1">
      <c r="A323" s="512" t="s">
        <v>432</v>
      </c>
      <c r="B323" s="512" t="s">
        <v>1132</v>
      </c>
      <c r="C323" s="605">
        <v>45724.0</v>
      </c>
      <c r="D323" s="512">
        <v>2.9152773894E10</v>
      </c>
      <c r="E323" s="606" t="s">
        <v>1133</v>
      </c>
      <c r="F323" s="606" t="s">
        <v>499</v>
      </c>
      <c r="G323" s="606" t="s">
        <v>1134</v>
      </c>
      <c r="H323" s="608" t="s">
        <v>740</v>
      </c>
    </row>
    <row r="324" hidden="1">
      <c r="A324" s="512" t="s">
        <v>432</v>
      </c>
      <c r="B324" s="512" t="s">
        <v>646</v>
      </c>
      <c r="C324" s="605">
        <v>45724.0</v>
      </c>
      <c r="D324" s="512">
        <v>2.9917009325E10</v>
      </c>
      <c r="E324" s="606" t="s">
        <v>1135</v>
      </c>
      <c r="F324" s="606" t="s">
        <v>499</v>
      </c>
      <c r="G324" s="606" t="s">
        <v>1136</v>
      </c>
      <c r="H324" s="608" t="s">
        <v>740</v>
      </c>
    </row>
    <row r="325" hidden="1">
      <c r="A325" s="512" t="s">
        <v>432</v>
      </c>
      <c r="B325" s="512" t="s">
        <v>646</v>
      </c>
      <c r="C325" s="605">
        <v>45724.0</v>
      </c>
      <c r="D325" s="512">
        <v>2.7941122799E10</v>
      </c>
      <c r="E325" s="606" t="s">
        <v>1137</v>
      </c>
      <c r="F325" s="606" t="s">
        <v>436</v>
      </c>
      <c r="G325" s="606" t="s">
        <v>1138</v>
      </c>
      <c r="H325" s="608" t="s">
        <v>740</v>
      </c>
    </row>
    <row r="326" hidden="1">
      <c r="A326" s="512" t="s">
        <v>617</v>
      </c>
      <c r="B326" s="512" t="s">
        <v>433</v>
      </c>
      <c r="C326" s="605">
        <v>45724.0</v>
      </c>
      <c r="D326" s="512">
        <v>2.6345522328E10</v>
      </c>
      <c r="E326" s="606" t="s">
        <v>1139</v>
      </c>
      <c r="F326" s="606" t="s">
        <v>436</v>
      </c>
      <c r="G326" s="606" t="s">
        <v>1140</v>
      </c>
      <c r="H326" s="608" t="s">
        <v>696</v>
      </c>
    </row>
    <row r="327" hidden="1">
      <c r="A327" s="512" t="s">
        <v>432</v>
      </c>
      <c r="B327" s="512" t="s">
        <v>646</v>
      </c>
      <c r="C327" s="605">
        <v>45724.0</v>
      </c>
      <c r="D327" s="512">
        <v>2.7253292345E10</v>
      </c>
      <c r="E327" s="606" t="s">
        <v>1141</v>
      </c>
      <c r="F327" s="606" t="s">
        <v>436</v>
      </c>
      <c r="G327" s="606" t="s">
        <v>1142</v>
      </c>
      <c r="H327" s="608" t="s">
        <v>740</v>
      </c>
    </row>
    <row r="328" hidden="1">
      <c r="A328" s="512" t="s">
        <v>432</v>
      </c>
      <c r="B328" s="512" t="s">
        <v>433</v>
      </c>
      <c r="C328" s="605">
        <v>45724.0</v>
      </c>
      <c r="D328" s="512">
        <v>2.9550987121E10</v>
      </c>
      <c r="E328" s="606" t="s">
        <v>1143</v>
      </c>
      <c r="F328" s="606" t="s">
        <v>436</v>
      </c>
      <c r="G328" s="606" t="s">
        <v>1144</v>
      </c>
      <c r="H328" s="608" t="s">
        <v>696</v>
      </c>
    </row>
    <row r="329" hidden="1">
      <c r="A329" s="512" t="s">
        <v>439</v>
      </c>
      <c r="B329" s="512" t="s">
        <v>646</v>
      </c>
      <c r="C329" s="605">
        <v>45726.0</v>
      </c>
      <c r="D329" s="512">
        <v>3.0423491871E10</v>
      </c>
      <c r="E329" s="617" t="s">
        <v>1145</v>
      </c>
      <c r="F329" s="606" t="s">
        <v>436</v>
      </c>
      <c r="G329" s="606" t="s">
        <v>1146</v>
      </c>
      <c r="H329" s="608" t="s">
        <v>850</v>
      </c>
    </row>
    <row r="330" hidden="1">
      <c r="A330" s="512" t="s">
        <v>439</v>
      </c>
      <c r="B330" s="512" t="s">
        <v>646</v>
      </c>
      <c r="C330" s="605">
        <v>45726.0</v>
      </c>
      <c r="D330" s="512">
        <v>2.3477564005E10</v>
      </c>
      <c r="E330" s="617" t="s">
        <v>1147</v>
      </c>
      <c r="F330" s="606" t="s">
        <v>436</v>
      </c>
      <c r="G330" s="606" t="s">
        <v>1148</v>
      </c>
      <c r="H330" s="608" t="s">
        <v>850</v>
      </c>
    </row>
    <row r="331" hidden="1">
      <c r="A331" s="512" t="s">
        <v>439</v>
      </c>
      <c r="B331" s="512" t="s">
        <v>646</v>
      </c>
      <c r="C331" s="605">
        <v>45726.0</v>
      </c>
      <c r="D331" s="512">
        <v>3.0127989992E10</v>
      </c>
      <c r="E331" s="617" t="s">
        <v>1112</v>
      </c>
      <c r="F331" s="606" t="s">
        <v>436</v>
      </c>
      <c r="G331" s="606" t="s">
        <v>1149</v>
      </c>
      <c r="H331" s="608" t="s">
        <v>850</v>
      </c>
    </row>
    <row r="332" hidden="1">
      <c r="A332" s="512" t="s">
        <v>439</v>
      </c>
      <c r="B332" s="512" t="s">
        <v>449</v>
      </c>
      <c r="C332" s="605">
        <v>45727.0</v>
      </c>
      <c r="D332" s="512">
        <v>2.7447023824E10</v>
      </c>
      <c r="E332" s="606" t="s">
        <v>1150</v>
      </c>
      <c r="F332" s="606" t="s">
        <v>499</v>
      </c>
      <c r="G332" s="606" t="s">
        <v>1151</v>
      </c>
      <c r="H332" s="608" t="s">
        <v>901</v>
      </c>
    </row>
    <row r="333" hidden="1">
      <c r="A333" s="512" t="s">
        <v>617</v>
      </c>
      <c r="B333" s="512" t="s">
        <v>449</v>
      </c>
      <c r="C333" s="605">
        <v>45727.0</v>
      </c>
      <c r="D333" s="512" t="s">
        <v>1152</v>
      </c>
      <c r="E333" s="617" t="s">
        <v>1153</v>
      </c>
      <c r="F333" s="606" t="s">
        <v>499</v>
      </c>
      <c r="G333" s="606" t="s">
        <v>1154</v>
      </c>
      <c r="H333" s="608" t="s">
        <v>623</v>
      </c>
    </row>
    <row r="334" hidden="1">
      <c r="A334" s="512" t="s">
        <v>439</v>
      </c>
      <c r="B334" s="512" t="s">
        <v>449</v>
      </c>
      <c r="C334" s="605">
        <v>45727.0</v>
      </c>
      <c r="D334" s="512">
        <v>2.8539359009E10</v>
      </c>
      <c r="E334" s="606" t="s">
        <v>1155</v>
      </c>
      <c r="F334" s="606" t="s">
        <v>499</v>
      </c>
      <c r="G334" s="606" t="s">
        <v>1156</v>
      </c>
      <c r="H334" s="608" t="s">
        <v>901</v>
      </c>
    </row>
    <row r="335" hidden="1">
      <c r="A335" s="512" t="s">
        <v>439</v>
      </c>
      <c r="B335" s="512" t="s">
        <v>449</v>
      </c>
      <c r="C335" s="605">
        <v>45727.0</v>
      </c>
      <c r="D335" s="512">
        <v>2.8869692737E10</v>
      </c>
      <c r="E335" s="606" t="s">
        <v>1157</v>
      </c>
      <c r="F335" s="606" t="s">
        <v>499</v>
      </c>
      <c r="G335" s="606" t="s">
        <v>1158</v>
      </c>
      <c r="H335" s="608" t="s">
        <v>901</v>
      </c>
    </row>
    <row r="336" hidden="1">
      <c r="A336" s="512" t="s">
        <v>617</v>
      </c>
      <c r="B336" s="512" t="s">
        <v>449</v>
      </c>
      <c r="C336" s="605">
        <v>45727.0</v>
      </c>
      <c r="D336" s="512" t="s">
        <v>1159</v>
      </c>
      <c r="E336" s="617" t="s">
        <v>1160</v>
      </c>
      <c r="F336" s="606" t="s">
        <v>499</v>
      </c>
      <c r="G336" s="606" t="s">
        <v>1161</v>
      </c>
      <c r="H336" s="608" t="s">
        <v>623</v>
      </c>
    </row>
    <row r="337" hidden="1">
      <c r="A337" s="512" t="s">
        <v>617</v>
      </c>
      <c r="B337" s="512" t="s">
        <v>449</v>
      </c>
      <c r="C337" s="605">
        <v>45727.0</v>
      </c>
      <c r="D337" s="512" t="s">
        <v>1162</v>
      </c>
      <c r="E337" s="617" t="s">
        <v>1163</v>
      </c>
      <c r="F337" s="606" t="s">
        <v>499</v>
      </c>
      <c r="G337" s="606" t="s">
        <v>1164</v>
      </c>
      <c r="H337" s="608" t="s">
        <v>623</v>
      </c>
    </row>
    <row r="338" hidden="1">
      <c r="A338" s="512" t="s">
        <v>439</v>
      </c>
      <c r="B338" s="512" t="s">
        <v>449</v>
      </c>
      <c r="C338" s="605">
        <v>45728.0</v>
      </c>
      <c r="D338" s="512">
        <v>2.8827729396E10</v>
      </c>
      <c r="E338" s="606" t="s">
        <v>1165</v>
      </c>
      <c r="F338" s="606" t="s">
        <v>499</v>
      </c>
      <c r="G338" s="606" t="s">
        <v>771</v>
      </c>
      <c r="H338" s="608" t="s">
        <v>901</v>
      </c>
    </row>
    <row r="339" hidden="1">
      <c r="A339" s="512" t="s">
        <v>432</v>
      </c>
      <c r="B339" s="512" t="s">
        <v>950</v>
      </c>
      <c r="C339" s="605">
        <v>45728.0</v>
      </c>
      <c r="D339" s="512">
        <v>2.6055984695E10</v>
      </c>
      <c r="E339" s="606" t="s">
        <v>1123</v>
      </c>
      <c r="F339" s="606" t="s">
        <v>499</v>
      </c>
      <c r="G339" s="606" t="s">
        <v>1166</v>
      </c>
      <c r="H339" s="608" t="s">
        <v>740</v>
      </c>
    </row>
    <row r="340" hidden="1">
      <c r="A340" s="512" t="s">
        <v>432</v>
      </c>
      <c r="B340" s="512" t="s">
        <v>646</v>
      </c>
      <c r="C340" s="605">
        <v>45728.0</v>
      </c>
      <c r="D340" s="512">
        <v>2.8386313961E10</v>
      </c>
      <c r="E340" s="606" t="s">
        <v>1167</v>
      </c>
      <c r="F340" s="606" t="s">
        <v>499</v>
      </c>
      <c r="G340" s="606" t="s">
        <v>1168</v>
      </c>
      <c r="H340" s="608" t="s">
        <v>740</v>
      </c>
    </row>
    <row r="341" hidden="1">
      <c r="A341" s="512" t="s">
        <v>432</v>
      </c>
      <c r="B341" s="512" t="s">
        <v>449</v>
      </c>
      <c r="C341" s="605">
        <v>45728.0</v>
      </c>
      <c r="D341" s="512">
        <v>2.7249368758E10</v>
      </c>
      <c r="E341" s="606" t="s">
        <v>1169</v>
      </c>
      <c r="F341" s="606" t="s">
        <v>499</v>
      </c>
      <c r="G341" s="606" t="s">
        <v>1170</v>
      </c>
      <c r="H341" s="608" t="s">
        <v>740</v>
      </c>
    </row>
    <row r="342" hidden="1">
      <c r="A342" s="512" t="s">
        <v>432</v>
      </c>
      <c r="B342" s="512" t="s">
        <v>669</v>
      </c>
      <c r="C342" s="605">
        <v>45728.0</v>
      </c>
      <c r="D342" s="512">
        <v>3.0258871625E10</v>
      </c>
      <c r="E342" s="606" t="s">
        <v>1171</v>
      </c>
      <c r="F342" s="606" t="s">
        <v>436</v>
      </c>
      <c r="G342" s="606" t="s">
        <v>1172</v>
      </c>
      <c r="H342" s="608" t="s">
        <v>740</v>
      </c>
    </row>
    <row r="343" hidden="1">
      <c r="A343" s="512" t="s">
        <v>1026</v>
      </c>
      <c r="B343" s="512" t="s">
        <v>669</v>
      </c>
      <c r="C343" s="605">
        <v>45729.0</v>
      </c>
      <c r="D343" s="512">
        <v>2.9363755379E10</v>
      </c>
      <c r="E343" s="606" t="s">
        <v>1173</v>
      </c>
      <c r="F343" s="606" t="s">
        <v>436</v>
      </c>
      <c r="G343" s="606" t="s">
        <v>1174</v>
      </c>
      <c r="H343" s="608" t="s">
        <v>1175</v>
      </c>
    </row>
    <row r="344" hidden="1">
      <c r="A344" s="512" t="s">
        <v>432</v>
      </c>
      <c r="B344" s="512" t="s">
        <v>449</v>
      </c>
      <c r="C344" s="605">
        <v>45729.0</v>
      </c>
      <c r="D344" s="512">
        <v>2.886453178E10</v>
      </c>
      <c r="E344" s="606" t="s">
        <v>1176</v>
      </c>
      <c r="F344" s="606" t="s">
        <v>436</v>
      </c>
      <c r="G344" s="606" t="s">
        <v>1177</v>
      </c>
      <c r="H344" s="608" t="s">
        <v>696</v>
      </c>
    </row>
    <row r="345" hidden="1">
      <c r="A345" s="512" t="s">
        <v>617</v>
      </c>
      <c r="B345" s="512" t="s">
        <v>995</v>
      </c>
      <c r="C345" s="605">
        <v>45729.0</v>
      </c>
      <c r="D345" s="512">
        <v>3.1994262488E10</v>
      </c>
      <c r="E345" s="606" t="s">
        <v>1178</v>
      </c>
      <c r="F345" s="606" t="s">
        <v>436</v>
      </c>
      <c r="G345" s="606" t="s">
        <v>1179</v>
      </c>
      <c r="H345" s="608" t="s">
        <v>1096</v>
      </c>
    </row>
    <row r="346" hidden="1">
      <c r="A346" s="512" t="s">
        <v>432</v>
      </c>
      <c r="B346" s="512" t="s">
        <v>433</v>
      </c>
      <c r="C346" s="605">
        <v>45730.0</v>
      </c>
      <c r="D346" s="512">
        <v>2.9845462397E10</v>
      </c>
      <c r="E346" s="606" t="s">
        <v>1180</v>
      </c>
      <c r="F346" s="606" t="s">
        <v>436</v>
      </c>
      <c r="G346" s="606" t="s">
        <v>1181</v>
      </c>
      <c r="H346" s="608" t="s">
        <v>696</v>
      </c>
    </row>
    <row r="347" hidden="1">
      <c r="A347" s="512" t="s">
        <v>617</v>
      </c>
      <c r="B347" s="512" t="s">
        <v>1182</v>
      </c>
      <c r="C347" s="605">
        <v>45731.0</v>
      </c>
      <c r="D347" s="512">
        <v>3.1768059336E10</v>
      </c>
      <c r="E347" s="606" t="s">
        <v>1183</v>
      </c>
      <c r="F347" s="606" t="s">
        <v>436</v>
      </c>
      <c r="G347" s="606" t="s">
        <v>1184</v>
      </c>
      <c r="H347" s="608" t="s">
        <v>1096</v>
      </c>
    </row>
    <row r="348" hidden="1">
      <c r="A348" s="512" t="s">
        <v>439</v>
      </c>
      <c r="B348" s="512" t="s">
        <v>995</v>
      </c>
      <c r="C348" s="605">
        <v>45731.0</v>
      </c>
      <c r="D348" s="512">
        <v>2.9373188074E10</v>
      </c>
      <c r="E348" s="606" t="s">
        <v>1185</v>
      </c>
      <c r="F348" s="606" t="s">
        <v>499</v>
      </c>
      <c r="G348" s="606" t="s">
        <v>1186</v>
      </c>
      <c r="H348" s="608" t="s">
        <v>901</v>
      </c>
    </row>
    <row r="349" hidden="1">
      <c r="A349" s="512" t="s">
        <v>439</v>
      </c>
      <c r="B349" s="512" t="s">
        <v>995</v>
      </c>
      <c r="C349" s="605">
        <v>45731.0</v>
      </c>
      <c r="D349" s="512">
        <v>2.9549766061E10</v>
      </c>
      <c r="E349" s="606" t="s">
        <v>1187</v>
      </c>
      <c r="F349" s="606" t="s">
        <v>499</v>
      </c>
      <c r="G349" s="606" t="s">
        <v>1188</v>
      </c>
      <c r="H349" s="608" t="s">
        <v>901</v>
      </c>
    </row>
    <row r="350" hidden="1">
      <c r="A350" s="512" t="s">
        <v>432</v>
      </c>
      <c r="B350" s="512" t="s">
        <v>1189</v>
      </c>
      <c r="C350" s="605">
        <v>45732.0</v>
      </c>
      <c r="D350" s="512">
        <v>2.390151742E10</v>
      </c>
      <c r="E350" s="606" t="s">
        <v>1190</v>
      </c>
      <c r="F350" s="606" t="s">
        <v>499</v>
      </c>
      <c r="G350" s="606" t="s">
        <v>1191</v>
      </c>
      <c r="H350" s="608" t="s">
        <v>740</v>
      </c>
    </row>
    <row r="351" hidden="1">
      <c r="A351" s="512" t="s">
        <v>432</v>
      </c>
      <c r="B351" s="512" t="s">
        <v>1192</v>
      </c>
      <c r="C351" s="605">
        <v>45732.0</v>
      </c>
      <c r="D351" s="512">
        <v>2.1297837803E10</v>
      </c>
      <c r="E351" s="606" t="s">
        <v>1193</v>
      </c>
      <c r="F351" s="606" t="s">
        <v>436</v>
      </c>
      <c r="G351" s="606" t="s">
        <v>1194</v>
      </c>
      <c r="H351" s="608" t="s">
        <v>740</v>
      </c>
    </row>
    <row r="352" hidden="1">
      <c r="A352" s="512" t="s">
        <v>432</v>
      </c>
      <c r="B352" s="512" t="s">
        <v>646</v>
      </c>
      <c r="C352" s="605">
        <v>45732.0</v>
      </c>
      <c r="D352" s="512">
        <v>3.1768152633E10</v>
      </c>
      <c r="E352" s="606" t="s">
        <v>1195</v>
      </c>
      <c r="F352" s="606" t="s">
        <v>499</v>
      </c>
      <c r="G352" s="606" t="s">
        <v>1196</v>
      </c>
      <c r="H352" s="608" t="s">
        <v>740</v>
      </c>
    </row>
    <row r="353" hidden="1">
      <c r="A353" s="512" t="s">
        <v>432</v>
      </c>
      <c r="B353" s="512" t="s">
        <v>646</v>
      </c>
      <c r="C353" s="605">
        <v>45732.0</v>
      </c>
      <c r="D353" s="512">
        <v>3.0706009488E10</v>
      </c>
      <c r="E353" s="606" t="s">
        <v>1197</v>
      </c>
      <c r="F353" s="606" t="s">
        <v>499</v>
      </c>
      <c r="G353" s="606" t="s">
        <v>1198</v>
      </c>
      <c r="H353" s="608" t="s">
        <v>740</v>
      </c>
    </row>
    <row r="354" hidden="1">
      <c r="A354" s="512" t="s">
        <v>432</v>
      </c>
      <c r="B354" s="512" t="s">
        <v>449</v>
      </c>
      <c r="C354" s="605">
        <v>45732.0</v>
      </c>
      <c r="D354" s="512">
        <v>3.197274361E10</v>
      </c>
      <c r="E354" s="606" t="s">
        <v>1199</v>
      </c>
      <c r="F354" s="606" t="s">
        <v>499</v>
      </c>
      <c r="G354" s="606" t="s">
        <v>1200</v>
      </c>
      <c r="H354" s="608" t="s">
        <v>740</v>
      </c>
    </row>
    <row r="355" hidden="1">
      <c r="A355" s="512" t="s">
        <v>432</v>
      </c>
      <c r="B355" s="512" t="s">
        <v>449</v>
      </c>
      <c r="C355" s="605">
        <v>45732.0</v>
      </c>
      <c r="D355" s="512">
        <v>3.2121127002E10</v>
      </c>
      <c r="E355" s="606" t="s">
        <v>1201</v>
      </c>
      <c r="F355" s="606" t="s">
        <v>499</v>
      </c>
      <c r="G355" s="606" t="s">
        <v>1202</v>
      </c>
      <c r="H355" s="608" t="s">
        <v>496</v>
      </c>
    </row>
    <row r="356" hidden="1">
      <c r="A356" s="512" t="s">
        <v>439</v>
      </c>
      <c r="B356" s="512" t="s">
        <v>449</v>
      </c>
      <c r="C356" s="605">
        <v>45732.0</v>
      </c>
      <c r="D356" s="512">
        <v>3.2123086267E10</v>
      </c>
      <c r="E356" s="606" t="s">
        <v>1203</v>
      </c>
      <c r="F356" s="606" t="s">
        <v>499</v>
      </c>
      <c r="G356" s="606" t="s">
        <v>1204</v>
      </c>
      <c r="H356" s="608" t="s">
        <v>901</v>
      </c>
    </row>
    <row r="357" hidden="1">
      <c r="A357" s="512" t="s">
        <v>432</v>
      </c>
      <c r="B357" s="512" t="s">
        <v>449</v>
      </c>
      <c r="C357" s="605">
        <v>45732.0</v>
      </c>
      <c r="D357" s="512">
        <v>3.0218284739E10</v>
      </c>
      <c r="E357" s="606" t="s">
        <v>1205</v>
      </c>
      <c r="F357" s="606" t="s">
        <v>436</v>
      </c>
      <c r="G357" s="606" t="s">
        <v>1206</v>
      </c>
      <c r="H357" s="608" t="s">
        <v>740</v>
      </c>
    </row>
    <row r="358" hidden="1">
      <c r="A358" s="512" t="s">
        <v>617</v>
      </c>
      <c r="B358" s="512" t="s">
        <v>1103</v>
      </c>
      <c r="C358" s="605">
        <v>45732.0</v>
      </c>
      <c r="D358" s="512">
        <v>1.1326906164E10</v>
      </c>
      <c r="E358" s="617" t="s">
        <v>1207</v>
      </c>
      <c r="F358" s="606" t="s">
        <v>598</v>
      </c>
      <c r="G358" s="606" t="s">
        <v>1208</v>
      </c>
      <c r="H358" s="608" t="s">
        <v>1054</v>
      </c>
    </row>
    <row r="359" hidden="1">
      <c r="A359" s="512" t="s">
        <v>439</v>
      </c>
      <c r="B359" s="512" t="s">
        <v>1103</v>
      </c>
      <c r="C359" s="605">
        <v>45732.0</v>
      </c>
      <c r="D359" s="512">
        <v>3.1664983768E10</v>
      </c>
      <c r="E359" s="606" t="s">
        <v>1209</v>
      </c>
      <c r="F359" s="606" t="s">
        <v>598</v>
      </c>
      <c r="G359" s="606" t="s">
        <v>1136</v>
      </c>
      <c r="H359" s="608" t="s">
        <v>901</v>
      </c>
    </row>
    <row r="360" hidden="1">
      <c r="A360" s="512" t="s">
        <v>439</v>
      </c>
      <c r="B360" s="512" t="s">
        <v>1103</v>
      </c>
      <c r="C360" s="605">
        <v>45732.0</v>
      </c>
      <c r="D360" s="512">
        <v>2.7451416134E10</v>
      </c>
      <c r="E360" s="606" t="s">
        <v>1210</v>
      </c>
      <c r="F360" s="606" t="s">
        <v>598</v>
      </c>
      <c r="G360" s="606" t="s">
        <v>1211</v>
      </c>
      <c r="H360" s="608" t="s">
        <v>901</v>
      </c>
    </row>
    <row r="361" hidden="1">
      <c r="A361" s="512" t="s">
        <v>432</v>
      </c>
      <c r="B361" s="512" t="s">
        <v>449</v>
      </c>
      <c r="C361" s="605">
        <v>45732.0</v>
      </c>
      <c r="D361" s="512">
        <v>1.4866580719E10</v>
      </c>
      <c r="E361" s="606" t="s">
        <v>1212</v>
      </c>
      <c r="F361" s="606" t="s">
        <v>499</v>
      </c>
      <c r="G361" s="606" t="s">
        <v>1213</v>
      </c>
      <c r="H361" s="608" t="s">
        <v>740</v>
      </c>
    </row>
    <row r="362" hidden="1">
      <c r="A362" s="512" t="s">
        <v>432</v>
      </c>
      <c r="B362" s="512" t="s">
        <v>433</v>
      </c>
      <c r="C362" s="605">
        <v>45732.0</v>
      </c>
      <c r="D362" s="512">
        <v>2.756591404E10</v>
      </c>
      <c r="E362" s="606" t="s">
        <v>1214</v>
      </c>
      <c r="F362" s="606" t="s">
        <v>499</v>
      </c>
      <c r="G362" s="606" t="s">
        <v>1215</v>
      </c>
      <c r="H362" s="608" t="s">
        <v>740</v>
      </c>
    </row>
    <row r="363" hidden="1">
      <c r="A363" s="512" t="s">
        <v>432</v>
      </c>
      <c r="B363" s="512" t="s">
        <v>433</v>
      </c>
      <c r="C363" s="605">
        <v>45732.0</v>
      </c>
      <c r="D363" s="512">
        <v>3.0786507012E10</v>
      </c>
      <c r="E363" s="606" t="s">
        <v>1216</v>
      </c>
      <c r="F363" s="606" t="s">
        <v>436</v>
      </c>
      <c r="G363" s="606" t="s">
        <v>1217</v>
      </c>
      <c r="H363" s="608" t="s">
        <v>740</v>
      </c>
    </row>
    <row r="364" hidden="1">
      <c r="A364" s="512" t="s">
        <v>617</v>
      </c>
      <c r="B364" s="512" t="s">
        <v>1103</v>
      </c>
      <c r="C364" s="605">
        <v>45733.0</v>
      </c>
      <c r="D364" s="512">
        <v>3.0746691686E10</v>
      </c>
      <c r="E364" s="617" t="s">
        <v>1218</v>
      </c>
      <c r="F364" s="606" t="s">
        <v>518</v>
      </c>
      <c r="G364" s="606" t="s">
        <v>1219</v>
      </c>
      <c r="H364" s="608" t="s">
        <v>1054</v>
      </c>
    </row>
    <row r="365" hidden="1">
      <c r="A365" s="512" t="s">
        <v>617</v>
      </c>
      <c r="B365" s="512" t="s">
        <v>1103</v>
      </c>
      <c r="C365" s="605">
        <v>45733.0</v>
      </c>
      <c r="D365" s="512">
        <v>3.1972759743E10</v>
      </c>
      <c r="E365" s="617" t="s">
        <v>1220</v>
      </c>
      <c r="F365" s="606" t="s">
        <v>518</v>
      </c>
      <c r="G365" s="606" t="s">
        <v>1221</v>
      </c>
      <c r="H365" s="608" t="s">
        <v>1054</v>
      </c>
    </row>
    <row r="366" hidden="1">
      <c r="A366" s="512" t="s">
        <v>432</v>
      </c>
      <c r="B366" s="512" t="s">
        <v>449</v>
      </c>
      <c r="C366" s="639">
        <v>45733.0</v>
      </c>
      <c r="D366" s="512">
        <v>2.7579458109E10</v>
      </c>
      <c r="E366" s="606" t="s">
        <v>1222</v>
      </c>
      <c r="F366" s="606" t="s">
        <v>436</v>
      </c>
      <c r="G366" s="606" t="s">
        <v>1223</v>
      </c>
      <c r="H366" s="608" t="s">
        <v>696</v>
      </c>
    </row>
    <row r="367" hidden="1">
      <c r="A367" s="512" t="s">
        <v>432</v>
      </c>
      <c r="B367" s="512" t="s">
        <v>1224</v>
      </c>
      <c r="C367" s="605">
        <v>45733.0</v>
      </c>
      <c r="D367" s="512">
        <v>2.2885758111E10</v>
      </c>
      <c r="E367" s="606" t="s">
        <v>1225</v>
      </c>
      <c r="F367" s="606" t="s">
        <v>436</v>
      </c>
      <c r="G367" s="606" t="s">
        <v>1226</v>
      </c>
      <c r="H367" s="608" t="s">
        <v>696</v>
      </c>
    </row>
    <row r="368" hidden="1">
      <c r="A368" s="512" t="s">
        <v>617</v>
      </c>
      <c r="B368" s="512" t="s">
        <v>1224</v>
      </c>
      <c r="C368" s="605">
        <v>45733.0</v>
      </c>
      <c r="D368" s="512">
        <v>2.7245057218E10</v>
      </c>
      <c r="E368" s="617" t="s">
        <v>1227</v>
      </c>
      <c r="F368" s="606" t="s">
        <v>436</v>
      </c>
      <c r="G368" s="606" t="s">
        <v>1228</v>
      </c>
      <c r="H368" s="608" t="s">
        <v>1054</v>
      </c>
    </row>
    <row r="369" hidden="1">
      <c r="A369" s="512" t="s">
        <v>617</v>
      </c>
      <c r="B369" s="512" t="s">
        <v>1224</v>
      </c>
      <c r="C369" s="605">
        <v>45733.0</v>
      </c>
      <c r="D369" s="512">
        <v>2.8543534447E10</v>
      </c>
      <c r="E369" s="617" t="s">
        <v>1229</v>
      </c>
      <c r="F369" s="606" t="s">
        <v>436</v>
      </c>
      <c r="G369" s="606" t="s">
        <v>1230</v>
      </c>
      <c r="H369" s="608" t="s">
        <v>1054</v>
      </c>
    </row>
    <row r="370" hidden="1">
      <c r="A370" s="512" t="s">
        <v>432</v>
      </c>
      <c r="B370" s="512" t="s">
        <v>433</v>
      </c>
      <c r="C370" s="605">
        <v>45734.0</v>
      </c>
      <c r="D370" s="512">
        <v>2.8686791373E10</v>
      </c>
      <c r="E370" s="606" t="s">
        <v>1231</v>
      </c>
      <c r="F370" s="606" t="s">
        <v>436</v>
      </c>
      <c r="G370" s="606" t="s">
        <v>1232</v>
      </c>
      <c r="H370" s="608" t="s">
        <v>696</v>
      </c>
    </row>
    <row r="371" hidden="1">
      <c r="A371" s="512" t="s">
        <v>432</v>
      </c>
      <c r="B371" s="512" t="s">
        <v>449</v>
      </c>
      <c r="C371" s="605">
        <v>45734.0</v>
      </c>
      <c r="D371" s="512">
        <v>3.0404096586E10</v>
      </c>
      <c r="E371" s="606" t="s">
        <v>1233</v>
      </c>
      <c r="F371" s="606" t="s">
        <v>436</v>
      </c>
      <c r="G371" s="640"/>
      <c r="H371" s="608" t="s">
        <v>696</v>
      </c>
    </row>
    <row r="372" hidden="1">
      <c r="A372" s="512" t="s">
        <v>1026</v>
      </c>
      <c r="B372" s="512" t="s">
        <v>449</v>
      </c>
      <c r="C372" s="605">
        <v>45734.0</v>
      </c>
      <c r="D372" s="512">
        <v>3.2023772919E10</v>
      </c>
      <c r="E372" s="606" t="s">
        <v>1234</v>
      </c>
      <c r="F372" s="606" t="s">
        <v>499</v>
      </c>
      <c r="G372" s="606" t="s">
        <v>1235</v>
      </c>
      <c r="H372" s="608" t="s">
        <v>1096</v>
      </c>
    </row>
    <row r="373" hidden="1">
      <c r="A373" s="512" t="s">
        <v>617</v>
      </c>
      <c r="B373" s="512" t="s">
        <v>449</v>
      </c>
      <c r="C373" s="605">
        <v>45734.0</v>
      </c>
      <c r="D373" s="512">
        <v>3.216153695E10</v>
      </c>
      <c r="E373" s="617" t="s">
        <v>1236</v>
      </c>
      <c r="F373" s="606" t="s">
        <v>499</v>
      </c>
      <c r="G373" s="606" t="s">
        <v>634</v>
      </c>
      <c r="H373" s="608" t="s">
        <v>623</v>
      </c>
    </row>
    <row r="374" hidden="1">
      <c r="A374" s="512" t="s">
        <v>432</v>
      </c>
      <c r="B374" s="512" t="s">
        <v>449</v>
      </c>
      <c r="C374" s="605">
        <v>45736.0</v>
      </c>
      <c r="D374" s="512">
        <v>2.8071126503E10</v>
      </c>
      <c r="E374" s="606" t="s">
        <v>1237</v>
      </c>
      <c r="F374" s="606" t="s">
        <v>499</v>
      </c>
      <c r="G374" s="606" t="s">
        <v>1238</v>
      </c>
      <c r="H374" s="608" t="s">
        <v>740</v>
      </c>
    </row>
    <row r="375" hidden="1">
      <c r="A375" s="512" t="s">
        <v>617</v>
      </c>
      <c r="B375" s="512" t="s">
        <v>449</v>
      </c>
      <c r="C375" s="605">
        <v>45736.0</v>
      </c>
      <c r="D375" s="512">
        <v>2.6649008694E10</v>
      </c>
      <c r="E375" s="606" t="s">
        <v>1239</v>
      </c>
      <c r="F375" s="606" t="s">
        <v>436</v>
      </c>
      <c r="G375" s="606" t="s">
        <v>1240</v>
      </c>
      <c r="H375" s="608" t="s">
        <v>1096</v>
      </c>
    </row>
    <row r="376" hidden="1">
      <c r="A376" s="512" t="s">
        <v>432</v>
      </c>
      <c r="B376" s="512" t="s">
        <v>449</v>
      </c>
      <c r="C376" s="605">
        <v>45736.0</v>
      </c>
      <c r="D376" s="512">
        <v>3.1678992334E10</v>
      </c>
      <c r="E376" s="606" t="s">
        <v>1241</v>
      </c>
      <c r="F376" s="606" t="s">
        <v>499</v>
      </c>
      <c r="G376" s="606" t="s">
        <v>1242</v>
      </c>
      <c r="H376" s="608" t="s">
        <v>740</v>
      </c>
    </row>
    <row r="377" hidden="1">
      <c r="A377" s="512" t="s">
        <v>432</v>
      </c>
      <c r="B377" s="512" t="s">
        <v>449</v>
      </c>
      <c r="C377" s="605">
        <v>45736.0</v>
      </c>
      <c r="D377" s="512">
        <v>3.0443588206E10</v>
      </c>
      <c r="E377" s="606" t="s">
        <v>1243</v>
      </c>
      <c r="F377" s="606" t="s">
        <v>499</v>
      </c>
      <c r="G377" s="606" t="s">
        <v>1244</v>
      </c>
      <c r="H377" s="608" t="s">
        <v>1245</v>
      </c>
    </row>
    <row r="378" hidden="1">
      <c r="A378" s="512" t="s">
        <v>432</v>
      </c>
      <c r="B378" s="512" t="s">
        <v>449</v>
      </c>
      <c r="C378" s="605">
        <v>45736.0</v>
      </c>
      <c r="D378" s="512">
        <v>3.0526766105E10</v>
      </c>
      <c r="E378" s="606" t="s">
        <v>1246</v>
      </c>
      <c r="F378" s="606" t="s">
        <v>499</v>
      </c>
      <c r="G378" s="606" t="s">
        <v>1247</v>
      </c>
      <c r="H378" s="608" t="s">
        <v>740</v>
      </c>
    </row>
    <row r="379" hidden="1">
      <c r="A379" s="512" t="s">
        <v>1026</v>
      </c>
      <c r="B379" s="512" t="s">
        <v>1248</v>
      </c>
      <c r="C379" s="512" t="s">
        <v>1249</v>
      </c>
      <c r="D379" s="512">
        <v>2.31319788E8</v>
      </c>
      <c r="E379" s="606" t="s">
        <v>1250</v>
      </c>
      <c r="F379" s="606" t="s">
        <v>436</v>
      </c>
      <c r="G379" s="606" t="s">
        <v>1118</v>
      </c>
      <c r="H379" s="608" t="s">
        <v>1175</v>
      </c>
    </row>
    <row r="380" hidden="1">
      <c r="A380" s="512" t="s">
        <v>432</v>
      </c>
      <c r="B380" s="512" t="s">
        <v>449</v>
      </c>
      <c r="C380" s="605">
        <v>45737.0</v>
      </c>
      <c r="D380" s="512">
        <v>3.1085797547E10</v>
      </c>
      <c r="E380" s="606" t="s">
        <v>1251</v>
      </c>
      <c r="F380" s="606" t="s">
        <v>436</v>
      </c>
      <c r="G380" s="606" t="s">
        <v>1252</v>
      </c>
      <c r="H380" s="608" t="s">
        <v>696</v>
      </c>
    </row>
    <row r="381" hidden="1">
      <c r="A381" s="512" t="s">
        <v>432</v>
      </c>
      <c r="B381" s="512" t="s">
        <v>433</v>
      </c>
      <c r="C381" s="605">
        <v>45737.0</v>
      </c>
      <c r="D381" s="512">
        <v>2.7920566926E10</v>
      </c>
      <c r="E381" s="606" t="s">
        <v>1253</v>
      </c>
      <c r="F381" s="606" t="s">
        <v>436</v>
      </c>
      <c r="G381" s="606" t="s">
        <v>1254</v>
      </c>
      <c r="H381" s="608" t="s">
        <v>696</v>
      </c>
    </row>
    <row r="382" hidden="1">
      <c r="A382" s="512" t="s">
        <v>432</v>
      </c>
      <c r="B382" s="512" t="s">
        <v>433</v>
      </c>
      <c r="C382" s="605">
        <v>45737.0</v>
      </c>
      <c r="D382" s="512" t="s">
        <v>1255</v>
      </c>
      <c r="E382" s="606" t="s">
        <v>1256</v>
      </c>
      <c r="F382" s="606" t="s">
        <v>436</v>
      </c>
      <c r="G382" s="606" t="s">
        <v>1257</v>
      </c>
      <c r="H382" s="608" t="s">
        <v>696</v>
      </c>
    </row>
    <row r="383" hidden="1">
      <c r="A383" s="512" t="s">
        <v>432</v>
      </c>
      <c r="B383" s="512" t="s">
        <v>433</v>
      </c>
      <c r="C383" s="605">
        <v>45737.0</v>
      </c>
      <c r="D383" s="512">
        <v>3.105758085E10</v>
      </c>
      <c r="E383" s="606" t="s">
        <v>1258</v>
      </c>
      <c r="F383" s="606" t="s">
        <v>436</v>
      </c>
      <c r="G383" s="606" t="s">
        <v>1259</v>
      </c>
      <c r="H383" s="608" t="s">
        <v>696</v>
      </c>
    </row>
    <row r="384" hidden="1">
      <c r="A384" s="512" t="s">
        <v>432</v>
      </c>
      <c r="B384" s="512" t="s">
        <v>449</v>
      </c>
      <c r="C384" s="605">
        <v>45738.0</v>
      </c>
      <c r="D384" s="512">
        <v>3.211984221E10</v>
      </c>
      <c r="E384" s="606" t="s">
        <v>1260</v>
      </c>
      <c r="F384" s="606" t="s">
        <v>436</v>
      </c>
      <c r="G384" s="606" t="s">
        <v>1261</v>
      </c>
      <c r="H384" s="608" t="s">
        <v>696</v>
      </c>
    </row>
    <row r="385" hidden="1">
      <c r="A385" s="512" t="s">
        <v>432</v>
      </c>
      <c r="B385" s="512" t="s">
        <v>449</v>
      </c>
      <c r="C385" s="605">
        <v>45738.0</v>
      </c>
      <c r="D385" s="512">
        <v>3.2119842218E10</v>
      </c>
      <c r="E385" s="606" t="s">
        <v>1260</v>
      </c>
      <c r="F385" s="606" t="s">
        <v>436</v>
      </c>
      <c r="G385" s="606" t="s">
        <v>1261</v>
      </c>
      <c r="H385" s="608" t="s">
        <v>696</v>
      </c>
    </row>
    <row r="386" hidden="1">
      <c r="A386" s="512" t="s">
        <v>432</v>
      </c>
      <c r="B386" s="512" t="s">
        <v>449</v>
      </c>
      <c r="C386" s="605">
        <v>45738.0</v>
      </c>
      <c r="D386" s="512">
        <v>3.0161905447E10</v>
      </c>
      <c r="E386" s="606" t="s">
        <v>1262</v>
      </c>
      <c r="F386" s="606" t="s">
        <v>436</v>
      </c>
      <c r="G386" s="606" t="s">
        <v>1263</v>
      </c>
      <c r="H386" s="608" t="s">
        <v>696</v>
      </c>
    </row>
    <row r="387" hidden="1">
      <c r="A387" s="512" t="s">
        <v>432</v>
      </c>
      <c r="B387" s="512" t="s">
        <v>449</v>
      </c>
      <c r="C387" s="605">
        <v>45738.0</v>
      </c>
      <c r="D387" s="512">
        <v>3.0656835456E10</v>
      </c>
      <c r="E387" s="606" t="s">
        <v>1264</v>
      </c>
      <c r="F387" s="606" t="s">
        <v>436</v>
      </c>
      <c r="G387" s="606" t="s">
        <v>1265</v>
      </c>
      <c r="H387" s="608" t="s">
        <v>696</v>
      </c>
    </row>
    <row r="388" hidden="1">
      <c r="A388" s="512" t="s">
        <v>617</v>
      </c>
      <c r="B388" s="512" t="s">
        <v>449</v>
      </c>
      <c r="C388" s="605">
        <v>45738.0</v>
      </c>
      <c r="D388" s="512">
        <v>2.8935925997E10</v>
      </c>
      <c r="E388" s="617" t="s">
        <v>1266</v>
      </c>
      <c r="F388" s="606" t="s">
        <v>436</v>
      </c>
      <c r="G388" s="606" t="s">
        <v>1267</v>
      </c>
      <c r="H388" s="608" t="s">
        <v>623</v>
      </c>
    </row>
    <row r="389" hidden="1">
      <c r="A389" s="512" t="s">
        <v>617</v>
      </c>
      <c r="B389" s="512" t="s">
        <v>449</v>
      </c>
      <c r="C389" s="605">
        <v>45738.0</v>
      </c>
      <c r="D389" s="512">
        <v>1.4526121939E10</v>
      </c>
      <c r="E389" s="617" t="s">
        <v>1268</v>
      </c>
      <c r="F389" s="606" t="s">
        <v>436</v>
      </c>
      <c r="G389" s="606" t="s">
        <v>1269</v>
      </c>
      <c r="H389" s="608" t="s">
        <v>623</v>
      </c>
    </row>
    <row r="390" hidden="1">
      <c r="A390" s="512" t="s">
        <v>617</v>
      </c>
      <c r="B390" s="512" t="s">
        <v>1270</v>
      </c>
      <c r="C390" s="626">
        <v>45738.0</v>
      </c>
      <c r="D390" s="512">
        <v>2.3542900518E10</v>
      </c>
      <c r="E390" s="617" t="s">
        <v>1271</v>
      </c>
      <c r="F390" s="606" t="s">
        <v>436</v>
      </c>
      <c r="G390" s="606" t="s">
        <v>1272</v>
      </c>
      <c r="H390" s="608" t="s">
        <v>623</v>
      </c>
    </row>
    <row r="391" hidden="1">
      <c r="A391" s="512" t="s">
        <v>439</v>
      </c>
      <c r="B391" s="512" t="s">
        <v>449</v>
      </c>
      <c r="C391" s="605">
        <v>45740.0</v>
      </c>
      <c r="D391" s="512">
        <v>2.6768844631E10</v>
      </c>
      <c r="E391" s="606" t="s">
        <v>1273</v>
      </c>
      <c r="F391" s="606" t="s">
        <v>499</v>
      </c>
      <c r="G391" s="606" t="s">
        <v>1274</v>
      </c>
      <c r="H391" s="608" t="s">
        <v>901</v>
      </c>
    </row>
    <row r="392" hidden="1">
      <c r="A392" s="512" t="s">
        <v>432</v>
      </c>
      <c r="B392" s="512" t="s">
        <v>449</v>
      </c>
      <c r="C392" s="605">
        <v>45740.0</v>
      </c>
      <c r="D392" s="512">
        <v>2.7948258369E10</v>
      </c>
      <c r="E392" s="606" t="s">
        <v>1275</v>
      </c>
      <c r="F392" s="606" t="s">
        <v>436</v>
      </c>
      <c r="G392" s="606" t="s">
        <v>1276</v>
      </c>
      <c r="H392" s="608" t="s">
        <v>496</v>
      </c>
    </row>
    <row r="393" hidden="1">
      <c r="A393" s="512" t="s">
        <v>432</v>
      </c>
      <c r="B393" s="512" t="s">
        <v>646</v>
      </c>
      <c r="C393" s="605">
        <v>45740.0</v>
      </c>
      <c r="D393" s="512">
        <v>2.8351059514E10</v>
      </c>
      <c r="E393" s="606" t="s">
        <v>1277</v>
      </c>
      <c r="F393" s="606" t="s">
        <v>499</v>
      </c>
      <c r="G393" s="606" t="s">
        <v>913</v>
      </c>
      <c r="H393" s="608" t="s">
        <v>740</v>
      </c>
    </row>
    <row r="394" hidden="1">
      <c r="A394" s="512" t="s">
        <v>432</v>
      </c>
      <c r="B394" s="512" t="s">
        <v>646</v>
      </c>
      <c r="C394" s="605">
        <v>45740.0</v>
      </c>
      <c r="D394" s="512">
        <v>2.8132907081E10</v>
      </c>
      <c r="E394" s="606" t="s">
        <v>1278</v>
      </c>
      <c r="F394" s="606" t="s">
        <v>499</v>
      </c>
      <c r="G394" s="606" t="s">
        <v>1279</v>
      </c>
      <c r="H394" s="608" t="s">
        <v>740</v>
      </c>
    </row>
    <row r="395" hidden="1">
      <c r="A395" s="512" t="s">
        <v>439</v>
      </c>
      <c r="B395" s="512" t="s">
        <v>646</v>
      </c>
      <c r="C395" s="605">
        <v>45741.0</v>
      </c>
      <c r="D395" s="512">
        <v>2.8942847829E10</v>
      </c>
      <c r="E395" s="617" t="s">
        <v>1280</v>
      </c>
      <c r="F395" s="606" t="s">
        <v>499</v>
      </c>
      <c r="G395" s="606" t="s">
        <v>1281</v>
      </c>
      <c r="H395" s="608" t="s">
        <v>850</v>
      </c>
    </row>
    <row r="396" hidden="1">
      <c r="A396" s="512" t="s">
        <v>1026</v>
      </c>
      <c r="B396" s="512" t="s">
        <v>646</v>
      </c>
      <c r="C396" s="605">
        <v>45741.0</v>
      </c>
      <c r="D396" s="512">
        <v>2.24941722E8</v>
      </c>
      <c r="E396" s="617" t="s">
        <v>1282</v>
      </c>
      <c r="F396" s="606" t="s">
        <v>499</v>
      </c>
      <c r="G396" s="606" t="s">
        <v>1283</v>
      </c>
      <c r="H396" s="608" t="s">
        <v>1175</v>
      </c>
    </row>
    <row r="397" hidden="1">
      <c r="A397" s="512" t="s">
        <v>1026</v>
      </c>
      <c r="B397" s="512" t="s">
        <v>646</v>
      </c>
      <c r="C397" s="605">
        <v>45741.0</v>
      </c>
      <c r="D397" s="512">
        <v>2.80704159E8</v>
      </c>
      <c r="E397" s="617" t="s">
        <v>1284</v>
      </c>
      <c r="F397" s="606" t="s">
        <v>499</v>
      </c>
      <c r="G397" s="606" t="s">
        <v>1285</v>
      </c>
      <c r="H397" s="608" t="s">
        <v>1175</v>
      </c>
    </row>
    <row r="398" hidden="1">
      <c r="A398" s="512" t="s">
        <v>1026</v>
      </c>
      <c r="B398" s="512" t="s">
        <v>646</v>
      </c>
      <c r="C398" s="605">
        <v>45742.0</v>
      </c>
      <c r="D398" s="512">
        <v>3.6354656E7</v>
      </c>
      <c r="E398" s="617" t="s">
        <v>1286</v>
      </c>
      <c r="F398" s="606" t="s">
        <v>499</v>
      </c>
      <c r="G398" s="606" t="s">
        <v>1287</v>
      </c>
      <c r="H398" s="608" t="s">
        <v>1175</v>
      </c>
    </row>
    <row r="399" hidden="1">
      <c r="A399" s="512" t="s">
        <v>432</v>
      </c>
      <c r="B399" s="512" t="s">
        <v>449</v>
      </c>
      <c r="C399" s="605">
        <v>45742.0</v>
      </c>
      <c r="D399" s="512">
        <v>3.0320380307E10</v>
      </c>
      <c r="E399" s="606" t="s">
        <v>1288</v>
      </c>
      <c r="F399" s="606" t="s">
        <v>436</v>
      </c>
      <c r="G399" s="606" t="s">
        <v>1289</v>
      </c>
      <c r="H399" s="608" t="s">
        <v>696</v>
      </c>
    </row>
    <row r="400" hidden="1">
      <c r="A400" s="512" t="s">
        <v>432</v>
      </c>
      <c r="B400" s="512" t="s">
        <v>449</v>
      </c>
      <c r="C400" s="605">
        <v>45742.0</v>
      </c>
      <c r="D400" s="512">
        <v>3.1210424243E10</v>
      </c>
      <c r="E400" s="606" t="s">
        <v>1290</v>
      </c>
      <c r="F400" s="606" t="s">
        <v>436</v>
      </c>
      <c r="G400" s="606" t="s">
        <v>1291</v>
      </c>
      <c r="H400" s="608" t="s">
        <v>696</v>
      </c>
    </row>
    <row r="401" hidden="1">
      <c r="A401" s="512" t="s">
        <v>432</v>
      </c>
      <c r="B401" s="512" t="s">
        <v>433</v>
      </c>
      <c r="C401" s="605">
        <v>45742.0</v>
      </c>
      <c r="D401" s="512">
        <v>3.1205594309E10</v>
      </c>
      <c r="E401" s="606" t="s">
        <v>1292</v>
      </c>
      <c r="F401" s="606" t="s">
        <v>436</v>
      </c>
      <c r="G401" s="606" t="s">
        <v>1293</v>
      </c>
      <c r="H401" s="608" t="s">
        <v>696</v>
      </c>
    </row>
    <row r="402" hidden="1">
      <c r="A402" s="512" t="s">
        <v>432</v>
      </c>
      <c r="B402" s="512" t="s">
        <v>449</v>
      </c>
      <c r="C402" s="605">
        <v>45742.0</v>
      </c>
      <c r="D402" s="512">
        <v>3.252248491E10</v>
      </c>
      <c r="E402" s="606" t="s">
        <v>1294</v>
      </c>
      <c r="F402" s="606" t="s">
        <v>436</v>
      </c>
      <c r="G402" s="606" t="s">
        <v>1295</v>
      </c>
      <c r="H402" s="608" t="s">
        <v>696</v>
      </c>
    </row>
    <row r="403" hidden="1">
      <c r="A403" s="512" t="s">
        <v>432</v>
      </c>
      <c r="B403" s="512" t="s">
        <v>449</v>
      </c>
      <c r="C403" s="605">
        <v>45742.0</v>
      </c>
      <c r="D403" s="512">
        <v>2.275832031E10</v>
      </c>
      <c r="E403" s="606" t="s">
        <v>1296</v>
      </c>
      <c r="F403" s="606" t="s">
        <v>436</v>
      </c>
      <c r="G403" s="606" t="s">
        <v>1297</v>
      </c>
      <c r="H403" s="608" t="s">
        <v>696</v>
      </c>
    </row>
    <row r="404" hidden="1">
      <c r="A404" s="512" t="s">
        <v>432</v>
      </c>
      <c r="B404" s="512" t="s">
        <v>433</v>
      </c>
      <c r="C404" s="605">
        <v>45742.0</v>
      </c>
      <c r="D404" s="512">
        <v>2.7639093808E10</v>
      </c>
      <c r="E404" s="606" t="s">
        <v>1298</v>
      </c>
      <c r="F404" s="606" t="s">
        <v>436</v>
      </c>
      <c r="G404" s="606" t="s">
        <v>1299</v>
      </c>
      <c r="H404" s="608" t="s">
        <v>696</v>
      </c>
    </row>
    <row r="405" hidden="1">
      <c r="A405" s="512" t="s">
        <v>432</v>
      </c>
      <c r="B405" s="512" t="s">
        <v>1300</v>
      </c>
      <c r="C405" s="605">
        <v>45742.0</v>
      </c>
      <c r="D405" s="512">
        <v>2.8715279073E10</v>
      </c>
      <c r="E405" s="606" t="s">
        <v>1301</v>
      </c>
      <c r="F405" s="606" t="s">
        <v>436</v>
      </c>
      <c r="G405" s="606" t="s">
        <v>1302</v>
      </c>
      <c r="H405" s="608" t="s">
        <v>696</v>
      </c>
    </row>
    <row r="406" hidden="1">
      <c r="A406" s="512" t="s">
        <v>432</v>
      </c>
      <c r="B406" s="512" t="s">
        <v>433</v>
      </c>
      <c r="C406" s="605">
        <v>45742.0</v>
      </c>
      <c r="D406" s="512">
        <v>2.8782933985E10</v>
      </c>
      <c r="E406" s="606" t="s">
        <v>1303</v>
      </c>
      <c r="F406" s="606" t="s">
        <v>436</v>
      </c>
      <c r="G406" s="606" t="s">
        <v>1304</v>
      </c>
      <c r="H406" s="608" t="s">
        <v>696</v>
      </c>
    </row>
    <row r="407" hidden="1">
      <c r="A407" s="512" t="s">
        <v>432</v>
      </c>
      <c r="B407" s="512" t="s">
        <v>433</v>
      </c>
      <c r="C407" s="605">
        <v>45742.0</v>
      </c>
      <c r="D407" s="512">
        <v>2.9710381263E10</v>
      </c>
      <c r="E407" s="606" t="s">
        <v>1305</v>
      </c>
      <c r="F407" s="606" t="s">
        <v>436</v>
      </c>
      <c r="G407" s="606" t="s">
        <v>1306</v>
      </c>
      <c r="H407" s="608" t="s">
        <v>696</v>
      </c>
    </row>
    <row r="408" hidden="1">
      <c r="A408" s="512" t="s">
        <v>439</v>
      </c>
      <c r="B408" s="512" t="s">
        <v>1300</v>
      </c>
      <c r="C408" s="605">
        <v>45742.0</v>
      </c>
      <c r="D408" s="512">
        <v>2.1994106192E10</v>
      </c>
      <c r="E408" s="617" t="s">
        <v>1307</v>
      </c>
      <c r="F408" s="606" t="s">
        <v>436</v>
      </c>
      <c r="G408" s="606" t="s">
        <v>1308</v>
      </c>
      <c r="H408" s="608" t="s">
        <v>850</v>
      </c>
    </row>
    <row r="409" hidden="1">
      <c r="A409" s="512" t="s">
        <v>432</v>
      </c>
      <c r="B409" s="512" t="s">
        <v>449</v>
      </c>
      <c r="C409" s="605">
        <v>45742.0</v>
      </c>
      <c r="D409" s="512">
        <v>2.7598317874E10</v>
      </c>
      <c r="E409" s="606" t="s">
        <v>1309</v>
      </c>
      <c r="F409" s="606" t="s">
        <v>436</v>
      </c>
      <c r="G409" s="606" t="s">
        <v>1310</v>
      </c>
      <c r="H409" s="608" t="s">
        <v>696</v>
      </c>
    </row>
    <row r="410" hidden="1">
      <c r="A410" s="512" t="s">
        <v>432</v>
      </c>
      <c r="B410" s="512" t="s">
        <v>1311</v>
      </c>
      <c r="C410" s="605">
        <v>45804.0</v>
      </c>
      <c r="D410" s="512">
        <v>3.1206711123E10</v>
      </c>
      <c r="E410" s="606" t="s">
        <v>1312</v>
      </c>
      <c r="F410" s="606" t="s">
        <v>436</v>
      </c>
      <c r="G410" s="606" t="s">
        <v>1313</v>
      </c>
      <c r="H410" s="608" t="s">
        <v>1314</v>
      </c>
    </row>
    <row r="411" hidden="1">
      <c r="A411" s="512" t="s">
        <v>432</v>
      </c>
      <c r="B411" s="512" t="s">
        <v>433</v>
      </c>
      <c r="C411" s="605">
        <v>45804.0</v>
      </c>
      <c r="D411" s="512">
        <v>3.0074173971E10</v>
      </c>
      <c r="E411" s="606" t="s">
        <v>1315</v>
      </c>
      <c r="F411" s="606" t="s">
        <v>436</v>
      </c>
      <c r="G411" s="606" t="s">
        <v>1316</v>
      </c>
      <c r="H411" s="608" t="s">
        <v>1314</v>
      </c>
    </row>
    <row r="412" hidden="1">
      <c r="A412" s="512" t="s">
        <v>432</v>
      </c>
      <c r="B412" s="512" t="s">
        <v>1311</v>
      </c>
      <c r="C412" s="605">
        <v>45804.0</v>
      </c>
      <c r="D412" s="512">
        <v>3.2523036359E10</v>
      </c>
      <c r="E412" s="617" t="s">
        <v>1317</v>
      </c>
      <c r="F412" s="606" t="s">
        <v>436</v>
      </c>
      <c r="G412" s="606" t="s">
        <v>1318</v>
      </c>
      <c r="H412" s="608" t="s">
        <v>1314</v>
      </c>
    </row>
    <row r="413" hidden="1">
      <c r="A413" s="512" t="s">
        <v>617</v>
      </c>
      <c r="B413" s="512" t="s">
        <v>1311</v>
      </c>
      <c r="C413" s="605">
        <v>45804.0</v>
      </c>
      <c r="D413" s="512">
        <v>2.9736741863E10</v>
      </c>
      <c r="E413" s="617" t="s">
        <v>1319</v>
      </c>
      <c r="F413" s="606" t="s">
        <v>436</v>
      </c>
      <c r="G413" s="606" t="s">
        <v>1320</v>
      </c>
      <c r="H413" s="608" t="s">
        <v>623</v>
      </c>
    </row>
    <row r="414" hidden="1">
      <c r="A414" s="561" t="s">
        <v>432</v>
      </c>
      <c r="B414" s="512" t="s">
        <v>449</v>
      </c>
      <c r="C414" s="605">
        <v>45744.0</v>
      </c>
      <c r="D414" s="512">
        <v>2.6422385501E10</v>
      </c>
      <c r="E414" s="606" t="s">
        <v>1321</v>
      </c>
      <c r="F414" s="606" t="s">
        <v>436</v>
      </c>
      <c r="G414" s="606" t="s">
        <v>1322</v>
      </c>
      <c r="H414" s="608" t="s">
        <v>1175</v>
      </c>
    </row>
    <row r="415" hidden="1">
      <c r="A415" s="512" t="s">
        <v>617</v>
      </c>
      <c r="B415" s="512" t="s">
        <v>449</v>
      </c>
      <c r="C415" s="605">
        <v>45744.0</v>
      </c>
      <c r="D415" s="512">
        <v>3.1223073777E10</v>
      </c>
      <c r="E415" s="606" t="s">
        <v>1323</v>
      </c>
      <c r="F415" s="606" t="s">
        <v>436</v>
      </c>
      <c r="G415" s="606" t="s">
        <v>1324</v>
      </c>
      <c r="H415" s="608" t="s">
        <v>1096</v>
      </c>
    </row>
    <row r="416" hidden="1">
      <c r="A416" s="512" t="s">
        <v>617</v>
      </c>
      <c r="B416" s="512" t="s">
        <v>992</v>
      </c>
      <c r="C416" s="605">
        <v>45746.0</v>
      </c>
      <c r="D416" s="512">
        <v>3.2666492149E10</v>
      </c>
      <c r="E416" s="617" t="s">
        <v>1325</v>
      </c>
      <c r="F416" s="606" t="s">
        <v>518</v>
      </c>
      <c r="G416" s="606" t="s">
        <v>634</v>
      </c>
      <c r="H416" s="608" t="s">
        <v>1054</v>
      </c>
    </row>
    <row r="417" hidden="1">
      <c r="A417" s="512" t="s">
        <v>439</v>
      </c>
      <c r="B417" s="512" t="s">
        <v>449</v>
      </c>
      <c r="C417" s="605">
        <v>45746.0</v>
      </c>
      <c r="D417" s="512">
        <v>3.1087883698E10</v>
      </c>
      <c r="E417" s="617" t="s">
        <v>1326</v>
      </c>
      <c r="F417" s="606" t="s">
        <v>518</v>
      </c>
      <c r="G417" s="606" t="s">
        <v>1327</v>
      </c>
      <c r="H417" s="608" t="s">
        <v>850</v>
      </c>
    </row>
    <row r="418" hidden="1">
      <c r="A418" s="512" t="s">
        <v>617</v>
      </c>
      <c r="B418" s="512" t="s">
        <v>992</v>
      </c>
      <c r="C418" s="605">
        <v>45746.0</v>
      </c>
      <c r="D418" s="512">
        <v>1.511096972E10</v>
      </c>
      <c r="E418" s="617" t="s">
        <v>1328</v>
      </c>
      <c r="F418" s="606" t="s">
        <v>518</v>
      </c>
      <c r="G418" s="606" t="s">
        <v>1329</v>
      </c>
      <c r="H418" s="608" t="s">
        <v>1054</v>
      </c>
    </row>
    <row r="419" hidden="1">
      <c r="A419" s="512" t="s">
        <v>432</v>
      </c>
      <c r="B419" s="512" t="s">
        <v>449</v>
      </c>
      <c r="C419" s="605">
        <v>45746.0</v>
      </c>
      <c r="D419" s="512">
        <v>2.8934698838E10</v>
      </c>
      <c r="E419" s="606" t="s">
        <v>1330</v>
      </c>
      <c r="F419" s="606" t="s">
        <v>436</v>
      </c>
      <c r="G419" s="606" t="s">
        <v>1331</v>
      </c>
      <c r="H419" s="608" t="s">
        <v>696</v>
      </c>
    </row>
    <row r="420" hidden="1">
      <c r="A420" s="512" t="s">
        <v>432</v>
      </c>
      <c r="B420" s="512" t="s">
        <v>1332</v>
      </c>
      <c r="C420" s="605">
        <v>45746.0</v>
      </c>
      <c r="D420" s="512">
        <v>2.1957524926E10</v>
      </c>
      <c r="E420" s="606" t="s">
        <v>1333</v>
      </c>
      <c r="F420" s="606" t="s">
        <v>436</v>
      </c>
      <c r="G420" s="606" t="s">
        <v>627</v>
      </c>
      <c r="H420" s="608" t="s">
        <v>696</v>
      </c>
    </row>
    <row r="421" hidden="1">
      <c r="A421" s="512" t="s">
        <v>432</v>
      </c>
      <c r="B421" s="512" t="s">
        <v>1332</v>
      </c>
      <c r="C421" s="641">
        <v>45747.0</v>
      </c>
      <c r="D421" s="512">
        <v>1.511097003E10</v>
      </c>
      <c r="E421" s="606" t="s">
        <v>1334</v>
      </c>
      <c r="F421" s="606" t="s">
        <v>436</v>
      </c>
      <c r="G421" s="606" t="s">
        <v>1335</v>
      </c>
      <c r="H421" s="608" t="s">
        <v>1314</v>
      </c>
    </row>
    <row r="422" hidden="1">
      <c r="A422" s="512" t="s">
        <v>432</v>
      </c>
      <c r="B422" s="512" t="s">
        <v>449</v>
      </c>
      <c r="C422" s="641">
        <v>45747.0</v>
      </c>
      <c r="D422" s="512">
        <v>2.8377914767E10</v>
      </c>
      <c r="E422" s="606" t="s">
        <v>1336</v>
      </c>
      <c r="F422" s="606" t="s">
        <v>436</v>
      </c>
      <c r="G422" s="606" t="s">
        <v>1337</v>
      </c>
      <c r="H422" s="608" t="s">
        <v>1314</v>
      </c>
    </row>
    <row r="423" hidden="1">
      <c r="A423" s="512" t="s">
        <v>617</v>
      </c>
      <c r="B423" s="512" t="s">
        <v>680</v>
      </c>
      <c r="C423" s="605">
        <v>45747.0</v>
      </c>
      <c r="D423" s="512">
        <v>3.1142788153E10</v>
      </c>
      <c r="E423" s="617" t="s">
        <v>1338</v>
      </c>
      <c r="F423" s="606" t="s">
        <v>518</v>
      </c>
      <c r="G423" s="606" t="s">
        <v>1339</v>
      </c>
      <c r="H423" s="608" t="s">
        <v>1054</v>
      </c>
    </row>
    <row r="424" hidden="1">
      <c r="A424" s="512" t="s">
        <v>432</v>
      </c>
      <c r="B424" s="512" t="s">
        <v>680</v>
      </c>
      <c r="C424" s="605">
        <v>45747.0</v>
      </c>
      <c r="D424" s="512">
        <v>2.41751014E8</v>
      </c>
      <c r="E424" s="617" t="s">
        <v>1340</v>
      </c>
      <c r="F424" s="606" t="s">
        <v>436</v>
      </c>
      <c r="G424" s="606" t="s">
        <v>1341</v>
      </c>
      <c r="H424" s="608" t="s">
        <v>1175</v>
      </c>
    </row>
    <row r="425" hidden="1">
      <c r="A425" s="512" t="s">
        <v>432</v>
      </c>
      <c r="B425" s="512" t="s">
        <v>680</v>
      </c>
      <c r="C425" s="605">
        <v>45747.0</v>
      </c>
      <c r="D425" s="512">
        <v>1.53498759E8</v>
      </c>
      <c r="E425" s="617" t="s">
        <v>1342</v>
      </c>
      <c r="F425" s="606" t="s">
        <v>518</v>
      </c>
      <c r="G425" s="606" t="s">
        <v>1343</v>
      </c>
      <c r="H425" s="608" t="s">
        <v>1175</v>
      </c>
    </row>
    <row r="426" hidden="1">
      <c r="A426" s="512" t="s">
        <v>432</v>
      </c>
      <c r="B426" s="512" t="s">
        <v>680</v>
      </c>
      <c r="C426" s="605">
        <v>45747.0</v>
      </c>
      <c r="D426" s="512">
        <v>3.38612744E8</v>
      </c>
      <c r="E426" s="617" t="s">
        <v>1344</v>
      </c>
      <c r="F426" s="606" t="s">
        <v>436</v>
      </c>
      <c r="G426" s="606" t="s">
        <v>1345</v>
      </c>
      <c r="H426" s="608" t="s">
        <v>1175</v>
      </c>
    </row>
    <row r="427" hidden="1">
      <c r="A427" s="512" t="s">
        <v>432</v>
      </c>
      <c r="B427" s="512" t="s">
        <v>680</v>
      </c>
      <c r="C427" s="605">
        <v>45747.0</v>
      </c>
      <c r="D427" s="512">
        <v>2.5216197E8</v>
      </c>
      <c r="E427" s="617" t="s">
        <v>1346</v>
      </c>
      <c r="F427" s="606" t="s">
        <v>436</v>
      </c>
      <c r="G427" s="606" t="s">
        <v>1347</v>
      </c>
      <c r="H427" s="608" t="s">
        <v>1175</v>
      </c>
    </row>
    <row r="428">
      <c r="A428" s="512" t="s">
        <v>617</v>
      </c>
      <c r="B428" s="512" t="s">
        <v>449</v>
      </c>
      <c r="C428" s="618">
        <v>45667.0</v>
      </c>
      <c r="D428" s="546">
        <v>4.2151731635E10</v>
      </c>
      <c r="E428" s="642" t="s">
        <v>1348</v>
      </c>
      <c r="F428" s="135" t="s">
        <v>436</v>
      </c>
      <c r="G428" s="619" t="s">
        <v>1349</v>
      </c>
      <c r="H428" s="629" t="s">
        <v>1175</v>
      </c>
    </row>
    <row r="429" hidden="1">
      <c r="A429" s="512" t="s">
        <v>432</v>
      </c>
      <c r="B429" s="512" t="s">
        <v>433</v>
      </c>
      <c r="C429" s="605">
        <v>45748.0</v>
      </c>
      <c r="D429" s="512">
        <v>1.2842897783E10</v>
      </c>
      <c r="E429" s="606" t="s">
        <v>1350</v>
      </c>
      <c r="F429" s="606" t="s">
        <v>436</v>
      </c>
      <c r="G429" s="606" t="s">
        <v>1351</v>
      </c>
      <c r="H429" s="608" t="s">
        <v>1314</v>
      </c>
    </row>
    <row r="430" hidden="1">
      <c r="A430" s="512" t="s">
        <v>432</v>
      </c>
      <c r="B430" s="512" t="s">
        <v>433</v>
      </c>
      <c r="C430" s="605">
        <v>45749.0</v>
      </c>
      <c r="D430" s="512">
        <v>3.1402220637E10</v>
      </c>
      <c r="E430" s="606" t="s">
        <v>1352</v>
      </c>
      <c r="F430" s="606" t="s">
        <v>436</v>
      </c>
      <c r="G430" s="606" t="s">
        <v>1353</v>
      </c>
      <c r="H430" s="608" t="s">
        <v>901</v>
      </c>
    </row>
    <row r="431" hidden="1">
      <c r="A431" s="512" t="s">
        <v>432</v>
      </c>
      <c r="B431" s="512" t="s">
        <v>433</v>
      </c>
      <c r="C431" s="605">
        <v>45749.0</v>
      </c>
      <c r="D431" s="512">
        <v>3.1402220657E10</v>
      </c>
      <c r="E431" s="606" t="s">
        <v>1352</v>
      </c>
      <c r="F431" s="606" t="s">
        <v>436</v>
      </c>
      <c r="G431" s="606" t="s">
        <v>1353</v>
      </c>
      <c r="H431" s="608" t="s">
        <v>901</v>
      </c>
    </row>
    <row r="432" hidden="1">
      <c r="A432" s="512" t="s">
        <v>432</v>
      </c>
      <c r="B432" s="512" t="s">
        <v>433</v>
      </c>
      <c r="C432" s="605">
        <v>45749.0</v>
      </c>
      <c r="D432" s="512">
        <v>3.1327919011E10</v>
      </c>
      <c r="E432" s="606" t="s">
        <v>1354</v>
      </c>
      <c r="F432" s="606" t="s">
        <v>436</v>
      </c>
      <c r="G432" s="606" t="s">
        <v>1355</v>
      </c>
      <c r="H432" s="608" t="s">
        <v>901</v>
      </c>
    </row>
    <row r="433" hidden="1">
      <c r="A433" s="512" t="s">
        <v>432</v>
      </c>
      <c r="B433" s="512" t="s">
        <v>433</v>
      </c>
      <c r="C433" s="605">
        <v>45749.0</v>
      </c>
      <c r="D433" s="512">
        <v>2.9706728915E10</v>
      </c>
      <c r="E433" s="606" t="s">
        <v>1356</v>
      </c>
      <c r="F433" s="606" t="s">
        <v>436</v>
      </c>
      <c r="G433" s="606" t="s">
        <v>1357</v>
      </c>
      <c r="H433" s="608" t="s">
        <v>901</v>
      </c>
    </row>
    <row r="434" hidden="1">
      <c r="A434" s="512" t="s">
        <v>432</v>
      </c>
      <c r="B434" s="512" t="s">
        <v>433</v>
      </c>
      <c r="C434" s="605">
        <v>45749.0</v>
      </c>
      <c r="D434" s="512">
        <v>2.5211807556E10</v>
      </c>
      <c r="E434" s="606" t="s">
        <v>1358</v>
      </c>
      <c r="F434" s="606" t="s">
        <v>436</v>
      </c>
      <c r="G434" s="606" t="s">
        <v>1359</v>
      </c>
      <c r="H434" s="608" t="s">
        <v>901</v>
      </c>
    </row>
    <row r="435" hidden="1">
      <c r="A435" s="512" t="s">
        <v>1026</v>
      </c>
      <c r="B435" s="512" t="s">
        <v>433</v>
      </c>
      <c r="C435" s="605">
        <v>45749.0</v>
      </c>
      <c r="D435" s="512">
        <v>2.9617552719E10</v>
      </c>
      <c r="E435" s="617" t="s">
        <v>1360</v>
      </c>
      <c r="F435" s="606" t="s">
        <v>436</v>
      </c>
      <c r="G435" s="643" t="s">
        <v>1361</v>
      </c>
      <c r="H435" s="608" t="s">
        <v>1362</v>
      </c>
    </row>
    <row r="436" hidden="1">
      <c r="A436" s="644" t="s">
        <v>439</v>
      </c>
      <c r="B436" s="512" t="s">
        <v>680</v>
      </c>
      <c r="C436" s="605">
        <v>45750.0</v>
      </c>
      <c r="D436" s="512">
        <v>2.773765736E10</v>
      </c>
      <c r="E436" s="617" t="s">
        <v>1363</v>
      </c>
      <c r="F436" s="606" t="s">
        <v>436</v>
      </c>
      <c r="G436" s="606" t="s">
        <v>1364</v>
      </c>
      <c r="H436" s="608" t="s">
        <v>850</v>
      </c>
    </row>
    <row r="437" hidden="1">
      <c r="A437" s="512" t="s">
        <v>432</v>
      </c>
      <c r="B437" s="512" t="s">
        <v>433</v>
      </c>
      <c r="C437" s="605">
        <v>45750.0</v>
      </c>
      <c r="D437" s="512">
        <v>2.6113273304E10</v>
      </c>
      <c r="E437" s="606" t="s">
        <v>1365</v>
      </c>
      <c r="F437" s="606" t="s">
        <v>436</v>
      </c>
      <c r="G437" s="606" t="s">
        <v>1366</v>
      </c>
      <c r="H437" s="608" t="s">
        <v>696</v>
      </c>
    </row>
    <row r="438" hidden="1">
      <c r="A438" s="512" t="s">
        <v>432</v>
      </c>
      <c r="B438" s="512" t="s">
        <v>449</v>
      </c>
      <c r="C438" s="605">
        <v>45751.0</v>
      </c>
      <c r="D438" s="512">
        <v>2.5423841622E10</v>
      </c>
      <c r="E438" s="606" t="s">
        <v>1367</v>
      </c>
      <c r="F438" s="606" t="s">
        <v>436</v>
      </c>
      <c r="G438" s="606" t="s">
        <v>1368</v>
      </c>
      <c r="H438" s="608" t="s">
        <v>696</v>
      </c>
    </row>
    <row r="439" hidden="1">
      <c r="A439" s="512" t="s">
        <v>432</v>
      </c>
      <c r="B439" s="512" t="s">
        <v>449</v>
      </c>
      <c r="C439" s="605">
        <v>45751.0</v>
      </c>
      <c r="D439" s="512">
        <v>2.7045039178E10</v>
      </c>
      <c r="E439" s="606" t="s">
        <v>1369</v>
      </c>
      <c r="F439" s="606" t="s">
        <v>436</v>
      </c>
      <c r="G439" s="606" t="s">
        <v>1370</v>
      </c>
      <c r="H439" s="608" t="s">
        <v>696</v>
      </c>
    </row>
    <row r="440" hidden="1">
      <c r="A440" s="512" t="s">
        <v>432</v>
      </c>
      <c r="B440" s="512" t="s">
        <v>449</v>
      </c>
      <c r="C440" s="605">
        <v>45751.0</v>
      </c>
      <c r="D440" s="512">
        <v>3.1034663417E10</v>
      </c>
      <c r="E440" s="606" t="s">
        <v>1371</v>
      </c>
      <c r="F440" s="606" t="s">
        <v>436</v>
      </c>
      <c r="G440" s="606" t="s">
        <v>1372</v>
      </c>
      <c r="H440" s="608" t="s">
        <v>696</v>
      </c>
    </row>
    <row r="441" hidden="1">
      <c r="A441" s="512" t="s">
        <v>439</v>
      </c>
      <c r="B441" s="512" t="s">
        <v>680</v>
      </c>
      <c r="C441" s="605">
        <v>45753.0</v>
      </c>
      <c r="D441" s="512">
        <v>2.3839918054E10</v>
      </c>
      <c r="E441" s="617" t="s">
        <v>1373</v>
      </c>
      <c r="F441" s="606" t="s">
        <v>518</v>
      </c>
      <c r="G441" s="606" t="s">
        <v>1374</v>
      </c>
      <c r="H441" s="608" t="s">
        <v>1054</v>
      </c>
    </row>
    <row r="442" hidden="1">
      <c r="A442" s="512" t="s">
        <v>432</v>
      </c>
      <c r="B442" s="512" t="s">
        <v>433</v>
      </c>
      <c r="C442" s="605">
        <v>45753.0</v>
      </c>
      <c r="D442" s="512">
        <v>2.8678578594E10</v>
      </c>
      <c r="E442" s="606" t="s">
        <v>1375</v>
      </c>
      <c r="F442" s="606" t="s">
        <v>436</v>
      </c>
      <c r="G442" s="606" t="s">
        <v>1376</v>
      </c>
      <c r="H442" s="608" t="s">
        <v>696</v>
      </c>
    </row>
    <row r="443" hidden="1">
      <c r="A443" s="512" t="s">
        <v>432</v>
      </c>
      <c r="B443" s="512" t="s">
        <v>449</v>
      </c>
      <c r="C443" s="605">
        <v>45753.0</v>
      </c>
      <c r="D443" s="512">
        <v>1.4313924447E10</v>
      </c>
      <c r="E443" s="606" t="s">
        <v>1377</v>
      </c>
      <c r="F443" s="606" t="s">
        <v>436</v>
      </c>
      <c r="G443" s="606" t="s">
        <v>1378</v>
      </c>
      <c r="H443" s="608" t="s">
        <v>696</v>
      </c>
    </row>
    <row r="444" hidden="1">
      <c r="A444" s="512" t="s">
        <v>432</v>
      </c>
      <c r="B444" s="512" t="s">
        <v>449</v>
      </c>
      <c r="C444" s="605">
        <v>45754.0</v>
      </c>
      <c r="D444" s="512">
        <v>2.8327956416E10</v>
      </c>
      <c r="E444" s="606" t="s">
        <v>1379</v>
      </c>
      <c r="F444" s="606" t="s">
        <v>436</v>
      </c>
      <c r="G444" s="606" t="s">
        <v>1380</v>
      </c>
      <c r="H444" s="608" t="s">
        <v>901</v>
      </c>
    </row>
    <row r="445" hidden="1">
      <c r="A445" s="512" t="s">
        <v>432</v>
      </c>
      <c r="B445" s="512" t="s">
        <v>449</v>
      </c>
      <c r="C445" s="605">
        <v>45754.0</v>
      </c>
      <c r="D445" s="512">
        <v>3.1143093365E10</v>
      </c>
      <c r="E445" s="606" t="s">
        <v>1381</v>
      </c>
      <c r="F445" s="606" t="s">
        <v>436</v>
      </c>
      <c r="G445" s="606" t="s">
        <v>1382</v>
      </c>
      <c r="H445" s="608" t="s">
        <v>901</v>
      </c>
    </row>
    <row r="446" hidden="1">
      <c r="A446" s="512" t="s">
        <v>439</v>
      </c>
      <c r="B446" s="512" t="s">
        <v>1383</v>
      </c>
      <c r="C446" s="605">
        <v>45754.0</v>
      </c>
      <c r="D446" s="512">
        <v>3.0605573779E10</v>
      </c>
      <c r="E446" s="617" t="s">
        <v>1384</v>
      </c>
      <c r="F446" s="606" t="s">
        <v>518</v>
      </c>
      <c r="G446" s="606" t="s">
        <v>1385</v>
      </c>
      <c r="H446" s="608" t="s">
        <v>1054</v>
      </c>
    </row>
    <row r="447" hidden="1">
      <c r="A447" s="512" t="s">
        <v>432</v>
      </c>
      <c r="B447" s="512" t="s">
        <v>433</v>
      </c>
      <c r="C447" s="605">
        <v>45754.0</v>
      </c>
      <c r="D447" s="512">
        <v>2.7559111281E10</v>
      </c>
      <c r="E447" s="606" t="s">
        <v>1236</v>
      </c>
      <c r="F447" s="606" t="s">
        <v>518</v>
      </c>
      <c r="G447" s="606" t="s">
        <v>1386</v>
      </c>
      <c r="H447" s="608" t="s">
        <v>901</v>
      </c>
    </row>
    <row r="448" hidden="1">
      <c r="A448" s="512" t="s">
        <v>1026</v>
      </c>
      <c r="B448" s="512" t="s">
        <v>433</v>
      </c>
      <c r="C448" s="605">
        <v>45754.0</v>
      </c>
      <c r="D448" s="512">
        <v>9.9447664E7</v>
      </c>
      <c r="E448" s="617" t="s">
        <v>1387</v>
      </c>
      <c r="F448" s="606" t="s">
        <v>518</v>
      </c>
      <c r="G448" s="606" t="s">
        <v>1388</v>
      </c>
      <c r="H448" s="608" t="s">
        <v>1175</v>
      </c>
    </row>
    <row r="449" hidden="1">
      <c r="A449" s="512" t="s">
        <v>1026</v>
      </c>
      <c r="B449" s="512" t="s">
        <v>433</v>
      </c>
      <c r="C449" s="605">
        <v>45754.0</v>
      </c>
      <c r="D449" s="512">
        <v>2.71792968E8</v>
      </c>
      <c r="E449" s="617" t="s">
        <v>1389</v>
      </c>
      <c r="F449" s="606" t="s">
        <v>518</v>
      </c>
      <c r="G449" s="606" t="s">
        <v>1390</v>
      </c>
      <c r="H449" s="608" t="s">
        <v>1175</v>
      </c>
    </row>
    <row r="450" hidden="1">
      <c r="A450" s="512" t="s">
        <v>432</v>
      </c>
      <c r="B450" s="512" t="s">
        <v>433</v>
      </c>
      <c r="C450" s="605">
        <v>45754.0</v>
      </c>
      <c r="D450" s="512">
        <v>2.7253477779E10</v>
      </c>
      <c r="E450" s="606" t="s">
        <v>1391</v>
      </c>
      <c r="F450" s="606" t="s">
        <v>518</v>
      </c>
      <c r="G450" s="606" t="s">
        <v>1392</v>
      </c>
      <c r="H450" s="608" t="s">
        <v>901</v>
      </c>
    </row>
    <row r="451" hidden="1">
      <c r="A451" s="512" t="s">
        <v>432</v>
      </c>
      <c r="B451" s="512" t="s">
        <v>433</v>
      </c>
      <c r="C451" s="605">
        <v>45754.0</v>
      </c>
      <c r="D451" s="512">
        <v>2.6303899137E10</v>
      </c>
      <c r="E451" s="606" t="s">
        <v>1393</v>
      </c>
      <c r="F451" s="606" t="s">
        <v>518</v>
      </c>
      <c r="G451" s="606" t="s">
        <v>1394</v>
      </c>
      <c r="H451" s="608" t="s">
        <v>901</v>
      </c>
    </row>
    <row r="452" hidden="1">
      <c r="A452" s="512" t="s">
        <v>617</v>
      </c>
      <c r="B452" s="512" t="s">
        <v>992</v>
      </c>
      <c r="C452" s="605">
        <v>45754.0</v>
      </c>
      <c r="D452" s="512">
        <v>2.554112546E10</v>
      </c>
      <c r="E452" s="617" t="s">
        <v>1395</v>
      </c>
      <c r="F452" s="606" t="s">
        <v>518</v>
      </c>
      <c r="G452" s="606" t="s">
        <v>1396</v>
      </c>
      <c r="H452" s="608" t="s">
        <v>1054</v>
      </c>
    </row>
    <row r="453" hidden="1">
      <c r="A453" s="512" t="s">
        <v>617</v>
      </c>
      <c r="B453" s="512" t="s">
        <v>680</v>
      </c>
      <c r="C453" s="605">
        <v>45754.0</v>
      </c>
      <c r="D453" s="512">
        <v>2.5479896007E10</v>
      </c>
      <c r="E453" s="617" t="s">
        <v>1397</v>
      </c>
      <c r="F453" s="606" t="s">
        <v>518</v>
      </c>
      <c r="G453" s="606" t="s">
        <v>1398</v>
      </c>
      <c r="H453" s="608" t="s">
        <v>1054</v>
      </c>
    </row>
    <row r="454" hidden="1">
      <c r="A454" s="512" t="s">
        <v>617</v>
      </c>
      <c r="B454" s="512" t="s">
        <v>680</v>
      </c>
      <c r="C454" s="605">
        <v>45754.0</v>
      </c>
      <c r="D454" s="512">
        <v>3.1903891768E10</v>
      </c>
      <c r="E454" s="617" t="s">
        <v>1399</v>
      </c>
      <c r="F454" s="606" t="s">
        <v>518</v>
      </c>
      <c r="G454" s="606" t="s">
        <v>1400</v>
      </c>
      <c r="H454" s="608" t="s">
        <v>1054</v>
      </c>
    </row>
    <row r="455" hidden="1">
      <c r="A455" s="512" t="s">
        <v>617</v>
      </c>
      <c r="B455" s="512" t="s">
        <v>680</v>
      </c>
      <c r="C455" s="626">
        <v>45755.0</v>
      </c>
      <c r="D455" s="512">
        <v>3.3217313897E10</v>
      </c>
      <c r="E455" s="617" t="s">
        <v>1401</v>
      </c>
      <c r="F455" s="606" t="s">
        <v>518</v>
      </c>
      <c r="G455" s="606" t="s">
        <v>1402</v>
      </c>
      <c r="H455" s="608" t="s">
        <v>623</v>
      </c>
    </row>
    <row r="456" hidden="1">
      <c r="A456" s="512" t="s">
        <v>617</v>
      </c>
      <c r="B456" s="512" t="s">
        <v>680</v>
      </c>
      <c r="C456" s="626">
        <v>45755.0</v>
      </c>
      <c r="D456" s="512">
        <v>2.8535503408E10</v>
      </c>
      <c r="E456" s="617" t="s">
        <v>1403</v>
      </c>
      <c r="F456" s="606" t="s">
        <v>518</v>
      </c>
      <c r="G456" s="606" t="s">
        <v>1404</v>
      </c>
      <c r="H456" s="608" t="s">
        <v>623</v>
      </c>
    </row>
    <row r="457" hidden="1">
      <c r="A457" s="512" t="s">
        <v>1026</v>
      </c>
      <c r="B457" s="512" t="s">
        <v>680</v>
      </c>
      <c r="C457" s="626">
        <v>45755.0</v>
      </c>
      <c r="D457" s="645">
        <v>2.557298373E10</v>
      </c>
      <c r="E457" s="617" t="s">
        <v>1405</v>
      </c>
      <c r="F457" s="606" t="s">
        <v>518</v>
      </c>
      <c r="G457" s="640"/>
      <c r="H457" s="608" t="s">
        <v>1362</v>
      </c>
    </row>
    <row r="458" hidden="1">
      <c r="A458" s="512" t="s">
        <v>1026</v>
      </c>
      <c r="B458" s="512" t="s">
        <v>433</v>
      </c>
      <c r="C458" s="626">
        <v>45755.0</v>
      </c>
      <c r="D458" s="512">
        <v>2.9231419359E10</v>
      </c>
      <c r="E458" s="617" t="s">
        <v>1406</v>
      </c>
      <c r="F458" s="606" t="s">
        <v>518</v>
      </c>
      <c r="G458" s="637" t="s">
        <v>1407</v>
      </c>
      <c r="H458" s="608" t="s">
        <v>1362</v>
      </c>
    </row>
    <row r="459" hidden="1">
      <c r="A459" s="512" t="s">
        <v>432</v>
      </c>
      <c r="B459" s="512" t="s">
        <v>433</v>
      </c>
      <c r="C459" s="626">
        <v>45755.0</v>
      </c>
      <c r="D459" s="646">
        <v>2.08108041E8</v>
      </c>
      <c r="E459" s="617" t="s">
        <v>1408</v>
      </c>
      <c r="F459" s="606" t="s">
        <v>518</v>
      </c>
      <c r="G459" s="606" t="s">
        <v>1409</v>
      </c>
      <c r="H459" s="608" t="s">
        <v>1175</v>
      </c>
    </row>
    <row r="460" hidden="1">
      <c r="A460" s="512" t="s">
        <v>432</v>
      </c>
      <c r="B460" s="512" t="s">
        <v>433</v>
      </c>
      <c r="C460" s="626">
        <v>45755.0</v>
      </c>
      <c r="D460" s="512">
        <v>3.0860933192E10</v>
      </c>
      <c r="E460" s="606" t="s">
        <v>1410</v>
      </c>
      <c r="F460" s="606" t="s">
        <v>518</v>
      </c>
      <c r="G460" s="606" t="s">
        <v>1411</v>
      </c>
      <c r="H460" s="608" t="s">
        <v>1175</v>
      </c>
    </row>
    <row r="461" hidden="1">
      <c r="A461" s="512" t="s">
        <v>1026</v>
      </c>
      <c r="B461" s="512" t="s">
        <v>433</v>
      </c>
      <c r="C461" s="626">
        <v>45756.0</v>
      </c>
      <c r="D461" s="512">
        <v>2.7804239058E10</v>
      </c>
      <c r="E461" s="617" t="s">
        <v>1412</v>
      </c>
      <c r="F461" s="606" t="s">
        <v>518</v>
      </c>
      <c r="G461" s="637" t="s">
        <v>1413</v>
      </c>
      <c r="H461" s="608" t="s">
        <v>1362</v>
      </c>
    </row>
    <row r="462" hidden="1">
      <c r="A462" s="512" t="s">
        <v>1026</v>
      </c>
      <c r="B462" s="512" t="s">
        <v>433</v>
      </c>
      <c r="C462" s="626">
        <v>45756.0</v>
      </c>
      <c r="D462" s="512">
        <v>2.8392882253E10</v>
      </c>
      <c r="E462" s="617" t="s">
        <v>1414</v>
      </c>
      <c r="F462" s="606" t="s">
        <v>518</v>
      </c>
      <c r="G462" s="637" t="s">
        <v>1415</v>
      </c>
      <c r="H462" s="608" t="s">
        <v>1362</v>
      </c>
    </row>
    <row r="463" hidden="1">
      <c r="A463" s="512" t="s">
        <v>432</v>
      </c>
      <c r="B463" s="512" t="s">
        <v>449</v>
      </c>
      <c r="C463" s="605">
        <v>45756.0</v>
      </c>
      <c r="D463" s="512">
        <v>2.8867292794E10</v>
      </c>
      <c r="E463" s="606" t="s">
        <v>1416</v>
      </c>
      <c r="F463" s="606" t="s">
        <v>436</v>
      </c>
      <c r="G463" s="606" t="s">
        <v>1417</v>
      </c>
      <c r="H463" s="608" t="s">
        <v>696</v>
      </c>
    </row>
    <row r="464" hidden="1">
      <c r="A464" s="512" t="s">
        <v>432</v>
      </c>
      <c r="B464" s="512" t="s">
        <v>433</v>
      </c>
      <c r="C464" s="605">
        <v>45756.0</v>
      </c>
      <c r="D464" s="512">
        <v>2.9995315204E10</v>
      </c>
      <c r="E464" s="606" t="s">
        <v>1418</v>
      </c>
      <c r="F464" s="606" t="s">
        <v>436</v>
      </c>
      <c r="G464" s="640"/>
      <c r="H464" s="608" t="s">
        <v>696</v>
      </c>
    </row>
    <row r="465" hidden="1">
      <c r="A465" s="512" t="s">
        <v>432</v>
      </c>
      <c r="B465" s="512" t="s">
        <v>449</v>
      </c>
      <c r="C465" s="605">
        <v>45757.0</v>
      </c>
      <c r="D465" s="512">
        <v>2.7527275435E10</v>
      </c>
      <c r="E465" s="606" t="s">
        <v>1419</v>
      </c>
      <c r="F465" s="606" t="s">
        <v>436</v>
      </c>
      <c r="G465" s="606" t="s">
        <v>1420</v>
      </c>
      <c r="H465" s="608" t="s">
        <v>696</v>
      </c>
    </row>
    <row r="466" hidden="1">
      <c r="A466" s="512" t="s">
        <v>432</v>
      </c>
      <c r="B466" s="512" t="s">
        <v>433</v>
      </c>
      <c r="C466" s="605">
        <v>45757.0</v>
      </c>
      <c r="D466" s="512">
        <v>2.7375900828E10</v>
      </c>
      <c r="E466" s="617" t="s">
        <v>1421</v>
      </c>
      <c r="F466" s="606" t="s">
        <v>436</v>
      </c>
      <c r="G466" s="606" t="s">
        <v>1422</v>
      </c>
      <c r="H466" s="608" t="s">
        <v>696</v>
      </c>
    </row>
    <row r="467" hidden="1">
      <c r="A467" s="512" t="s">
        <v>432</v>
      </c>
      <c r="B467" s="512" t="s">
        <v>449</v>
      </c>
      <c r="C467" s="605">
        <v>45757.0</v>
      </c>
      <c r="D467" s="512">
        <v>2.773566792E10</v>
      </c>
      <c r="E467" s="606" t="s">
        <v>1423</v>
      </c>
      <c r="F467" s="606" t="s">
        <v>436</v>
      </c>
      <c r="G467" s="640"/>
      <c r="H467" s="608" t="s">
        <v>696</v>
      </c>
    </row>
    <row r="468" hidden="1">
      <c r="A468" s="512" t="s">
        <v>432</v>
      </c>
      <c r="B468" s="512" t="s">
        <v>433</v>
      </c>
      <c r="C468" s="605">
        <v>45757.0</v>
      </c>
      <c r="D468" s="512">
        <v>2.9322455695E10</v>
      </c>
      <c r="E468" s="606" t="s">
        <v>1424</v>
      </c>
      <c r="F468" s="606" t="s">
        <v>436</v>
      </c>
      <c r="G468" s="606" t="s">
        <v>1425</v>
      </c>
      <c r="H468" s="608" t="s">
        <v>696</v>
      </c>
    </row>
    <row r="469" hidden="1">
      <c r="A469" s="512" t="s">
        <v>432</v>
      </c>
      <c r="B469" s="512" t="s">
        <v>449</v>
      </c>
      <c r="C469" s="605">
        <v>45757.0</v>
      </c>
      <c r="D469" s="512">
        <v>3.313912092E10</v>
      </c>
      <c r="E469" s="606" t="s">
        <v>1426</v>
      </c>
      <c r="F469" s="606" t="s">
        <v>436</v>
      </c>
      <c r="G469" s="606" t="s">
        <v>1427</v>
      </c>
      <c r="H469" s="608" t="s">
        <v>696</v>
      </c>
    </row>
    <row r="470" hidden="1">
      <c r="A470" s="512" t="s">
        <v>432</v>
      </c>
      <c r="B470" s="512" t="s">
        <v>433</v>
      </c>
      <c r="C470" s="605">
        <v>45757.0</v>
      </c>
      <c r="D470" s="512">
        <v>2.9751242628E10</v>
      </c>
      <c r="E470" s="606" t="s">
        <v>1428</v>
      </c>
      <c r="F470" s="606" t="s">
        <v>436</v>
      </c>
      <c r="G470" s="606" t="s">
        <v>1429</v>
      </c>
      <c r="H470" s="608" t="s">
        <v>696</v>
      </c>
    </row>
    <row r="471" hidden="1">
      <c r="A471" s="512" t="s">
        <v>432</v>
      </c>
      <c r="B471" s="512" t="s">
        <v>433</v>
      </c>
      <c r="C471" s="605">
        <v>45757.0</v>
      </c>
      <c r="D471" s="512">
        <v>2.9751242556E10</v>
      </c>
      <c r="E471" s="606" t="s">
        <v>1428</v>
      </c>
      <c r="F471" s="606" t="s">
        <v>436</v>
      </c>
      <c r="G471" s="606" t="s">
        <v>1429</v>
      </c>
      <c r="H471" s="608" t="s">
        <v>696</v>
      </c>
    </row>
    <row r="472" hidden="1">
      <c r="A472" s="512" t="s">
        <v>432</v>
      </c>
      <c r="B472" s="512" t="s">
        <v>433</v>
      </c>
      <c r="C472" s="605">
        <v>45757.0</v>
      </c>
      <c r="D472" s="512">
        <v>2.9751242584E10</v>
      </c>
      <c r="E472" s="606" t="s">
        <v>1428</v>
      </c>
      <c r="F472" s="606" t="s">
        <v>436</v>
      </c>
      <c r="G472" s="606" t="s">
        <v>1429</v>
      </c>
      <c r="H472" s="608" t="s">
        <v>696</v>
      </c>
    </row>
    <row r="473" hidden="1">
      <c r="A473" s="512" t="s">
        <v>439</v>
      </c>
      <c r="B473" s="512" t="s">
        <v>433</v>
      </c>
      <c r="C473" s="605">
        <v>45757.0</v>
      </c>
      <c r="D473" s="512">
        <v>1.990053314E10</v>
      </c>
      <c r="E473" s="617" t="s">
        <v>1430</v>
      </c>
      <c r="F473" s="606" t="s">
        <v>436</v>
      </c>
      <c r="G473" s="606" t="s">
        <v>1431</v>
      </c>
      <c r="H473" s="608" t="s">
        <v>850</v>
      </c>
    </row>
    <row r="474" hidden="1">
      <c r="A474" s="512" t="s">
        <v>1026</v>
      </c>
      <c r="B474" s="512" t="s">
        <v>433</v>
      </c>
      <c r="C474" s="605">
        <v>45757.0</v>
      </c>
      <c r="D474" s="512">
        <v>3.38038269E8</v>
      </c>
      <c r="E474" s="617" t="s">
        <v>1432</v>
      </c>
      <c r="F474" s="606" t="s">
        <v>436</v>
      </c>
      <c r="G474" s="606" t="s">
        <v>1433</v>
      </c>
      <c r="H474" s="608" t="s">
        <v>1175</v>
      </c>
    </row>
    <row r="475" hidden="1">
      <c r="A475" s="512" t="s">
        <v>432</v>
      </c>
      <c r="B475" s="512" t="s">
        <v>433</v>
      </c>
      <c r="C475" s="605">
        <v>45758.0</v>
      </c>
      <c r="D475" s="512">
        <v>3.084585454E10</v>
      </c>
      <c r="E475" s="617" t="s">
        <v>1434</v>
      </c>
      <c r="F475" s="606" t="s">
        <v>436</v>
      </c>
      <c r="G475" s="606" t="s">
        <v>1435</v>
      </c>
      <c r="H475" s="608" t="s">
        <v>901</v>
      </c>
    </row>
    <row r="476" hidden="1">
      <c r="A476" s="512" t="s">
        <v>432</v>
      </c>
      <c r="B476" s="512" t="s">
        <v>433</v>
      </c>
      <c r="C476" s="605">
        <v>45758.0</v>
      </c>
      <c r="D476" s="512">
        <v>2.7785620361E10</v>
      </c>
      <c r="E476" s="606" t="s">
        <v>1436</v>
      </c>
      <c r="F476" s="606" t="s">
        <v>436</v>
      </c>
      <c r="G476" s="606" t="s">
        <v>1437</v>
      </c>
      <c r="H476" s="608" t="s">
        <v>901</v>
      </c>
    </row>
    <row r="477" hidden="1">
      <c r="A477" s="512" t="s">
        <v>439</v>
      </c>
      <c r="B477" s="512" t="s">
        <v>433</v>
      </c>
      <c r="C477" s="605">
        <v>45758.0</v>
      </c>
      <c r="D477" s="512">
        <v>3.2979233929E10</v>
      </c>
      <c r="E477" s="617" t="s">
        <v>1438</v>
      </c>
      <c r="F477" s="606" t="s">
        <v>436</v>
      </c>
      <c r="G477" s="606" t="s">
        <v>1439</v>
      </c>
      <c r="H477" s="608" t="s">
        <v>850</v>
      </c>
    </row>
    <row r="478" hidden="1">
      <c r="A478" s="512" t="s">
        <v>1026</v>
      </c>
      <c r="B478" s="512" t="s">
        <v>433</v>
      </c>
      <c r="C478" s="605">
        <v>45758.0</v>
      </c>
      <c r="D478" s="512">
        <v>3.15051708E8</v>
      </c>
      <c r="E478" s="617" t="s">
        <v>1440</v>
      </c>
      <c r="F478" s="606" t="s">
        <v>436</v>
      </c>
      <c r="G478" s="606" t="s">
        <v>1441</v>
      </c>
      <c r="H478" s="608" t="s">
        <v>1175</v>
      </c>
    </row>
    <row r="479" hidden="1">
      <c r="A479" s="512" t="s">
        <v>1026</v>
      </c>
      <c r="B479" s="512" t="s">
        <v>433</v>
      </c>
      <c r="C479" s="605">
        <v>45758.0</v>
      </c>
      <c r="D479" s="512">
        <v>2.42333329E8</v>
      </c>
      <c r="E479" s="617" t="s">
        <v>1442</v>
      </c>
      <c r="F479" s="606" t="s">
        <v>436</v>
      </c>
      <c r="G479" s="606" t="s">
        <v>1443</v>
      </c>
      <c r="H479" s="608" t="s">
        <v>1175</v>
      </c>
    </row>
    <row r="480" hidden="1">
      <c r="A480" s="512" t="s">
        <v>617</v>
      </c>
      <c r="B480" s="512" t="s">
        <v>449</v>
      </c>
      <c r="C480" s="605">
        <v>45758.0</v>
      </c>
      <c r="D480" s="512">
        <v>3.1772152024E10</v>
      </c>
      <c r="E480" s="617" t="s">
        <v>1444</v>
      </c>
      <c r="F480" s="606" t="s">
        <v>436</v>
      </c>
      <c r="G480" s="606" t="s">
        <v>1445</v>
      </c>
      <c r="H480" s="608" t="s">
        <v>623</v>
      </c>
    </row>
    <row r="481" hidden="1">
      <c r="A481" s="512" t="s">
        <v>432</v>
      </c>
      <c r="B481" s="512" t="s">
        <v>449</v>
      </c>
      <c r="C481" s="605">
        <v>45759.0</v>
      </c>
      <c r="D481" s="512">
        <v>3.1030200759E10</v>
      </c>
      <c r="E481" s="606" t="s">
        <v>1446</v>
      </c>
      <c r="F481" s="606" t="s">
        <v>436</v>
      </c>
      <c r="G481" s="606" t="s">
        <v>1447</v>
      </c>
      <c r="H481" s="608" t="s">
        <v>901</v>
      </c>
    </row>
    <row r="482" hidden="1">
      <c r="A482" s="512" t="s">
        <v>432</v>
      </c>
      <c r="B482" s="512" t="s">
        <v>449</v>
      </c>
      <c r="C482" s="605">
        <v>45759.0</v>
      </c>
      <c r="D482" s="512">
        <v>3.1886662385E10</v>
      </c>
      <c r="E482" s="606" t="s">
        <v>1448</v>
      </c>
      <c r="F482" s="606" t="s">
        <v>436</v>
      </c>
      <c r="G482" s="606" t="s">
        <v>1449</v>
      </c>
      <c r="H482" s="608" t="s">
        <v>901</v>
      </c>
    </row>
    <row r="483" hidden="1">
      <c r="A483" s="512" t="s">
        <v>617</v>
      </c>
      <c r="B483" s="512" t="s">
        <v>449</v>
      </c>
      <c r="C483" s="605">
        <v>45759.0</v>
      </c>
      <c r="D483" s="512" t="s">
        <v>1450</v>
      </c>
      <c r="E483" s="617" t="s">
        <v>1451</v>
      </c>
      <c r="F483" s="606" t="s">
        <v>436</v>
      </c>
      <c r="G483" s="606" t="s">
        <v>1452</v>
      </c>
      <c r="H483" s="608" t="s">
        <v>623</v>
      </c>
    </row>
    <row r="484" hidden="1">
      <c r="A484" s="512" t="s">
        <v>432</v>
      </c>
      <c r="B484" s="512" t="s">
        <v>449</v>
      </c>
      <c r="C484" s="605">
        <v>45759.0</v>
      </c>
      <c r="D484" s="512">
        <v>3.3403079442E10</v>
      </c>
      <c r="E484" s="606" t="s">
        <v>1453</v>
      </c>
      <c r="F484" s="606" t="s">
        <v>436</v>
      </c>
      <c r="G484" s="606" t="s">
        <v>1454</v>
      </c>
      <c r="H484" s="608" t="s">
        <v>901</v>
      </c>
    </row>
    <row r="485" hidden="1">
      <c r="A485" s="512" t="s">
        <v>432</v>
      </c>
      <c r="B485" s="512" t="s">
        <v>449</v>
      </c>
      <c r="C485" s="605">
        <v>45759.0</v>
      </c>
      <c r="D485" s="512">
        <v>3.1904361106E10</v>
      </c>
      <c r="E485" s="606" t="s">
        <v>1455</v>
      </c>
      <c r="F485" s="606" t="s">
        <v>436</v>
      </c>
      <c r="G485" s="606" t="s">
        <v>1456</v>
      </c>
      <c r="H485" s="608" t="s">
        <v>901</v>
      </c>
    </row>
    <row r="486" hidden="1">
      <c r="A486" s="512" t="s">
        <v>617</v>
      </c>
      <c r="B486" s="512" t="s">
        <v>744</v>
      </c>
      <c r="C486" s="605">
        <v>45760.0</v>
      </c>
      <c r="D486" s="512">
        <v>3.1033330823E10</v>
      </c>
      <c r="E486" s="606" t="s">
        <v>1457</v>
      </c>
      <c r="F486" s="606" t="s">
        <v>436</v>
      </c>
      <c r="G486" s="606" t="s">
        <v>1458</v>
      </c>
      <c r="H486" s="608" t="s">
        <v>1096</v>
      </c>
    </row>
    <row r="487" hidden="1">
      <c r="A487" s="512" t="s">
        <v>432</v>
      </c>
      <c r="B487" s="512" t="s">
        <v>449</v>
      </c>
      <c r="C487" s="605">
        <v>45760.0</v>
      </c>
      <c r="D487" s="512">
        <v>3.0650692414E10</v>
      </c>
      <c r="E487" s="606" t="s">
        <v>1459</v>
      </c>
      <c r="F487" s="606" t="s">
        <v>1460</v>
      </c>
      <c r="G487" s="606" t="s">
        <v>1461</v>
      </c>
      <c r="H487" s="608" t="s">
        <v>696</v>
      </c>
    </row>
    <row r="488" hidden="1">
      <c r="A488" s="512" t="s">
        <v>432</v>
      </c>
      <c r="B488" s="512" t="s">
        <v>449</v>
      </c>
      <c r="C488" s="605">
        <v>45760.0</v>
      </c>
      <c r="D488" s="512">
        <v>3.0003689996E10</v>
      </c>
      <c r="E488" s="606" t="s">
        <v>1462</v>
      </c>
      <c r="F488" s="606" t="s">
        <v>436</v>
      </c>
      <c r="G488" s="606" t="s">
        <v>1463</v>
      </c>
      <c r="H488" s="608" t="s">
        <v>696</v>
      </c>
    </row>
    <row r="489" hidden="1">
      <c r="A489" s="512" t="s">
        <v>617</v>
      </c>
      <c r="B489" s="512" t="s">
        <v>680</v>
      </c>
      <c r="C489" s="605">
        <v>45760.0</v>
      </c>
      <c r="D489" s="512">
        <v>2.9680622386E10</v>
      </c>
      <c r="E489" s="606" t="s">
        <v>1464</v>
      </c>
      <c r="F489" s="606" t="s">
        <v>436</v>
      </c>
      <c r="G489" s="606" t="s">
        <v>1465</v>
      </c>
      <c r="H489" s="608" t="s">
        <v>1096</v>
      </c>
    </row>
    <row r="490" hidden="1">
      <c r="A490" s="512" t="s">
        <v>1026</v>
      </c>
      <c r="B490" s="512" t="s">
        <v>680</v>
      </c>
      <c r="C490" s="605">
        <v>45760.0</v>
      </c>
      <c r="D490" s="512">
        <v>3.14348707E8</v>
      </c>
      <c r="E490" s="617" t="s">
        <v>1466</v>
      </c>
      <c r="F490" s="606" t="s">
        <v>436</v>
      </c>
      <c r="G490" s="606" t="s">
        <v>1467</v>
      </c>
      <c r="H490" s="608" t="s">
        <v>1175</v>
      </c>
    </row>
    <row r="491" hidden="1">
      <c r="A491" s="512" t="s">
        <v>439</v>
      </c>
      <c r="B491" s="512" t="s">
        <v>680</v>
      </c>
      <c r="C491" s="605">
        <v>45761.0</v>
      </c>
      <c r="D491" s="512">
        <v>3.197712252E10</v>
      </c>
      <c r="E491" s="617" t="s">
        <v>1468</v>
      </c>
      <c r="F491" s="606" t="s">
        <v>436</v>
      </c>
      <c r="G491" s="606" t="s">
        <v>1469</v>
      </c>
      <c r="H491" s="608" t="s">
        <v>850</v>
      </c>
    </row>
    <row r="492" hidden="1">
      <c r="A492" s="512" t="s">
        <v>432</v>
      </c>
      <c r="B492" s="512" t="s">
        <v>449</v>
      </c>
      <c r="C492" s="605">
        <v>45761.0</v>
      </c>
      <c r="D492" s="512">
        <v>3.3404363119E10</v>
      </c>
      <c r="E492" s="606" t="s">
        <v>1264</v>
      </c>
      <c r="F492" s="606" t="s">
        <v>436</v>
      </c>
      <c r="G492" s="606" t="s">
        <v>1470</v>
      </c>
      <c r="H492" s="608" t="s">
        <v>696</v>
      </c>
    </row>
    <row r="493" hidden="1">
      <c r="A493" s="512" t="s">
        <v>432</v>
      </c>
      <c r="B493" s="512" t="s">
        <v>433</v>
      </c>
      <c r="C493" s="605">
        <v>45761.0</v>
      </c>
      <c r="D493" s="512">
        <v>3.1042462428E10</v>
      </c>
      <c r="E493" s="606" t="s">
        <v>1471</v>
      </c>
      <c r="F493" s="606" t="s">
        <v>436</v>
      </c>
      <c r="G493" s="606" t="s">
        <v>1472</v>
      </c>
      <c r="H493" s="608" t="s">
        <v>696</v>
      </c>
    </row>
    <row r="494" hidden="1">
      <c r="A494" s="512" t="s">
        <v>432</v>
      </c>
      <c r="B494" s="512" t="s">
        <v>433</v>
      </c>
      <c r="C494" s="605">
        <v>45761.0</v>
      </c>
      <c r="D494" s="512">
        <v>3.084068389E10</v>
      </c>
      <c r="E494" s="606" t="s">
        <v>1471</v>
      </c>
      <c r="F494" s="606" t="s">
        <v>436</v>
      </c>
      <c r="G494" s="606" t="s">
        <v>1472</v>
      </c>
      <c r="H494" s="608" t="s">
        <v>696</v>
      </c>
    </row>
    <row r="495" hidden="1">
      <c r="A495" s="512" t="s">
        <v>432</v>
      </c>
      <c r="B495" s="512" t="s">
        <v>449</v>
      </c>
      <c r="C495" s="605">
        <v>45762.0</v>
      </c>
      <c r="D495" s="512">
        <v>3.2139399161E10</v>
      </c>
      <c r="E495" s="606" t="s">
        <v>1473</v>
      </c>
      <c r="F495" s="606" t="s">
        <v>436</v>
      </c>
      <c r="G495" s="606" t="s">
        <v>1474</v>
      </c>
      <c r="H495" s="608" t="s">
        <v>696</v>
      </c>
    </row>
    <row r="496" hidden="1">
      <c r="A496" s="512" t="s">
        <v>432</v>
      </c>
      <c r="B496" s="512" t="s">
        <v>449</v>
      </c>
      <c r="C496" s="605">
        <v>45762.0</v>
      </c>
      <c r="D496" s="512">
        <v>3.1898191496E10</v>
      </c>
      <c r="E496" s="606" t="s">
        <v>1473</v>
      </c>
      <c r="F496" s="606" t="s">
        <v>436</v>
      </c>
      <c r="G496" s="606" t="s">
        <v>1474</v>
      </c>
      <c r="H496" s="608" t="s">
        <v>696</v>
      </c>
    </row>
    <row r="497" hidden="1">
      <c r="A497" s="512" t="s">
        <v>432</v>
      </c>
      <c r="B497" s="512" t="s">
        <v>449</v>
      </c>
      <c r="C497" s="605">
        <v>45762.0</v>
      </c>
      <c r="D497" s="512">
        <v>3.1778722125E10</v>
      </c>
      <c r="E497" s="606" t="s">
        <v>1475</v>
      </c>
      <c r="F497" s="606" t="s">
        <v>436</v>
      </c>
      <c r="G497" s="606" t="s">
        <v>1476</v>
      </c>
      <c r="H497" s="608" t="s">
        <v>696</v>
      </c>
    </row>
    <row r="498" hidden="1">
      <c r="A498" s="512" t="s">
        <v>432</v>
      </c>
      <c r="B498" s="512" t="s">
        <v>449</v>
      </c>
      <c r="C498" s="605">
        <v>45762.0</v>
      </c>
      <c r="D498" s="512">
        <v>3.3645491843E10</v>
      </c>
      <c r="E498" s="606" t="s">
        <v>1477</v>
      </c>
      <c r="F498" s="606" t="s">
        <v>436</v>
      </c>
      <c r="G498" s="606" t="s">
        <v>1478</v>
      </c>
      <c r="H498" s="608" t="s">
        <v>696</v>
      </c>
    </row>
    <row r="499" hidden="1">
      <c r="A499" s="512" t="s">
        <v>439</v>
      </c>
      <c r="B499" s="512" t="s">
        <v>449</v>
      </c>
      <c r="C499" s="605">
        <v>45762.0</v>
      </c>
      <c r="D499" s="512">
        <v>3.1090525305E10</v>
      </c>
      <c r="E499" s="617" t="s">
        <v>1479</v>
      </c>
      <c r="F499" s="606" t="s">
        <v>436</v>
      </c>
      <c r="G499" s="606" t="s">
        <v>1480</v>
      </c>
      <c r="H499" s="608" t="s">
        <v>850</v>
      </c>
    </row>
    <row r="500" hidden="1">
      <c r="A500" s="512" t="s">
        <v>432</v>
      </c>
      <c r="B500" s="512" t="s">
        <v>449</v>
      </c>
      <c r="C500" s="605">
        <v>45763.0</v>
      </c>
      <c r="D500" s="512">
        <v>2.4185356232E10</v>
      </c>
      <c r="E500" s="606" t="s">
        <v>1481</v>
      </c>
      <c r="F500" s="606" t="s">
        <v>436</v>
      </c>
      <c r="G500" s="606" t="s">
        <v>1482</v>
      </c>
      <c r="H500" s="608" t="s">
        <v>901</v>
      </c>
    </row>
    <row r="501" hidden="1">
      <c r="A501" s="512" t="s">
        <v>617</v>
      </c>
      <c r="B501" s="512" t="s">
        <v>449</v>
      </c>
      <c r="C501" s="605">
        <v>45763.0</v>
      </c>
      <c r="D501" s="512">
        <v>2.536404205E10</v>
      </c>
      <c r="E501" s="617" t="s">
        <v>1483</v>
      </c>
      <c r="F501" s="606" t="s">
        <v>436</v>
      </c>
      <c r="G501" s="606" t="s">
        <v>1484</v>
      </c>
      <c r="H501" s="608" t="s">
        <v>623</v>
      </c>
    </row>
    <row r="502" hidden="1">
      <c r="A502" s="512" t="s">
        <v>617</v>
      </c>
      <c r="B502" s="512" t="s">
        <v>449</v>
      </c>
      <c r="C502" s="605">
        <v>45763.0</v>
      </c>
      <c r="D502" s="512">
        <v>2.0181768977E10</v>
      </c>
      <c r="E502" s="617" t="s">
        <v>1485</v>
      </c>
      <c r="F502" s="606" t="s">
        <v>436</v>
      </c>
      <c r="G502" s="606" t="s">
        <v>1486</v>
      </c>
      <c r="H502" s="608" t="s">
        <v>623</v>
      </c>
    </row>
    <row r="503" hidden="1">
      <c r="A503" s="512" t="s">
        <v>432</v>
      </c>
      <c r="B503" s="512" t="s">
        <v>449</v>
      </c>
      <c r="C503" s="605">
        <v>45763.0</v>
      </c>
      <c r="D503" s="512">
        <v>3.2096969985E10</v>
      </c>
      <c r="E503" s="606" t="s">
        <v>1487</v>
      </c>
      <c r="F503" s="606" t="s">
        <v>436</v>
      </c>
      <c r="G503" s="606" t="s">
        <v>1488</v>
      </c>
      <c r="H503" s="608" t="s">
        <v>901</v>
      </c>
    </row>
    <row r="504" hidden="1">
      <c r="A504" s="512" t="s">
        <v>432</v>
      </c>
      <c r="B504" s="512" t="s">
        <v>449</v>
      </c>
      <c r="C504" s="605">
        <v>45763.0</v>
      </c>
      <c r="D504" s="512">
        <v>3.0755499995E10</v>
      </c>
      <c r="E504" s="606" t="s">
        <v>1489</v>
      </c>
      <c r="F504" s="606" t="s">
        <v>436</v>
      </c>
      <c r="G504" s="606" t="s">
        <v>1490</v>
      </c>
      <c r="H504" s="608" t="s">
        <v>1314</v>
      </c>
    </row>
    <row r="505" hidden="1">
      <c r="A505" s="512" t="s">
        <v>1026</v>
      </c>
      <c r="B505" s="512" t="s">
        <v>449</v>
      </c>
      <c r="C505" s="605">
        <v>45763.0</v>
      </c>
      <c r="D505" s="512">
        <v>2.2458179967E10</v>
      </c>
      <c r="E505" s="617" t="s">
        <v>1491</v>
      </c>
      <c r="F505" s="606" t="s">
        <v>436</v>
      </c>
      <c r="G505" s="643" t="s">
        <v>1492</v>
      </c>
      <c r="H505" s="608" t="s">
        <v>1362</v>
      </c>
    </row>
    <row r="506" hidden="1">
      <c r="A506" s="512" t="s">
        <v>432</v>
      </c>
      <c r="B506" s="512" t="s">
        <v>433</v>
      </c>
      <c r="C506" s="605">
        <v>45764.0</v>
      </c>
      <c r="D506" s="512">
        <v>3.1142263025E10</v>
      </c>
      <c r="E506" s="606" t="s">
        <v>1493</v>
      </c>
      <c r="F506" s="606" t="s">
        <v>436</v>
      </c>
      <c r="G506" s="606" t="s">
        <v>1494</v>
      </c>
      <c r="H506" s="608" t="s">
        <v>901</v>
      </c>
    </row>
    <row r="507" hidden="1">
      <c r="A507" s="512" t="s">
        <v>439</v>
      </c>
      <c r="B507" s="512" t="s">
        <v>449</v>
      </c>
      <c r="C507" s="605">
        <v>45764.0</v>
      </c>
      <c r="D507" s="512">
        <v>3.1446248552E10</v>
      </c>
      <c r="E507" s="617" t="s">
        <v>1495</v>
      </c>
      <c r="F507" s="606" t="s">
        <v>436</v>
      </c>
      <c r="G507" s="606" t="s">
        <v>1496</v>
      </c>
      <c r="H507" s="608" t="s">
        <v>850</v>
      </c>
    </row>
    <row r="508" hidden="1">
      <c r="A508" s="512" t="s">
        <v>432</v>
      </c>
      <c r="B508" s="512" t="s">
        <v>449</v>
      </c>
      <c r="C508" s="605">
        <v>45764.0</v>
      </c>
      <c r="D508" s="512">
        <v>3.2136889178E10</v>
      </c>
      <c r="E508" s="617" t="s">
        <v>1497</v>
      </c>
      <c r="F508" s="606" t="s">
        <v>436</v>
      </c>
      <c r="G508" s="606" t="s">
        <v>1498</v>
      </c>
      <c r="H508" s="608" t="s">
        <v>901</v>
      </c>
    </row>
    <row r="509" hidden="1">
      <c r="A509" s="512" t="s">
        <v>617</v>
      </c>
      <c r="B509" s="512" t="s">
        <v>449</v>
      </c>
      <c r="C509" s="605">
        <v>45765.0</v>
      </c>
      <c r="D509" s="512">
        <v>3.2140355684E10</v>
      </c>
      <c r="E509" s="606" t="s">
        <v>1499</v>
      </c>
      <c r="F509" s="606" t="s">
        <v>436</v>
      </c>
      <c r="G509" s="606" t="s">
        <v>1500</v>
      </c>
      <c r="H509" s="608" t="s">
        <v>696</v>
      </c>
    </row>
    <row r="510" hidden="1">
      <c r="A510" s="512" t="s">
        <v>617</v>
      </c>
      <c r="B510" s="512" t="s">
        <v>449</v>
      </c>
      <c r="C510" s="605">
        <v>45765.0</v>
      </c>
      <c r="D510" s="512">
        <v>3.3492306843E10</v>
      </c>
      <c r="E510" s="606" t="s">
        <v>1501</v>
      </c>
      <c r="F510" s="606" t="s">
        <v>1502</v>
      </c>
      <c r="G510" s="606" t="s">
        <v>1503</v>
      </c>
      <c r="H510" s="608" t="s">
        <v>696</v>
      </c>
    </row>
    <row r="511" hidden="1">
      <c r="A511" s="512" t="s">
        <v>432</v>
      </c>
      <c r="B511" s="512" t="s">
        <v>449</v>
      </c>
      <c r="C511" s="605">
        <v>45765.0</v>
      </c>
      <c r="D511" s="512">
        <v>2.7722568165E10</v>
      </c>
      <c r="E511" s="606" t="s">
        <v>1504</v>
      </c>
      <c r="F511" s="606" t="s">
        <v>436</v>
      </c>
      <c r="G511" s="606">
        <v>273.0</v>
      </c>
      <c r="H511" s="608" t="s">
        <v>1096</v>
      </c>
    </row>
    <row r="512" hidden="1">
      <c r="A512" s="512" t="s">
        <v>617</v>
      </c>
      <c r="B512" s="512" t="s">
        <v>1505</v>
      </c>
      <c r="C512" s="605">
        <v>45765.0</v>
      </c>
      <c r="D512" s="512">
        <v>2.7756159571E10</v>
      </c>
      <c r="E512" s="606" t="s">
        <v>1506</v>
      </c>
      <c r="F512" s="606" t="s">
        <v>436</v>
      </c>
      <c r="G512" s="640"/>
      <c r="H512" s="608" t="s">
        <v>696</v>
      </c>
    </row>
    <row r="513" hidden="1">
      <c r="A513" s="512" t="s">
        <v>617</v>
      </c>
      <c r="B513" s="512" t="s">
        <v>449</v>
      </c>
      <c r="C513" s="605">
        <v>45765.0</v>
      </c>
      <c r="D513" s="512">
        <v>2.7197518316E10</v>
      </c>
      <c r="E513" s="606" t="s">
        <v>1507</v>
      </c>
      <c r="F513" s="606" t="s">
        <v>436</v>
      </c>
      <c r="G513" s="606" t="s">
        <v>1508</v>
      </c>
      <c r="H513" s="608" t="s">
        <v>696</v>
      </c>
    </row>
    <row r="514" hidden="1">
      <c r="A514" s="512" t="s">
        <v>617</v>
      </c>
      <c r="B514" s="512" t="s">
        <v>449</v>
      </c>
      <c r="C514" s="605">
        <v>45765.0</v>
      </c>
      <c r="D514" s="512">
        <v>3.1582356366E10</v>
      </c>
      <c r="E514" s="606" t="s">
        <v>1509</v>
      </c>
      <c r="F514" s="606" t="s">
        <v>436</v>
      </c>
      <c r="G514" s="606" t="s">
        <v>1510</v>
      </c>
      <c r="H514" s="608" t="s">
        <v>696</v>
      </c>
    </row>
    <row r="515" hidden="1">
      <c r="A515" s="512" t="s">
        <v>1026</v>
      </c>
      <c r="B515" s="512" t="s">
        <v>449</v>
      </c>
      <c r="C515" s="605">
        <v>45765.0</v>
      </c>
      <c r="D515" s="512">
        <v>3.0333913457E10</v>
      </c>
      <c r="E515" s="617" t="s">
        <v>1511</v>
      </c>
      <c r="F515" s="606" t="s">
        <v>436</v>
      </c>
      <c r="G515" s="643" t="s">
        <v>1476</v>
      </c>
      <c r="H515" s="608" t="s">
        <v>1362</v>
      </c>
    </row>
    <row r="516" hidden="1">
      <c r="A516" s="512" t="s">
        <v>432</v>
      </c>
      <c r="B516" s="512" t="s">
        <v>449</v>
      </c>
      <c r="C516" s="605">
        <v>45707.0</v>
      </c>
      <c r="D516" s="512">
        <v>3.0734417852E10</v>
      </c>
      <c r="E516" s="606" t="s">
        <v>1512</v>
      </c>
      <c r="F516" s="606" t="s">
        <v>518</v>
      </c>
      <c r="G516" s="606" t="s">
        <v>1513</v>
      </c>
      <c r="H516" s="608" t="s">
        <v>1096</v>
      </c>
    </row>
    <row r="517" hidden="1">
      <c r="A517" s="512" t="s">
        <v>1026</v>
      </c>
      <c r="B517" s="512" t="s">
        <v>449</v>
      </c>
      <c r="C517" s="605">
        <v>45707.0</v>
      </c>
      <c r="D517" s="512">
        <v>2.38872465E8</v>
      </c>
      <c r="E517" s="617" t="s">
        <v>1514</v>
      </c>
      <c r="F517" s="606" t="s">
        <v>518</v>
      </c>
      <c r="G517" s="606" t="s">
        <v>1515</v>
      </c>
      <c r="H517" s="608" t="s">
        <v>1175</v>
      </c>
    </row>
    <row r="518" hidden="1">
      <c r="A518" s="512" t="s">
        <v>617</v>
      </c>
      <c r="B518" s="512" t="s">
        <v>449</v>
      </c>
      <c r="C518" s="605">
        <v>45707.0</v>
      </c>
      <c r="D518" s="512">
        <v>3.3728597462E10</v>
      </c>
      <c r="E518" s="617" t="s">
        <v>1516</v>
      </c>
      <c r="F518" s="606" t="s">
        <v>518</v>
      </c>
      <c r="G518" s="606" t="s">
        <v>1517</v>
      </c>
      <c r="H518" s="608" t="s">
        <v>623</v>
      </c>
    </row>
    <row r="519" hidden="1">
      <c r="A519" s="512" t="s">
        <v>617</v>
      </c>
      <c r="B519" s="512" t="s">
        <v>449</v>
      </c>
      <c r="C519" s="605">
        <v>45707.0</v>
      </c>
      <c r="D519" s="512">
        <v>2.6098821023E10</v>
      </c>
      <c r="E519" s="617" t="s">
        <v>1518</v>
      </c>
      <c r="F519" s="606" t="s">
        <v>518</v>
      </c>
      <c r="G519" s="606" t="s">
        <v>1519</v>
      </c>
      <c r="H519" s="608" t="s">
        <v>623</v>
      </c>
    </row>
    <row r="520" hidden="1">
      <c r="A520" s="512" t="s">
        <v>617</v>
      </c>
      <c r="B520" s="512" t="s">
        <v>449</v>
      </c>
      <c r="C520" s="605">
        <v>45767.0</v>
      </c>
      <c r="D520" s="512">
        <v>3.308571641E10</v>
      </c>
      <c r="E520" s="617" t="s">
        <v>1520</v>
      </c>
      <c r="F520" s="606" t="s">
        <v>518</v>
      </c>
      <c r="G520" s="606" t="s">
        <v>1521</v>
      </c>
      <c r="H520" s="608" t="s">
        <v>623</v>
      </c>
    </row>
    <row r="521" hidden="1">
      <c r="A521" s="512" t="s">
        <v>1026</v>
      </c>
      <c r="B521" s="512" t="s">
        <v>449</v>
      </c>
      <c r="C521" s="605">
        <v>45767.0</v>
      </c>
      <c r="D521" s="512">
        <v>3.1412678905E10</v>
      </c>
      <c r="E521" s="617" t="s">
        <v>1522</v>
      </c>
      <c r="F521" s="606" t="s">
        <v>518</v>
      </c>
      <c r="G521" s="637" t="s">
        <v>1523</v>
      </c>
      <c r="H521" s="608" t="s">
        <v>1362</v>
      </c>
    </row>
    <row r="522" hidden="1">
      <c r="A522" s="512" t="s">
        <v>432</v>
      </c>
      <c r="B522" s="512" t="s">
        <v>449</v>
      </c>
      <c r="C522" s="605">
        <v>45768.0</v>
      </c>
      <c r="D522" s="512">
        <v>3.3056156744E10</v>
      </c>
      <c r="E522" s="606" t="s">
        <v>1524</v>
      </c>
      <c r="F522" s="606" t="s">
        <v>518</v>
      </c>
      <c r="G522" s="606" t="s">
        <v>1525</v>
      </c>
      <c r="H522" s="608" t="s">
        <v>901</v>
      </c>
    </row>
    <row r="523" hidden="1">
      <c r="A523" s="512" t="s">
        <v>617</v>
      </c>
      <c r="B523" s="512" t="s">
        <v>449</v>
      </c>
      <c r="C523" s="605">
        <v>45768.0</v>
      </c>
      <c r="D523" s="512">
        <v>3.2689280909E10</v>
      </c>
      <c r="E523" s="606" t="s">
        <v>1526</v>
      </c>
      <c r="F523" s="606" t="s">
        <v>436</v>
      </c>
      <c r="G523" s="606" t="s">
        <v>1527</v>
      </c>
      <c r="H523" s="608" t="s">
        <v>696</v>
      </c>
    </row>
    <row r="524" hidden="1">
      <c r="A524" s="512" t="s">
        <v>617</v>
      </c>
      <c r="B524" s="512" t="s">
        <v>449</v>
      </c>
      <c r="C524" s="605">
        <v>45768.0</v>
      </c>
      <c r="D524" s="512">
        <v>2.9735033768E10</v>
      </c>
      <c r="E524" s="606" t="s">
        <v>1528</v>
      </c>
      <c r="F524" s="606" t="s">
        <v>436</v>
      </c>
      <c r="G524" s="606" t="s">
        <v>1529</v>
      </c>
      <c r="H524" s="608" t="s">
        <v>696</v>
      </c>
    </row>
    <row r="525" hidden="1">
      <c r="A525" s="512" t="s">
        <v>432</v>
      </c>
      <c r="B525" s="512" t="s">
        <v>433</v>
      </c>
      <c r="C525" s="605">
        <v>45768.0</v>
      </c>
      <c r="D525" s="512">
        <v>3.0340624782E10</v>
      </c>
      <c r="E525" s="606" t="s">
        <v>1530</v>
      </c>
      <c r="F525" s="606" t="s">
        <v>436</v>
      </c>
      <c r="G525" s="606" t="s">
        <v>1531</v>
      </c>
      <c r="H525" s="608" t="s">
        <v>901</v>
      </c>
    </row>
    <row r="526" hidden="1">
      <c r="A526" s="512" t="s">
        <v>432</v>
      </c>
      <c r="B526" s="512" t="s">
        <v>449</v>
      </c>
      <c r="C526" s="605">
        <v>45769.0</v>
      </c>
      <c r="D526" s="512">
        <v>2.7409951151E10</v>
      </c>
      <c r="E526" s="606" t="s">
        <v>1532</v>
      </c>
      <c r="F526" s="606" t="s">
        <v>436</v>
      </c>
      <c r="G526" s="606" t="s">
        <v>1533</v>
      </c>
      <c r="H526" s="608" t="s">
        <v>901</v>
      </c>
    </row>
    <row r="527" hidden="1">
      <c r="A527" s="512" t="s">
        <v>432</v>
      </c>
      <c r="B527" s="512" t="s">
        <v>449</v>
      </c>
      <c r="C527" s="605">
        <v>45769.0</v>
      </c>
      <c r="D527" s="512">
        <v>3.081179571E10</v>
      </c>
      <c r="E527" s="606" t="s">
        <v>1534</v>
      </c>
      <c r="F527" s="606" t="s">
        <v>436</v>
      </c>
      <c r="G527" s="606" t="s">
        <v>1535</v>
      </c>
      <c r="H527" s="608" t="s">
        <v>901</v>
      </c>
    </row>
    <row r="528" hidden="1">
      <c r="A528" s="512" t="s">
        <v>432</v>
      </c>
      <c r="B528" s="512" t="s">
        <v>449</v>
      </c>
      <c r="C528" s="605">
        <v>45769.0</v>
      </c>
      <c r="D528" s="512">
        <v>3.0811795704E10</v>
      </c>
      <c r="E528" s="606" t="s">
        <v>1534</v>
      </c>
      <c r="F528" s="606" t="s">
        <v>436</v>
      </c>
      <c r="G528" s="606" t="s">
        <v>1535</v>
      </c>
      <c r="H528" s="608" t="s">
        <v>901</v>
      </c>
    </row>
    <row r="529" hidden="1">
      <c r="A529" s="512" t="s">
        <v>439</v>
      </c>
      <c r="B529" s="512" t="s">
        <v>449</v>
      </c>
      <c r="C529" s="605">
        <v>45769.0</v>
      </c>
      <c r="D529" s="512">
        <v>3.1566044179E10</v>
      </c>
      <c r="E529" s="617" t="s">
        <v>1536</v>
      </c>
      <c r="F529" s="606" t="s">
        <v>436</v>
      </c>
      <c r="G529" s="606" t="s">
        <v>1537</v>
      </c>
      <c r="H529" s="608" t="s">
        <v>850</v>
      </c>
    </row>
    <row r="530" hidden="1">
      <c r="A530" s="512" t="s">
        <v>432</v>
      </c>
      <c r="B530" s="512" t="s">
        <v>449</v>
      </c>
      <c r="C530" s="605">
        <v>45770.0</v>
      </c>
      <c r="D530" s="512">
        <v>3.1773710612E10</v>
      </c>
      <c r="E530" s="606" t="s">
        <v>1538</v>
      </c>
      <c r="F530" s="606" t="s">
        <v>436</v>
      </c>
      <c r="G530" s="606" t="s">
        <v>1539</v>
      </c>
      <c r="H530" s="608" t="s">
        <v>1096</v>
      </c>
    </row>
    <row r="531" hidden="1">
      <c r="A531" s="512" t="s">
        <v>690</v>
      </c>
      <c r="B531" s="512" t="s">
        <v>449</v>
      </c>
      <c r="C531" s="605">
        <v>45770.0</v>
      </c>
      <c r="D531" s="512">
        <v>1.42819277E8</v>
      </c>
      <c r="E531" s="617" t="s">
        <v>1405</v>
      </c>
      <c r="F531" s="606" t="s">
        <v>436</v>
      </c>
      <c r="G531" s="606" t="s">
        <v>1540</v>
      </c>
      <c r="H531" s="608" t="s">
        <v>1175</v>
      </c>
    </row>
    <row r="532" hidden="1">
      <c r="A532" s="512" t="s">
        <v>617</v>
      </c>
      <c r="B532" s="512" t="s">
        <v>449</v>
      </c>
      <c r="C532" s="605">
        <v>45770.0</v>
      </c>
      <c r="D532" s="512" t="s">
        <v>1541</v>
      </c>
      <c r="E532" s="617" t="s">
        <v>1542</v>
      </c>
      <c r="F532" s="606" t="s">
        <v>436</v>
      </c>
      <c r="G532" s="606" t="s">
        <v>832</v>
      </c>
      <c r="H532" s="608" t="s">
        <v>623</v>
      </c>
    </row>
    <row r="533" hidden="1">
      <c r="A533" s="512" t="s">
        <v>617</v>
      </c>
      <c r="B533" s="512" t="s">
        <v>449</v>
      </c>
      <c r="C533" s="605">
        <v>45771.0</v>
      </c>
      <c r="D533" s="512">
        <v>3.4174792543E10</v>
      </c>
      <c r="E533" s="606" t="s">
        <v>1543</v>
      </c>
      <c r="F533" s="606" t="s">
        <v>436</v>
      </c>
      <c r="G533" s="606" t="s">
        <v>1324</v>
      </c>
      <c r="H533" s="608" t="s">
        <v>623</v>
      </c>
    </row>
    <row r="534" hidden="1">
      <c r="A534" s="512" t="s">
        <v>690</v>
      </c>
      <c r="B534" s="512" t="s">
        <v>449</v>
      </c>
      <c r="C534" s="605">
        <v>45771.0</v>
      </c>
      <c r="D534" s="512">
        <v>3.21321867E8</v>
      </c>
      <c r="E534" s="617" t="s">
        <v>618</v>
      </c>
      <c r="F534" s="606" t="s">
        <v>436</v>
      </c>
      <c r="G534" s="606" t="s">
        <v>1544</v>
      </c>
      <c r="H534" s="608" t="s">
        <v>1175</v>
      </c>
    </row>
    <row r="535" hidden="1">
      <c r="A535" s="512" t="s">
        <v>432</v>
      </c>
      <c r="B535" s="512" t="s">
        <v>449</v>
      </c>
      <c r="C535" s="605">
        <v>45771.0</v>
      </c>
      <c r="D535" s="512">
        <v>1.7071327685E10</v>
      </c>
      <c r="E535" s="606" t="s">
        <v>1545</v>
      </c>
      <c r="F535" s="606" t="s">
        <v>436</v>
      </c>
      <c r="G535" s="606" t="s">
        <v>1546</v>
      </c>
      <c r="H535" s="608" t="s">
        <v>1096</v>
      </c>
    </row>
    <row r="536" hidden="1">
      <c r="A536" s="512" t="s">
        <v>432</v>
      </c>
      <c r="B536" s="512" t="s">
        <v>449</v>
      </c>
      <c r="C536" s="605">
        <v>45771.0</v>
      </c>
      <c r="D536" s="512">
        <v>2.8647440899E10</v>
      </c>
      <c r="E536" s="606" t="s">
        <v>1547</v>
      </c>
      <c r="F536" s="606" t="s">
        <v>436</v>
      </c>
      <c r="G536" s="606" t="s">
        <v>1548</v>
      </c>
      <c r="H536" s="608" t="s">
        <v>1096</v>
      </c>
    </row>
    <row r="537" hidden="1">
      <c r="A537" s="512" t="s">
        <v>432</v>
      </c>
      <c r="B537" s="512" t="s">
        <v>449</v>
      </c>
      <c r="C537" s="605">
        <v>45771.0</v>
      </c>
      <c r="D537" s="512" t="s">
        <v>1549</v>
      </c>
      <c r="E537" s="606" t="s">
        <v>1550</v>
      </c>
      <c r="F537" s="606" t="s">
        <v>536</v>
      </c>
      <c r="G537" s="606" t="s">
        <v>1551</v>
      </c>
      <c r="H537" s="608" t="s">
        <v>1096</v>
      </c>
    </row>
    <row r="538" hidden="1">
      <c r="A538" s="512" t="s">
        <v>432</v>
      </c>
      <c r="B538" s="512" t="s">
        <v>680</v>
      </c>
      <c r="C538" s="605">
        <v>45772.0</v>
      </c>
      <c r="D538" s="512">
        <v>3.424701694E10</v>
      </c>
      <c r="E538" s="617" t="s">
        <v>1552</v>
      </c>
      <c r="F538" s="606" t="s">
        <v>518</v>
      </c>
      <c r="G538" s="640"/>
      <c r="H538" s="608" t="s">
        <v>1054</v>
      </c>
    </row>
    <row r="539" hidden="1">
      <c r="A539" s="512" t="s">
        <v>432</v>
      </c>
      <c r="B539" s="512" t="s">
        <v>680</v>
      </c>
      <c r="C539" s="605">
        <v>45772.0</v>
      </c>
      <c r="D539" s="512">
        <v>3.2187893789E10</v>
      </c>
      <c r="E539" s="617" t="s">
        <v>1553</v>
      </c>
      <c r="F539" s="606" t="s">
        <v>518</v>
      </c>
      <c r="G539" s="640"/>
      <c r="H539" s="608" t="s">
        <v>1054</v>
      </c>
    </row>
    <row r="540" hidden="1">
      <c r="A540" s="512" t="s">
        <v>432</v>
      </c>
      <c r="B540" s="512" t="s">
        <v>433</v>
      </c>
      <c r="C540" s="605">
        <v>45773.0</v>
      </c>
      <c r="D540" s="512">
        <v>3.2642600524E10</v>
      </c>
      <c r="E540" s="606" t="s">
        <v>1554</v>
      </c>
      <c r="F540" s="606" t="s">
        <v>518</v>
      </c>
      <c r="G540" s="606" t="s">
        <v>1555</v>
      </c>
      <c r="H540" s="608" t="s">
        <v>901</v>
      </c>
    </row>
    <row r="541" hidden="1">
      <c r="A541" s="512" t="s">
        <v>432</v>
      </c>
      <c r="B541" s="512" t="s">
        <v>433</v>
      </c>
      <c r="C541" s="605">
        <v>45773.0</v>
      </c>
      <c r="D541" s="512">
        <v>3.0767171321E10</v>
      </c>
      <c r="E541" s="617" t="s">
        <v>1556</v>
      </c>
      <c r="F541" s="606" t="s">
        <v>518</v>
      </c>
      <c r="G541" s="606" t="s">
        <v>1557</v>
      </c>
      <c r="H541" s="608" t="s">
        <v>901</v>
      </c>
    </row>
    <row r="542" hidden="1">
      <c r="A542" s="512" t="s">
        <v>432</v>
      </c>
      <c r="B542" s="512" t="s">
        <v>680</v>
      </c>
      <c r="C542" s="605">
        <v>45773.0</v>
      </c>
      <c r="D542" s="512">
        <v>3.0433243147E10</v>
      </c>
      <c r="E542" s="606" t="s">
        <v>1558</v>
      </c>
      <c r="F542" s="606" t="s">
        <v>518</v>
      </c>
      <c r="G542" s="606" t="s">
        <v>1559</v>
      </c>
      <c r="H542" s="608" t="s">
        <v>901</v>
      </c>
    </row>
    <row r="543" hidden="1">
      <c r="A543" s="512" t="s">
        <v>432</v>
      </c>
      <c r="B543" s="512" t="s">
        <v>433</v>
      </c>
      <c r="C543" s="605">
        <v>45773.0</v>
      </c>
      <c r="D543" s="512">
        <v>3.2271693784E10</v>
      </c>
      <c r="E543" s="617" t="s">
        <v>1560</v>
      </c>
      <c r="F543" s="606" t="s">
        <v>518</v>
      </c>
      <c r="G543" s="606" t="s">
        <v>1561</v>
      </c>
      <c r="H543" s="608" t="s">
        <v>901</v>
      </c>
    </row>
    <row r="544" hidden="1">
      <c r="A544" s="512" t="s">
        <v>432</v>
      </c>
      <c r="B544" s="512" t="s">
        <v>433</v>
      </c>
      <c r="C544" s="605">
        <v>45773.0</v>
      </c>
      <c r="D544" s="512">
        <v>2.5613335473E10</v>
      </c>
      <c r="E544" s="606" t="s">
        <v>1562</v>
      </c>
      <c r="F544" s="606" t="s">
        <v>518</v>
      </c>
      <c r="G544" s="606" t="s">
        <v>1563</v>
      </c>
      <c r="H544" s="608" t="s">
        <v>901</v>
      </c>
    </row>
    <row r="545" hidden="1">
      <c r="A545" s="512"/>
      <c r="B545" s="525"/>
      <c r="C545" s="525"/>
      <c r="D545" s="525"/>
      <c r="E545" s="640"/>
      <c r="F545" s="640"/>
      <c r="G545" s="640"/>
      <c r="H545" s="647"/>
    </row>
    <row r="546" hidden="1">
      <c r="A546" s="512" t="s">
        <v>617</v>
      </c>
      <c r="B546" s="512" t="s">
        <v>1564</v>
      </c>
      <c r="C546" s="605">
        <v>45773.0</v>
      </c>
      <c r="D546" s="512">
        <v>2.8038395187E10</v>
      </c>
      <c r="E546" s="606" t="s">
        <v>1565</v>
      </c>
      <c r="F546" s="606" t="s">
        <v>1566</v>
      </c>
      <c r="G546" s="606" t="s">
        <v>1567</v>
      </c>
      <c r="H546" s="608" t="s">
        <v>696</v>
      </c>
    </row>
    <row r="547" hidden="1">
      <c r="A547" s="512" t="s">
        <v>690</v>
      </c>
      <c r="B547" s="512" t="s">
        <v>680</v>
      </c>
      <c r="C547" s="605">
        <v>45773.0</v>
      </c>
      <c r="D547" s="512">
        <v>3.4157993818E10</v>
      </c>
      <c r="E547" s="617" t="s">
        <v>1568</v>
      </c>
      <c r="F547" s="606" t="s">
        <v>1566</v>
      </c>
      <c r="G547" s="637" t="s">
        <v>1569</v>
      </c>
      <c r="H547" s="608" t="s">
        <v>1362</v>
      </c>
    </row>
    <row r="548" hidden="1">
      <c r="A548" s="512" t="s">
        <v>823</v>
      </c>
      <c r="B548" s="512" t="s">
        <v>680</v>
      </c>
      <c r="C548" s="605">
        <v>45773.0</v>
      </c>
      <c r="D548" s="512">
        <v>2.32091404E8</v>
      </c>
      <c r="E548" s="617" t="s">
        <v>1570</v>
      </c>
      <c r="F548" s="606" t="s">
        <v>1566</v>
      </c>
      <c r="G548" s="643" t="s">
        <v>1571</v>
      </c>
      <c r="H548" s="608" t="s">
        <v>1175</v>
      </c>
    </row>
    <row r="549" hidden="1">
      <c r="A549" s="512" t="s">
        <v>432</v>
      </c>
      <c r="B549" s="512" t="s">
        <v>1564</v>
      </c>
      <c r="C549" s="605">
        <v>45774.0</v>
      </c>
      <c r="D549" s="512">
        <v>2.0418500268E10</v>
      </c>
      <c r="E549" s="606" t="s">
        <v>1572</v>
      </c>
      <c r="F549" s="606" t="s">
        <v>1566</v>
      </c>
      <c r="G549" s="606" t="s">
        <v>1573</v>
      </c>
      <c r="H549" s="608" t="s">
        <v>438</v>
      </c>
    </row>
    <row r="550" hidden="1">
      <c r="A550" s="512" t="s">
        <v>432</v>
      </c>
      <c r="B550" s="512" t="s">
        <v>1564</v>
      </c>
      <c r="C550" s="605">
        <v>45774.0</v>
      </c>
      <c r="D550" s="512">
        <v>3.4358646915E10</v>
      </c>
      <c r="E550" s="606" t="s">
        <v>1572</v>
      </c>
      <c r="F550" s="606" t="s">
        <v>1566</v>
      </c>
      <c r="G550" s="606" t="s">
        <v>1574</v>
      </c>
      <c r="H550" s="608" t="s">
        <v>438</v>
      </c>
    </row>
    <row r="551" hidden="1">
      <c r="A551" s="512" t="s">
        <v>432</v>
      </c>
      <c r="B551" s="512" t="s">
        <v>1564</v>
      </c>
      <c r="C551" s="605">
        <v>45774.0</v>
      </c>
      <c r="D551" s="512">
        <v>3.2768729749E10</v>
      </c>
      <c r="E551" s="606" t="s">
        <v>1575</v>
      </c>
      <c r="F551" s="606" t="s">
        <v>1566</v>
      </c>
      <c r="G551" s="606" t="s">
        <v>1576</v>
      </c>
      <c r="H551" s="608" t="s">
        <v>438</v>
      </c>
    </row>
    <row r="552" hidden="1">
      <c r="A552" s="512" t="s">
        <v>432</v>
      </c>
      <c r="B552" s="512" t="s">
        <v>1564</v>
      </c>
      <c r="C552" s="605">
        <v>45774.0</v>
      </c>
      <c r="D552" s="512">
        <v>3.4375926501E10</v>
      </c>
      <c r="E552" s="606" t="s">
        <v>1577</v>
      </c>
      <c r="F552" s="606" t="s">
        <v>1566</v>
      </c>
      <c r="G552" s="606" t="s">
        <v>1578</v>
      </c>
      <c r="H552" s="608" t="s">
        <v>438</v>
      </c>
    </row>
    <row r="553" hidden="1">
      <c r="A553" s="512" t="s">
        <v>432</v>
      </c>
      <c r="B553" s="512" t="s">
        <v>1564</v>
      </c>
      <c r="C553" s="605">
        <v>45774.0</v>
      </c>
      <c r="D553" s="512">
        <v>2.1704715218E10</v>
      </c>
      <c r="E553" s="606" t="s">
        <v>1579</v>
      </c>
      <c r="F553" s="606" t="s">
        <v>1566</v>
      </c>
      <c r="G553" s="606" t="s">
        <v>1580</v>
      </c>
      <c r="H553" s="608" t="s">
        <v>438</v>
      </c>
    </row>
    <row r="554" hidden="1">
      <c r="A554" s="512" t="s">
        <v>690</v>
      </c>
      <c r="B554" s="512" t="s">
        <v>992</v>
      </c>
      <c r="C554" s="605">
        <v>45774.0</v>
      </c>
      <c r="D554" s="512">
        <v>3.2320623146E10</v>
      </c>
      <c r="E554" s="617" t="s">
        <v>1581</v>
      </c>
      <c r="F554" s="606" t="s">
        <v>518</v>
      </c>
      <c r="G554" s="606" t="s">
        <v>1582</v>
      </c>
      <c r="H554" s="608" t="s">
        <v>1054</v>
      </c>
    </row>
    <row r="555" hidden="1">
      <c r="A555" s="512" t="s">
        <v>690</v>
      </c>
      <c r="B555" s="512" t="s">
        <v>992</v>
      </c>
      <c r="C555" s="605">
        <v>45774.0</v>
      </c>
      <c r="D555" s="512">
        <v>3.1923475155E10</v>
      </c>
      <c r="E555" s="617" t="s">
        <v>1583</v>
      </c>
      <c r="F555" s="606" t="s">
        <v>518</v>
      </c>
      <c r="G555" s="606" t="s">
        <v>1584</v>
      </c>
      <c r="H555" s="608" t="s">
        <v>1054</v>
      </c>
    </row>
    <row r="556" hidden="1">
      <c r="A556" s="512" t="s">
        <v>617</v>
      </c>
      <c r="B556" s="512" t="s">
        <v>449</v>
      </c>
      <c r="C556" s="605">
        <v>45774.0</v>
      </c>
      <c r="D556" s="512">
        <v>2.592627339E10</v>
      </c>
      <c r="E556" s="606" t="s">
        <v>1585</v>
      </c>
      <c r="F556" s="606" t="s">
        <v>518</v>
      </c>
      <c r="G556" s="606" t="s">
        <v>1586</v>
      </c>
      <c r="H556" s="608" t="s">
        <v>623</v>
      </c>
    </row>
    <row r="557" hidden="1">
      <c r="A557" s="512" t="s">
        <v>432</v>
      </c>
      <c r="B557" s="512" t="s">
        <v>992</v>
      </c>
      <c r="C557" s="605">
        <v>45774.0</v>
      </c>
      <c r="D557" s="512">
        <v>2.8348402519E10</v>
      </c>
      <c r="E557" s="606" t="s">
        <v>1587</v>
      </c>
      <c r="F557" s="606" t="s">
        <v>518</v>
      </c>
      <c r="G557" s="606" t="s">
        <v>1588</v>
      </c>
      <c r="H557" s="608" t="s">
        <v>438</v>
      </c>
    </row>
    <row r="558" hidden="1">
      <c r="A558" s="512" t="s">
        <v>432</v>
      </c>
      <c r="B558" s="512" t="s">
        <v>433</v>
      </c>
      <c r="C558" s="605">
        <v>45775.0</v>
      </c>
      <c r="D558" s="512">
        <v>2.8108340569E10</v>
      </c>
      <c r="E558" s="606" t="s">
        <v>1589</v>
      </c>
      <c r="F558" s="606" t="s">
        <v>436</v>
      </c>
      <c r="G558" s="606" t="s">
        <v>1590</v>
      </c>
      <c r="H558" s="608" t="s">
        <v>696</v>
      </c>
    </row>
    <row r="559" hidden="1">
      <c r="A559" s="512" t="s">
        <v>432</v>
      </c>
      <c r="B559" s="512" t="s">
        <v>433</v>
      </c>
      <c r="C559" s="605">
        <v>45775.0</v>
      </c>
      <c r="D559" s="512">
        <v>2.1810039534E10</v>
      </c>
      <c r="E559" s="606" t="s">
        <v>1589</v>
      </c>
      <c r="F559" s="606" t="s">
        <v>436</v>
      </c>
      <c r="G559" s="606" t="s">
        <v>1590</v>
      </c>
      <c r="H559" s="608" t="s">
        <v>696</v>
      </c>
    </row>
    <row r="560" hidden="1">
      <c r="A560" s="512" t="s">
        <v>439</v>
      </c>
      <c r="B560" s="512" t="s">
        <v>449</v>
      </c>
      <c r="C560" s="605">
        <v>45775.0</v>
      </c>
      <c r="D560" s="512" t="s">
        <v>1591</v>
      </c>
      <c r="E560" s="617" t="s">
        <v>1592</v>
      </c>
      <c r="F560" s="606" t="s">
        <v>436</v>
      </c>
      <c r="G560" s="606" t="s">
        <v>574</v>
      </c>
      <c r="H560" s="608" t="s">
        <v>693</v>
      </c>
    </row>
    <row r="561" hidden="1">
      <c r="A561" s="512" t="s">
        <v>439</v>
      </c>
      <c r="B561" s="512" t="s">
        <v>449</v>
      </c>
      <c r="C561" s="605">
        <v>45775.0</v>
      </c>
      <c r="D561" s="512">
        <v>3.1032407999E10</v>
      </c>
      <c r="E561" s="617" t="s">
        <v>1593</v>
      </c>
      <c r="F561" s="606" t="s">
        <v>436</v>
      </c>
      <c r="G561" s="606" t="s">
        <v>1594</v>
      </c>
      <c r="H561" s="608" t="s">
        <v>693</v>
      </c>
    </row>
    <row r="562" hidden="1">
      <c r="A562" s="512" t="s">
        <v>439</v>
      </c>
      <c r="B562" s="512" t="s">
        <v>449</v>
      </c>
      <c r="C562" s="605">
        <v>45775.0</v>
      </c>
      <c r="D562" s="512" t="s">
        <v>1595</v>
      </c>
      <c r="E562" s="617" t="s">
        <v>1596</v>
      </c>
      <c r="F562" s="606" t="s">
        <v>436</v>
      </c>
      <c r="G562" s="606" t="s">
        <v>1597</v>
      </c>
      <c r="H562" s="608" t="s">
        <v>693</v>
      </c>
    </row>
    <row r="563" hidden="1">
      <c r="A563" s="512" t="s">
        <v>439</v>
      </c>
      <c r="B563" s="512" t="s">
        <v>449</v>
      </c>
      <c r="C563" s="605">
        <v>45775.0</v>
      </c>
      <c r="D563" s="512">
        <v>2.5850849191E10</v>
      </c>
      <c r="E563" s="617" t="s">
        <v>1598</v>
      </c>
      <c r="F563" s="606" t="s">
        <v>436</v>
      </c>
      <c r="G563" s="606" t="s">
        <v>1599</v>
      </c>
      <c r="H563" s="608" t="s">
        <v>693</v>
      </c>
    </row>
    <row r="564" hidden="1">
      <c r="A564" s="512" t="s">
        <v>690</v>
      </c>
      <c r="B564" s="512" t="s">
        <v>433</v>
      </c>
      <c r="C564" s="605">
        <v>45775.0</v>
      </c>
      <c r="D564" s="512">
        <v>2.3976986863E10</v>
      </c>
      <c r="E564" s="617" t="s">
        <v>1600</v>
      </c>
      <c r="F564" s="606" t="s">
        <v>436</v>
      </c>
      <c r="G564" s="606" t="s">
        <v>1601</v>
      </c>
      <c r="H564" s="608" t="s">
        <v>1054</v>
      </c>
    </row>
    <row r="565" hidden="1">
      <c r="A565" s="512" t="s">
        <v>617</v>
      </c>
      <c r="B565" s="512" t="s">
        <v>433</v>
      </c>
      <c r="C565" s="605">
        <v>45775.0</v>
      </c>
      <c r="D565" s="512">
        <v>2.542357613E10</v>
      </c>
      <c r="E565" s="606" t="s">
        <v>1602</v>
      </c>
      <c r="F565" s="606" t="s">
        <v>436</v>
      </c>
      <c r="G565" s="606" t="s">
        <v>1603</v>
      </c>
      <c r="H565" s="608" t="s">
        <v>696</v>
      </c>
    </row>
    <row r="566" hidden="1">
      <c r="A566" s="512" t="s">
        <v>432</v>
      </c>
      <c r="B566" s="512" t="s">
        <v>433</v>
      </c>
      <c r="C566" s="605">
        <v>45775.0</v>
      </c>
      <c r="D566" s="512">
        <v>3.2269824742E10</v>
      </c>
      <c r="E566" s="606" t="s">
        <v>1604</v>
      </c>
      <c r="F566" s="606" t="s">
        <v>436</v>
      </c>
      <c r="G566" s="606" t="s">
        <v>1605</v>
      </c>
      <c r="H566" s="608" t="s">
        <v>696</v>
      </c>
    </row>
    <row r="567" hidden="1">
      <c r="A567" s="512" t="s">
        <v>439</v>
      </c>
      <c r="B567" s="512" t="s">
        <v>987</v>
      </c>
      <c r="C567" s="605">
        <v>45776.0</v>
      </c>
      <c r="D567" s="512">
        <v>3.1087731173E10</v>
      </c>
      <c r="E567" s="617" t="s">
        <v>1606</v>
      </c>
      <c r="F567" s="606" t="s">
        <v>436</v>
      </c>
      <c r="G567" s="606" t="s">
        <v>1607</v>
      </c>
      <c r="H567" s="608" t="s">
        <v>1608</v>
      </c>
    </row>
    <row r="568" hidden="1">
      <c r="A568" s="512" t="s">
        <v>690</v>
      </c>
      <c r="B568" s="512" t="s">
        <v>449</v>
      </c>
      <c r="C568" s="605">
        <v>45776.0</v>
      </c>
      <c r="D568" s="512" t="s">
        <v>1609</v>
      </c>
      <c r="E568" s="617" t="s">
        <v>1610</v>
      </c>
      <c r="F568" s="606" t="s">
        <v>436</v>
      </c>
      <c r="G568" s="606" t="s">
        <v>1611</v>
      </c>
      <c r="H568" s="608" t="s">
        <v>693</v>
      </c>
    </row>
    <row r="569" hidden="1">
      <c r="A569" s="512" t="s">
        <v>439</v>
      </c>
      <c r="B569" s="512" t="s">
        <v>987</v>
      </c>
      <c r="C569" s="605">
        <v>45776.0</v>
      </c>
      <c r="D569" s="512">
        <v>3.146262299E10</v>
      </c>
      <c r="E569" s="617" t="s">
        <v>1612</v>
      </c>
      <c r="F569" s="606" t="s">
        <v>436</v>
      </c>
      <c r="G569" s="606" t="s">
        <v>1613</v>
      </c>
      <c r="H569" s="608" t="s">
        <v>1608</v>
      </c>
    </row>
    <row r="570" hidden="1">
      <c r="A570" s="512" t="s">
        <v>439</v>
      </c>
      <c r="B570" s="512" t="s">
        <v>449</v>
      </c>
      <c r="C570" s="605">
        <v>45776.0</v>
      </c>
      <c r="D570" s="512">
        <v>3.4527936647E10</v>
      </c>
      <c r="E570" s="617" t="s">
        <v>1614</v>
      </c>
      <c r="F570" s="606" t="s">
        <v>436</v>
      </c>
      <c r="G570" s="606" t="s">
        <v>1615</v>
      </c>
      <c r="H570" s="608" t="s">
        <v>1608</v>
      </c>
    </row>
    <row r="571" hidden="1">
      <c r="A571" s="512" t="s">
        <v>617</v>
      </c>
      <c r="B571" s="512" t="s">
        <v>449</v>
      </c>
      <c r="C571" s="605">
        <v>45776.0</v>
      </c>
      <c r="D571" s="512" t="s">
        <v>1616</v>
      </c>
      <c r="E571" s="617" t="s">
        <v>1617</v>
      </c>
      <c r="F571" s="606" t="s">
        <v>436</v>
      </c>
      <c r="G571" s="606" t="s">
        <v>1618</v>
      </c>
      <c r="H571" s="608" t="s">
        <v>623</v>
      </c>
    </row>
    <row r="572" hidden="1">
      <c r="A572" s="512" t="s">
        <v>617</v>
      </c>
      <c r="B572" s="512" t="s">
        <v>449</v>
      </c>
      <c r="C572" s="605">
        <v>45777.0</v>
      </c>
      <c r="D572" s="512">
        <v>2.5180551582E10</v>
      </c>
      <c r="E572" s="606" t="s">
        <v>1619</v>
      </c>
      <c r="F572" s="606" t="s">
        <v>436</v>
      </c>
      <c r="G572" s="606" t="s">
        <v>1620</v>
      </c>
      <c r="H572" s="608" t="s">
        <v>696</v>
      </c>
    </row>
    <row r="573" hidden="1">
      <c r="A573" s="512" t="s">
        <v>439</v>
      </c>
      <c r="B573" s="512" t="s">
        <v>987</v>
      </c>
      <c r="C573" s="605">
        <v>45777.0</v>
      </c>
      <c r="D573" s="512">
        <v>2.9975709362E10</v>
      </c>
      <c r="E573" s="617" t="s">
        <v>1621</v>
      </c>
      <c r="F573" s="606" t="s">
        <v>436</v>
      </c>
      <c r="G573" s="606" t="s">
        <v>1622</v>
      </c>
      <c r="H573" s="608" t="s">
        <v>1608</v>
      </c>
    </row>
    <row r="574" hidden="1">
      <c r="A574" s="512" t="s">
        <v>439</v>
      </c>
      <c r="B574" s="512" t="s">
        <v>987</v>
      </c>
      <c r="C574" s="605">
        <v>45777.0</v>
      </c>
      <c r="D574" s="512">
        <v>3.1025023678E10</v>
      </c>
      <c r="E574" s="617" t="s">
        <v>1623</v>
      </c>
      <c r="F574" s="606" t="s">
        <v>436</v>
      </c>
      <c r="G574" s="606" t="s">
        <v>1605</v>
      </c>
      <c r="H574" s="608" t="s">
        <v>1608</v>
      </c>
    </row>
    <row r="575" hidden="1">
      <c r="A575" s="512" t="s">
        <v>439</v>
      </c>
      <c r="B575" s="512" t="s">
        <v>987</v>
      </c>
      <c r="C575" s="605">
        <v>45777.0</v>
      </c>
      <c r="D575" s="512">
        <v>3.2294651894E10</v>
      </c>
      <c r="E575" s="617" t="s">
        <v>1624</v>
      </c>
      <c r="F575" s="606" t="s">
        <v>436</v>
      </c>
      <c r="G575" s="606" t="s">
        <v>923</v>
      </c>
      <c r="H575" s="608" t="s">
        <v>1608</v>
      </c>
    </row>
    <row r="576" hidden="1">
      <c r="A576" s="512" t="s">
        <v>439</v>
      </c>
      <c r="B576" s="512" t="s">
        <v>449</v>
      </c>
      <c r="C576" s="605">
        <v>45777.0</v>
      </c>
      <c r="D576" s="512">
        <v>3.2112675329E10</v>
      </c>
      <c r="E576" s="617" t="s">
        <v>1625</v>
      </c>
      <c r="F576" s="606" t="s">
        <v>436</v>
      </c>
      <c r="G576" s="606" t="s">
        <v>1186</v>
      </c>
      <c r="H576" s="608" t="s">
        <v>1608</v>
      </c>
    </row>
    <row r="577" hidden="1">
      <c r="A577" s="512" t="s">
        <v>439</v>
      </c>
      <c r="B577" s="512" t="s">
        <v>449</v>
      </c>
      <c r="C577" s="605">
        <v>45777.0</v>
      </c>
      <c r="D577" s="512">
        <v>3.4527758978E10</v>
      </c>
      <c r="E577" s="617" t="s">
        <v>1626</v>
      </c>
      <c r="F577" s="606" t="s">
        <v>436</v>
      </c>
      <c r="G577" s="606" t="s">
        <v>1627</v>
      </c>
      <c r="H577" s="608" t="s">
        <v>1608</v>
      </c>
    </row>
    <row r="578" hidden="1">
      <c r="A578" s="512" t="s">
        <v>617</v>
      </c>
      <c r="B578" s="512" t="s">
        <v>433</v>
      </c>
      <c r="C578" s="605">
        <v>45777.0</v>
      </c>
      <c r="D578" s="512">
        <v>3.1893827883E10</v>
      </c>
      <c r="E578" s="606" t="s">
        <v>1628</v>
      </c>
      <c r="F578" s="606" t="s">
        <v>436</v>
      </c>
      <c r="G578" s="606" t="s">
        <v>714</v>
      </c>
      <c r="H578" s="608" t="s">
        <v>696</v>
      </c>
    </row>
    <row r="579" hidden="1">
      <c r="A579" s="512" t="s">
        <v>617</v>
      </c>
      <c r="B579" s="512" t="s">
        <v>449</v>
      </c>
      <c r="C579" s="605">
        <v>45777.0</v>
      </c>
      <c r="D579" s="512">
        <v>2.6353430963E10</v>
      </c>
      <c r="E579" s="617" t="s">
        <v>1629</v>
      </c>
      <c r="F579" s="606" t="s">
        <v>436</v>
      </c>
      <c r="G579" s="606" t="s">
        <v>1630</v>
      </c>
      <c r="H579" s="608" t="s">
        <v>696</v>
      </c>
    </row>
    <row r="580" hidden="1">
      <c r="A580" s="512" t="s">
        <v>690</v>
      </c>
      <c r="B580" s="512" t="s">
        <v>449</v>
      </c>
      <c r="C580" s="626">
        <v>45777.0</v>
      </c>
      <c r="D580" s="512" t="s">
        <v>1631</v>
      </c>
      <c r="E580" s="617" t="s">
        <v>1632</v>
      </c>
      <c r="F580" s="606" t="s">
        <v>436</v>
      </c>
      <c r="G580" s="606" t="s">
        <v>1633</v>
      </c>
      <c r="H580" s="608" t="s">
        <v>693</v>
      </c>
    </row>
    <row r="581" hidden="1">
      <c r="A581" s="512" t="s">
        <v>617</v>
      </c>
      <c r="B581" s="512" t="s">
        <v>449</v>
      </c>
      <c r="C581" s="605">
        <v>45777.0</v>
      </c>
      <c r="D581" s="512">
        <v>3.1433948839E10</v>
      </c>
      <c r="E581" s="606" t="s">
        <v>1634</v>
      </c>
      <c r="F581" s="606" t="s">
        <v>436</v>
      </c>
      <c r="G581" s="606" t="s">
        <v>1635</v>
      </c>
      <c r="H581" s="608" t="s">
        <v>696</v>
      </c>
    </row>
    <row r="582" hidden="1">
      <c r="A582" s="512" t="s">
        <v>617</v>
      </c>
      <c r="B582" s="512" t="s">
        <v>449</v>
      </c>
      <c r="C582" s="605">
        <v>45777.0</v>
      </c>
      <c r="D582" s="512">
        <v>3.1433948831E10</v>
      </c>
      <c r="E582" s="606" t="s">
        <v>1634</v>
      </c>
      <c r="F582" s="606" t="s">
        <v>436</v>
      </c>
      <c r="G582" s="606" t="s">
        <v>1636</v>
      </c>
      <c r="H582" s="608" t="s">
        <v>696</v>
      </c>
    </row>
    <row r="583" hidden="1">
      <c r="A583" s="512" t="s">
        <v>432</v>
      </c>
      <c r="B583" s="512" t="s">
        <v>449</v>
      </c>
      <c r="C583" s="605">
        <v>45777.0</v>
      </c>
      <c r="D583" s="512">
        <v>2.5720251874E10</v>
      </c>
      <c r="E583" s="606" t="s">
        <v>1637</v>
      </c>
      <c r="F583" s="606" t="s">
        <v>436</v>
      </c>
      <c r="G583" s="606" t="s">
        <v>1638</v>
      </c>
      <c r="H583" s="608" t="s">
        <v>1096</v>
      </c>
    </row>
    <row r="584" hidden="1">
      <c r="A584" s="512" t="s">
        <v>439</v>
      </c>
      <c r="B584" s="512" t="s">
        <v>433</v>
      </c>
      <c r="C584" s="605">
        <v>45777.0</v>
      </c>
      <c r="D584" s="512">
        <v>2.4824657542E10</v>
      </c>
      <c r="E584" s="617" t="s">
        <v>1639</v>
      </c>
      <c r="F584" s="606" t="s">
        <v>436</v>
      </c>
      <c r="G584" s="606" t="s">
        <v>1640</v>
      </c>
      <c r="H584" s="608" t="s">
        <v>1608</v>
      </c>
    </row>
    <row r="585">
      <c r="A585" s="512" t="s">
        <v>432</v>
      </c>
      <c r="B585" s="512" t="s">
        <v>449</v>
      </c>
      <c r="C585" s="618">
        <v>45667.0</v>
      </c>
      <c r="D585" s="546">
        <v>4.7233870026E10</v>
      </c>
      <c r="E585" s="619" t="s">
        <v>1641</v>
      </c>
      <c r="F585" s="633" t="s">
        <v>436</v>
      </c>
      <c r="G585" s="619" t="s">
        <v>1642</v>
      </c>
      <c r="H585" s="629" t="s">
        <v>438</v>
      </c>
    </row>
    <row r="586">
      <c r="A586" s="512" t="s">
        <v>432</v>
      </c>
      <c r="B586" s="512" t="s">
        <v>433</v>
      </c>
      <c r="C586" s="605">
        <v>45667.0</v>
      </c>
      <c r="D586" s="512">
        <v>4.3130798736E10</v>
      </c>
      <c r="E586" s="606" t="s">
        <v>1643</v>
      </c>
      <c r="F586" s="607" t="s">
        <v>436</v>
      </c>
      <c r="G586" s="606" t="s">
        <v>1644</v>
      </c>
      <c r="H586" s="608" t="s">
        <v>438</v>
      </c>
    </row>
    <row r="587">
      <c r="A587" s="512" t="s">
        <v>823</v>
      </c>
      <c r="B587" s="512" t="s">
        <v>449</v>
      </c>
      <c r="C587" s="605">
        <v>45667.0</v>
      </c>
      <c r="D587" s="512">
        <v>4.7297581888E10</v>
      </c>
      <c r="E587" s="606" t="s">
        <v>1645</v>
      </c>
      <c r="F587" s="607" t="s">
        <v>436</v>
      </c>
      <c r="G587" s="606" t="s">
        <v>1646</v>
      </c>
      <c r="H587" s="608" t="s">
        <v>1647</v>
      </c>
    </row>
    <row r="588">
      <c r="A588" s="512" t="s">
        <v>432</v>
      </c>
      <c r="B588" s="512" t="s">
        <v>449</v>
      </c>
      <c r="C588" s="605">
        <v>45673.0</v>
      </c>
      <c r="D588" s="512">
        <v>3.4200474277E10</v>
      </c>
      <c r="E588" s="606" t="s">
        <v>1648</v>
      </c>
      <c r="F588" s="607" t="s">
        <v>436</v>
      </c>
      <c r="G588" s="606" t="s">
        <v>1649</v>
      </c>
      <c r="H588" s="608" t="s">
        <v>438</v>
      </c>
    </row>
    <row r="589">
      <c r="A589" s="512" t="s">
        <v>432</v>
      </c>
      <c r="B589" s="512" t="s">
        <v>433</v>
      </c>
      <c r="C589" s="605">
        <v>45695.0</v>
      </c>
      <c r="D589" s="512">
        <v>3.3467262464E10</v>
      </c>
      <c r="E589" s="606" t="s">
        <v>1650</v>
      </c>
      <c r="F589" s="606" t="s">
        <v>436</v>
      </c>
      <c r="G589" s="606" t="s">
        <v>1366</v>
      </c>
      <c r="H589" s="608" t="s">
        <v>901</v>
      </c>
    </row>
    <row r="590">
      <c r="A590" s="512" t="s">
        <v>432</v>
      </c>
      <c r="B590" s="512" t="s">
        <v>433</v>
      </c>
      <c r="C590" s="605">
        <v>45695.0</v>
      </c>
      <c r="D590" s="512">
        <v>2.9786072403E10</v>
      </c>
      <c r="E590" s="606" t="s">
        <v>1651</v>
      </c>
      <c r="F590" s="606" t="s">
        <v>436</v>
      </c>
      <c r="G590" s="606" t="s">
        <v>1652</v>
      </c>
      <c r="H590" s="608" t="s">
        <v>901</v>
      </c>
    </row>
    <row r="591">
      <c r="A591" s="512" t="s">
        <v>432</v>
      </c>
      <c r="B591" s="512" t="s">
        <v>433</v>
      </c>
      <c r="C591" s="605">
        <v>45695.0</v>
      </c>
      <c r="D591" s="512">
        <v>3.2543445127E10</v>
      </c>
      <c r="E591" s="648" t="s">
        <v>1653</v>
      </c>
      <c r="F591" s="606" t="s">
        <v>436</v>
      </c>
      <c r="G591" s="606" t="s">
        <v>1654</v>
      </c>
      <c r="H591" s="608" t="s">
        <v>901</v>
      </c>
    </row>
    <row r="592">
      <c r="A592" s="512" t="s">
        <v>432</v>
      </c>
      <c r="B592" s="512" t="s">
        <v>449</v>
      </c>
      <c r="C592" s="605">
        <v>45695.0</v>
      </c>
      <c r="D592" s="512">
        <v>2.1452910476E10</v>
      </c>
      <c r="E592" s="606" t="s">
        <v>1655</v>
      </c>
      <c r="F592" s="606" t="s">
        <v>436</v>
      </c>
      <c r="G592" s="606" t="s">
        <v>1656</v>
      </c>
      <c r="H592" s="608" t="s">
        <v>901</v>
      </c>
    </row>
    <row r="593">
      <c r="A593" s="512" t="s">
        <v>432</v>
      </c>
      <c r="B593" s="512" t="s">
        <v>449</v>
      </c>
      <c r="C593" s="605">
        <v>45695.0</v>
      </c>
      <c r="D593" s="512">
        <v>3.6228709609E10</v>
      </c>
      <c r="E593" s="606" t="s">
        <v>1657</v>
      </c>
      <c r="F593" s="606" t="s">
        <v>436</v>
      </c>
      <c r="G593" s="606" t="s">
        <v>1658</v>
      </c>
      <c r="H593" s="608" t="s">
        <v>901</v>
      </c>
    </row>
    <row r="594">
      <c r="A594" s="512" t="s">
        <v>432</v>
      </c>
      <c r="B594" s="512" t="s">
        <v>449</v>
      </c>
      <c r="C594" s="605">
        <v>45695.0</v>
      </c>
      <c r="D594" s="512">
        <v>3.421364324E10</v>
      </c>
      <c r="E594" s="606" t="s">
        <v>1657</v>
      </c>
      <c r="F594" s="606" t="s">
        <v>436</v>
      </c>
      <c r="G594" s="606" t="s">
        <v>1659</v>
      </c>
      <c r="H594" s="608" t="s">
        <v>901</v>
      </c>
    </row>
    <row r="595">
      <c r="A595" s="512" t="s">
        <v>432</v>
      </c>
      <c r="B595" s="512" t="s">
        <v>449</v>
      </c>
      <c r="C595" s="605">
        <v>45695.0</v>
      </c>
      <c r="D595" s="512">
        <v>3.4321919821E10</v>
      </c>
      <c r="E595" s="606" t="s">
        <v>1657</v>
      </c>
      <c r="F595" s="606" t="s">
        <v>436</v>
      </c>
      <c r="G595" s="606" t="s">
        <v>1659</v>
      </c>
      <c r="H595" s="608" t="s">
        <v>901</v>
      </c>
    </row>
    <row r="596">
      <c r="A596" s="512" t="s">
        <v>690</v>
      </c>
      <c r="B596" s="512" t="s">
        <v>449</v>
      </c>
      <c r="C596" s="605">
        <v>45720.0</v>
      </c>
      <c r="D596" s="512">
        <v>2.1845297147E10</v>
      </c>
      <c r="E596" s="646" t="s">
        <v>1660</v>
      </c>
      <c r="F596" s="606" t="s">
        <v>436</v>
      </c>
      <c r="G596" s="643" t="s">
        <v>1661</v>
      </c>
      <c r="H596" s="649" t="s">
        <v>1362</v>
      </c>
    </row>
    <row r="597">
      <c r="A597" s="512" t="s">
        <v>690</v>
      </c>
      <c r="B597" s="512" t="s">
        <v>433</v>
      </c>
      <c r="C597" s="605">
        <v>45778.0</v>
      </c>
      <c r="D597" s="512">
        <v>3.2170543382E10</v>
      </c>
      <c r="E597" s="617" t="s">
        <v>1662</v>
      </c>
      <c r="F597" s="606" t="s">
        <v>436</v>
      </c>
      <c r="G597" s="606" t="s">
        <v>1663</v>
      </c>
      <c r="H597" s="608" t="s">
        <v>1054</v>
      </c>
    </row>
    <row r="598">
      <c r="A598" s="512" t="s">
        <v>617</v>
      </c>
      <c r="B598" s="512" t="s">
        <v>449</v>
      </c>
      <c r="C598" s="605">
        <v>45778.0</v>
      </c>
      <c r="D598" s="512">
        <v>9.469464783E9</v>
      </c>
      <c r="E598" s="606" t="s">
        <v>1664</v>
      </c>
      <c r="F598" s="606" t="s">
        <v>436</v>
      </c>
      <c r="G598" s="606" t="s">
        <v>1665</v>
      </c>
      <c r="H598" s="608" t="s">
        <v>696</v>
      </c>
    </row>
    <row r="599">
      <c r="A599" s="512" t="s">
        <v>617</v>
      </c>
      <c r="B599" s="512" t="s">
        <v>433</v>
      </c>
      <c r="C599" s="605">
        <v>45778.0</v>
      </c>
      <c r="D599" s="512">
        <v>3.235708466E10</v>
      </c>
      <c r="E599" s="606" t="s">
        <v>1666</v>
      </c>
      <c r="F599" s="606" t="s">
        <v>436</v>
      </c>
      <c r="G599" s="606" t="s">
        <v>1667</v>
      </c>
      <c r="H599" s="608" t="s">
        <v>696</v>
      </c>
    </row>
    <row r="600">
      <c r="A600" s="512" t="s">
        <v>617</v>
      </c>
      <c r="B600" s="512" t="s">
        <v>449</v>
      </c>
      <c r="C600" s="639">
        <v>45778.0</v>
      </c>
      <c r="D600" s="512">
        <v>2.7971310076E10</v>
      </c>
      <c r="E600" s="606" t="s">
        <v>1668</v>
      </c>
      <c r="F600" s="606" t="s">
        <v>436</v>
      </c>
      <c r="G600" s="606" t="s">
        <v>1669</v>
      </c>
      <c r="H600" s="608" t="s">
        <v>696</v>
      </c>
    </row>
    <row r="601">
      <c r="A601" s="512" t="s">
        <v>617</v>
      </c>
      <c r="B601" s="512" t="s">
        <v>433</v>
      </c>
      <c r="C601" s="605">
        <v>45778.0</v>
      </c>
      <c r="D601" s="512">
        <v>2.8866808921E10</v>
      </c>
      <c r="E601" s="606" t="s">
        <v>1670</v>
      </c>
      <c r="F601" s="606" t="s">
        <v>436</v>
      </c>
      <c r="G601" s="606" t="s">
        <v>1671</v>
      </c>
      <c r="H601" s="608" t="s">
        <v>696</v>
      </c>
    </row>
    <row r="602">
      <c r="A602" s="512" t="s">
        <v>432</v>
      </c>
      <c r="B602" s="512" t="s">
        <v>449</v>
      </c>
      <c r="C602" s="605">
        <v>45779.0</v>
      </c>
      <c r="D602" s="512">
        <v>2.8680470594E10</v>
      </c>
      <c r="E602" s="606" t="s">
        <v>1672</v>
      </c>
      <c r="F602" s="606" t="s">
        <v>436</v>
      </c>
      <c r="G602" s="606" t="s">
        <v>1673</v>
      </c>
      <c r="H602" s="608" t="s">
        <v>901</v>
      </c>
    </row>
    <row r="603">
      <c r="A603" s="512" t="s">
        <v>432</v>
      </c>
      <c r="B603" s="512" t="s">
        <v>449</v>
      </c>
      <c r="C603" s="605">
        <v>45779.0</v>
      </c>
      <c r="D603" s="512">
        <v>3.0791862159E10</v>
      </c>
      <c r="E603" s="606" t="s">
        <v>1674</v>
      </c>
      <c r="F603" s="606" t="s">
        <v>436</v>
      </c>
      <c r="G603" s="606" t="s">
        <v>1675</v>
      </c>
      <c r="H603" s="608" t="s">
        <v>901</v>
      </c>
    </row>
    <row r="604">
      <c r="A604" s="512" t="s">
        <v>432</v>
      </c>
      <c r="B604" s="512" t="s">
        <v>992</v>
      </c>
      <c r="C604" s="605">
        <v>45779.0</v>
      </c>
      <c r="D604" s="512">
        <v>2.9528524122E10</v>
      </c>
      <c r="E604" s="606" t="s">
        <v>1676</v>
      </c>
      <c r="F604" s="606" t="s">
        <v>518</v>
      </c>
      <c r="G604" s="606" t="s">
        <v>1677</v>
      </c>
      <c r="H604" s="608" t="s">
        <v>901</v>
      </c>
    </row>
    <row r="605">
      <c r="A605" s="512" t="s">
        <v>617</v>
      </c>
      <c r="B605" s="512" t="s">
        <v>992</v>
      </c>
      <c r="C605" s="605">
        <v>45779.0</v>
      </c>
      <c r="D605" s="512">
        <v>3.4454072048E10</v>
      </c>
      <c r="E605" s="617" t="s">
        <v>1678</v>
      </c>
      <c r="F605" s="606" t="s">
        <v>436</v>
      </c>
      <c r="G605" s="606" t="s">
        <v>1679</v>
      </c>
      <c r="H605" s="608" t="s">
        <v>1054</v>
      </c>
    </row>
    <row r="606">
      <c r="A606" s="512" t="s">
        <v>617</v>
      </c>
      <c r="B606" s="512" t="s">
        <v>992</v>
      </c>
      <c r="C606" s="605">
        <v>45779.0</v>
      </c>
      <c r="D606" s="512">
        <v>3.4442415711E10</v>
      </c>
      <c r="E606" s="617" t="s">
        <v>1678</v>
      </c>
      <c r="F606" s="606" t="s">
        <v>518</v>
      </c>
      <c r="G606" s="606" t="s">
        <v>1679</v>
      </c>
      <c r="H606" s="608" t="s">
        <v>1054</v>
      </c>
    </row>
    <row r="607">
      <c r="A607" s="512" t="s">
        <v>432</v>
      </c>
      <c r="B607" s="512" t="s">
        <v>449</v>
      </c>
      <c r="C607" s="605">
        <v>45779.0</v>
      </c>
      <c r="D607" s="512">
        <v>3.4599297176E10</v>
      </c>
      <c r="E607" s="606" t="s">
        <v>1680</v>
      </c>
      <c r="F607" s="606" t="s">
        <v>436</v>
      </c>
      <c r="G607" s="606" t="s">
        <v>1681</v>
      </c>
      <c r="H607" s="608" t="s">
        <v>901</v>
      </c>
    </row>
    <row r="608">
      <c r="A608" s="512" t="s">
        <v>432</v>
      </c>
      <c r="B608" s="512" t="s">
        <v>992</v>
      </c>
      <c r="C608" s="605">
        <v>45780.0</v>
      </c>
      <c r="D608" s="512">
        <v>2.9819839414E10</v>
      </c>
      <c r="E608" s="606" t="s">
        <v>1682</v>
      </c>
      <c r="F608" s="606" t="s">
        <v>518</v>
      </c>
      <c r="G608" s="606" t="s">
        <v>1683</v>
      </c>
      <c r="H608" s="608" t="s">
        <v>901</v>
      </c>
    </row>
    <row r="609">
      <c r="A609" s="512" t="s">
        <v>432</v>
      </c>
      <c r="B609" s="512" t="s">
        <v>992</v>
      </c>
      <c r="C609" s="605">
        <v>45780.0</v>
      </c>
      <c r="D609" s="512">
        <v>2.7678645767E10</v>
      </c>
      <c r="E609" s="606" t="s">
        <v>1684</v>
      </c>
      <c r="F609" s="606" t="s">
        <v>518</v>
      </c>
      <c r="G609" s="606" t="s">
        <v>1685</v>
      </c>
      <c r="H609" s="608" t="s">
        <v>901</v>
      </c>
    </row>
    <row r="610">
      <c r="A610" s="512" t="s">
        <v>432</v>
      </c>
      <c r="B610" s="512" t="s">
        <v>992</v>
      </c>
      <c r="C610" s="605">
        <v>45780.0</v>
      </c>
      <c r="D610" s="512">
        <v>2.6687396427E10</v>
      </c>
      <c r="E610" s="606" t="s">
        <v>1686</v>
      </c>
      <c r="F610" s="606" t="s">
        <v>518</v>
      </c>
      <c r="G610" s="606" t="s">
        <v>1687</v>
      </c>
      <c r="H610" s="608" t="s">
        <v>901</v>
      </c>
    </row>
    <row r="611">
      <c r="A611" s="512" t="s">
        <v>617</v>
      </c>
      <c r="B611" s="512" t="s">
        <v>992</v>
      </c>
      <c r="C611" s="605">
        <v>45780.0</v>
      </c>
      <c r="D611" s="512">
        <v>3.1410386122E10</v>
      </c>
      <c r="E611" s="617" t="s">
        <v>1688</v>
      </c>
      <c r="F611" s="606" t="s">
        <v>518</v>
      </c>
      <c r="G611" s="606" t="s">
        <v>1689</v>
      </c>
      <c r="H611" s="608" t="s">
        <v>1054</v>
      </c>
    </row>
    <row r="612">
      <c r="A612" s="512" t="s">
        <v>690</v>
      </c>
      <c r="B612" s="512" t="s">
        <v>449</v>
      </c>
      <c r="C612" s="626">
        <v>45780.0</v>
      </c>
      <c r="D612" s="512">
        <v>2.9977205666E10</v>
      </c>
      <c r="E612" s="617" t="s">
        <v>1690</v>
      </c>
      <c r="F612" s="606" t="s">
        <v>518</v>
      </c>
      <c r="G612" s="637" t="s">
        <v>1691</v>
      </c>
      <c r="H612" s="608" t="s">
        <v>1362</v>
      </c>
    </row>
    <row r="613">
      <c r="A613" s="512" t="s">
        <v>690</v>
      </c>
      <c r="B613" s="512" t="s">
        <v>995</v>
      </c>
      <c r="C613" s="605">
        <v>45780.0</v>
      </c>
      <c r="D613" s="512">
        <v>3.3390985587E10</v>
      </c>
      <c r="E613" s="606" t="s">
        <v>1692</v>
      </c>
      <c r="F613" s="606" t="s">
        <v>518</v>
      </c>
      <c r="G613" s="606" t="s">
        <v>1693</v>
      </c>
      <c r="H613" s="608" t="s">
        <v>1054</v>
      </c>
    </row>
    <row r="614">
      <c r="A614" s="512" t="s">
        <v>432</v>
      </c>
      <c r="B614" s="512" t="s">
        <v>995</v>
      </c>
      <c r="C614" s="605">
        <v>45780.0</v>
      </c>
      <c r="D614" s="512">
        <v>3.1789124619E10</v>
      </c>
      <c r="E614" s="606" t="s">
        <v>1694</v>
      </c>
      <c r="F614" s="606" t="s">
        <v>518</v>
      </c>
      <c r="G614" s="606" t="s">
        <v>1695</v>
      </c>
      <c r="H614" s="608" t="s">
        <v>901</v>
      </c>
    </row>
    <row r="615">
      <c r="A615" s="512" t="s">
        <v>690</v>
      </c>
      <c r="B615" s="512" t="s">
        <v>995</v>
      </c>
      <c r="C615" s="605">
        <v>45781.0</v>
      </c>
      <c r="D615" s="512">
        <v>3.2949717251E10</v>
      </c>
      <c r="E615" s="646" t="s">
        <v>1696</v>
      </c>
      <c r="F615" s="606" t="s">
        <v>518</v>
      </c>
      <c r="G615" s="606" t="s">
        <v>1697</v>
      </c>
      <c r="H615" s="608" t="s">
        <v>1054</v>
      </c>
    </row>
    <row r="616">
      <c r="A616" s="512" t="s">
        <v>439</v>
      </c>
      <c r="B616" s="512" t="s">
        <v>995</v>
      </c>
      <c r="C616" s="605">
        <v>45781.0</v>
      </c>
      <c r="D616" s="512">
        <v>3.1915307201E10</v>
      </c>
      <c r="E616" s="646" t="s">
        <v>1698</v>
      </c>
      <c r="F616" s="606" t="s">
        <v>518</v>
      </c>
      <c r="G616" s="606" t="s">
        <v>1699</v>
      </c>
      <c r="H616" s="608" t="s">
        <v>1608</v>
      </c>
    </row>
    <row r="617">
      <c r="A617" s="512" t="s">
        <v>617</v>
      </c>
      <c r="B617" s="512" t="s">
        <v>449</v>
      </c>
      <c r="C617" s="605">
        <v>45781.0</v>
      </c>
      <c r="D617" s="512">
        <v>3.6059482398E10</v>
      </c>
      <c r="E617" s="606" t="s">
        <v>1700</v>
      </c>
      <c r="F617" s="606" t="s">
        <v>436</v>
      </c>
      <c r="G617" s="606" t="s">
        <v>1701</v>
      </c>
      <c r="H617" s="608" t="s">
        <v>696</v>
      </c>
    </row>
    <row r="618">
      <c r="A618" s="512" t="s">
        <v>617</v>
      </c>
      <c r="B618" s="512" t="s">
        <v>449</v>
      </c>
      <c r="C618" s="605">
        <v>45781.0</v>
      </c>
      <c r="D618" s="512">
        <v>2.8509387306E10</v>
      </c>
      <c r="E618" s="606" t="s">
        <v>1702</v>
      </c>
      <c r="F618" s="606" t="s">
        <v>436</v>
      </c>
      <c r="G618" s="606" t="s">
        <v>1703</v>
      </c>
      <c r="H618" s="608" t="s">
        <v>696</v>
      </c>
    </row>
    <row r="619">
      <c r="A619" s="512" t="s">
        <v>439</v>
      </c>
      <c r="B619" s="512" t="s">
        <v>995</v>
      </c>
      <c r="C619" s="605">
        <v>45781.0</v>
      </c>
      <c r="D619" s="512">
        <v>2.3167031752E10</v>
      </c>
      <c r="E619" s="646" t="s">
        <v>1704</v>
      </c>
      <c r="F619" s="606" t="s">
        <v>518</v>
      </c>
      <c r="G619" s="606" t="s">
        <v>739</v>
      </c>
      <c r="H619" s="608" t="s">
        <v>1608</v>
      </c>
    </row>
    <row r="620">
      <c r="A620" s="512" t="s">
        <v>439</v>
      </c>
      <c r="B620" s="512" t="s">
        <v>995</v>
      </c>
      <c r="C620" s="605">
        <v>45781.0</v>
      </c>
      <c r="D620" s="512">
        <v>3.4921134945E10</v>
      </c>
      <c r="E620" s="617" t="s">
        <v>1705</v>
      </c>
      <c r="F620" s="606" t="s">
        <v>518</v>
      </c>
      <c r="G620" s="606" t="s">
        <v>1706</v>
      </c>
      <c r="H620" s="608" t="s">
        <v>1608</v>
      </c>
    </row>
    <row r="621">
      <c r="A621" s="512" t="s">
        <v>439</v>
      </c>
      <c r="B621" s="512" t="s">
        <v>995</v>
      </c>
      <c r="C621" s="605">
        <v>45781.0</v>
      </c>
      <c r="D621" s="512">
        <v>2.5524574145E10</v>
      </c>
      <c r="E621" s="646" t="s">
        <v>1707</v>
      </c>
      <c r="F621" s="606" t="s">
        <v>518</v>
      </c>
      <c r="G621" s="606" t="s">
        <v>1708</v>
      </c>
      <c r="H621" s="608" t="s">
        <v>1608</v>
      </c>
    </row>
    <row r="622">
      <c r="A622" s="512" t="s">
        <v>439</v>
      </c>
      <c r="B622" s="512" t="s">
        <v>995</v>
      </c>
      <c r="C622" s="605">
        <v>45781.0</v>
      </c>
      <c r="D622" s="512">
        <v>3.3440744438E10</v>
      </c>
      <c r="E622" s="617" t="s">
        <v>1709</v>
      </c>
      <c r="F622" s="606" t="s">
        <v>518</v>
      </c>
      <c r="G622" s="606" t="s">
        <v>1710</v>
      </c>
      <c r="H622" s="608" t="s">
        <v>1608</v>
      </c>
    </row>
    <row r="623">
      <c r="A623" s="512" t="s">
        <v>439</v>
      </c>
      <c r="B623" s="512" t="s">
        <v>992</v>
      </c>
      <c r="C623" s="605">
        <v>45782.0</v>
      </c>
      <c r="D623" s="512">
        <v>3.1287275437E10</v>
      </c>
      <c r="E623" s="646" t="s">
        <v>1711</v>
      </c>
      <c r="F623" s="606" t="s">
        <v>518</v>
      </c>
      <c r="G623" s="606" t="s">
        <v>1712</v>
      </c>
      <c r="H623" s="608" t="s">
        <v>1608</v>
      </c>
    </row>
    <row r="624">
      <c r="A624" s="512" t="s">
        <v>617</v>
      </c>
      <c r="B624" s="512" t="s">
        <v>995</v>
      </c>
      <c r="C624" s="605">
        <v>45782.0</v>
      </c>
      <c r="D624" s="512">
        <v>2.3313294767E10</v>
      </c>
      <c r="E624" s="646" t="s">
        <v>1713</v>
      </c>
      <c r="F624" s="606" t="s">
        <v>518</v>
      </c>
      <c r="G624" s="606" t="s">
        <v>1714</v>
      </c>
      <c r="H624" s="608" t="s">
        <v>623</v>
      </c>
    </row>
    <row r="625">
      <c r="A625" s="512" t="s">
        <v>432</v>
      </c>
      <c r="B625" s="512" t="s">
        <v>995</v>
      </c>
      <c r="C625" s="605">
        <v>45782.0</v>
      </c>
      <c r="D625" s="512">
        <v>3.5000031158E10</v>
      </c>
      <c r="E625" s="606" t="s">
        <v>1715</v>
      </c>
      <c r="F625" s="606" t="s">
        <v>518</v>
      </c>
      <c r="G625" s="606" t="s">
        <v>834</v>
      </c>
      <c r="H625" s="608" t="s">
        <v>1096</v>
      </c>
    </row>
    <row r="626">
      <c r="A626" s="512" t="s">
        <v>439</v>
      </c>
      <c r="B626" s="512" t="s">
        <v>987</v>
      </c>
      <c r="C626" s="605">
        <v>45782.0</v>
      </c>
      <c r="D626" s="512">
        <v>2.8828942279E10</v>
      </c>
      <c r="E626" s="606" t="s">
        <v>1716</v>
      </c>
      <c r="F626" s="606" t="s">
        <v>518</v>
      </c>
      <c r="G626" s="606" t="s">
        <v>1717</v>
      </c>
      <c r="H626" s="608" t="s">
        <v>1608</v>
      </c>
    </row>
    <row r="627">
      <c r="A627" s="512" t="s">
        <v>617</v>
      </c>
      <c r="B627" s="512" t="s">
        <v>992</v>
      </c>
      <c r="C627" s="605">
        <v>45782.0</v>
      </c>
      <c r="D627" s="512" t="s">
        <v>1718</v>
      </c>
      <c r="E627" s="646" t="s">
        <v>1719</v>
      </c>
      <c r="F627" s="606" t="s">
        <v>518</v>
      </c>
      <c r="G627" s="606" t="s">
        <v>1720</v>
      </c>
      <c r="H627" s="608" t="s">
        <v>623</v>
      </c>
    </row>
    <row r="628">
      <c r="A628" s="512" t="s">
        <v>432</v>
      </c>
      <c r="B628" s="512" t="s">
        <v>987</v>
      </c>
      <c r="C628" s="605">
        <v>45782.0</v>
      </c>
      <c r="D628" s="512">
        <v>2.1914914498E10</v>
      </c>
      <c r="E628" s="606" t="s">
        <v>1721</v>
      </c>
      <c r="F628" s="606" t="s">
        <v>518</v>
      </c>
      <c r="G628" s="606" t="s">
        <v>1722</v>
      </c>
      <c r="H628" s="608" t="s">
        <v>1096</v>
      </c>
    </row>
    <row r="629">
      <c r="A629" s="512" t="s">
        <v>439</v>
      </c>
      <c r="B629" s="512" t="s">
        <v>987</v>
      </c>
      <c r="C629" s="605">
        <v>45782.0</v>
      </c>
      <c r="D629" s="512">
        <v>2.5181166978E10</v>
      </c>
      <c r="E629" s="606" t="s">
        <v>1723</v>
      </c>
      <c r="F629" s="606" t="s">
        <v>518</v>
      </c>
      <c r="G629" s="606" t="s">
        <v>1724</v>
      </c>
      <c r="H629" s="608" t="s">
        <v>1608</v>
      </c>
    </row>
    <row r="630">
      <c r="A630" s="512" t="s">
        <v>439</v>
      </c>
      <c r="B630" s="512" t="s">
        <v>995</v>
      </c>
      <c r="C630" s="605">
        <v>45782.0</v>
      </c>
      <c r="D630" s="512">
        <v>3.1039211829E10</v>
      </c>
      <c r="E630" s="606" t="s">
        <v>1725</v>
      </c>
      <c r="F630" s="606" t="s">
        <v>518</v>
      </c>
      <c r="G630" s="606" t="s">
        <v>1726</v>
      </c>
      <c r="H630" s="608" t="s">
        <v>1608</v>
      </c>
    </row>
    <row r="631">
      <c r="A631" s="512" t="s">
        <v>432</v>
      </c>
      <c r="B631" s="512" t="s">
        <v>995</v>
      </c>
      <c r="C631" s="605">
        <v>45782.0</v>
      </c>
      <c r="D631" s="512">
        <v>3.1414089323E10</v>
      </c>
      <c r="E631" s="606" t="s">
        <v>1727</v>
      </c>
      <c r="F631" s="606" t="s">
        <v>518</v>
      </c>
      <c r="G631" s="606" t="s">
        <v>1728</v>
      </c>
      <c r="H631" s="608" t="s">
        <v>1096</v>
      </c>
    </row>
    <row r="632">
      <c r="A632" s="512" t="s">
        <v>617</v>
      </c>
      <c r="B632" s="512" t="s">
        <v>995</v>
      </c>
      <c r="C632" s="605">
        <v>45783.0</v>
      </c>
      <c r="D632" s="512">
        <v>3.1475479063E10</v>
      </c>
      <c r="E632" s="606" t="s">
        <v>1729</v>
      </c>
      <c r="F632" s="606" t="s">
        <v>518</v>
      </c>
      <c r="G632" s="606">
        <v>2901.0</v>
      </c>
      <c r="H632" s="608" t="s">
        <v>623</v>
      </c>
    </row>
    <row r="633">
      <c r="A633" s="512" t="s">
        <v>617</v>
      </c>
      <c r="B633" s="512" t="s">
        <v>995</v>
      </c>
      <c r="C633" s="605">
        <v>45783.0</v>
      </c>
      <c r="D633" s="512">
        <v>2.5172552839E10</v>
      </c>
      <c r="E633" s="606" t="s">
        <v>1730</v>
      </c>
      <c r="F633" s="606" t="s">
        <v>518</v>
      </c>
      <c r="G633" s="606" t="s">
        <v>728</v>
      </c>
      <c r="H633" s="608" t="s">
        <v>623</v>
      </c>
    </row>
    <row r="634">
      <c r="A634" s="512" t="s">
        <v>439</v>
      </c>
      <c r="B634" s="512" t="s">
        <v>987</v>
      </c>
      <c r="C634" s="605">
        <v>45783.0</v>
      </c>
      <c r="D634" s="512">
        <v>3.3456453157E10</v>
      </c>
      <c r="E634" s="646" t="s">
        <v>1731</v>
      </c>
      <c r="F634" s="606" t="s">
        <v>518</v>
      </c>
      <c r="G634" s="606" t="s">
        <v>1732</v>
      </c>
      <c r="H634" s="608" t="s">
        <v>850</v>
      </c>
    </row>
    <row r="635">
      <c r="A635" s="512" t="s">
        <v>617</v>
      </c>
      <c r="B635" s="512" t="s">
        <v>995</v>
      </c>
      <c r="C635" s="605">
        <v>45783.0</v>
      </c>
      <c r="D635" s="512">
        <v>2.8656275247E10</v>
      </c>
      <c r="E635" s="606" t="s">
        <v>1733</v>
      </c>
      <c r="F635" s="606" t="s">
        <v>518</v>
      </c>
      <c r="G635" s="606" t="s">
        <v>1734</v>
      </c>
      <c r="H635" s="608" t="s">
        <v>623</v>
      </c>
    </row>
    <row r="636">
      <c r="A636" s="512" t="s">
        <v>617</v>
      </c>
      <c r="B636" s="512" t="s">
        <v>995</v>
      </c>
      <c r="C636" s="605">
        <v>45783.0</v>
      </c>
      <c r="D636" s="512">
        <v>2.9226798785E10</v>
      </c>
      <c r="E636" s="606" t="s">
        <v>1735</v>
      </c>
      <c r="F636" s="606" t="s">
        <v>518</v>
      </c>
      <c r="G636" s="606" t="s">
        <v>1736</v>
      </c>
      <c r="H636" s="608" t="s">
        <v>623</v>
      </c>
    </row>
    <row r="637">
      <c r="A637" s="512" t="s">
        <v>617</v>
      </c>
      <c r="B637" s="512" t="s">
        <v>449</v>
      </c>
      <c r="C637" s="605">
        <v>45784.0</v>
      </c>
      <c r="D637" s="512">
        <v>2.8515775306E10</v>
      </c>
      <c r="E637" s="606" t="s">
        <v>1737</v>
      </c>
      <c r="F637" s="606" t="s">
        <v>436</v>
      </c>
      <c r="G637" s="606" t="s">
        <v>1738</v>
      </c>
      <c r="H637" s="608" t="s">
        <v>696</v>
      </c>
    </row>
    <row r="638">
      <c r="A638" s="512" t="s">
        <v>617</v>
      </c>
      <c r="B638" s="512" t="s">
        <v>449</v>
      </c>
      <c r="C638" s="605">
        <v>45784.0</v>
      </c>
      <c r="D638" s="512">
        <v>2.8135761048E10</v>
      </c>
      <c r="E638" s="606" t="s">
        <v>1737</v>
      </c>
      <c r="F638" s="606" t="s">
        <v>436</v>
      </c>
      <c r="G638" s="606" t="s">
        <v>1739</v>
      </c>
      <c r="H638" s="608" t="s">
        <v>696</v>
      </c>
    </row>
    <row r="639">
      <c r="A639" s="512" t="s">
        <v>823</v>
      </c>
      <c r="B639" s="512" t="s">
        <v>449</v>
      </c>
      <c r="C639" s="605">
        <v>45784.0</v>
      </c>
      <c r="D639" s="512">
        <v>3.71122956E8</v>
      </c>
      <c r="E639" s="606" t="s">
        <v>1740</v>
      </c>
      <c r="F639" s="606" t="s">
        <v>436</v>
      </c>
      <c r="G639" s="606" t="s">
        <v>1741</v>
      </c>
      <c r="H639" s="608" t="s">
        <v>1742</v>
      </c>
    </row>
    <row r="640">
      <c r="A640" s="512" t="s">
        <v>690</v>
      </c>
      <c r="B640" s="512" t="s">
        <v>449</v>
      </c>
      <c r="C640" s="605">
        <v>45784.0</v>
      </c>
      <c r="D640" s="512">
        <v>2.1916114334E10</v>
      </c>
      <c r="E640" s="646" t="s">
        <v>1743</v>
      </c>
      <c r="F640" s="606" t="s">
        <v>436</v>
      </c>
      <c r="G640" s="637" t="s">
        <v>1744</v>
      </c>
      <c r="H640" s="608" t="s">
        <v>1362</v>
      </c>
    </row>
    <row r="641">
      <c r="A641" s="512" t="s">
        <v>690</v>
      </c>
      <c r="B641" s="512" t="s">
        <v>449</v>
      </c>
      <c r="C641" s="605">
        <v>45784.0</v>
      </c>
      <c r="D641" s="512">
        <v>2.7482491781E10</v>
      </c>
      <c r="E641" s="646" t="s">
        <v>1745</v>
      </c>
      <c r="F641" s="606" t="s">
        <v>436</v>
      </c>
      <c r="G641" s="637" t="s">
        <v>1746</v>
      </c>
      <c r="H641" s="608" t="s">
        <v>1362</v>
      </c>
    </row>
    <row r="642">
      <c r="A642" s="512" t="s">
        <v>617</v>
      </c>
      <c r="B642" s="512" t="s">
        <v>449</v>
      </c>
      <c r="C642" s="605">
        <v>45784.0</v>
      </c>
      <c r="D642" s="512">
        <v>3.2959459944E10</v>
      </c>
      <c r="E642" s="606" t="s">
        <v>1747</v>
      </c>
      <c r="F642" s="606" t="s">
        <v>436</v>
      </c>
      <c r="G642" s="606" t="s">
        <v>1748</v>
      </c>
      <c r="H642" s="608" t="s">
        <v>696</v>
      </c>
    </row>
    <row r="643">
      <c r="A643" s="512" t="s">
        <v>432</v>
      </c>
      <c r="B643" s="512" t="s">
        <v>449</v>
      </c>
      <c r="C643" s="605">
        <v>45784.0</v>
      </c>
      <c r="D643" s="512" t="s">
        <v>1749</v>
      </c>
      <c r="E643" s="646" t="s">
        <v>1750</v>
      </c>
      <c r="F643" s="606" t="s">
        <v>436</v>
      </c>
      <c r="G643" s="606" t="s">
        <v>1751</v>
      </c>
      <c r="H643" s="608" t="s">
        <v>693</v>
      </c>
    </row>
    <row r="644">
      <c r="A644" s="512" t="s">
        <v>432</v>
      </c>
      <c r="B644" s="512" t="s">
        <v>987</v>
      </c>
      <c r="C644" s="605">
        <v>45784.0</v>
      </c>
      <c r="D644" s="512" t="s">
        <v>1752</v>
      </c>
      <c r="E644" s="646" t="s">
        <v>1753</v>
      </c>
      <c r="F644" s="606" t="s">
        <v>518</v>
      </c>
      <c r="G644" s="606" t="s">
        <v>1754</v>
      </c>
      <c r="H644" s="608" t="s">
        <v>693</v>
      </c>
    </row>
    <row r="645">
      <c r="A645" s="512" t="s">
        <v>617</v>
      </c>
      <c r="B645" s="512" t="s">
        <v>1755</v>
      </c>
      <c r="C645" s="605">
        <v>45784.0</v>
      </c>
      <c r="D645" s="512">
        <v>2.7804243658E10</v>
      </c>
      <c r="E645" s="606" t="s">
        <v>1756</v>
      </c>
      <c r="F645" s="606" t="s">
        <v>436</v>
      </c>
      <c r="G645" s="640"/>
      <c r="H645" s="608" t="s">
        <v>696</v>
      </c>
    </row>
    <row r="646">
      <c r="A646" s="512" t="s">
        <v>432</v>
      </c>
      <c r="B646" s="512" t="s">
        <v>433</v>
      </c>
      <c r="C646" s="605">
        <v>45785.0</v>
      </c>
      <c r="D646" s="512">
        <v>2.9854589078E10</v>
      </c>
      <c r="E646" s="606" t="s">
        <v>1757</v>
      </c>
      <c r="F646" s="606" t="s">
        <v>436</v>
      </c>
      <c r="G646" s="606" t="s">
        <v>1758</v>
      </c>
      <c r="H646" s="608" t="s">
        <v>901</v>
      </c>
    </row>
    <row r="647">
      <c r="A647" s="512" t="s">
        <v>432</v>
      </c>
      <c r="B647" s="512" t="s">
        <v>433</v>
      </c>
      <c r="C647" s="605">
        <v>45785.0</v>
      </c>
      <c r="D647" s="512">
        <v>3.3712118666E10</v>
      </c>
      <c r="E647" s="606" t="s">
        <v>1759</v>
      </c>
      <c r="F647" s="606" t="s">
        <v>436</v>
      </c>
      <c r="G647" s="606" t="s">
        <v>1760</v>
      </c>
      <c r="H647" s="608" t="s">
        <v>901</v>
      </c>
    </row>
    <row r="648">
      <c r="A648" s="512" t="s">
        <v>432</v>
      </c>
      <c r="B648" s="512" t="s">
        <v>433</v>
      </c>
      <c r="C648" s="605">
        <v>45785.0</v>
      </c>
      <c r="D648" s="512">
        <v>3.3891265474E10</v>
      </c>
      <c r="E648" s="606" t="s">
        <v>1759</v>
      </c>
      <c r="F648" s="606" t="s">
        <v>436</v>
      </c>
      <c r="G648" s="606" t="s">
        <v>1760</v>
      </c>
      <c r="H648" s="608" t="s">
        <v>901</v>
      </c>
    </row>
    <row r="649">
      <c r="A649" s="512" t="s">
        <v>432</v>
      </c>
      <c r="B649" s="512" t="s">
        <v>433</v>
      </c>
      <c r="C649" s="605">
        <v>45785.0</v>
      </c>
      <c r="D649" s="512">
        <v>3.2064239539E10</v>
      </c>
      <c r="E649" s="606" t="s">
        <v>1761</v>
      </c>
      <c r="F649" s="606" t="s">
        <v>436</v>
      </c>
      <c r="G649" s="606" t="s">
        <v>1762</v>
      </c>
      <c r="H649" s="608" t="s">
        <v>901</v>
      </c>
    </row>
    <row r="650">
      <c r="A650" s="512" t="s">
        <v>432</v>
      </c>
      <c r="B650" s="512" t="s">
        <v>433</v>
      </c>
      <c r="C650" s="605">
        <v>45785.0</v>
      </c>
      <c r="D650" s="512">
        <v>2.9705366891E10</v>
      </c>
      <c r="E650" s="606" t="s">
        <v>1763</v>
      </c>
      <c r="F650" s="606" t="s">
        <v>436</v>
      </c>
      <c r="G650" s="606" t="s">
        <v>1764</v>
      </c>
      <c r="H650" s="608" t="s">
        <v>901</v>
      </c>
    </row>
    <row r="651">
      <c r="A651" s="512" t="s">
        <v>432</v>
      </c>
      <c r="B651" s="512" t="s">
        <v>433</v>
      </c>
      <c r="C651" s="605">
        <v>45785.0</v>
      </c>
      <c r="D651" s="512">
        <v>2.9679838086E10</v>
      </c>
      <c r="E651" s="606" t="s">
        <v>1765</v>
      </c>
      <c r="F651" s="606" t="s">
        <v>436</v>
      </c>
      <c r="G651" s="606" t="s">
        <v>1766</v>
      </c>
      <c r="H651" s="608" t="s">
        <v>901</v>
      </c>
    </row>
    <row r="652">
      <c r="A652" s="512" t="s">
        <v>432</v>
      </c>
      <c r="B652" s="512" t="s">
        <v>433</v>
      </c>
      <c r="C652" s="605">
        <v>45785.0</v>
      </c>
      <c r="D652" s="512">
        <v>3.2334919534E10</v>
      </c>
      <c r="E652" s="606" t="s">
        <v>1767</v>
      </c>
      <c r="F652" s="606" t="s">
        <v>436</v>
      </c>
      <c r="G652" s="606" t="s">
        <v>1673</v>
      </c>
      <c r="H652" s="608" t="s">
        <v>901</v>
      </c>
    </row>
    <row r="653">
      <c r="A653" s="512" t="s">
        <v>617</v>
      </c>
      <c r="B653" s="512" t="s">
        <v>449</v>
      </c>
      <c r="C653" s="605">
        <v>45785.0</v>
      </c>
      <c r="D653" s="512">
        <v>3.0591163944E10</v>
      </c>
      <c r="E653" s="606" t="s">
        <v>1768</v>
      </c>
      <c r="F653" s="606" t="s">
        <v>436</v>
      </c>
      <c r="G653" s="606" t="s">
        <v>1769</v>
      </c>
      <c r="H653" s="608" t="s">
        <v>696</v>
      </c>
    </row>
    <row r="654">
      <c r="A654" s="512" t="s">
        <v>432</v>
      </c>
      <c r="B654" s="512" t="s">
        <v>433</v>
      </c>
      <c r="C654" s="605">
        <v>45785.0</v>
      </c>
      <c r="D654" s="512">
        <v>3.0435651219E10</v>
      </c>
      <c r="E654" s="606" t="s">
        <v>1770</v>
      </c>
      <c r="F654" s="606" t="s">
        <v>436</v>
      </c>
      <c r="G654" s="606" t="s">
        <v>1771</v>
      </c>
      <c r="H654" s="608" t="s">
        <v>901</v>
      </c>
    </row>
    <row r="655">
      <c r="A655" s="512" t="s">
        <v>432</v>
      </c>
      <c r="B655" s="512" t="s">
        <v>433</v>
      </c>
      <c r="C655" s="605">
        <v>45785.0</v>
      </c>
      <c r="D655" s="512">
        <v>2.6652708338E10</v>
      </c>
      <c r="E655" s="606" t="s">
        <v>1772</v>
      </c>
      <c r="F655" s="606" t="s">
        <v>436</v>
      </c>
      <c r="G655" s="606" t="s">
        <v>1773</v>
      </c>
      <c r="H655" s="608" t="s">
        <v>901</v>
      </c>
    </row>
    <row r="656">
      <c r="A656" s="512" t="s">
        <v>432</v>
      </c>
      <c r="B656" s="512" t="s">
        <v>433</v>
      </c>
      <c r="C656" s="605">
        <v>45785.0</v>
      </c>
      <c r="D656" s="512">
        <v>2.9600860932E10</v>
      </c>
      <c r="E656" s="606" t="s">
        <v>1774</v>
      </c>
      <c r="F656" s="606" t="s">
        <v>436</v>
      </c>
      <c r="G656" s="606" t="s">
        <v>1775</v>
      </c>
      <c r="H656" s="608" t="s">
        <v>901</v>
      </c>
    </row>
    <row r="657">
      <c r="A657" s="512" t="s">
        <v>432</v>
      </c>
      <c r="B657" s="512" t="s">
        <v>449</v>
      </c>
      <c r="C657" s="605">
        <v>45785.0</v>
      </c>
      <c r="D657" s="512">
        <v>3.2382454373E10</v>
      </c>
      <c r="E657" s="606" t="s">
        <v>1776</v>
      </c>
      <c r="F657" s="606" t="s">
        <v>436</v>
      </c>
      <c r="G657" s="606" t="s">
        <v>1777</v>
      </c>
      <c r="H657" s="608" t="s">
        <v>901</v>
      </c>
    </row>
    <row r="658">
      <c r="A658" s="512" t="s">
        <v>432</v>
      </c>
      <c r="B658" s="512" t="s">
        <v>433</v>
      </c>
      <c r="C658" s="605">
        <v>45785.0</v>
      </c>
      <c r="D658" s="512">
        <v>2.5087621002E10</v>
      </c>
      <c r="E658" s="606" t="s">
        <v>1778</v>
      </c>
      <c r="F658" s="606" t="s">
        <v>436</v>
      </c>
      <c r="G658" s="606" t="s">
        <v>1779</v>
      </c>
      <c r="H658" s="608" t="s">
        <v>901</v>
      </c>
    </row>
    <row r="659">
      <c r="A659" s="512" t="s">
        <v>617</v>
      </c>
      <c r="B659" s="512" t="s">
        <v>449</v>
      </c>
      <c r="C659" s="605">
        <v>45785.0</v>
      </c>
      <c r="D659" s="512">
        <v>3.2645804269E10</v>
      </c>
      <c r="E659" s="606" t="s">
        <v>1780</v>
      </c>
      <c r="F659" s="606" t="s">
        <v>436</v>
      </c>
      <c r="G659" s="606" t="s">
        <v>1781</v>
      </c>
      <c r="H659" s="608" t="s">
        <v>696</v>
      </c>
    </row>
    <row r="660">
      <c r="A660" s="512" t="s">
        <v>432</v>
      </c>
      <c r="B660" s="512" t="s">
        <v>433</v>
      </c>
      <c r="C660" s="605">
        <v>45785.0</v>
      </c>
      <c r="D660" s="512">
        <v>3.0633756533E10</v>
      </c>
      <c r="E660" s="606" t="s">
        <v>1782</v>
      </c>
      <c r="F660" s="606" t="s">
        <v>436</v>
      </c>
      <c r="G660" s="606" t="s">
        <v>1783</v>
      </c>
      <c r="H660" s="608" t="s">
        <v>901</v>
      </c>
    </row>
    <row r="661">
      <c r="A661" s="512" t="s">
        <v>432</v>
      </c>
      <c r="B661" s="512" t="s">
        <v>433</v>
      </c>
      <c r="C661" s="605">
        <v>45785.0</v>
      </c>
      <c r="D661" s="512">
        <v>2.9518577586E10</v>
      </c>
      <c r="E661" s="606" t="s">
        <v>1784</v>
      </c>
      <c r="F661" s="606" t="s">
        <v>436</v>
      </c>
      <c r="G661" s="606" t="s">
        <v>1785</v>
      </c>
      <c r="H661" s="608" t="s">
        <v>901</v>
      </c>
    </row>
    <row r="662">
      <c r="A662" s="512" t="s">
        <v>617</v>
      </c>
      <c r="B662" s="512" t="s">
        <v>433</v>
      </c>
      <c r="C662" s="605">
        <v>45785.0</v>
      </c>
      <c r="D662" s="512">
        <v>2.043119508881E12</v>
      </c>
      <c r="E662" s="606" t="s">
        <v>1786</v>
      </c>
      <c r="F662" s="606" t="s">
        <v>436</v>
      </c>
      <c r="G662" s="606" t="s">
        <v>1642</v>
      </c>
      <c r="H662" s="608" t="s">
        <v>696</v>
      </c>
    </row>
    <row r="663">
      <c r="A663" s="512" t="s">
        <v>432</v>
      </c>
      <c r="B663" s="512" t="s">
        <v>433</v>
      </c>
      <c r="C663" s="605">
        <v>45785.0</v>
      </c>
      <c r="D663" s="512">
        <v>3.1803163416E10</v>
      </c>
      <c r="E663" s="606" t="s">
        <v>1787</v>
      </c>
      <c r="F663" s="606" t="s">
        <v>436</v>
      </c>
      <c r="G663" s="606" t="s">
        <v>1788</v>
      </c>
      <c r="H663" s="608" t="s">
        <v>901</v>
      </c>
    </row>
    <row r="664">
      <c r="A664" s="512" t="s">
        <v>432</v>
      </c>
      <c r="B664" s="512" t="s">
        <v>433</v>
      </c>
      <c r="C664" s="605">
        <v>45785.0</v>
      </c>
      <c r="D664" s="512">
        <v>3.1285930892E10</v>
      </c>
      <c r="E664" s="606" t="s">
        <v>1789</v>
      </c>
      <c r="F664" s="606" t="s">
        <v>436</v>
      </c>
      <c r="G664" s="606" t="s">
        <v>1790</v>
      </c>
      <c r="H664" s="608" t="s">
        <v>901</v>
      </c>
    </row>
    <row r="665">
      <c r="A665" s="512" t="s">
        <v>617</v>
      </c>
      <c r="B665" s="512" t="s">
        <v>433</v>
      </c>
      <c r="C665" s="605">
        <v>45785.0</v>
      </c>
      <c r="D665" s="512">
        <v>3.2937216446E10</v>
      </c>
      <c r="E665" s="606" t="s">
        <v>1791</v>
      </c>
      <c r="F665" s="606" t="s">
        <v>436</v>
      </c>
      <c r="G665" s="606" t="s">
        <v>1792</v>
      </c>
      <c r="H665" s="608" t="s">
        <v>696</v>
      </c>
    </row>
    <row r="666">
      <c r="A666" s="512" t="s">
        <v>439</v>
      </c>
      <c r="B666" s="512" t="s">
        <v>433</v>
      </c>
      <c r="C666" s="605">
        <v>45785.0</v>
      </c>
      <c r="D666" s="512" t="s">
        <v>1793</v>
      </c>
      <c r="E666" s="646" t="s">
        <v>1794</v>
      </c>
      <c r="F666" s="606" t="s">
        <v>436</v>
      </c>
      <c r="G666" s="606" t="s">
        <v>1795</v>
      </c>
      <c r="H666" s="608" t="s">
        <v>1608</v>
      </c>
    </row>
    <row r="667">
      <c r="A667" s="512" t="s">
        <v>617</v>
      </c>
      <c r="B667" s="512" t="s">
        <v>433</v>
      </c>
      <c r="C667" s="605">
        <v>45785.0</v>
      </c>
      <c r="D667" s="512">
        <v>2.8916103975E10</v>
      </c>
      <c r="E667" s="606" t="s">
        <v>1796</v>
      </c>
      <c r="F667" s="606" t="s">
        <v>436</v>
      </c>
      <c r="G667" s="606" t="s">
        <v>1797</v>
      </c>
      <c r="H667" s="608" t="s">
        <v>696</v>
      </c>
    </row>
    <row r="668">
      <c r="A668" s="512" t="s">
        <v>432</v>
      </c>
      <c r="B668" s="512" t="s">
        <v>433</v>
      </c>
      <c r="C668" s="605">
        <v>45785.0</v>
      </c>
      <c r="D668" s="512">
        <v>3.0401941137E10</v>
      </c>
      <c r="E668" s="606" t="s">
        <v>1798</v>
      </c>
      <c r="F668" s="606" t="s">
        <v>436</v>
      </c>
      <c r="G668" s="606" t="s">
        <v>1437</v>
      </c>
      <c r="H668" s="608" t="s">
        <v>901</v>
      </c>
    </row>
    <row r="669">
      <c r="A669" s="512" t="s">
        <v>432</v>
      </c>
      <c r="B669" s="512" t="s">
        <v>433</v>
      </c>
      <c r="C669" s="605">
        <v>45785.0</v>
      </c>
      <c r="D669" s="512">
        <v>3.1024373641E10</v>
      </c>
      <c r="E669" s="606" t="s">
        <v>1799</v>
      </c>
      <c r="F669" s="606" t="s">
        <v>436</v>
      </c>
      <c r="G669" s="606" t="s">
        <v>1800</v>
      </c>
      <c r="H669" s="608" t="s">
        <v>901</v>
      </c>
    </row>
    <row r="670">
      <c r="A670" s="512" t="s">
        <v>439</v>
      </c>
      <c r="B670" s="512" t="s">
        <v>433</v>
      </c>
      <c r="C670" s="605">
        <v>45785.0</v>
      </c>
      <c r="D670" s="512">
        <v>3.2627512735E10</v>
      </c>
      <c r="E670" s="606" t="s">
        <v>1801</v>
      </c>
      <c r="F670" s="606" t="s">
        <v>436</v>
      </c>
      <c r="G670" s="606" t="s">
        <v>1802</v>
      </c>
      <c r="H670" s="608" t="s">
        <v>1608</v>
      </c>
    </row>
    <row r="671">
      <c r="A671" s="512" t="s">
        <v>432</v>
      </c>
      <c r="B671" s="512" t="s">
        <v>433</v>
      </c>
      <c r="C671" s="605">
        <v>45785.0</v>
      </c>
      <c r="D671" s="512">
        <v>3.0569177152E10</v>
      </c>
      <c r="E671" s="606" t="s">
        <v>1803</v>
      </c>
      <c r="F671" s="606" t="s">
        <v>436</v>
      </c>
      <c r="G671" s="606" t="s">
        <v>1804</v>
      </c>
      <c r="H671" s="608" t="s">
        <v>901</v>
      </c>
    </row>
    <row r="672">
      <c r="A672" s="512" t="s">
        <v>439</v>
      </c>
      <c r="B672" s="512" t="s">
        <v>433</v>
      </c>
      <c r="C672" s="605">
        <v>45785.0</v>
      </c>
      <c r="D672" s="512">
        <v>3.1024373801E10</v>
      </c>
      <c r="E672" s="606" t="s">
        <v>1805</v>
      </c>
      <c r="F672" s="606" t="s">
        <v>436</v>
      </c>
      <c r="G672" s="606" t="s">
        <v>876</v>
      </c>
      <c r="H672" s="608" t="s">
        <v>1608</v>
      </c>
    </row>
    <row r="673">
      <c r="A673" s="512" t="s">
        <v>432</v>
      </c>
      <c r="B673" s="512" t="s">
        <v>433</v>
      </c>
      <c r="C673" s="605">
        <v>45785.0</v>
      </c>
      <c r="D673" s="512">
        <v>2.7237169395E10</v>
      </c>
      <c r="E673" s="606" t="s">
        <v>1806</v>
      </c>
      <c r="F673" s="606" t="s">
        <v>436</v>
      </c>
      <c r="G673" s="606" t="s">
        <v>1807</v>
      </c>
      <c r="H673" s="608" t="s">
        <v>901</v>
      </c>
    </row>
    <row r="674">
      <c r="A674" s="512" t="s">
        <v>432</v>
      </c>
      <c r="B674" s="512" t="s">
        <v>433</v>
      </c>
      <c r="C674" s="605">
        <v>45785.0</v>
      </c>
      <c r="D674" s="512">
        <v>3.233326578E10</v>
      </c>
      <c r="E674" s="606" t="s">
        <v>1808</v>
      </c>
      <c r="F674" s="606" t="s">
        <v>436</v>
      </c>
      <c r="G674" s="606" t="s">
        <v>1809</v>
      </c>
      <c r="H674" s="608" t="s">
        <v>901</v>
      </c>
    </row>
    <row r="675">
      <c r="A675" s="512" t="s">
        <v>432</v>
      </c>
      <c r="B675" s="512" t="s">
        <v>433</v>
      </c>
      <c r="C675" s="605">
        <v>45785.0</v>
      </c>
      <c r="D675" s="512">
        <v>3.1609033321E10</v>
      </c>
      <c r="E675" s="606" t="s">
        <v>1810</v>
      </c>
      <c r="F675" s="606" t="s">
        <v>436</v>
      </c>
      <c r="G675" s="606" t="s">
        <v>1811</v>
      </c>
      <c r="H675" s="608" t="s">
        <v>901</v>
      </c>
    </row>
    <row r="676">
      <c r="A676" s="512" t="s">
        <v>432</v>
      </c>
      <c r="B676" s="512" t="s">
        <v>433</v>
      </c>
      <c r="C676" s="605">
        <v>45785.0</v>
      </c>
      <c r="D676" s="512">
        <v>2.7282440106E10</v>
      </c>
      <c r="E676" s="606" t="s">
        <v>1812</v>
      </c>
      <c r="F676" s="606" t="s">
        <v>436</v>
      </c>
      <c r="G676" s="606" t="s">
        <v>814</v>
      </c>
      <c r="H676" s="608" t="s">
        <v>901</v>
      </c>
    </row>
    <row r="677">
      <c r="A677" s="512" t="s">
        <v>617</v>
      </c>
      <c r="B677" s="512" t="s">
        <v>449</v>
      </c>
      <c r="C677" s="605">
        <v>45785.0</v>
      </c>
      <c r="D677" s="512">
        <v>3.2544532369E10</v>
      </c>
      <c r="E677" s="606" t="s">
        <v>1813</v>
      </c>
      <c r="F677" s="606" t="s">
        <v>436</v>
      </c>
      <c r="G677" s="640"/>
      <c r="H677" s="608" t="s">
        <v>696</v>
      </c>
    </row>
    <row r="678">
      <c r="A678" s="512" t="s">
        <v>439</v>
      </c>
      <c r="B678" s="512" t="s">
        <v>433</v>
      </c>
      <c r="C678" s="605">
        <v>45786.0</v>
      </c>
      <c r="D678" s="512">
        <v>2.9740979914E10</v>
      </c>
      <c r="E678" s="646" t="s">
        <v>1814</v>
      </c>
      <c r="F678" s="606" t="s">
        <v>436</v>
      </c>
      <c r="G678" s="606" t="s">
        <v>1815</v>
      </c>
      <c r="H678" s="608" t="s">
        <v>1608</v>
      </c>
    </row>
    <row r="679">
      <c r="A679" s="512" t="s">
        <v>690</v>
      </c>
      <c r="B679" s="512" t="s">
        <v>1103</v>
      </c>
      <c r="C679" s="605">
        <v>45786.0</v>
      </c>
      <c r="D679" s="512">
        <v>2.8015158269E10</v>
      </c>
      <c r="E679" s="648" t="s">
        <v>1816</v>
      </c>
      <c r="F679" s="606" t="s">
        <v>436</v>
      </c>
      <c r="G679" s="606" t="s">
        <v>1817</v>
      </c>
      <c r="H679" s="608" t="s">
        <v>1054</v>
      </c>
    </row>
    <row r="680">
      <c r="A680" s="512" t="s">
        <v>432</v>
      </c>
      <c r="B680" s="512" t="s">
        <v>449</v>
      </c>
      <c r="C680" s="605">
        <v>45786.0</v>
      </c>
      <c r="D680" s="512">
        <v>2.4177410869E10</v>
      </c>
      <c r="E680" s="606" t="s">
        <v>1818</v>
      </c>
      <c r="F680" s="606" t="s">
        <v>436</v>
      </c>
      <c r="G680" s="606" t="s">
        <v>1819</v>
      </c>
      <c r="H680" s="608" t="s">
        <v>696</v>
      </c>
    </row>
    <row r="681">
      <c r="A681" s="512" t="s">
        <v>439</v>
      </c>
      <c r="B681" s="512" t="s">
        <v>433</v>
      </c>
      <c r="C681" s="605">
        <v>45786.0</v>
      </c>
      <c r="D681" s="512">
        <v>3.3037908467E10</v>
      </c>
      <c r="E681" s="646" t="s">
        <v>1820</v>
      </c>
      <c r="F681" s="606" t="s">
        <v>436</v>
      </c>
      <c r="G681" s="606" t="s">
        <v>1821</v>
      </c>
      <c r="H681" s="608" t="s">
        <v>1608</v>
      </c>
    </row>
    <row r="682">
      <c r="A682" s="512" t="s">
        <v>439</v>
      </c>
      <c r="B682" s="512" t="s">
        <v>449</v>
      </c>
      <c r="C682" s="605">
        <v>45786.0</v>
      </c>
      <c r="D682" s="512">
        <v>3.2960516507E10</v>
      </c>
      <c r="E682" s="646" t="s">
        <v>1822</v>
      </c>
      <c r="F682" s="606" t="s">
        <v>436</v>
      </c>
      <c r="G682" s="606" t="s">
        <v>1823</v>
      </c>
      <c r="H682" s="608" t="s">
        <v>1608</v>
      </c>
    </row>
    <row r="683">
      <c r="A683" s="512" t="s">
        <v>432</v>
      </c>
      <c r="B683" s="512" t="s">
        <v>433</v>
      </c>
      <c r="C683" s="605">
        <v>45786.0</v>
      </c>
      <c r="D683" s="512">
        <v>2.8163359278E10</v>
      </c>
      <c r="E683" s="606" t="s">
        <v>1824</v>
      </c>
      <c r="F683" s="606" t="s">
        <v>436</v>
      </c>
      <c r="G683" s="606" t="s">
        <v>1825</v>
      </c>
      <c r="H683" s="608" t="s">
        <v>696</v>
      </c>
    </row>
    <row r="684">
      <c r="A684" s="512" t="s">
        <v>617</v>
      </c>
      <c r="B684" s="512" t="s">
        <v>449</v>
      </c>
      <c r="C684" s="605">
        <v>45786.0</v>
      </c>
      <c r="D684" s="512">
        <v>3.2999047523E10</v>
      </c>
      <c r="E684" s="646" t="s">
        <v>1826</v>
      </c>
      <c r="F684" s="606" t="s">
        <v>436</v>
      </c>
      <c r="G684" s="606" t="s">
        <v>1827</v>
      </c>
      <c r="H684" s="608" t="s">
        <v>623</v>
      </c>
    </row>
    <row r="685">
      <c r="A685" s="512" t="s">
        <v>690</v>
      </c>
      <c r="B685" s="512" t="s">
        <v>1103</v>
      </c>
      <c r="C685" s="605">
        <v>45786.0</v>
      </c>
      <c r="D685" s="512">
        <v>3.0768092474E10</v>
      </c>
      <c r="E685" s="646" t="s">
        <v>1828</v>
      </c>
      <c r="F685" s="606" t="s">
        <v>436</v>
      </c>
      <c r="G685" s="606" t="s">
        <v>1829</v>
      </c>
      <c r="H685" s="608" t="s">
        <v>1054</v>
      </c>
    </row>
    <row r="686">
      <c r="A686" s="512" t="s">
        <v>432</v>
      </c>
      <c r="B686" s="512" t="s">
        <v>449</v>
      </c>
      <c r="C686" s="605">
        <v>45786.0</v>
      </c>
      <c r="D686" s="512">
        <v>3.0068050249E10</v>
      </c>
      <c r="E686" s="606" t="s">
        <v>1830</v>
      </c>
      <c r="F686" s="606" t="s">
        <v>436</v>
      </c>
      <c r="G686" s="606" t="s">
        <v>475</v>
      </c>
      <c r="H686" s="608" t="s">
        <v>696</v>
      </c>
    </row>
    <row r="687">
      <c r="A687" s="512" t="s">
        <v>690</v>
      </c>
      <c r="B687" s="512" t="s">
        <v>1103</v>
      </c>
      <c r="C687" s="605">
        <v>45787.0</v>
      </c>
      <c r="D687" s="512">
        <v>2.9820246113E10</v>
      </c>
      <c r="E687" s="646" t="s">
        <v>1831</v>
      </c>
      <c r="F687" s="606" t="s">
        <v>436</v>
      </c>
      <c r="G687" s="637" t="s">
        <v>1832</v>
      </c>
      <c r="H687" s="608" t="s">
        <v>1362</v>
      </c>
    </row>
    <row r="688">
      <c r="A688" s="512" t="s">
        <v>823</v>
      </c>
      <c r="B688" s="512" t="s">
        <v>1103</v>
      </c>
      <c r="C688" s="605">
        <v>45788.0</v>
      </c>
      <c r="D688" s="512">
        <v>3.0769167015E10</v>
      </c>
      <c r="E688" s="646" t="s">
        <v>1833</v>
      </c>
      <c r="F688" s="606" t="s">
        <v>436</v>
      </c>
      <c r="G688" s="606" t="s">
        <v>1834</v>
      </c>
      <c r="H688" s="608" t="s">
        <v>1835</v>
      </c>
    </row>
    <row r="689">
      <c r="A689" s="512" t="s">
        <v>617</v>
      </c>
      <c r="B689" s="512" t="s">
        <v>987</v>
      </c>
      <c r="C689" s="605">
        <v>45788.0</v>
      </c>
      <c r="D689" s="512">
        <v>3.1429785587E10</v>
      </c>
      <c r="E689" s="606" t="s">
        <v>1836</v>
      </c>
      <c r="F689" s="606" t="s">
        <v>436</v>
      </c>
      <c r="G689" s="606" t="s">
        <v>1837</v>
      </c>
      <c r="H689" s="608" t="s">
        <v>696</v>
      </c>
    </row>
    <row r="690">
      <c r="A690" s="512" t="s">
        <v>617</v>
      </c>
      <c r="B690" s="512" t="s">
        <v>1755</v>
      </c>
      <c r="C690" s="605">
        <v>45788.0</v>
      </c>
      <c r="D690" s="512">
        <v>2.9929438799E10</v>
      </c>
      <c r="E690" s="606" t="s">
        <v>1838</v>
      </c>
      <c r="F690" s="606" t="s">
        <v>436</v>
      </c>
      <c r="G690" s="606" t="s">
        <v>1839</v>
      </c>
      <c r="H690" s="608" t="s">
        <v>696</v>
      </c>
    </row>
    <row r="691">
      <c r="A691" s="512" t="s">
        <v>617</v>
      </c>
      <c r="B691" s="512" t="s">
        <v>449</v>
      </c>
      <c r="C691" s="605">
        <v>45788.0</v>
      </c>
      <c r="D691" s="512">
        <v>3.2989206927E10</v>
      </c>
      <c r="E691" s="606" t="s">
        <v>1840</v>
      </c>
      <c r="F691" s="606" t="s">
        <v>436</v>
      </c>
      <c r="G691" s="606" t="s">
        <v>1841</v>
      </c>
      <c r="H691" s="608" t="s">
        <v>696</v>
      </c>
    </row>
    <row r="692">
      <c r="A692" s="512" t="s">
        <v>617</v>
      </c>
      <c r="B692" s="512" t="s">
        <v>449</v>
      </c>
      <c r="C692" s="605">
        <v>45788.0</v>
      </c>
      <c r="D692" s="512">
        <v>2.9541214071E10</v>
      </c>
      <c r="E692" s="606" t="s">
        <v>1842</v>
      </c>
      <c r="F692" s="606" t="s">
        <v>436</v>
      </c>
      <c r="G692" s="606" t="s">
        <v>1252</v>
      </c>
      <c r="H692" s="608" t="s">
        <v>696</v>
      </c>
    </row>
    <row r="693">
      <c r="A693" s="512" t="s">
        <v>823</v>
      </c>
      <c r="B693" s="512" t="s">
        <v>1103</v>
      </c>
      <c r="C693" s="605">
        <v>45788.0</v>
      </c>
      <c r="D693" s="512">
        <v>3.3441616146E10</v>
      </c>
      <c r="E693" s="648" t="s">
        <v>1843</v>
      </c>
      <c r="F693" s="606" t="s">
        <v>436</v>
      </c>
      <c r="G693" s="606" t="s">
        <v>1844</v>
      </c>
      <c r="H693" s="608" t="s">
        <v>1835</v>
      </c>
    </row>
    <row r="694">
      <c r="A694" s="512" t="s">
        <v>690</v>
      </c>
      <c r="B694" s="512" t="s">
        <v>449</v>
      </c>
      <c r="C694" s="605">
        <v>45789.0</v>
      </c>
      <c r="D694" s="512">
        <v>2.8132494084E10</v>
      </c>
      <c r="E694" s="646" t="s">
        <v>1845</v>
      </c>
      <c r="F694" s="606" t="s">
        <v>436</v>
      </c>
      <c r="G694" s="606" t="s">
        <v>1846</v>
      </c>
      <c r="H694" s="608" t="s">
        <v>693</v>
      </c>
    </row>
    <row r="695">
      <c r="A695" s="512" t="s">
        <v>690</v>
      </c>
      <c r="B695" s="512" t="s">
        <v>449</v>
      </c>
      <c r="C695" s="605">
        <v>45789.0</v>
      </c>
      <c r="D695" s="512">
        <v>3.5344922484E10</v>
      </c>
      <c r="E695" s="646" t="s">
        <v>1847</v>
      </c>
      <c r="F695" s="606" t="s">
        <v>436</v>
      </c>
      <c r="G695" s="606" t="s">
        <v>1425</v>
      </c>
      <c r="H695" s="608" t="s">
        <v>693</v>
      </c>
    </row>
    <row r="696">
      <c r="A696" s="512" t="s">
        <v>617</v>
      </c>
      <c r="B696" s="512" t="s">
        <v>449</v>
      </c>
      <c r="C696" s="605">
        <v>45789.0</v>
      </c>
      <c r="D696" s="512">
        <v>3.3399512179E10</v>
      </c>
      <c r="E696" s="606" t="s">
        <v>1848</v>
      </c>
      <c r="F696" s="606" t="s">
        <v>436</v>
      </c>
      <c r="G696" s="606" t="s">
        <v>1849</v>
      </c>
      <c r="H696" s="608" t="s">
        <v>696</v>
      </c>
    </row>
    <row r="697">
      <c r="A697" s="512" t="s">
        <v>432</v>
      </c>
      <c r="B697" s="512" t="s">
        <v>449</v>
      </c>
      <c r="C697" s="605">
        <v>45789.0</v>
      </c>
      <c r="D697" s="512">
        <v>3.5146843907E10</v>
      </c>
      <c r="E697" s="606" t="s">
        <v>1850</v>
      </c>
      <c r="F697" s="606" t="s">
        <v>436</v>
      </c>
      <c r="G697" s="606" t="s">
        <v>1851</v>
      </c>
      <c r="H697" s="608" t="s">
        <v>901</v>
      </c>
    </row>
    <row r="698">
      <c r="A698" s="512" t="s">
        <v>432</v>
      </c>
      <c r="B698" s="512" t="s">
        <v>1755</v>
      </c>
      <c r="C698" s="605">
        <v>45789.0</v>
      </c>
      <c r="D698" s="512">
        <v>3.2515732437E10</v>
      </c>
      <c r="E698" s="606" t="s">
        <v>1852</v>
      </c>
      <c r="F698" s="606" t="s">
        <v>436</v>
      </c>
      <c r="G698" s="606" t="s">
        <v>1853</v>
      </c>
      <c r="H698" s="608" t="s">
        <v>901</v>
      </c>
    </row>
    <row r="699">
      <c r="A699" s="512" t="s">
        <v>617</v>
      </c>
      <c r="B699" s="512" t="s">
        <v>449</v>
      </c>
      <c r="C699" s="605">
        <v>45789.0</v>
      </c>
      <c r="D699" s="512">
        <v>3.0354658672E10</v>
      </c>
      <c r="E699" s="606" t="s">
        <v>1854</v>
      </c>
      <c r="F699" s="606" t="s">
        <v>436</v>
      </c>
      <c r="G699" s="606" t="s">
        <v>1855</v>
      </c>
      <c r="H699" s="608" t="s">
        <v>696</v>
      </c>
    </row>
    <row r="700">
      <c r="A700" s="512" t="s">
        <v>690</v>
      </c>
      <c r="B700" s="512" t="s">
        <v>449</v>
      </c>
      <c r="C700" s="605">
        <v>45789.0</v>
      </c>
      <c r="D700" s="512">
        <v>3.1705154199E10</v>
      </c>
      <c r="E700" s="646" t="s">
        <v>1856</v>
      </c>
      <c r="F700" s="606" t="s">
        <v>436</v>
      </c>
      <c r="G700" s="606" t="s">
        <v>1857</v>
      </c>
      <c r="H700" s="608" t="s">
        <v>693</v>
      </c>
    </row>
    <row r="701">
      <c r="A701" s="512" t="s">
        <v>439</v>
      </c>
      <c r="B701" s="512" t="s">
        <v>1755</v>
      </c>
      <c r="C701" s="605">
        <v>45789.0</v>
      </c>
      <c r="D701" s="606">
        <v>3.2399320308E10</v>
      </c>
      <c r="E701" s="646" t="s">
        <v>1858</v>
      </c>
      <c r="F701" s="606" t="s">
        <v>436</v>
      </c>
      <c r="G701" s="606" t="s">
        <v>1859</v>
      </c>
      <c r="H701" s="608" t="s">
        <v>1608</v>
      </c>
    </row>
    <row r="702">
      <c r="A702" s="512" t="s">
        <v>617</v>
      </c>
      <c r="B702" s="512" t="s">
        <v>449</v>
      </c>
      <c r="C702" s="605">
        <v>45789.0</v>
      </c>
      <c r="D702" s="512">
        <v>3.011131814E10</v>
      </c>
      <c r="E702" s="606" t="s">
        <v>1860</v>
      </c>
      <c r="F702" s="606" t="s">
        <v>436</v>
      </c>
      <c r="G702" s="606" t="s">
        <v>1861</v>
      </c>
      <c r="H702" s="608" t="s">
        <v>696</v>
      </c>
    </row>
    <row r="703">
      <c r="A703" s="512" t="s">
        <v>617</v>
      </c>
      <c r="B703" s="512" t="s">
        <v>449</v>
      </c>
      <c r="C703" s="605">
        <v>45789.0</v>
      </c>
      <c r="D703" s="512">
        <v>3.0425799147E10</v>
      </c>
      <c r="E703" s="606" t="s">
        <v>1862</v>
      </c>
      <c r="F703" s="606" t="s">
        <v>436</v>
      </c>
      <c r="G703" s="606" t="s">
        <v>1863</v>
      </c>
      <c r="H703" s="608" t="s">
        <v>696</v>
      </c>
    </row>
    <row r="704">
      <c r="A704" s="512" t="s">
        <v>617</v>
      </c>
      <c r="B704" s="512" t="s">
        <v>1755</v>
      </c>
      <c r="C704" s="605">
        <v>45789.0</v>
      </c>
      <c r="D704" s="512">
        <v>3.0431692438E10</v>
      </c>
      <c r="E704" s="606" t="s">
        <v>1864</v>
      </c>
      <c r="F704" s="606" t="s">
        <v>436</v>
      </c>
      <c r="G704" s="606" t="s">
        <v>1865</v>
      </c>
      <c r="H704" s="608" t="s">
        <v>696</v>
      </c>
    </row>
    <row r="705">
      <c r="A705" s="512" t="s">
        <v>617</v>
      </c>
      <c r="B705" s="512" t="s">
        <v>449</v>
      </c>
      <c r="C705" s="605">
        <v>45789.0</v>
      </c>
      <c r="D705" s="512">
        <v>3.3410080136E10</v>
      </c>
      <c r="E705" s="606" t="s">
        <v>1866</v>
      </c>
      <c r="F705" s="606" t="s">
        <v>436</v>
      </c>
      <c r="G705" s="606" t="s">
        <v>1867</v>
      </c>
      <c r="H705" s="608" t="s">
        <v>696</v>
      </c>
    </row>
    <row r="706">
      <c r="A706" s="512" t="s">
        <v>432</v>
      </c>
      <c r="B706" s="512" t="s">
        <v>449</v>
      </c>
      <c r="C706" s="605">
        <v>45789.0</v>
      </c>
      <c r="D706" s="512">
        <v>2.6389641905E10</v>
      </c>
      <c r="E706" s="606" t="s">
        <v>1868</v>
      </c>
      <c r="F706" s="606" t="s">
        <v>436</v>
      </c>
      <c r="G706" s="606" t="s">
        <v>1869</v>
      </c>
      <c r="H706" s="608" t="s">
        <v>901</v>
      </c>
    </row>
    <row r="707">
      <c r="A707" s="512" t="s">
        <v>617</v>
      </c>
      <c r="B707" s="512" t="s">
        <v>449</v>
      </c>
      <c r="C707" s="605">
        <v>45789.0</v>
      </c>
      <c r="D707" s="512">
        <v>2.9722784604E10</v>
      </c>
      <c r="E707" s="606" t="s">
        <v>1870</v>
      </c>
      <c r="F707" s="606" t="s">
        <v>436</v>
      </c>
      <c r="G707" s="640"/>
      <c r="H707" s="608" t="s">
        <v>696</v>
      </c>
    </row>
    <row r="708">
      <c r="A708" s="512" t="s">
        <v>432</v>
      </c>
      <c r="B708" s="512" t="s">
        <v>1755</v>
      </c>
      <c r="C708" s="605">
        <v>45790.0</v>
      </c>
      <c r="D708" s="512">
        <v>2.8038907725E10</v>
      </c>
      <c r="E708" s="648" t="s">
        <v>1871</v>
      </c>
      <c r="F708" s="606" t="s">
        <v>436</v>
      </c>
      <c r="G708" s="606" t="s">
        <v>1872</v>
      </c>
      <c r="H708" s="608" t="s">
        <v>901</v>
      </c>
    </row>
    <row r="709">
      <c r="A709" s="512" t="s">
        <v>432</v>
      </c>
      <c r="B709" s="512" t="s">
        <v>449</v>
      </c>
      <c r="C709" s="605">
        <v>45790.0</v>
      </c>
      <c r="D709" s="512">
        <v>3.0666609491E10</v>
      </c>
      <c r="E709" s="606" t="s">
        <v>1784</v>
      </c>
      <c r="F709" s="606" t="s">
        <v>436</v>
      </c>
      <c r="G709" s="606" t="s">
        <v>1873</v>
      </c>
      <c r="H709" s="608" t="s">
        <v>901</v>
      </c>
    </row>
    <row r="710">
      <c r="A710" s="512" t="s">
        <v>432</v>
      </c>
      <c r="B710" s="512" t="s">
        <v>1755</v>
      </c>
      <c r="C710" s="605">
        <v>45790.0</v>
      </c>
      <c r="D710" s="512">
        <v>3.2688121967E10</v>
      </c>
      <c r="E710" s="606" t="s">
        <v>1874</v>
      </c>
      <c r="F710" s="606" t="s">
        <v>436</v>
      </c>
      <c r="G710" s="606" t="s">
        <v>1086</v>
      </c>
      <c r="H710" s="608" t="s">
        <v>901</v>
      </c>
    </row>
    <row r="711">
      <c r="A711" s="512" t="s">
        <v>439</v>
      </c>
      <c r="B711" s="512" t="s">
        <v>449</v>
      </c>
      <c r="C711" s="605">
        <v>45790.0</v>
      </c>
      <c r="D711" s="512">
        <v>3.1416596366E10</v>
      </c>
      <c r="E711" s="646" t="s">
        <v>1875</v>
      </c>
      <c r="F711" s="606" t="s">
        <v>436</v>
      </c>
      <c r="G711" s="606" t="s">
        <v>1876</v>
      </c>
      <c r="H711" s="608" t="s">
        <v>1608</v>
      </c>
    </row>
    <row r="712">
      <c r="A712" s="512" t="s">
        <v>617</v>
      </c>
      <c r="B712" s="512" t="s">
        <v>1877</v>
      </c>
      <c r="C712" s="605">
        <v>45790.0</v>
      </c>
      <c r="D712" s="512">
        <v>2.5509547829E10</v>
      </c>
      <c r="E712" s="606" t="s">
        <v>1878</v>
      </c>
      <c r="F712" s="606" t="s">
        <v>436</v>
      </c>
      <c r="G712" s="606" t="s">
        <v>1879</v>
      </c>
      <c r="H712" s="608" t="s">
        <v>696</v>
      </c>
    </row>
    <row r="713">
      <c r="A713" s="512" t="s">
        <v>439</v>
      </c>
      <c r="B713" s="512" t="s">
        <v>1755</v>
      </c>
      <c r="C713" s="605">
        <v>45790.0</v>
      </c>
      <c r="D713" s="512">
        <v>1.4301156033E10</v>
      </c>
      <c r="E713" s="646" t="s">
        <v>1880</v>
      </c>
      <c r="F713" s="606" t="s">
        <v>436</v>
      </c>
      <c r="G713" s="606" t="s">
        <v>1881</v>
      </c>
      <c r="H713" s="608" t="s">
        <v>1608</v>
      </c>
    </row>
    <row r="714">
      <c r="A714" s="512" t="s">
        <v>617</v>
      </c>
      <c r="B714" s="512" t="s">
        <v>449</v>
      </c>
      <c r="C714" s="605">
        <v>45790.0</v>
      </c>
      <c r="D714" s="512">
        <v>3.062837733E10</v>
      </c>
      <c r="E714" s="606" t="s">
        <v>1882</v>
      </c>
      <c r="F714" s="606" t="s">
        <v>436</v>
      </c>
      <c r="G714" s="606" t="s">
        <v>1883</v>
      </c>
      <c r="H714" s="608" t="s">
        <v>696</v>
      </c>
    </row>
    <row r="715">
      <c r="A715" s="512" t="s">
        <v>823</v>
      </c>
      <c r="B715" s="512" t="s">
        <v>1877</v>
      </c>
      <c r="C715" s="605">
        <v>45790.0</v>
      </c>
      <c r="D715" s="512">
        <v>3.70055597E8</v>
      </c>
      <c r="E715" s="646" t="s">
        <v>1884</v>
      </c>
      <c r="F715" s="606" t="s">
        <v>436</v>
      </c>
      <c r="G715" s="606" t="s">
        <v>1885</v>
      </c>
      <c r="H715" s="608" t="s">
        <v>1742</v>
      </c>
    </row>
    <row r="716">
      <c r="A716" s="512" t="s">
        <v>690</v>
      </c>
      <c r="B716" s="512" t="s">
        <v>449</v>
      </c>
      <c r="C716" s="605">
        <v>45790.0</v>
      </c>
      <c r="D716" s="512">
        <v>2.4455558506E10</v>
      </c>
      <c r="E716" s="646" t="s">
        <v>1886</v>
      </c>
      <c r="F716" s="606" t="s">
        <v>436</v>
      </c>
      <c r="G716" s="606" t="s">
        <v>1887</v>
      </c>
      <c r="H716" s="608" t="s">
        <v>693</v>
      </c>
    </row>
    <row r="717">
      <c r="A717" s="512" t="s">
        <v>439</v>
      </c>
      <c r="B717" s="512" t="s">
        <v>1755</v>
      </c>
      <c r="C717" s="605">
        <v>45790.0</v>
      </c>
      <c r="D717" s="512">
        <v>3.4851391254E10</v>
      </c>
      <c r="E717" s="646" t="s">
        <v>1888</v>
      </c>
      <c r="F717" s="606" t="s">
        <v>436</v>
      </c>
      <c r="G717" s="606" t="s">
        <v>437</v>
      </c>
      <c r="H717" s="608" t="s">
        <v>1608</v>
      </c>
    </row>
    <row r="718">
      <c r="A718" s="512" t="s">
        <v>690</v>
      </c>
      <c r="B718" s="512" t="s">
        <v>1877</v>
      </c>
      <c r="C718" s="605">
        <v>45790.0</v>
      </c>
      <c r="D718" s="512">
        <v>3.1902169985E10</v>
      </c>
      <c r="E718" s="646" t="s">
        <v>1889</v>
      </c>
      <c r="F718" s="606" t="s">
        <v>436</v>
      </c>
      <c r="G718" s="606" t="s">
        <v>1890</v>
      </c>
      <c r="H718" s="608" t="s">
        <v>693</v>
      </c>
    </row>
    <row r="719">
      <c r="A719" s="512" t="s">
        <v>432</v>
      </c>
      <c r="B719" s="512" t="s">
        <v>1755</v>
      </c>
      <c r="C719" s="605">
        <v>45790.0</v>
      </c>
      <c r="D719" s="512">
        <v>2.9725225848E10</v>
      </c>
      <c r="E719" s="606" t="s">
        <v>1891</v>
      </c>
      <c r="F719" s="606" t="s">
        <v>436</v>
      </c>
      <c r="G719" s="606" t="s">
        <v>1892</v>
      </c>
      <c r="H719" s="608" t="s">
        <v>901</v>
      </c>
    </row>
    <row r="720">
      <c r="A720" s="512" t="s">
        <v>432</v>
      </c>
      <c r="B720" s="512" t="s">
        <v>1755</v>
      </c>
      <c r="C720" s="605">
        <v>45790.0</v>
      </c>
      <c r="D720" s="512">
        <v>3.091152233E10</v>
      </c>
      <c r="E720" s="606" t="s">
        <v>1893</v>
      </c>
      <c r="F720" s="606" t="s">
        <v>436</v>
      </c>
      <c r="G720" s="606" t="s">
        <v>1894</v>
      </c>
      <c r="H720" s="608" t="s">
        <v>901</v>
      </c>
    </row>
    <row r="721">
      <c r="A721" s="512" t="s">
        <v>432</v>
      </c>
      <c r="B721" s="512" t="s">
        <v>449</v>
      </c>
      <c r="C721" s="605">
        <v>45790.0</v>
      </c>
      <c r="D721" s="512">
        <v>3.5147057875E10</v>
      </c>
      <c r="E721" s="606" t="s">
        <v>1895</v>
      </c>
      <c r="F721" s="606" t="s">
        <v>436</v>
      </c>
      <c r="G721" s="606" t="s">
        <v>1198</v>
      </c>
      <c r="H721" s="608" t="s">
        <v>901</v>
      </c>
    </row>
    <row r="722">
      <c r="A722" s="512" t="s">
        <v>432</v>
      </c>
      <c r="B722" s="512" t="s">
        <v>449</v>
      </c>
      <c r="C722" s="605">
        <v>45790.0</v>
      </c>
      <c r="D722" s="512">
        <v>3.5171181866E10</v>
      </c>
      <c r="E722" s="606" t="s">
        <v>1896</v>
      </c>
      <c r="F722" s="606" t="s">
        <v>436</v>
      </c>
      <c r="G722" s="606" t="s">
        <v>1897</v>
      </c>
      <c r="H722" s="608" t="s">
        <v>901</v>
      </c>
    </row>
    <row r="723">
      <c r="A723" s="512" t="s">
        <v>432</v>
      </c>
      <c r="B723" s="512" t="s">
        <v>1755</v>
      </c>
      <c r="C723" s="605">
        <v>45790.0</v>
      </c>
      <c r="D723" s="512">
        <v>3.0164008839E10</v>
      </c>
      <c r="E723" s="606" t="s">
        <v>1139</v>
      </c>
      <c r="F723" s="606" t="s">
        <v>436</v>
      </c>
      <c r="G723" s="606" t="s">
        <v>1898</v>
      </c>
      <c r="H723" s="608" t="s">
        <v>901</v>
      </c>
    </row>
    <row r="724">
      <c r="A724" s="512" t="s">
        <v>617</v>
      </c>
      <c r="B724" s="512" t="s">
        <v>433</v>
      </c>
      <c r="C724" s="605">
        <v>45792.0</v>
      </c>
      <c r="D724" s="512">
        <v>3.3046801802E10</v>
      </c>
      <c r="E724" s="606" t="s">
        <v>1899</v>
      </c>
      <c r="F724" s="606" t="s">
        <v>436</v>
      </c>
      <c r="G724" s="606" t="s">
        <v>1900</v>
      </c>
      <c r="H724" s="608" t="s">
        <v>696</v>
      </c>
    </row>
    <row r="725">
      <c r="A725" s="512" t="s">
        <v>432</v>
      </c>
      <c r="B725" s="512" t="s">
        <v>449</v>
      </c>
      <c r="C725" s="605">
        <v>45792.0</v>
      </c>
      <c r="D725" s="512">
        <v>3.3506116106E10</v>
      </c>
      <c r="E725" s="606" t="s">
        <v>1901</v>
      </c>
      <c r="F725" s="606" t="s">
        <v>518</v>
      </c>
      <c r="G725" s="606" t="s">
        <v>1902</v>
      </c>
      <c r="H725" s="608" t="s">
        <v>1096</v>
      </c>
    </row>
    <row r="726">
      <c r="A726" s="512" t="s">
        <v>617</v>
      </c>
      <c r="B726" s="512" t="s">
        <v>449</v>
      </c>
      <c r="C726" s="605">
        <v>45792.0</v>
      </c>
      <c r="D726" s="512">
        <v>2.9830652361E10</v>
      </c>
      <c r="E726" s="606" t="s">
        <v>1903</v>
      </c>
      <c r="F726" s="606" t="s">
        <v>436</v>
      </c>
      <c r="G726" s="606" t="s">
        <v>1904</v>
      </c>
      <c r="H726" s="608" t="s">
        <v>696</v>
      </c>
    </row>
    <row r="727">
      <c r="A727" s="512" t="s">
        <v>690</v>
      </c>
      <c r="B727" s="512" t="s">
        <v>449</v>
      </c>
      <c r="C727" s="605">
        <v>45792.0</v>
      </c>
      <c r="D727" s="512">
        <v>3.5429028234E10</v>
      </c>
      <c r="E727" s="646" t="s">
        <v>1905</v>
      </c>
      <c r="F727" s="606" t="s">
        <v>518</v>
      </c>
      <c r="G727" s="637" t="s">
        <v>1906</v>
      </c>
      <c r="H727" s="608" t="s">
        <v>1362</v>
      </c>
    </row>
    <row r="728">
      <c r="A728" s="512" t="s">
        <v>432</v>
      </c>
      <c r="B728" s="512" t="s">
        <v>449</v>
      </c>
      <c r="C728" s="605">
        <v>45793.0</v>
      </c>
      <c r="D728" s="512">
        <v>2.3861302616E10</v>
      </c>
      <c r="E728" s="606" t="s">
        <v>1907</v>
      </c>
      <c r="F728" s="606" t="s">
        <v>436</v>
      </c>
      <c r="G728" s="606" t="s">
        <v>1908</v>
      </c>
      <c r="H728" s="608" t="s">
        <v>1096</v>
      </c>
    </row>
    <row r="729">
      <c r="A729" s="512" t="s">
        <v>439</v>
      </c>
      <c r="B729" s="512" t="s">
        <v>433</v>
      </c>
      <c r="C729" s="605">
        <v>45793.0</v>
      </c>
      <c r="D729" s="512">
        <v>3.1983908875E10</v>
      </c>
      <c r="E729" s="646" t="s">
        <v>1909</v>
      </c>
      <c r="F729" s="606" t="s">
        <v>436</v>
      </c>
      <c r="G729" s="606" t="s">
        <v>1335</v>
      </c>
      <c r="H729" s="608" t="s">
        <v>1608</v>
      </c>
    </row>
    <row r="730">
      <c r="A730" s="512" t="s">
        <v>439</v>
      </c>
      <c r="B730" s="512" t="s">
        <v>433</v>
      </c>
      <c r="C730" s="605">
        <v>45793.0</v>
      </c>
      <c r="D730" s="512">
        <v>3.1983908799E10</v>
      </c>
      <c r="E730" s="646" t="s">
        <v>1909</v>
      </c>
      <c r="F730" s="606" t="s">
        <v>436</v>
      </c>
      <c r="G730" s="606" t="s">
        <v>1335</v>
      </c>
      <c r="H730" s="608" t="s">
        <v>1608</v>
      </c>
    </row>
    <row r="731">
      <c r="A731" s="512" t="s">
        <v>439</v>
      </c>
      <c r="B731" s="512" t="s">
        <v>433</v>
      </c>
      <c r="C731" s="605">
        <v>45793.0</v>
      </c>
      <c r="D731" s="512">
        <v>3.1865866552E10</v>
      </c>
      <c r="E731" s="646" t="s">
        <v>1910</v>
      </c>
      <c r="F731" s="606" t="s">
        <v>436</v>
      </c>
      <c r="G731" s="606" t="s">
        <v>1911</v>
      </c>
      <c r="H731" s="608" t="s">
        <v>1608</v>
      </c>
    </row>
    <row r="732">
      <c r="A732" s="512" t="s">
        <v>690</v>
      </c>
      <c r="B732" s="512" t="s">
        <v>449</v>
      </c>
      <c r="C732" s="605">
        <v>45793.0</v>
      </c>
      <c r="D732" s="512">
        <v>2.9837584433E10</v>
      </c>
      <c r="E732" s="646" t="s">
        <v>1363</v>
      </c>
      <c r="F732" s="606" t="s">
        <v>436</v>
      </c>
      <c r="G732" s="606" t="s">
        <v>1912</v>
      </c>
      <c r="H732" s="608" t="s">
        <v>693</v>
      </c>
    </row>
    <row r="733">
      <c r="A733" s="512" t="s">
        <v>690</v>
      </c>
      <c r="B733" s="512" t="s">
        <v>1877</v>
      </c>
      <c r="C733" s="605">
        <v>45793.0</v>
      </c>
      <c r="D733" s="512">
        <v>3.2758661383E10</v>
      </c>
      <c r="E733" s="646" t="s">
        <v>1913</v>
      </c>
      <c r="F733" s="606" t="s">
        <v>436</v>
      </c>
      <c r="G733" s="606" t="s">
        <v>1914</v>
      </c>
      <c r="H733" s="608" t="s">
        <v>693</v>
      </c>
    </row>
    <row r="734">
      <c r="A734" s="512" t="s">
        <v>690</v>
      </c>
      <c r="B734" s="512" t="s">
        <v>1877</v>
      </c>
      <c r="C734" s="605">
        <v>45793.0</v>
      </c>
      <c r="D734" s="512">
        <v>3.4098603969E10</v>
      </c>
      <c r="E734" s="646" t="s">
        <v>1915</v>
      </c>
      <c r="F734" s="606" t="s">
        <v>436</v>
      </c>
      <c r="G734" s="606" t="s">
        <v>1916</v>
      </c>
      <c r="H734" s="608" t="s">
        <v>693</v>
      </c>
    </row>
    <row r="735">
      <c r="A735" s="512" t="s">
        <v>823</v>
      </c>
      <c r="B735" s="512" t="s">
        <v>817</v>
      </c>
      <c r="C735" s="605">
        <v>45793.0</v>
      </c>
      <c r="D735" s="512">
        <v>2.41467175E8</v>
      </c>
      <c r="E735" s="606" t="s">
        <v>1917</v>
      </c>
      <c r="F735" s="606" t="s">
        <v>436</v>
      </c>
      <c r="G735" s="606" t="s">
        <v>1918</v>
      </c>
      <c r="H735" s="608" t="s">
        <v>1742</v>
      </c>
    </row>
    <row r="736">
      <c r="A736" s="512" t="s">
        <v>439</v>
      </c>
      <c r="B736" s="512" t="s">
        <v>433</v>
      </c>
      <c r="C736" s="605">
        <v>45793.0</v>
      </c>
      <c r="D736" s="512">
        <v>3.1553462837E10</v>
      </c>
      <c r="E736" s="646" t="s">
        <v>1919</v>
      </c>
      <c r="F736" s="606" t="s">
        <v>436</v>
      </c>
      <c r="G736" s="606" t="s">
        <v>1920</v>
      </c>
      <c r="H736" s="608" t="s">
        <v>1608</v>
      </c>
    </row>
    <row r="737">
      <c r="A737" s="512" t="s">
        <v>432</v>
      </c>
      <c r="B737" s="512" t="s">
        <v>433</v>
      </c>
      <c r="C737" s="605">
        <v>45794.0</v>
      </c>
      <c r="D737" s="512">
        <v>3.4166657091E10</v>
      </c>
      <c r="E737" s="606" t="s">
        <v>1921</v>
      </c>
      <c r="F737" s="606" t="s">
        <v>436</v>
      </c>
      <c r="G737" s="606" t="s">
        <v>1922</v>
      </c>
      <c r="H737" s="608" t="s">
        <v>901</v>
      </c>
    </row>
    <row r="738">
      <c r="A738" s="512" t="s">
        <v>617</v>
      </c>
      <c r="B738" s="512" t="s">
        <v>449</v>
      </c>
      <c r="C738" s="605">
        <v>45794.0</v>
      </c>
      <c r="D738" s="512">
        <v>3.3516951105E10</v>
      </c>
      <c r="E738" s="606" t="s">
        <v>1923</v>
      </c>
      <c r="F738" s="606" t="s">
        <v>436</v>
      </c>
      <c r="G738" s="606" t="s">
        <v>1924</v>
      </c>
      <c r="H738" s="608" t="s">
        <v>696</v>
      </c>
    </row>
    <row r="739">
      <c r="A739" s="512" t="s">
        <v>432</v>
      </c>
      <c r="B739" s="512" t="s">
        <v>433</v>
      </c>
      <c r="C739" s="605">
        <v>45794.0</v>
      </c>
      <c r="D739" s="512">
        <v>3.2758749538E10</v>
      </c>
      <c r="E739" s="606" t="s">
        <v>1925</v>
      </c>
      <c r="F739" s="606" t="s">
        <v>436</v>
      </c>
      <c r="G739" s="606" t="s">
        <v>1926</v>
      </c>
      <c r="H739" s="608" t="s">
        <v>901</v>
      </c>
    </row>
    <row r="740">
      <c r="A740" s="512" t="s">
        <v>617</v>
      </c>
      <c r="B740" s="512" t="s">
        <v>449</v>
      </c>
      <c r="C740" s="605">
        <v>45794.0</v>
      </c>
      <c r="D740" s="512">
        <v>2.9699814086E10</v>
      </c>
      <c r="E740" s="606" t="s">
        <v>1927</v>
      </c>
      <c r="F740" s="606" t="s">
        <v>436</v>
      </c>
      <c r="G740" s="606" t="s">
        <v>1928</v>
      </c>
      <c r="H740" s="608" t="s">
        <v>696</v>
      </c>
    </row>
    <row r="741">
      <c r="A741" s="512" t="s">
        <v>439</v>
      </c>
      <c r="B741" s="512" t="s">
        <v>1103</v>
      </c>
      <c r="C741" s="605">
        <v>45794.0</v>
      </c>
      <c r="D741" s="512">
        <v>3.3396480505E10</v>
      </c>
      <c r="E741" s="646" t="s">
        <v>1929</v>
      </c>
      <c r="F741" s="606" t="s">
        <v>436</v>
      </c>
      <c r="G741" s="606" t="s">
        <v>1930</v>
      </c>
      <c r="H741" s="608" t="s">
        <v>1054</v>
      </c>
    </row>
    <row r="742">
      <c r="A742" s="512" t="s">
        <v>432</v>
      </c>
      <c r="B742" s="512" t="s">
        <v>449</v>
      </c>
      <c r="C742" s="605">
        <v>45794.0</v>
      </c>
      <c r="D742" s="512">
        <v>3.2235763208E10</v>
      </c>
      <c r="E742" s="606" t="s">
        <v>1931</v>
      </c>
      <c r="F742" s="606" t="s">
        <v>436</v>
      </c>
      <c r="G742" s="606" t="s">
        <v>1932</v>
      </c>
      <c r="H742" s="608" t="s">
        <v>901</v>
      </c>
    </row>
    <row r="743">
      <c r="A743" s="512" t="s">
        <v>690</v>
      </c>
      <c r="B743" s="512" t="s">
        <v>449</v>
      </c>
      <c r="C743" s="605">
        <v>45794.0</v>
      </c>
      <c r="D743" s="512" t="s">
        <v>1933</v>
      </c>
      <c r="E743" s="646" t="s">
        <v>1934</v>
      </c>
      <c r="F743" s="606" t="s">
        <v>436</v>
      </c>
      <c r="G743" s="606" t="s">
        <v>1935</v>
      </c>
      <c r="H743" s="608" t="s">
        <v>693</v>
      </c>
    </row>
    <row r="744">
      <c r="A744" s="512" t="s">
        <v>690</v>
      </c>
      <c r="B744" s="512" t="s">
        <v>987</v>
      </c>
      <c r="C744" s="605">
        <v>45794.0</v>
      </c>
      <c r="D744" s="512" t="s">
        <v>1936</v>
      </c>
      <c r="E744" s="646" t="s">
        <v>1937</v>
      </c>
      <c r="F744" s="606" t="s">
        <v>436</v>
      </c>
      <c r="G744" s="606" t="s">
        <v>1938</v>
      </c>
      <c r="H744" s="608" t="s">
        <v>693</v>
      </c>
    </row>
    <row r="745">
      <c r="A745" s="512" t="s">
        <v>432</v>
      </c>
      <c r="B745" s="512" t="s">
        <v>433</v>
      </c>
      <c r="C745" s="605">
        <v>45794.0</v>
      </c>
      <c r="D745" s="512">
        <v>2.8103385473E10</v>
      </c>
      <c r="E745" s="606" t="s">
        <v>1939</v>
      </c>
      <c r="F745" s="606" t="s">
        <v>436</v>
      </c>
      <c r="G745" s="606" t="s">
        <v>1940</v>
      </c>
      <c r="H745" s="608" t="s">
        <v>901</v>
      </c>
    </row>
    <row r="746">
      <c r="A746" s="512" t="s">
        <v>823</v>
      </c>
      <c r="B746" s="512" t="s">
        <v>449</v>
      </c>
      <c r="C746" s="605">
        <v>45794.0</v>
      </c>
      <c r="D746" s="512">
        <v>3.185878571E10</v>
      </c>
      <c r="E746" s="646" t="s">
        <v>1941</v>
      </c>
      <c r="F746" s="606" t="s">
        <v>436</v>
      </c>
      <c r="G746" s="606" t="s">
        <v>1942</v>
      </c>
      <c r="H746" s="608" t="s">
        <v>1835</v>
      </c>
    </row>
    <row r="747">
      <c r="A747" s="512" t="s">
        <v>617</v>
      </c>
      <c r="B747" s="512" t="s">
        <v>433</v>
      </c>
      <c r="C747" s="605">
        <v>45794.0</v>
      </c>
      <c r="D747" s="512">
        <v>3.2099469647E10</v>
      </c>
      <c r="E747" s="606" t="s">
        <v>1943</v>
      </c>
      <c r="F747" s="606" t="s">
        <v>436</v>
      </c>
      <c r="G747" s="606" t="s">
        <v>1944</v>
      </c>
      <c r="H747" s="608" t="s">
        <v>696</v>
      </c>
    </row>
    <row r="748">
      <c r="A748" s="512" t="s">
        <v>617</v>
      </c>
      <c r="B748" s="512" t="s">
        <v>433</v>
      </c>
      <c r="C748" s="605">
        <v>45794.0</v>
      </c>
      <c r="D748" s="512">
        <v>3.3190506519E10</v>
      </c>
      <c r="E748" s="606" t="s">
        <v>1945</v>
      </c>
      <c r="F748" s="606" t="s">
        <v>436</v>
      </c>
      <c r="G748" s="606" t="s">
        <v>1946</v>
      </c>
      <c r="H748" s="608" t="s">
        <v>696</v>
      </c>
    </row>
    <row r="749">
      <c r="A749" s="512" t="s">
        <v>690</v>
      </c>
      <c r="B749" s="512" t="s">
        <v>449</v>
      </c>
      <c r="C749" s="605">
        <v>45794.0</v>
      </c>
      <c r="D749" s="512" t="s">
        <v>1947</v>
      </c>
      <c r="E749" s="646" t="s">
        <v>1948</v>
      </c>
      <c r="F749" s="606" t="s">
        <v>436</v>
      </c>
      <c r="G749" s="606" t="s">
        <v>1949</v>
      </c>
      <c r="H749" s="608" t="s">
        <v>693</v>
      </c>
    </row>
    <row r="750">
      <c r="A750" s="512" t="s">
        <v>432</v>
      </c>
      <c r="B750" s="512" t="s">
        <v>433</v>
      </c>
      <c r="C750" s="605">
        <v>45794.0</v>
      </c>
      <c r="D750" s="512">
        <v>2.7673409128E10</v>
      </c>
      <c r="E750" s="606" t="s">
        <v>1950</v>
      </c>
      <c r="F750" s="606" t="s">
        <v>436</v>
      </c>
      <c r="G750" s="606" t="s">
        <v>614</v>
      </c>
      <c r="H750" s="608" t="s">
        <v>901</v>
      </c>
    </row>
    <row r="751">
      <c r="A751" s="512" t="s">
        <v>690</v>
      </c>
      <c r="B751" s="512" t="s">
        <v>449</v>
      </c>
      <c r="C751" s="605">
        <v>45794.0</v>
      </c>
      <c r="D751" s="512">
        <v>2.8309600075E10</v>
      </c>
      <c r="E751" s="646" t="s">
        <v>1951</v>
      </c>
      <c r="F751" s="606" t="s">
        <v>436</v>
      </c>
      <c r="G751" s="606" t="s">
        <v>1952</v>
      </c>
      <c r="H751" s="608" t="s">
        <v>693</v>
      </c>
    </row>
    <row r="752">
      <c r="A752" s="512" t="s">
        <v>432</v>
      </c>
      <c r="B752" s="512" t="s">
        <v>987</v>
      </c>
      <c r="C752" s="605">
        <v>45794.0</v>
      </c>
      <c r="D752" s="512">
        <v>3.1413791731E10</v>
      </c>
      <c r="E752" s="606" t="s">
        <v>1953</v>
      </c>
      <c r="F752" s="606" t="s">
        <v>436</v>
      </c>
      <c r="G752" s="606" t="s">
        <v>1954</v>
      </c>
      <c r="H752" s="608" t="s">
        <v>901</v>
      </c>
    </row>
    <row r="753">
      <c r="A753" s="512" t="s">
        <v>823</v>
      </c>
      <c r="B753" s="512" t="s">
        <v>449</v>
      </c>
      <c r="C753" s="605">
        <v>45794.0</v>
      </c>
      <c r="D753" s="512">
        <v>3.26035739E10</v>
      </c>
      <c r="E753" s="646" t="s">
        <v>1955</v>
      </c>
      <c r="F753" s="606" t="s">
        <v>436</v>
      </c>
      <c r="G753" s="606" t="s">
        <v>1956</v>
      </c>
      <c r="H753" s="608" t="s">
        <v>1835</v>
      </c>
    </row>
    <row r="754">
      <c r="A754" s="512" t="s">
        <v>690</v>
      </c>
      <c r="B754" s="512" t="s">
        <v>449</v>
      </c>
      <c r="C754" s="605">
        <v>45794.0</v>
      </c>
      <c r="D754" s="512">
        <v>3.0804749436E10</v>
      </c>
      <c r="E754" s="646" t="s">
        <v>1957</v>
      </c>
      <c r="F754" s="606" t="s">
        <v>436</v>
      </c>
      <c r="G754" s="606" t="s">
        <v>1958</v>
      </c>
      <c r="H754" s="608" t="s">
        <v>693</v>
      </c>
    </row>
    <row r="755">
      <c r="A755" s="512" t="s">
        <v>439</v>
      </c>
      <c r="B755" s="512" t="s">
        <v>987</v>
      </c>
      <c r="C755" s="605">
        <v>45794.0</v>
      </c>
      <c r="D755" s="525"/>
      <c r="E755" s="606" t="s">
        <v>1959</v>
      </c>
      <c r="F755" s="606" t="s">
        <v>436</v>
      </c>
      <c r="G755" s="640"/>
      <c r="H755" s="608" t="s">
        <v>1054</v>
      </c>
    </row>
    <row r="756">
      <c r="A756" s="512" t="s">
        <v>617</v>
      </c>
      <c r="B756" s="512" t="s">
        <v>433</v>
      </c>
      <c r="C756" s="605">
        <v>45795.0</v>
      </c>
      <c r="D756" s="512">
        <v>2.7639511163E10</v>
      </c>
      <c r="E756" s="606" t="s">
        <v>1960</v>
      </c>
      <c r="F756" s="606" t="s">
        <v>436</v>
      </c>
      <c r="G756" s="606" t="s">
        <v>1368</v>
      </c>
      <c r="H756" s="608" t="s">
        <v>696</v>
      </c>
    </row>
    <row r="757">
      <c r="A757" s="512" t="s">
        <v>432</v>
      </c>
      <c r="B757" s="512" t="s">
        <v>433</v>
      </c>
      <c r="C757" s="605">
        <v>45795.0</v>
      </c>
      <c r="D757" s="512">
        <v>3.3894738488E10</v>
      </c>
      <c r="E757" s="606" t="s">
        <v>1961</v>
      </c>
      <c r="F757" s="606" t="s">
        <v>436</v>
      </c>
      <c r="G757" s="606" t="s">
        <v>1962</v>
      </c>
      <c r="H757" s="608" t="s">
        <v>901</v>
      </c>
    </row>
    <row r="758">
      <c r="A758" s="512" t="s">
        <v>617</v>
      </c>
      <c r="B758" s="512" t="s">
        <v>449</v>
      </c>
      <c r="C758" s="605">
        <v>45795.0</v>
      </c>
      <c r="D758" s="512">
        <v>3.2513307367E10</v>
      </c>
      <c r="E758" s="606" t="s">
        <v>1963</v>
      </c>
      <c r="F758" s="606" t="s">
        <v>436</v>
      </c>
      <c r="G758" s="606" t="s">
        <v>714</v>
      </c>
      <c r="H758" s="608" t="s">
        <v>696</v>
      </c>
    </row>
    <row r="759">
      <c r="A759" s="512" t="s">
        <v>432</v>
      </c>
      <c r="B759" s="512" t="s">
        <v>1755</v>
      </c>
      <c r="C759" s="605">
        <v>45795.0</v>
      </c>
      <c r="D759" s="512">
        <v>2.9231103244E10</v>
      </c>
      <c r="E759" s="606" t="s">
        <v>1964</v>
      </c>
      <c r="F759" s="606" t="s">
        <v>436</v>
      </c>
      <c r="G759" s="606" t="s">
        <v>1965</v>
      </c>
      <c r="H759" s="608" t="s">
        <v>901</v>
      </c>
    </row>
    <row r="760">
      <c r="A760" s="512" t="s">
        <v>432</v>
      </c>
      <c r="B760" s="512" t="s">
        <v>1755</v>
      </c>
      <c r="C760" s="605">
        <v>45795.0</v>
      </c>
      <c r="D760" s="512">
        <v>3.2855697142E10</v>
      </c>
      <c r="E760" s="606" t="s">
        <v>1966</v>
      </c>
      <c r="F760" s="606" t="s">
        <v>436</v>
      </c>
      <c r="G760" s="606" t="s">
        <v>1967</v>
      </c>
      <c r="H760" s="608" t="s">
        <v>901</v>
      </c>
    </row>
    <row r="761">
      <c r="A761" s="512" t="s">
        <v>432</v>
      </c>
      <c r="B761" s="512" t="s">
        <v>987</v>
      </c>
      <c r="C761" s="605">
        <v>45795.0</v>
      </c>
      <c r="D761" s="512">
        <v>3.0168010449E10</v>
      </c>
      <c r="E761" s="606" t="s">
        <v>1968</v>
      </c>
      <c r="F761" s="606" t="s">
        <v>436</v>
      </c>
      <c r="G761" s="606" t="s">
        <v>1969</v>
      </c>
      <c r="H761" s="608" t="s">
        <v>901</v>
      </c>
    </row>
    <row r="762">
      <c r="A762" s="512" t="s">
        <v>432</v>
      </c>
      <c r="B762" s="512" t="s">
        <v>433</v>
      </c>
      <c r="C762" s="605">
        <v>45795.0</v>
      </c>
      <c r="D762" s="512">
        <v>3.5429138539E10</v>
      </c>
      <c r="E762" s="606" t="s">
        <v>1968</v>
      </c>
      <c r="F762" s="606" t="s">
        <v>436</v>
      </c>
      <c r="G762" s="606" t="s">
        <v>1970</v>
      </c>
      <c r="H762" s="608" t="s">
        <v>901</v>
      </c>
    </row>
    <row r="763">
      <c r="A763" s="512" t="s">
        <v>432</v>
      </c>
      <c r="B763" s="512" t="s">
        <v>1755</v>
      </c>
      <c r="C763" s="605">
        <v>45795.0</v>
      </c>
      <c r="D763" s="512">
        <v>3.2614160624E10</v>
      </c>
      <c r="E763" s="606" t="s">
        <v>1971</v>
      </c>
      <c r="F763" s="606" t="s">
        <v>436</v>
      </c>
      <c r="G763" s="606" t="s">
        <v>1883</v>
      </c>
      <c r="H763" s="608" t="s">
        <v>901</v>
      </c>
    </row>
    <row r="764">
      <c r="A764" s="512" t="s">
        <v>617</v>
      </c>
      <c r="B764" s="512" t="s">
        <v>433</v>
      </c>
      <c r="C764" s="605">
        <v>45795.0</v>
      </c>
      <c r="D764" s="512">
        <v>2.9714210417E10</v>
      </c>
      <c r="E764" s="606" t="s">
        <v>1972</v>
      </c>
      <c r="F764" s="606" t="s">
        <v>436</v>
      </c>
      <c r="G764" s="606" t="s">
        <v>1973</v>
      </c>
      <c r="H764" s="608" t="s">
        <v>696</v>
      </c>
    </row>
    <row r="765">
      <c r="A765" s="512" t="s">
        <v>432</v>
      </c>
      <c r="B765" s="512" t="s">
        <v>449</v>
      </c>
      <c r="C765" s="605">
        <v>45795.0</v>
      </c>
      <c r="D765" s="512">
        <v>3.0807606966E10</v>
      </c>
      <c r="E765" s="606" t="s">
        <v>1974</v>
      </c>
      <c r="F765" s="606" t="s">
        <v>436</v>
      </c>
      <c r="G765" s="606" t="s">
        <v>1975</v>
      </c>
      <c r="H765" s="608" t="s">
        <v>901</v>
      </c>
    </row>
    <row r="766">
      <c r="A766" s="512" t="s">
        <v>617</v>
      </c>
      <c r="B766" s="512" t="s">
        <v>433</v>
      </c>
      <c r="C766" s="605">
        <v>45795.0</v>
      </c>
      <c r="D766" s="512">
        <v>3.1882912996E10</v>
      </c>
      <c r="E766" s="606" t="s">
        <v>1976</v>
      </c>
      <c r="F766" s="606" t="s">
        <v>436</v>
      </c>
      <c r="G766" s="606" t="s">
        <v>1977</v>
      </c>
      <c r="H766" s="608" t="s">
        <v>696</v>
      </c>
    </row>
    <row r="767">
      <c r="A767" s="512" t="s">
        <v>432</v>
      </c>
      <c r="B767" s="512" t="s">
        <v>433</v>
      </c>
      <c r="C767" s="605">
        <v>45795.0</v>
      </c>
      <c r="D767" s="512">
        <v>3.425623897E10</v>
      </c>
      <c r="E767" s="606" t="s">
        <v>1978</v>
      </c>
      <c r="F767" s="606" t="s">
        <v>436</v>
      </c>
      <c r="G767" s="606" t="s">
        <v>1458</v>
      </c>
      <c r="H767" s="608" t="s">
        <v>901</v>
      </c>
    </row>
    <row r="768">
      <c r="A768" s="512" t="s">
        <v>617</v>
      </c>
      <c r="B768" s="512" t="s">
        <v>1755</v>
      </c>
      <c r="C768" s="605">
        <v>45795.0</v>
      </c>
      <c r="D768" s="512">
        <v>3.2057977602E10</v>
      </c>
      <c r="E768" s="606" t="s">
        <v>1979</v>
      </c>
      <c r="F768" s="606" t="s">
        <v>436</v>
      </c>
      <c r="G768" s="606" t="s">
        <v>1980</v>
      </c>
      <c r="H768" s="608" t="s">
        <v>696</v>
      </c>
    </row>
    <row r="769">
      <c r="A769" s="512" t="s">
        <v>432</v>
      </c>
      <c r="B769" s="512" t="s">
        <v>433</v>
      </c>
      <c r="C769" s="605">
        <v>45795.0</v>
      </c>
      <c r="D769" s="512">
        <v>2.8647148024E10</v>
      </c>
      <c r="E769" s="648" t="s">
        <v>1981</v>
      </c>
      <c r="F769" s="606" t="s">
        <v>436</v>
      </c>
      <c r="G769" s="606" t="s">
        <v>1982</v>
      </c>
      <c r="H769" s="608" t="s">
        <v>901</v>
      </c>
    </row>
    <row r="770">
      <c r="A770" s="512" t="s">
        <v>432</v>
      </c>
      <c r="B770" s="512" t="s">
        <v>1755</v>
      </c>
      <c r="C770" s="605">
        <v>45795.0</v>
      </c>
      <c r="D770" s="512">
        <v>3.2782223729E10</v>
      </c>
      <c r="E770" s="606" t="s">
        <v>1983</v>
      </c>
      <c r="F770" s="606" t="s">
        <v>436</v>
      </c>
      <c r="G770" s="606" t="s">
        <v>1984</v>
      </c>
      <c r="H770" s="608" t="s">
        <v>901</v>
      </c>
    </row>
    <row r="771">
      <c r="A771" s="512" t="s">
        <v>432</v>
      </c>
      <c r="B771" s="512" t="s">
        <v>1755</v>
      </c>
      <c r="C771" s="605">
        <v>45795.0</v>
      </c>
      <c r="D771" s="512">
        <v>3.3410091541E10</v>
      </c>
      <c r="E771" s="606" t="s">
        <v>1985</v>
      </c>
      <c r="F771" s="606" t="s">
        <v>436</v>
      </c>
      <c r="G771" s="606" t="s">
        <v>1986</v>
      </c>
      <c r="H771" s="608" t="s">
        <v>901</v>
      </c>
    </row>
    <row r="772">
      <c r="A772" s="512" t="s">
        <v>617</v>
      </c>
      <c r="B772" s="512" t="s">
        <v>449</v>
      </c>
      <c r="C772" s="605">
        <v>45795.0</v>
      </c>
      <c r="D772" s="512">
        <v>3.1049715394E10</v>
      </c>
      <c r="E772" s="606" t="s">
        <v>1987</v>
      </c>
      <c r="F772" s="606" t="s">
        <v>436</v>
      </c>
      <c r="G772" s="606" t="s">
        <v>1988</v>
      </c>
      <c r="H772" s="608" t="s">
        <v>696</v>
      </c>
    </row>
    <row r="773">
      <c r="A773" s="512" t="s">
        <v>432</v>
      </c>
      <c r="B773" s="512" t="s">
        <v>987</v>
      </c>
      <c r="C773" s="605">
        <v>45795.0</v>
      </c>
      <c r="D773" s="512">
        <v>3.1892963785E10</v>
      </c>
      <c r="E773" s="606" t="s">
        <v>1989</v>
      </c>
      <c r="F773" s="606" t="s">
        <v>436</v>
      </c>
      <c r="G773" s="606" t="s">
        <v>1990</v>
      </c>
      <c r="H773" s="608" t="s">
        <v>901</v>
      </c>
    </row>
    <row r="774">
      <c r="A774" s="512" t="s">
        <v>823</v>
      </c>
      <c r="B774" s="512" t="s">
        <v>449</v>
      </c>
      <c r="C774" s="605">
        <v>45795.0</v>
      </c>
      <c r="D774" s="512">
        <v>3.1936647696E10</v>
      </c>
      <c r="E774" s="646" t="s">
        <v>1991</v>
      </c>
      <c r="F774" s="606" t="s">
        <v>436</v>
      </c>
      <c r="G774" s="606" t="s">
        <v>1992</v>
      </c>
      <c r="H774" s="608" t="s">
        <v>1835</v>
      </c>
    </row>
    <row r="775">
      <c r="A775" s="512" t="s">
        <v>432</v>
      </c>
      <c r="B775" s="512" t="s">
        <v>433</v>
      </c>
      <c r="C775" s="605">
        <v>45795.0</v>
      </c>
      <c r="D775" s="512">
        <v>2.8178651771E10</v>
      </c>
      <c r="E775" s="606" t="s">
        <v>1993</v>
      </c>
      <c r="F775" s="606" t="s">
        <v>436</v>
      </c>
      <c r="G775" s="606" t="s">
        <v>1355</v>
      </c>
      <c r="H775" s="608" t="s">
        <v>901</v>
      </c>
    </row>
    <row r="776">
      <c r="A776" s="512" t="s">
        <v>690</v>
      </c>
      <c r="B776" s="512" t="s">
        <v>449</v>
      </c>
      <c r="C776" s="605">
        <v>45795.0</v>
      </c>
      <c r="D776" s="512">
        <v>3.5534980072E10</v>
      </c>
      <c r="E776" s="646" t="s">
        <v>1994</v>
      </c>
      <c r="F776" s="606" t="s">
        <v>436</v>
      </c>
      <c r="G776" s="637" t="s">
        <v>1995</v>
      </c>
      <c r="H776" s="608" t="s">
        <v>1362</v>
      </c>
    </row>
    <row r="777">
      <c r="A777" s="512" t="s">
        <v>432</v>
      </c>
      <c r="B777" s="512" t="s">
        <v>987</v>
      </c>
      <c r="C777" s="605">
        <v>45795.0</v>
      </c>
      <c r="D777" s="512">
        <v>1.698526181E10</v>
      </c>
      <c r="E777" s="606" t="s">
        <v>1996</v>
      </c>
      <c r="F777" s="606" t="s">
        <v>1997</v>
      </c>
      <c r="G777" s="606" t="s">
        <v>1998</v>
      </c>
      <c r="H777" s="608" t="s">
        <v>901</v>
      </c>
    </row>
    <row r="778">
      <c r="A778" s="512" t="s">
        <v>432</v>
      </c>
      <c r="B778" s="512" t="s">
        <v>987</v>
      </c>
      <c r="C778" s="605">
        <v>45795.0</v>
      </c>
      <c r="D778" s="512">
        <v>3.525812756E10</v>
      </c>
      <c r="E778" s="606" t="s">
        <v>1999</v>
      </c>
      <c r="F778" s="606" t="s">
        <v>436</v>
      </c>
      <c r="G778" s="606" t="s">
        <v>2000</v>
      </c>
      <c r="H778" s="608" t="s">
        <v>901</v>
      </c>
    </row>
    <row r="779">
      <c r="A779" s="512" t="s">
        <v>432</v>
      </c>
      <c r="B779" s="512" t="s">
        <v>449</v>
      </c>
      <c r="C779" s="605">
        <v>45795.0</v>
      </c>
      <c r="D779" s="512">
        <v>2.7566004929E10</v>
      </c>
      <c r="E779" s="606" t="s">
        <v>2001</v>
      </c>
      <c r="F779" s="606" t="s">
        <v>436</v>
      </c>
      <c r="G779" s="606" t="s">
        <v>2002</v>
      </c>
      <c r="H779" s="608" t="s">
        <v>901</v>
      </c>
    </row>
    <row r="780">
      <c r="A780" s="512" t="s">
        <v>432</v>
      </c>
      <c r="B780" s="512" t="s">
        <v>1755</v>
      </c>
      <c r="C780" s="605">
        <v>45795.0</v>
      </c>
      <c r="D780" s="512">
        <v>3.5510878624E10</v>
      </c>
      <c r="E780" s="606" t="s">
        <v>2003</v>
      </c>
      <c r="F780" s="606" t="s">
        <v>436</v>
      </c>
      <c r="G780" s="606" t="s">
        <v>2004</v>
      </c>
      <c r="H780" s="608" t="s">
        <v>901</v>
      </c>
    </row>
    <row r="781">
      <c r="A781" s="512" t="s">
        <v>617</v>
      </c>
      <c r="B781" s="512" t="s">
        <v>449</v>
      </c>
      <c r="C781" s="605">
        <v>45796.0</v>
      </c>
      <c r="D781" s="512">
        <v>2.5747301408E10</v>
      </c>
      <c r="E781" s="648" t="s">
        <v>1416</v>
      </c>
      <c r="F781" s="606" t="s">
        <v>436</v>
      </c>
      <c r="G781" s="606" t="s">
        <v>2005</v>
      </c>
      <c r="H781" s="608" t="s">
        <v>696</v>
      </c>
    </row>
    <row r="782">
      <c r="A782" s="512" t="s">
        <v>823</v>
      </c>
      <c r="B782" s="512" t="s">
        <v>433</v>
      </c>
      <c r="C782" s="605">
        <v>45796.0</v>
      </c>
      <c r="D782" s="512">
        <v>2.17851404E8</v>
      </c>
      <c r="E782" s="646" t="s">
        <v>2006</v>
      </c>
      <c r="F782" s="606" t="s">
        <v>436</v>
      </c>
      <c r="G782" s="606" t="s">
        <v>2007</v>
      </c>
      <c r="H782" s="608" t="s">
        <v>1742</v>
      </c>
    </row>
    <row r="783">
      <c r="A783" s="512" t="s">
        <v>617</v>
      </c>
      <c r="B783" s="512" t="s">
        <v>449</v>
      </c>
      <c r="C783" s="605">
        <v>45796.0</v>
      </c>
      <c r="D783" s="512">
        <v>2.5398406134E10</v>
      </c>
      <c r="E783" s="606" t="s">
        <v>2008</v>
      </c>
      <c r="F783" s="606" t="s">
        <v>436</v>
      </c>
      <c r="G783" s="606" t="s">
        <v>2009</v>
      </c>
      <c r="H783" s="608" t="s">
        <v>696</v>
      </c>
    </row>
    <row r="784">
      <c r="A784" s="512" t="s">
        <v>617</v>
      </c>
      <c r="B784" s="512" t="s">
        <v>1755</v>
      </c>
      <c r="C784" s="605">
        <v>45796.0</v>
      </c>
      <c r="D784" s="512">
        <v>3.4342872958E10</v>
      </c>
      <c r="E784" s="606" t="s">
        <v>2010</v>
      </c>
      <c r="F784" s="606" t="s">
        <v>436</v>
      </c>
      <c r="G784" s="606" t="s">
        <v>2011</v>
      </c>
      <c r="H784" s="608" t="s">
        <v>696</v>
      </c>
    </row>
    <row r="785">
      <c r="A785" s="512" t="s">
        <v>823</v>
      </c>
      <c r="B785" s="512" t="s">
        <v>433</v>
      </c>
      <c r="C785" s="605">
        <v>45796.0</v>
      </c>
      <c r="D785" s="512">
        <v>2.7364124E8</v>
      </c>
      <c r="E785" s="646" t="s">
        <v>2012</v>
      </c>
      <c r="F785" s="606" t="s">
        <v>436</v>
      </c>
      <c r="G785" s="606" t="s">
        <v>2013</v>
      </c>
      <c r="H785" s="608" t="s">
        <v>1742</v>
      </c>
    </row>
    <row r="786">
      <c r="A786" s="512" t="s">
        <v>823</v>
      </c>
      <c r="B786" s="512" t="s">
        <v>433</v>
      </c>
      <c r="C786" s="605">
        <v>45796.0</v>
      </c>
      <c r="D786" s="512">
        <v>3.12775904E8</v>
      </c>
      <c r="E786" s="646" t="s">
        <v>2014</v>
      </c>
      <c r="F786" s="606" t="s">
        <v>436</v>
      </c>
      <c r="G786" s="606" t="s">
        <v>2015</v>
      </c>
      <c r="H786" s="608" t="s">
        <v>1742</v>
      </c>
    </row>
    <row r="787">
      <c r="A787" s="512" t="s">
        <v>617</v>
      </c>
      <c r="B787" s="512" t="s">
        <v>449</v>
      </c>
      <c r="C787" s="605">
        <v>45796.0</v>
      </c>
      <c r="D787" s="512">
        <v>3.4335948523E10</v>
      </c>
      <c r="E787" s="606" t="s">
        <v>2016</v>
      </c>
      <c r="F787" s="606" t="s">
        <v>436</v>
      </c>
      <c r="G787" s="606" t="s">
        <v>2017</v>
      </c>
      <c r="H787" s="608" t="s">
        <v>696</v>
      </c>
    </row>
    <row r="788">
      <c r="A788" s="512" t="s">
        <v>617</v>
      </c>
      <c r="B788" s="512" t="s">
        <v>449</v>
      </c>
      <c r="C788" s="605">
        <v>45796.0</v>
      </c>
      <c r="D788" s="512">
        <v>3.0431812625E10</v>
      </c>
      <c r="E788" s="606" t="s">
        <v>2016</v>
      </c>
      <c r="F788" s="606" t="s">
        <v>436</v>
      </c>
      <c r="G788" s="606" t="s">
        <v>2017</v>
      </c>
      <c r="H788" s="608" t="s">
        <v>696</v>
      </c>
    </row>
    <row r="789">
      <c r="A789" s="512" t="s">
        <v>617</v>
      </c>
      <c r="B789" s="512" t="s">
        <v>433</v>
      </c>
      <c r="C789" s="605">
        <v>45796.0</v>
      </c>
      <c r="D789" s="512">
        <v>3.2962645756E10</v>
      </c>
      <c r="E789" s="606" t="s">
        <v>2018</v>
      </c>
      <c r="F789" s="606" t="s">
        <v>436</v>
      </c>
      <c r="G789" s="606" t="s">
        <v>2019</v>
      </c>
      <c r="H789" s="608" t="s">
        <v>696</v>
      </c>
    </row>
    <row r="790">
      <c r="A790" s="512" t="s">
        <v>823</v>
      </c>
      <c r="B790" s="512" t="s">
        <v>433</v>
      </c>
      <c r="C790" s="605">
        <v>45796.0</v>
      </c>
      <c r="D790" s="512">
        <v>2.71463133E8</v>
      </c>
      <c r="E790" s="646" t="s">
        <v>2020</v>
      </c>
      <c r="F790" s="606" t="s">
        <v>436</v>
      </c>
      <c r="G790" s="606" t="s">
        <v>2021</v>
      </c>
      <c r="H790" s="608" t="s">
        <v>1742</v>
      </c>
    </row>
    <row r="791">
      <c r="A791" s="512" t="s">
        <v>617</v>
      </c>
      <c r="B791" s="512" t="s">
        <v>449</v>
      </c>
      <c r="C791" s="605">
        <v>45796.0</v>
      </c>
      <c r="D791" s="512">
        <v>3.1133155003E10</v>
      </c>
      <c r="E791" s="606" t="s">
        <v>2022</v>
      </c>
      <c r="F791" s="606" t="s">
        <v>436</v>
      </c>
      <c r="G791" s="606" t="s">
        <v>2023</v>
      </c>
      <c r="H791" s="608" t="s">
        <v>696</v>
      </c>
    </row>
    <row r="792">
      <c r="A792" s="512" t="s">
        <v>439</v>
      </c>
      <c r="B792" s="512" t="s">
        <v>987</v>
      </c>
      <c r="C792" s="605">
        <v>45796.0</v>
      </c>
      <c r="D792" s="512">
        <v>3.0309351202E10</v>
      </c>
      <c r="E792" s="606" t="s">
        <v>2024</v>
      </c>
      <c r="F792" s="606" t="s">
        <v>436</v>
      </c>
      <c r="G792" s="640"/>
      <c r="H792" s="608" t="s">
        <v>1054</v>
      </c>
    </row>
    <row r="793">
      <c r="A793" s="512" t="s">
        <v>439</v>
      </c>
      <c r="B793" s="512" t="s">
        <v>987</v>
      </c>
      <c r="C793" s="605">
        <v>45796.0</v>
      </c>
      <c r="D793" s="512">
        <v>3.2433721824E10</v>
      </c>
      <c r="E793" s="646" t="s">
        <v>2025</v>
      </c>
      <c r="F793" s="606" t="s">
        <v>436</v>
      </c>
      <c r="G793" s="640"/>
      <c r="H793" s="608" t="s">
        <v>1054</v>
      </c>
    </row>
    <row r="794">
      <c r="A794" s="512" t="s">
        <v>439</v>
      </c>
      <c r="B794" s="512" t="s">
        <v>433</v>
      </c>
      <c r="C794" s="605">
        <v>45797.0</v>
      </c>
      <c r="D794" s="512">
        <v>3.5405375694E10</v>
      </c>
      <c r="E794" s="646" t="s">
        <v>2026</v>
      </c>
      <c r="F794" s="606" t="s">
        <v>436</v>
      </c>
      <c r="G794" s="606" t="s">
        <v>2027</v>
      </c>
      <c r="H794" s="608" t="s">
        <v>1608</v>
      </c>
    </row>
    <row r="795">
      <c r="A795" s="512" t="s">
        <v>439</v>
      </c>
      <c r="B795" s="512" t="s">
        <v>433</v>
      </c>
      <c r="C795" s="605">
        <v>45797.0</v>
      </c>
      <c r="D795" s="512">
        <v>3.4373898741E10</v>
      </c>
      <c r="E795" s="646" t="s">
        <v>2028</v>
      </c>
      <c r="F795" s="606" t="s">
        <v>436</v>
      </c>
      <c r="G795" s="606" t="s">
        <v>2029</v>
      </c>
      <c r="H795" s="608" t="s">
        <v>1608</v>
      </c>
    </row>
    <row r="796">
      <c r="A796" s="512" t="s">
        <v>617</v>
      </c>
      <c r="B796" s="512" t="s">
        <v>1755</v>
      </c>
      <c r="C796" s="605">
        <v>45797.0</v>
      </c>
      <c r="D796" s="512">
        <v>3.1978207906E10</v>
      </c>
      <c r="E796" s="606" t="s">
        <v>2030</v>
      </c>
      <c r="F796" s="606" t="s">
        <v>436</v>
      </c>
      <c r="G796" s="606" t="s">
        <v>2031</v>
      </c>
      <c r="H796" s="608" t="s">
        <v>696</v>
      </c>
    </row>
    <row r="797">
      <c r="A797" s="512" t="s">
        <v>690</v>
      </c>
      <c r="B797" s="512" t="s">
        <v>744</v>
      </c>
      <c r="C797" s="605">
        <v>45797.0</v>
      </c>
      <c r="D797" s="512">
        <v>3.5380430925E10</v>
      </c>
      <c r="E797" s="646" t="s">
        <v>2032</v>
      </c>
      <c r="F797" s="606" t="s">
        <v>436</v>
      </c>
      <c r="G797" s="606" t="s">
        <v>1665</v>
      </c>
      <c r="H797" s="608" t="s">
        <v>693</v>
      </c>
    </row>
    <row r="798">
      <c r="A798" s="512" t="s">
        <v>439</v>
      </c>
      <c r="B798" s="512" t="s">
        <v>433</v>
      </c>
      <c r="C798" s="605">
        <v>45797.0</v>
      </c>
      <c r="D798" s="512">
        <v>3.0340444158E10</v>
      </c>
      <c r="E798" s="646" t="s">
        <v>2033</v>
      </c>
      <c r="F798" s="606" t="s">
        <v>436</v>
      </c>
      <c r="G798" s="606" t="s">
        <v>2034</v>
      </c>
      <c r="H798" s="608" t="s">
        <v>1608</v>
      </c>
    </row>
    <row r="799">
      <c r="A799" s="512" t="s">
        <v>439</v>
      </c>
      <c r="B799" s="512" t="s">
        <v>433</v>
      </c>
      <c r="C799" s="605">
        <v>45797.0</v>
      </c>
      <c r="D799" s="512">
        <v>2.1443550177E10</v>
      </c>
      <c r="E799" s="646" t="s">
        <v>2033</v>
      </c>
      <c r="F799" s="606" t="s">
        <v>436</v>
      </c>
      <c r="G799" s="606" t="s">
        <v>2034</v>
      </c>
      <c r="H799" s="608" t="s">
        <v>1608</v>
      </c>
    </row>
    <row r="800">
      <c r="A800" s="512" t="s">
        <v>617</v>
      </c>
      <c r="B800" s="512" t="s">
        <v>995</v>
      </c>
      <c r="C800" s="605">
        <v>45797.0</v>
      </c>
      <c r="D800" s="512">
        <v>3.4379624699E10</v>
      </c>
      <c r="E800" s="606" t="s">
        <v>2035</v>
      </c>
      <c r="F800" s="606" t="s">
        <v>436</v>
      </c>
      <c r="G800" s="606" t="s">
        <v>2036</v>
      </c>
      <c r="H800" s="608" t="s">
        <v>696</v>
      </c>
    </row>
    <row r="801">
      <c r="A801" s="512" t="s">
        <v>823</v>
      </c>
      <c r="B801" s="512" t="s">
        <v>1755</v>
      </c>
      <c r="C801" s="605">
        <v>45797.0</v>
      </c>
      <c r="D801" s="512">
        <v>2.11465902E8</v>
      </c>
      <c r="E801" s="646" t="s">
        <v>2037</v>
      </c>
      <c r="F801" s="606" t="s">
        <v>436</v>
      </c>
      <c r="G801" s="606" t="s">
        <v>2038</v>
      </c>
      <c r="H801" s="608" t="s">
        <v>1742</v>
      </c>
    </row>
    <row r="802">
      <c r="A802" s="512" t="s">
        <v>617</v>
      </c>
      <c r="B802" s="512" t="s">
        <v>1755</v>
      </c>
      <c r="C802" s="605">
        <v>45797.0</v>
      </c>
      <c r="D802" s="512">
        <v>3.3449529986E10</v>
      </c>
      <c r="E802" s="606" t="s">
        <v>2039</v>
      </c>
      <c r="F802" s="606" t="s">
        <v>436</v>
      </c>
      <c r="G802" s="606" t="s">
        <v>2040</v>
      </c>
      <c r="H802" s="608" t="s">
        <v>696</v>
      </c>
    </row>
    <row r="803">
      <c r="A803" s="512" t="s">
        <v>439</v>
      </c>
      <c r="B803" s="512" t="s">
        <v>449</v>
      </c>
      <c r="C803" s="605">
        <v>45797.0</v>
      </c>
      <c r="D803" s="512">
        <v>3.5556006389E10</v>
      </c>
      <c r="E803" s="646" t="s">
        <v>2041</v>
      </c>
      <c r="F803" s="606" t="s">
        <v>436</v>
      </c>
      <c r="G803" s="606" t="s">
        <v>2042</v>
      </c>
      <c r="H803" s="608" t="s">
        <v>1608</v>
      </c>
    </row>
    <row r="804">
      <c r="A804" s="512" t="s">
        <v>690</v>
      </c>
      <c r="B804" s="512" t="s">
        <v>995</v>
      </c>
      <c r="C804" s="605">
        <v>45798.0</v>
      </c>
      <c r="D804" s="512" t="s">
        <v>2043</v>
      </c>
      <c r="E804" s="646" t="s">
        <v>2044</v>
      </c>
      <c r="F804" s="606" t="s">
        <v>436</v>
      </c>
      <c r="G804" s="606" t="s">
        <v>2045</v>
      </c>
      <c r="H804" s="608" t="s">
        <v>693</v>
      </c>
    </row>
    <row r="805">
      <c r="A805" s="512" t="s">
        <v>617</v>
      </c>
      <c r="B805" s="512" t="s">
        <v>995</v>
      </c>
      <c r="C805" s="605">
        <v>45798.0</v>
      </c>
      <c r="D805" s="646">
        <v>3.3006565141E10</v>
      </c>
      <c r="E805" s="646" t="s">
        <v>2046</v>
      </c>
      <c r="F805" s="606" t="s">
        <v>436</v>
      </c>
      <c r="G805" s="606" t="s">
        <v>2047</v>
      </c>
      <c r="H805" s="608" t="s">
        <v>1054</v>
      </c>
    </row>
    <row r="806">
      <c r="A806" s="512" t="s">
        <v>617</v>
      </c>
      <c r="B806" s="512" t="s">
        <v>987</v>
      </c>
      <c r="C806" s="605">
        <v>45798.0</v>
      </c>
      <c r="D806" s="512">
        <v>2.9810726758E10</v>
      </c>
      <c r="E806" s="646" t="s">
        <v>2048</v>
      </c>
      <c r="F806" s="606" t="s">
        <v>436</v>
      </c>
      <c r="G806" s="606" t="s">
        <v>2049</v>
      </c>
      <c r="H806" s="608" t="s">
        <v>1054</v>
      </c>
    </row>
    <row r="807">
      <c r="A807" s="512" t="s">
        <v>690</v>
      </c>
      <c r="B807" s="512" t="s">
        <v>995</v>
      </c>
      <c r="C807" s="605">
        <v>45798.0</v>
      </c>
      <c r="D807" s="512" t="s">
        <v>2050</v>
      </c>
      <c r="E807" s="646" t="s">
        <v>2051</v>
      </c>
      <c r="F807" s="606" t="s">
        <v>436</v>
      </c>
      <c r="G807" s="606" t="s">
        <v>2052</v>
      </c>
      <c r="H807" s="608" t="s">
        <v>693</v>
      </c>
    </row>
    <row r="808">
      <c r="A808" s="512" t="s">
        <v>439</v>
      </c>
      <c r="B808" s="512" t="s">
        <v>995</v>
      </c>
      <c r="C808" s="605">
        <v>45798.0</v>
      </c>
      <c r="D808" s="512">
        <v>3.1642554845E10</v>
      </c>
      <c r="E808" s="646" t="s">
        <v>2053</v>
      </c>
      <c r="F808" s="606" t="s">
        <v>436</v>
      </c>
      <c r="G808" s="606" t="s">
        <v>2054</v>
      </c>
      <c r="H808" s="608" t="s">
        <v>1608</v>
      </c>
    </row>
    <row r="809">
      <c r="A809" s="512" t="s">
        <v>690</v>
      </c>
      <c r="B809" s="512" t="s">
        <v>995</v>
      </c>
      <c r="C809" s="605">
        <v>45798.0</v>
      </c>
      <c r="D809" s="512">
        <v>3.3039974482E10</v>
      </c>
      <c r="E809" s="646" t="s">
        <v>2055</v>
      </c>
      <c r="F809" s="606" t="s">
        <v>436</v>
      </c>
      <c r="G809" s="606" t="s">
        <v>2056</v>
      </c>
      <c r="H809" s="608" t="s">
        <v>693</v>
      </c>
    </row>
    <row r="810">
      <c r="A810" s="512" t="s">
        <v>690</v>
      </c>
      <c r="B810" s="512" t="s">
        <v>995</v>
      </c>
      <c r="C810" s="605">
        <v>45798.0</v>
      </c>
      <c r="D810" s="512">
        <v>3.1086264007E10</v>
      </c>
      <c r="E810" s="646" t="s">
        <v>2057</v>
      </c>
      <c r="F810" s="606" t="s">
        <v>436</v>
      </c>
      <c r="G810" s="606" t="s">
        <v>2058</v>
      </c>
      <c r="H810" s="608" t="s">
        <v>693</v>
      </c>
    </row>
    <row r="811">
      <c r="A811" s="512" t="s">
        <v>617</v>
      </c>
      <c r="B811" s="512" t="s">
        <v>995</v>
      </c>
      <c r="C811" s="605">
        <v>45798.0</v>
      </c>
      <c r="D811" s="512">
        <v>3.157703165E10</v>
      </c>
      <c r="E811" s="606" t="s">
        <v>2059</v>
      </c>
      <c r="F811" s="606" t="s">
        <v>436</v>
      </c>
      <c r="G811" s="606" t="s">
        <v>2060</v>
      </c>
      <c r="H811" s="608" t="s">
        <v>1054</v>
      </c>
    </row>
    <row r="812">
      <c r="A812" s="512" t="s">
        <v>439</v>
      </c>
      <c r="B812" s="512" t="s">
        <v>1755</v>
      </c>
      <c r="C812" s="605">
        <v>45798.0</v>
      </c>
      <c r="D812" s="512">
        <v>3.3429663585E10</v>
      </c>
      <c r="E812" s="646" t="s">
        <v>2061</v>
      </c>
      <c r="F812" s="606" t="s">
        <v>436</v>
      </c>
      <c r="G812" s="606" t="s">
        <v>2062</v>
      </c>
      <c r="H812" s="608" t="s">
        <v>1608</v>
      </c>
    </row>
    <row r="813">
      <c r="A813" s="512" t="s">
        <v>690</v>
      </c>
      <c r="B813" s="512" t="s">
        <v>995</v>
      </c>
      <c r="C813" s="605">
        <v>45799.0</v>
      </c>
      <c r="D813" s="512">
        <v>2.9279984438E10</v>
      </c>
      <c r="E813" s="646" t="s">
        <v>2063</v>
      </c>
      <c r="F813" s="606" t="s">
        <v>436</v>
      </c>
      <c r="G813" s="637" t="s">
        <v>2064</v>
      </c>
      <c r="H813" s="608" t="s">
        <v>1362</v>
      </c>
    </row>
    <row r="814">
      <c r="A814" s="512" t="s">
        <v>617</v>
      </c>
      <c r="B814" s="512" t="s">
        <v>433</v>
      </c>
      <c r="C814" s="605">
        <v>45799.0</v>
      </c>
      <c r="D814" s="512">
        <v>3.1169932272E10</v>
      </c>
      <c r="E814" s="606" t="s">
        <v>2065</v>
      </c>
      <c r="F814" s="606" t="s">
        <v>436</v>
      </c>
      <c r="G814" s="606" t="s">
        <v>2066</v>
      </c>
      <c r="H814" s="608" t="s">
        <v>696</v>
      </c>
    </row>
    <row r="815">
      <c r="A815" s="512" t="s">
        <v>439</v>
      </c>
      <c r="B815" s="512" t="s">
        <v>995</v>
      </c>
      <c r="C815" s="605">
        <v>45799.0</v>
      </c>
      <c r="D815" s="512">
        <v>3.2490371237E10</v>
      </c>
      <c r="E815" s="646" t="s">
        <v>2067</v>
      </c>
      <c r="F815" s="606" t="s">
        <v>436</v>
      </c>
      <c r="G815" s="606" t="s">
        <v>2068</v>
      </c>
      <c r="H815" s="608" t="s">
        <v>850</v>
      </c>
    </row>
    <row r="816">
      <c r="A816" s="512" t="s">
        <v>432</v>
      </c>
      <c r="B816" s="512" t="s">
        <v>987</v>
      </c>
      <c r="C816" s="605">
        <v>45799.0</v>
      </c>
      <c r="D816" s="512">
        <v>3.2488409962E10</v>
      </c>
      <c r="E816" s="646" t="s">
        <v>2069</v>
      </c>
      <c r="F816" s="606" t="s">
        <v>436</v>
      </c>
      <c r="G816" s="606" t="s">
        <v>2070</v>
      </c>
      <c r="H816" s="608" t="s">
        <v>1054</v>
      </c>
    </row>
    <row r="817">
      <c r="A817" s="512" t="s">
        <v>432</v>
      </c>
      <c r="B817" s="512" t="s">
        <v>995</v>
      </c>
      <c r="C817" s="605">
        <v>45799.0</v>
      </c>
      <c r="D817" s="512">
        <v>3.0324243904E10</v>
      </c>
      <c r="E817" s="646" t="s">
        <v>2071</v>
      </c>
      <c r="F817" s="606" t="s">
        <v>436</v>
      </c>
      <c r="G817" s="606" t="s">
        <v>2072</v>
      </c>
      <c r="H817" s="608" t="s">
        <v>1054</v>
      </c>
    </row>
    <row r="818">
      <c r="A818" s="512" t="s">
        <v>432</v>
      </c>
      <c r="B818" s="512" t="s">
        <v>987</v>
      </c>
      <c r="C818" s="605">
        <v>45799.0</v>
      </c>
      <c r="D818" s="512">
        <v>3.3875803879E10</v>
      </c>
      <c r="E818" s="646" t="s">
        <v>2073</v>
      </c>
      <c r="F818" s="606" t="s">
        <v>436</v>
      </c>
      <c r="G818" s="606" t="s">
        <v>2074</v>
      </c>
      <c r="H818" s="608" t="s">
        <v>1054</v>
      </c>
    </row>
    <row r="819">
      <c r="A819" s="512" t="s">
        <v>432</v>
      </c>
      <c r="B819" s="512" t="s">
        <v>995</v>
      </c>
      <c r="C819" s="605">
        <v>45799.0</v>
      </c>
      <c r="D819" s="512">
        <v>3.2987955513E10</v>
      </c>
      <c r="E819" s="646" t="s">
        <v>2075</v>
      </c>
      <c r="F819" s="606" t="s">
        <v>436</v>
      </c>
      <c r="G819" s="606" t="s">
        <v>2076</v>
      </c>
      <c r="H819" s="608" t="s">
        <v>1054</v>
      </c>
    </row>
    <row r="820">
      <c r="A820" s="512" t="s">
        <v>432</v>
      </c>
      <c r="B820" s="512" t="s">
        <v>987</v>
      </c>
      <c r="C820" s="605">
        <v>45799.0</v>
      </c>
      <c r="D820" s="512">
        <v>3.1812138809E10</v>
      </c>
      <c r="E820" s="646" t="s">
        <v>2077</v>
      </c>
      <c r="F820" s="606" t="s">
        <v>436</v>
      </c>
      <c r="G820" s="606" t="s">
        <v>2078</v>
      </c>
      <c r="H820" s="608" t="s">
        <v>1054</v>
      </c>
    </row>
    <row r="821">
      <c r="A821" s="512" t="s">
        <v>432</v>
      </c>
      <c r="B821" s="512" t="s">
        <v>987</v>
      </c>
      <c r="C821" s="605">
        <v>45799.0</v>
      </c>
      <c r="D821" s="512">
        <v>3.2318258638E10</v>
      </c>
      <c r="E821" s="646" t="s">
        <v>2079</v>
      </c>
      <c r="F821" s="606" t="s">
        <v>436</v>
      </c>
      <c r="G821" s="606" t="s">
        <v>982</v>
      </c>
      <c r="H821" s="608" t="s">
        <v>1054</v>
      </c>
    </row>
    <row r="822">
      <c r="A822" s="512" t="s">
        <v>432</v>
      </c>
      <c r="B822" s="512" t="s">
        <v>995</v>
      </c>
      <c r="C822" s="605">
        <v>45799.0</v>
      </c>
      <c r="D822" s="512">
        <v>3.3665343581E10</v>
      </c>
      <c r="E822" s="646" t="s">
        <v>1896</v>
      </c>
      <c r="F822" s="606" t="s">
        <v>436</v>
      </c>
      <c r="G822" s="606" t="s">
        <v>2080</v>
      </c>
      <c r="H822" s="608" t="s">
        <v>1054</v>
      </c>
    </row>
    <row r="823">
      <c r="A823" s="512" t="s">
        <v>617</v>
      </c>
      <c r="B823" s="512" t="s">
        <v>449</v>
      </c>
      <c r="C823" s="605">
        <v>45799.0</v>
      </c>
      <c r="D823" s="512">
        <v>3.0156854284E10</v>
      </c>
      <c r="E823" s="606" t="s">
        <v>2081</v>
      </c>
      <c r="F823" s="606" t="s">
        <v>436</v>
      </c>
      <c r="G823" s="606" t="s">
        <v>2082</v>
      </c>
      <c r="H823" s="608" t="s">
        <v>696</v>
      </c>
    </row>
    <row r="824">
      <c r="A824" s="512" t="s">
        <v>432</v>
      </c>
      <c r="B824" s="512" t="s">
        <v>987</v>
      </c>
      <c r="C824" s="605">
        <v>45799.0</v>
      </c>
      <c r="D824" s="512">
        <v>2.6449794111E10</v>
      </c>
      <c r="E824" s="646" t="s">
        <v>2083</v>
      </c>
      <c r="F824" s="606" t="s">
        <v>436</v>
      </c>
      <c r="G824" s="606" t="s">
        <v>2084</v>
      </c>
      <c r="H824" s="608" t="s">
        <v>1054</v>
      </c>
    </row>
    <row r="825">
      <c r="A825" s="512" t="s">
        <v>617</v>
      </c>
      <c r="B825" s="512" t="s">
        <v>449</v>
      </c>
      <c r="C825" s="605">
        <v>45800.0</v>
      </c>
      <c r="D825" s="512">
        <v>3.2642599034E10</v>
      </c>
      <c r="E825" s="606" t="s">
        <v>2085</v>
      </c>
      <c r="F825" s="606" t="s">
        <v>436</v>
      </c>
      <c r="G825" s="606">
        <v>1183.0</v>
      </c>
      <c r="H825" s="608" t="s">
        <v>696</v>
      </c>
    </row>
    <row r="826">
      <c r="A826" s="512" t="s">
        <v>823</v>
      </c>
      <c r="B826" s="512" t="s">
        <v>995</v>
      </c>
      <c r="C826" s="605">
        <v>45800.0</v>
      </c>
      <c r="D826" s="512">
        <v>2.50060496E8</v>
      </c>
      <c r="E826" s="646" t="s">
        <v>2086</v>
      </c>
      <c r="F826" s="606" t="s">
        <v>436</v>
      </c>
      <c r="G826" s="606" t="s">
        <v>2087</v>
      </c>
      <c r="H826" s="608" t="s">
        <v>1742</v>
      </c>
    </row>
    <row r="827">
      <c r="A827" s="512" t="s">
        <v>617</v>
      </c>
      <c r="B827" s="512" t="s">
        <v>449</v>
      </c>
      <c r="C827" s="605">
        <v>45800.0</v>
      </c>
      <c r="D827" s="512">
        <v>3.4230266376E10</v>
      </c>
      <c r="E827" s="606" t="s">
        <v>2088</v>
      </c>
      <c r="F827" s="606" t="s">
        <v>436</v>
      </c>
      <c r="G827" s="606" t="s">
        <v>2089</v>
      </c>
      <c r="H827" s="608" t="s">
        <v>696</v>
      </c>
    </row>
    <row r="828">
      <c r="A828" s="512" t="s">
        <v>823</v>
      </c>
      <c r="B828" s="512" t="s">
        <v>995</v>
      </c>
      <c r="C828" s="605">
        <v>45800.0</v>
      </c>
      <c r="D828" s="512">
        <v>1.58758028E8</v>
      </c>
      <c r="E828" s="646" t="s">
        <v>2090</v>
      </c>
      <c r="F828" s="606" t="s">
        <v>436</v>
      </c>
      <c r="G828" s="606" t="s">
        <v>2091</v>
      </c>
      <c r="H828" s="608" t="s">
        <v>1742</v>
      </c>
    </row>
    <row r="829">
      <c r="A829" s="512" t="s">
        <v>432</v>
      </c>
      <c r="B829" s="512" t="s">
        <v>995</v>
      </c>
      <c r="C829" s="605">
        <v>45800.0</v>
      </c>
      <c r="D829" s="512">
        <v>3.3513668677E10</v>
      </c>
      <c r="E829" s="646" t="s">
        <v>2092</v>
      </c>
      <c r="F829" s="606" t="s">
        <v>436</v>
      </c>
      <c r="G829" s="606" t="s">
        <v>2093</v>
      </c>
      <c r="H829" s="608" t="s">
        <v>1054</v>
      </c>
    </row>
    <row r="830">
      <c r="A830" s="512" t="s">
        <v>432</v>
      </c>
      <c r="B830" s="512" t="s">
        <v>995</v>
      </c>
      <c r="C830" s="605">
        <v>45800.0</v>
      </c>
      <c r="D830" s="512">
        <v>3.5871262206E10</v>
      </c>
      <c r="E830" s="646" t="s">
        <v>2094</v>
      </c>
      <c r="F830" s="606" t="s">
        <v>436</v>
      </c>
      <c r="G830" s="606" t="s">
        <v>2095</v>
      </c>
      <c r="H830" s="608" t="s">
        <v>1054</v>
      </c>
    </row>
    <row r="831">
      <c r="A831" s="512" t="s">
        <v>617</v>
      </c>
      <c r="B831" s="512" t="s">
        <v>449</v>
      </c>
      <c r="C831" s="605">
        <v>45800.0</v>
      </c>
      <c r="D831" s="512">
        <v>3.3146216425E10</v>
      </c>
      <c r="E831" s="606" t="s">
        <v>2096</v>
      </c>
      <c r="F831" s="606" t="s">
        <v>436</v>
      </c>
      <c r="G831" s="606" t="s">
        <v>2097</v>
      </c>
      <c r="H831" s="608" t="s">
        <v>696</v>
      </c>
    </row>
    <row r="832">
      <c r="A832" s="512" t="s">
        <v>432</v>
      </c>
      <c r="B832" s="512" t="s">
        <v>987</v>
      </c>
      <c r="C832" s="605">
        <v>45800.0</v>
      </c>
      <c r="D832" s="512">
        <v>2.5363038443E10</v>
      </c>
      <c r="E832" s="646" t="s">
        <v>2098</v>
      </c>
      <c r="F832" s="606" t="s">
        <v>436</v>
      </c>
      <c r="G832" s="606" t="s">
        <v>2099</v>
      </c>
      <c r="H832" s="608" t="s">
        <v>1054</v>
      </c>
    </row>
    <row r="833">
      <c r="A833" s="512" t="s">
        <v>823</v>
      </c>
      <c r="B833" s="512" t="s">
        <v>995</v>
      </c>
      <c r="C833" s="605">
        <v>45800.0</v>
      </c>
      <c r="D833" s="512">
        <v>1.52738326E8</v>
      </c>
      <c r="E833" s="646" t="s">
        <v>2100</v>
      </c>
      <c r="F833" s="606" t="s">
        <v>436</v>
      </c>
      <c r="G833" s="606" t="s">
        <v>2101</v>
      </c>
      <c r="H833" s="608" t="s">
        <v>1742</v>
      </c>
    </row>
    <row r="834">
      <c r="A834" s="512" t="s">
        <v>432</v>
      </c>
      <c r="B834" s="512" t="s">
        <v>2102</v>
      </c>
      <c r="C834" s="605">
        <v>45800.0</v>
      </c>
      <c r="D834" s="512">
        <v>3.3513466904E10</v>
      </c>
      <c r="E834" s="646" t="s">
        <v>2103</v>
      </c>
      <c r="F834" s="606" t="s">
        <v>436</v>
      </c>
      <c r="G834" s="606" t="s">
        <v>2104</v>
      </c>
      <c r="H834" s="608" t="s">
        <v>1054</v>
      </c>
    </row>
    <row r="835">
      <c r="A835" s="512" t="s">
        <v>617</v>
      </c>
      <c r="B835" s="512" t="s">
        <v>995</v>
      </c>
      <c r="C835" s="605">
        <v>45801.0</v>
      </c>
      <c r="D835" s="512" t="s">
        <v>2105</v>
      </c>
      <c r="E835" s="646" t="s">
        <v>2106</v>
      </c>
      <c r="F835" s="606" t="s">
        <v>436</v>
      </c>
      <c r="G835" s="606">
        <v>1077.0</v>
      </c>
      <c r="H835" s="608" t="s">
        <v>623</v>
      </c>
    </row>
    <row r="836">
      <c r="A836" s="512" t="s">
        <v>432</v>
      </c>
      <c r="B836" s="512" t="s">
        <v>433</v>
      </c>
      <c r="C836" s="605">
        <v>45801.0</v>
      </c>
      <c r="D836" s="512">
        <v>3.0246340526E10</v>
      </c>
      <c r="E836" s="606" t="s">
        <v>2107</v>
      </c>
      <c r="F836" s="606" t="s">
        <v>436</v>
      </c>
      <c r="G836" s="606" t="s">
        <v>2108</v>
      </c>
      <c r="H836" s="608" t="s">
        <v>901</v>
      </c>
    </row>
    <row r="837">
      <c r="A837" s="512" t="s">
        <v>432</v>
      </c>
      <c r="B837" s="512" t="s">
        <v>433</v>
      </c>
      <c r="C837" s="605">
        <v>45801.0</v>
      </c>
      <c r="D837" s="512">
        <v>3.5841657494E10</v>
      </c>
      <c r="E837" s="606" t="s">
        <v>2109</v>
      </c>
      <c r="F837" s="606" t="s">
        <v>436</v>
      </c>
      <c r="G837" s="606" t="s">
        <v>2110</v>
      </c>
      <c r="H837" s="608" t="s">
        <v>901</v>
      </c>
    </row>
    <row r="838">
      <c r="A838" s="512" t="s">
        <v>432</v>
      </c>
      <c r="B838" s="512" t="s">
        <v>433</v>
      </c>
      <c r="C838" s="605">
        <v>45801.0</v>
      </c>
      <c r="D838" s="512">
        <v>2.8084808288E10</v>
      </c>
      <c r="E838" s="606" t="s">
        <v>2111</v>
      </c>
      <c r="F838" s="606" t="s">
        <v>436</v>
      </c>
      <c r="G838" s="606" t="s">
        <v>2112</v>
      </c>
      <c r="H838" s="608" t="s">
        <v>901</v>
      </c>
    </row>
    <row r="839">
      <c r="A839" s="512" t="s">
        <v>432</v>
      </c>
      <c r="B839" s="512" t="s">
        <v>433</v>
      </c>
      <c r="C839" s="605">
        <v>45801.0</v>
      </c>
      <c r="D839" s="512">
        <v>3.2183324098E10</v>
      </c>
      <c r="E839" s="606" t="s">
        <v>2113</v>
      </c>
      <c r="F839" s="606" t="s">
        <v>436</v>
      </c>
      <c r="G839" s="606" t="s">
        <v>2114</v>
      </c>
      <c r="H839" s="608" t="s">
        <v>901</v>
      </c>
    </row>
    <row r="840">
      <c r="A840" s="512" t="s">
        <v>432</v>
      </c>
      <c r="B840" s="512" t="s">
        <v>995</v>
      </c>
      <c r="C840" s="605">
        <v>45801.0</v>
      </c>
      <c r="D840" s="512">
        <v>3.586011415E10</v>
      </c>
      <c r="E840" s="646" t="s">
        <v>1971</v>
      </c>
      <c r="F840" s="606" t="s">
        <v>436</v>
      </c>
      <c r="G840" s="606" t="s">
        <v>1186</v>
      </c>
      <c r="H840" s="608" t="s">
        <v>901</v>
      </c>
    </row>
    <row r="841">
      <c r="A841" s="512" t="s">
        <v>617</v>
      </c>
      <c r="B841" s="512" t="s">
        <v>995</v>
      </c>
      <c r="C841" s="605">
        <v>45801.0</v>
      </c>
      <c r="D841" s="512">
        <v>3.2894909587E10</v>
      </c>
      <c r="E841" s="646" t="s">
        <v>2115</v>
      </c>
      <c r="F841" s="606" t="s">
        <v>436</v>
      </c>
      <c r="G841" s="606" t="s">
        <v>2116</v>
      </c>
      <c r="H841" s="608" t="s">
        <v>623</v>
      </c>
    </row>
    <row r="842">
      <c r="A842" s="512" t="s">
        <v>432</v>
      </c>
      <c r="B842" s="512" t="s">
        <v>433</v>
      </c>
      <c r="C842" s="605">
        <v>45801.0</v>
      </c>
      <c r="D842" s="512">
        <v>3.3456758724E10</v>
      </c>
      <c r="E842" s="606" t="s">
        <v>2117</v>
      </c>
      <c r="F842" s="606" t="s">
        <v>436</v>
      </c>
      <c r="G842" s="606" t="s">
        <v>2118</v>
      </c>
      <c r="H842" s="608" t="s">
        <v>901</v>
      </c>
    </row>
    <row r="843">
      <c r="A843" s="512" t="s">
        <v>432</v>
      </c>
      <c r="B843" s="512" t="s">
        <v>433</v>
      </c>
      <c r="C843" s="605">
        <v>45801.0</v>
      </c>
      <c r="D843" s="512">
        <v>2.2371203071E10</v>
      </c>
      <c r="E843" s="606" t="s">
        <v>2119</v>
      </c>
      <c r="F843" s="606" t="s">
        <v>436</v>
      </c>
      <c r="G843" s="606" t="s">
        <v>2120</v>
      </c>
      <c r="H843" s="608" t="s">
        <v>901</v>
      </c>
    </row>
    <row r="844">
      <c r="A844" s="512" t="s">
        <v>432</v>
      </c>
      <c r="B844" s="512" t="s">
        <v>433</v>
      </c>
      <c r="C844" s="605">
        <v>45801.0</v>
      </c>
      <c r="D844" s="512">
        <v>2.2652893904E10</v>
      </c>
      <c r="E844" s="606" t="s">
        <v>2119</v>
      </c>
      <c r="F844" s="606" t="s">
        <v>436</v>
      </c>
      <c r="G844" s="606" t="s">
        <v>2120</v>
      </c>
      <c r="H844" s="608" t="s">
        <v>901</v>
      </c>
    </row>
    <row r="845">
      <c r="A845" s="512" t="s">
        <v>432</v>
      </c>
      <c r="B845" s="512" t="s">
        <v>433</v>
      </c>
      <c r="C845" s="605">
        <v>45801.0</v>
      </c>
      <c r="D845" s="512">
        <v>3.192258741E10</v>
      </c>
      <c r="E845" s="606" t="s">
        <v>2121</v>
      </c>
      <c r="F845" s="606" t="s">
        <v>436</v>
      </c>
      <c r="G845" s="606" t="s">
        <v>2122</v>
      </c>
      <c r="H845" s="608" t="s">
        <v>901</v>
      </c>
    </row>
    <row r="846">
      <c r="A846" s="512" t="s">
        <v>432</v>
      </c>
      <c r="B846" s="512" t="s">
        <v>433</v>
      </c>
      <c r="C846" s="605">
        <v>45801.0</v>
      </c>
      <c r="D846" s="512">
        <v>3.3067613686E10</v>
      </c>
      <c r="E846" s="606" t="s">
        <v>2123</v>
      </c>
      <c r="F846" s="606" t="s">
        <v>436</v>
      </c>
      <c r="G846" s="606" t="s">
        <v>2124</v>
      </c>
      <c r="H846" s="608" t="s">
        <v>901</v>
      </c>
    </row>
    <row r="847">
      <c r="A847" s="512" t="s">
        <v>432</v>
      </c>
      <c r="B847" s="512" t="s">
        <v>433</v>
      </c>
      <c r="C847" s="605">
        <v>45801.0</v>
      </c>
      <c r="D847" s="512">
        <v>3.1403843779E10</v>
      </c>
      <c r="E847" s="606" t="s">
        <v>2125</v>
      </c>
      <c r="F847" s="606" t="s">
        <v>436</v>
      </c>
      <c r="G847" s="606" t="s">
        <v>2126</v>
      </c>
      <c r="H847" s="608" t="s">
        <v>901</v>
      </c>
    </row>
    <row r="848">
      <c r="A848" s="512" t="s">
        <v>432</v>
      </c>
      <c r="B848" s="512" t="s">
        <v>433</v>
      </c>
      <c r="C848" s="605">
        <v>45801.0</v>
      </c>
      <c r="D848" s="512">
        <v>2.7696334547E10</v>
      </c>
      <c r="E848" s="606" t="s">
        <v>2127</v>
      </c>
      <c r="F848" s="606" t="s">
        <v>436</v>
      </c>
      <c r="G848" s="606" t="s">
        <v>2128</v>
      </c>
      <c r="H848" s="608" t="s">
        <v>901</v>
      </c>
    </row>
    <row r="849">
      <c r="A849" s="512" t="s">
        <v>432</v>
      </c>
      <c r="B849" s="512" t="s">
        <v>995</v>
      </c>
      <c r="C849" s="605">
        <v>45801.0</v>
      </c>
      <c r="D849" s="512">
        <v>3.3013409248E10</v>
      </c>
      <c r="E849" s="606" t="s">
        <v>2129</v>
      </c>
      <c r="F849" s="606" t="s">
        <v>436</v>
      </c>
      <c r="G849" s="606" t="s">
        <v>2130</v>
      </c>
      <c r="H849" s="608" t="s">
        <v>901</v>
      </c>
    </row>
    <row r="850">
      <c r="A850" s="512" t="s">
        <v>432</v>
      </c>
      <c r="B850" s="512" t="s">
        <v>2102</v>
      </c>
      <c r="C850" s="605">
        <v>45801.0</v>
      </c>
      <c r="D850" s="512">
        <v>3.2587391199E10</v>
      </c>
      <c r="E850" s="606" t="s">
        <v>2131</v>
      </c>
      <c r="F850" s="648" t="s">
        <v>436</v>
      </c>
      <c r="G850" s="606" t="s">
        <v>2132</v>
      </c>
      <c r="H850" s="608" t="s">
        <v>901</v>
      </c>
    </row>
    <row r="851">
      <c r="A851" s="512" t="s">
        <v>432</v>
      </c>
      <c r="B851" s="512" t="s">
        <v>433</v>
      </c>
      <c r="C851" s="605">
        <v>45801.0</v>
      </c>
      <c r="D851" s="512">
        <v>2.67046743E10</v>
      </c>
      <c r="E851" s="606" t="s">
        <v>2133</v>
      </c>
      <c r="F851" s="606" t="s">
        <v>436</v>
      </c>
      <c r="G851" s="606" t="s">
        <v>2132</v>
      </c>
      <c r="H851" s="608" t="s">
        <v>901</v>
      </c>
    </row>
    <row r="852">
      <c r="A852" s="512" t="s">
        <v>432</v>
      </c>
      <c r="B852" s="512" t="s">
        <v>995</v>
      </c>
      <c r="C852" s="605">
        <v>45801.0</v>
      </c>
      <c r="D852" s="512">
        <v>2.7659204408E10</v>
      </c>
      <c r="E852" s="606" t="s">
        <v>2134</v>
      </c>
      <c r="F852" s="606" t="s">
        <v>436</v>
      </c>
      <c r="G852" s="606" t="s">
        <v>2135</v>
      </c>
      <c r="H852" s="608" t="s">
        <v>901</v>
      </c>
    </row>
    <row r="853">
      <c r="A853" s="512" t="s">
        <v>432</v>
      </c>
      <c r="B853" s="512" t="s">
        <v>2102</v>
      </c>
      <c r="C853" s="605">
        <v>45801.0</v>
      </c>
      <c r="D853" s="512">
        <v>3.3231840037E10</v>
      </c>
      <c r="E853" s="606" t="s">
        <v>2136</v>
      </c>
      <c r="F853" s="606" t="s">
        <v>436</v>
      </c>
      <c r="G853" s="606" t="s">
        <v>2137</v>
      </c>
      <c r="H853" s="608" t="s">
        <v>901</v>
      </c>
    </row>
    <row r="854">
      <c r="A854" s="512" t="s">
        <v>432</v>
      </c>
      <c r="B854" s="512" t="s">
        <v>433</v>
      </c>
      <c r="C854" s="605">
        <v>45801.0</v>
      </c>
      <c r="D854" s="512">
        <v>3.0616775374E10</v>
      </c>
      <c r="E854" s="606" t="s">
        <v>2138</v>
      </c>
      <c r="F854" s="606" t="s">
        <v>436</v>
      </c>
      <c r="G854" s="606" t="s">
        <v>2139</v>
      </c>
      <c r="H854" s="608" t="s">
        <v>901</v>
      </c>
    </row>
    <row r="855">
      <c r="A855" s="512" t="s">
        <v>432</v>
      </c>
      <c r="B855" s="512" t="s">
        <v>433</v>
      </c>
      <c r="C855" s="605">
        <v>45801.0</v>
      </c>
      <c r="D855" s="512">
        <v>3.1886758274E10</v>
      </c>
      <c r="E855" s="606" t="s">
        <v>2140</v>
      </c>
      <c r="F855" s="606" t="s">
        <v>436</v>
      </c>
      <c r="G855" s="606" t="s">
        <v>2141</v>
      </c>
      <c r="H855" s="608" t="s">
        <v>901</v>
      </c>
    </row>
    <row r="856">
      <c r="A856" s="512" t="s">
        <v>432</v>
      </c>
      <c r="B856" s="512" t="s">
        <v>433</v>
      </c>
      <c r="C856" s="605">
        <v>45801.0</v>
      </c>
      <c r="D856" s="512">
        <v>3.3510194956E10</v>
      </c>
      <c r="E856" s="606" t="s">
        <v>2142</v>
      </c>
      <c r="F856" s="606" t="s">
        <v>436</v>
      </c>
      <c r="G856" s="606" t="s">
        <v>1603</v>
      </c>
      <c r="H856" s="608" t="s">
        <v>901</v>
      </c>
    </row>
    <row r="857">
      <c r="A857" s="512" t="s">
        <v>432</v>
      </c>
      <c r="B857" s="512" t="s">
        <v>433</v>
      </c>
      <c r="C857" s="605">
        <v>45801.0</v>
      </c>
      <c r="D857" s="512">
        <v>3.0832078156E10</v>
      </c>
      <c r="E857" s="606" t="s">
        <v>2143</v>
      </c>
      <c r="F857" s="606" t="s">
        <v>436</v>
      </c>
      <c r="G857" s="606" t="s">
        <v>2144</v>
      </c>
      <c r="H857" s="608" t="s">
        <v>901</v>
      </c>
    </row>
    <row r="858">
      <c r="A858" s="512" t="s">
        <v>432</v>
      </c>
      <c r="B858" s="512" t="s">
        <v>433</v>
      </c>
      <c r="C858" s="605">
        <v>45801.0</v>
      </c>
      <c r="D858" s="512">
        <v>2.0387476975E10</v>
      </c>
      <c r="E858" s="606" t="s">
        <v>2142</v>
      </c>
      <c r="F858" s="606" t="s">
        <v>436</v>
      </c>
      <c r="G858" s="606" t="s">
        <v>2145</v>
      </c>
      <c r="H858" s="608" t="s">
        <v>901</v>
      </c>
    </row>
    <row r="859">
      <c r="A859" s="512" t="s">
        <v>823</v>
      </c>
      <c r="B859" s="512" t="s">
        <v>995</v>
      </c>
      <c r="C859" s="605">
        <v>45801.0</v>
      </c>
      <c r="D859" s="512">
        <v>3.42705827E8</v>
      </c>
      <c r="E859" s="646" t="s">
        <v>2146</v>
      </c>
      <c r="F859" s="606" t="s">
        <v>436</v>
      </c>
      <c r="G859" s="606" t="s">
        <v>2147</v>
      </c>
      <c r="H859" s="608" t="s">
        <v>1742</v>
      </c>
    </row>
    <row r="860">
      <c r="A860" s="512" t="s">
        <v>617</v>
      </c>
      <c r="B860" s="512" t="s">
        <v>995</v>
      </c>
      <c r="C860" s="605">
        <v>45801.0</v>
      </c>
      <c r="D860" s="512">
        <v>3.1199769534E10</v>
      </c>
      <c r="E860" s="648" t="s">
        <v>2148</v>
      </c>
      <c r="F860" s="606" t="s">
        <v>436</v>
      </c>
      <c r="G860" s="606" t="s">
        <v>2149</v>
      </c>
      <c r="H860" s="608" t="s">
        <v>623</v>
      </c>
    </row>
    <row r="861">
      <c r="A861" s="512" t="s">
        <v>439</v>
      </c>
      <c r="B861" s="512" t="s">
        <v>433</v>
      </c>
      <c r="C861" s="605">
        <v>45801.0</v>
      </c>
      <c r="D861" s="648">
        <v>2.8480192989E10</v>
      </c>
      <c r="E861" s="646" t="s">
        <v>2150</v>
      </c>
      <c r="F861" s="606" t="s">
        <v>436</v>
      </c>
      <c r="G861" s="606" t="s">
        <v>2151</v>
      </c>
      <c r="H861" s="608" t="s">
        <v>1608</v>
      </c>
    </row>
    <row r="862">
      <c r="A862" s="512" t="s">
        <v>432</v>
      </c>
      <c r="B862" s="512" t="s">
        <v>433</v>
      </c>
      <c r="C862" s="605">
        <v>45801.0</v>
      </c>
      <c r="D862" s="512">
        <v>3.3413531368E10</v>
      </c>
      <c r="E862" s="606" t="s">
        <v>2152</v>
      </c>
      <c r="F862" s="606" t="s">
        <v>436</v>
      </c>
      <c r="G862" s="606" t="s">
        <v>2153</v>
      </c>
      <c r="H862" s="608" t="s">
        <v>901</v>
      </c>
    </row>
    <row r="863">
      <c r="A863" s="512" t="s">
        <v>432</v>
      </c>
      <c r="B863" s="512" t="s">
        <v>433</v>
      </c>
      <c r="C863" s="605">
        <v>45801.0</v>
      </c>
      <c r="D863" s="512">
        <v>3.0235306162E10</v>
      </c>
      <c r="E863" s="606" t="s">
        <v>2154</v>
      </c>
      <c r="F863" s="606" t="s">
        <v>436</v>
      </c>
      <c r="G863" s="606" t="s">
        <v>2155</v>
      </c>
      <c r="H863" s="608" t="s">
        <v>901</v>
      </c>
    </row>
    <row r="864">
      <c r="A864" s="512" t="s">
        <v>432</v>
      </c>
      <c r="B864" s="512" t="s">
        <v>433</v>
      </c>
      <c r="C864" s="605">
        <v>45801.0</v>
      </c>
      <c r="D864" s="512">
        <v>3.2687832564E10</v>
      </c>
      <c r="E864" s="606" t="s">
        <v>2156</v>
      </c>
      <c r="F864" s="606" t="s">
        <v>436</v>
      </c>
      <c r="G864" s="606" t="s">
        <v>2155</v>
      </c>
      <c r="H864" s="608" t="s">
        <v>901</v>
      </c>
    </row>
    <row r="865">
      <c r="A865" s="512" t="s">
        <v>432</v>
      </c>
      <c r="B865" s="512" t="s">
        <v>995</v>
      </c>
      <c r="C865" s="605">
        <v>45801.0</v>
      </c>
      <c r="D865" s="512">
        <v>3.0424224282E10</v>
      </c>
      <c r="E865" s="606" t="s">
        <v>2157</v>
      </c>
      <c r="F865" s="606" t="s">
        <v>436</v>
      </c>
      <c r="G865" s="606" t="s">
        <v>2158</v>
      </c>
      <c r="H865" s="608" t="s">
        <v>901</v>
      </c>
    </row>
    <row r="866">
      <c r="A866" s="512" t="s">
        <v>432</v>
      </c>
      <c r="B866" s="512" t="s">
        <v>433</v>
      </c>
      <c r="C866" s="605">
        <v>45801.0</v>
      </c>
      <c r="D866" s="512">
        <v>2.8958205105E10</v>
      </c>
      <c r="E866" s="606" t="s">
        <v>2159</v>
      </c>
      <c r="F866" s="606" t="s">
        <v>436</v>
      </c>
      <c r="G866" s="606" t="s">
        <v>2160</v>
      </c>
      <c r="H866" s="608" t="s">
        <v>901</v>
      </c>
    </row>
    <row r="867">
      <c r="A867" s="512" t="s">
        <v>432</v>
      </c>
      <c r="B867" s="512" t="s">
        <v>433</v>
      </c>
      <c r="C867" s="605">
        <v>45801.0</v>
      </c>
      <c r="D867" s="512">
        <v>3.2189953346E10</v>
      </c>
      <c r="E867" s="606" t="s">
        <v>2161</v>
      </c>
      <c r="F867" s="606" t="s">
        <v>436</v>
      </c>
      <c r="G867" s="606" t="s">
        <v>2162</v>
      </c>
      <c r="H867" s="608" t="s">
        <v>901</v>
      </c>
    </row>
    <row r="868">
      <c r="A868" s="512" t="s">
        <v>432</v>
      </c>
      <c r="B868" s="512" t="s">
        <v>433</v>
      </c>
      <c r="C868" s="605">
        <v>45801.0</v>
      </c>
      <c r="D868" s="512">
        <v>3.0636542092E10</v>
      </c>
      <c r="E868" s="606" t="s">
        <v>2142</v>
      </c>
      <c r="F868" s="606" t="s">
        <v>436</v>
      </c>
      <c r="G868" s="606" t="s">
        <v>2163</v>
      </c>
      <c r="H868" s="608" t="s">
        <v>901</v>
      </c>
    </row>
    <row r="869">
      <c r="A869" s="512" t="s">
        <v>823</v>
      </c>
      <c r="B869" s="512" t="s">
        <v>995</v>
      </c>
      <c r="C869" s="605">
        <v>45801.0</v>
      </c>
      <c r="D869" s="512">
        <v>4.11399276E8</v>
      </c>
      <c r="E869" s="646" t="s">
        <v>2164</v>
      </c>
      <c r="F869" s="606" t="s">
        <v>436</v>
      </c>
      <c r="G869" s="606" t="s">
        <v>2165</v>
      </c>
      <c r="H869" s="608" t="s">
        <v>1742</v>
      </c>
    </row>
    <row r="870">
      <c r="A870" s="512" t="s">
        <v>432</v>
      </c>
      <c r="B870" s="512" t="s">
        <v>433</v>
      </c>
      <c r="C870" s="605">
        <v>45801.0</v>
      </c>
      <c r="D870" s="512">
        <v>3.3505678903E10</v>
      </c>
      <c r="E870" s="606" t="s">
        <v>2166</v>
      </c>
      <c r="F870" s="606" t="s">
        <v>436</v>
      </c>
      <c r="G870" s="606" t="s">
        <v>2167</v>
      </c>
      <c r="H870" s="608" t="s">
        <v>901</v>
      </c>
    </row>
    <row r="871">
      <c r="A871" s="512" t="s">
        <v>432</v>
      </c>
      <c r="B871" s="512" t="s">
        <v>433</v>
      </c>
      <c r="C871" s="605">
        <v>45801.0</v>
      </c>
      <c r="D871" s="512">
        <v>3.0087894506E10</v>
      </c>
      <c r="E871" s="606" t="s">
        <v>2168</v>
      </c>
      <c r="F871" s="606" t="s">
        <v>436</v>
      </c>
      <c r="G871" s="606" t="s">
        <v>2169</v>
      </c>
      <c r="H871" s="608" t="s">
        <v>901</v>
      </c>
    </row>
    <row r="872">
      <c r="A872" s="512" t="s">
        <v>432</v>
      </c>
      <c r="B872" s="512" t="s">
        <v>433</v>
      </c>
      <c r="C872" s="605">
        <v>45801.0</v>
      </c>
      <c r="D872" s="512">
        <v>3.2888576297E10</v>
      </c>
      <c r="E872" s="606" t="s">
        <v>2170</v>
      </c>
      <c r="F872" s="606" t="s">
        <v>436</v>
      </c>
      <c r="G872" s="606" t="s">
        <v>2171</v>
      </c>
      <c r="H872" s="608" t="s">
        <v>901</v>
      </c>
    </row>
    <row r="873">
      <c r="A873" s="512" t="s">
        <v>432</v>
      </c>
      <c r="B873" s="512" t="s">
        <v>2102</v>
      </c>
      <c r="C873" s="605">
        <v>45801.0</v>
      </c>
      <c r="D873" s="512">
        <v>3.061987951E10</v>
      </c>
      <c r="E873" s="646" t="s">
        <v>1363</v>
      </c>
      <c r="F873" s="606" t="s">
        <v>436</v>
      </c>
      <c r="G873" s="606" t="s">
        <v>2172</v>
      </c>
      <c r="H873" s="608" t="s">
        <v>901</v>
      </c>
    </row>
    <row r="874">
      <c r="A874" s="512" t="s">
        <v>617</v>
      </c>
      <c r="B874" s="512" t="s">
        <v>995</v>
      </c>
      <c r="C874" s="605">
        <v>45801.0</v>
      </c>
      <c r="D874" s="512" t="s">
        <v>2173</v>
      </c>
      <c r="E874" s="646" t="s">
        <v>2174</v>
      </c>
      <c r="F874" s="606" t="s">
        <v>436</v>
      </c>
      <c r="G874" s="606" t="s">
        <v>2175</v>
      </c>
      <c r="H874" s="608" t="s">
        <v>623</v>
      </c>
    </row>
    <row r="875">
      <c r="A875" s="512" t="s">
        <v>690</v>
      </c>
      <c r="B875" s="512" t="s">
        <v>995</v>
      </c>
      <c r="C875" s="605">
        <v>45801.0</v>
      </c>
      <c r="D875" s="512" t="s">
        <v>2176</v>
      </c>
      <c r="E875" s="646" t="s">
        <v>2177</v>
      </c>
      <c r="F875" s="606" t="s">
        <v>436</v>
      </c>
      <c r="G875" s="606" t="s">
        <v>2178</v>
      </c>
      <c r="H875" s="608" t="s">
        <v>693</v>
      </c>
    </row>
    <row r="876">
      <c r="A876" s="512" t="s">
        <v>432</v>
      </c>
      <c r="B876" s="512" t="s">
        <v>433</v>
      </c>
      <c r="C876" s="605">
        <v>45801.0</v>
      </c>
      <c r="D876" s="512">
        <v>3.0310163329E10</v>
      </c>
      <c r="E876" s="606" t="s">
        <v>2179</v>
      </c>
      <c r="F876" s="606" t="s">
        <v>436</v>
      </c>
      <c r="G876" s="606" t="s">
        <v>1283</v>
      </c>
      <c r="H876" s="608" t="s">
        <v>901</v>
      </c>
    </row>
    <row r="877">
      <c r="A877" s="512" t="s">
        <v>432</v>
      </c>
      <c r="B877" s="512" t="s">
        <v>433</v>
      </c>
      <c r="C877" s="605">
        <v>45801.0</v>
      </c>
      <c r="D877" s="512">
        <v>3.5910416911E10</v>
      </c>
      <c r="E877" s="606" t="s">
        <v>2180</v>
      </c>
      <c r="F877" s="606" t="s">
        <v>436</v>
      </c>
      <c r="G877" s="606" t="s">
        <v>2181</v>
      </c>
      <c r="H877" s="608" t="s">
        <v>901</v>
      </c>
    </row>
    <row r="878">
      <c r="A878" s="512" t="s">
        <v>439</v>
      </c>
      <c r="B878" s="512" t="s">
        <v>433</v>
      </c>
      <c r="C878" s="605">
        <v>45801.0</v>
      </c>
      <c r="D878" s="512">
        <v>2.5925648654E10</v>
      </c>
      <c r="E878" s="646" t="s">
        <v>2182</v>
      </c>
      <c r="F878" s="606" t="s">
        <v>436</v>
      </c>
      <c r="G878" s="606" t="s">
        <v>2183</v>
      </c>
      <c r="H878" s="608" t="s">
        <v>1608</v>
      </c>
    </row>
    <row r="879">
      <c r="A879" s="512" t="s">
        <v>432</v>
      </c>
      <c r="B879" s="512" t="s">
        <v>433</v>
      </c>
      <c r="C879" s="605">
        <v>45801.0</v>
      </c>
      <c r="D879" s="512">
        <v>3.4327738572E10</v>
      </c>
      <c r="E879" s="606" t="s">
        <v>2184</v>
      </c>
      <c r="F879" s="606" t="s">
        <v>436</v>
      </c>
      <c r="G879" s="606" t="s">
        <v>2185</v>
      </c>
      <c r="H879" s="608" t="s">
        <v>901</v>
      </c>
    </row>
    <row r="880">
      <c r="A880" s="512" t="s">
        <v>432</v>
      </c>
      <c r="B880" s="512" t="s">
        <v>2102</v>
      </c>
      <c r="C880" s="605">
        <v>45801.0</v>
      </c>
      <c r="D880" s="512">
        <v>3.0056428151E10</v>
      </c>
      <c r="E880" s="606" t="s">
        <v>2186</v>
      </c>
      <c r="F880" s="606" t="s">
        <v>436</v>
      </c>
      <c r="G880" s="606" t="s">
        <v>2187</v>
      </c>
      <c r="H880" s="608" t="s">
        <v>901</v>
      </c>
    </row>
    <row r="881">
      <c r="A881" s="512" t="s">
        <v>432</v>
      </c>
      <c r="B881" s="512" t="s">
        <v>2102</v>
      </c>
      <c r="C881" s="605">
        <v>45801.0</v>
      </c>
      <c r="D881" s="512">
        <v>3.0113811144E10</v>
      </c>
      <c r="E881" s="606" t="s">
        <v>2188</v>
      </c>
      <c r="F881" s="606" t="s">
        <v>436</v>
      </c>
      <c r="G881" s="606" t="s">
        <v>2189</v>
      </c>
      <c r="H881" s="608" t="s">
        <v>901</v>
      </c>
    </row>
    <row r="882">
      <c r="A882" s="512" t="s">
        <v>432</v>
      </c>
      <c r="B882" s="512" t="s">
        <v>2102</v>
      </c>
      <c r="C882" s="605">
        <v>45801.0</v>
      </c>
      <c r="D882" s="512">
        <v>2.855271871E10</v>
      </c>
      <c r="E882" s="606" t="s">
        <v>2190</v>
      </c>
      <c r="F882" s="606" t="s">
        <v>436</v>
      </c>
      <c r="G882" s="606" t="s">
        <v>2189</v>
      </c>
      <c r="H882" s="608" t="s">
        <v>901</v>
      </c>
    </row>
    <row r="883">
      <c r="A883" s="512" t="s">
        <v>432</v>
      </c>
      <c r="B883" s="512" t="s">
        <v>433</v>
      </c>
      <c r="C883" s="605">
        <v>45801.0</v>
      </c>
      <c r="D883" s="512">
        <v>9.842467429E9</v>
      </c>
      <c r="E883" s="606" t="s">
        <v>2191</v>
      </c>
      <c r="F883" s="606" t="s">
        <v>436</v>
      </c>
      <c r="G883" s="606" t="s">
        <v>2192</v>
      </c>
      <c r="H883" s="608" t="s">
        <v>901</v>
      </c>
    </row>
    <row r="884">
      <c r="A884" s="512" t="s">
        <v>432</v>
      </c>
      <c r="B884" s="512" t="s">
        <v>433</v>
      </c>
      <c r="C884" s="605">
        <v>45801.0</v>
      </c>
      <c r="D884" s="512">
        <v>3.4225949431E10</v>
      </c>
      <c r="E884" s="606" t="s">
        <v>2193</v>
      </c>
      <c r="F884" s="606" t="s">
        <v>436</v>
      </c>
      <c r="G884" s="606" t="s">
        <v>2194</v>
      </c>
      <c r="H884" s="608" t="s">
        <v>901</v>
      </c>
    </row>
    <row r="885">
      <c r="A885" s="512" t="s">
        <v>432</v>
      </c>
      <c r="B885" s="512" t="s">
        <v>433</v>
      </c>
      <c r="C885" s="605">
        <v>45801.0</v>
      </c>
      <c r="D885" s="512">
        <v>2.1689923074E10</v>
      </c>
      <c r="E885" s="606" t="s">
        <v>2193</v>
      </c>
      <c r="F885" s="606" t="s">
        <v>436</v>
      </c>
      <c r="G885" s="606" t="s">
        <v>2194</v>
      </c>
      <c r="H885" s="608" t="s">
        <v>901</v>
      </c>
    </row>
    <row r="886">
      <c r="A886" s="512" t="s">
        <v>432</v>
      </c>
      <c r="B886" s="512" t="s">
        <v>433</v>
      </c>
      <c r="C886" s="605">
        <v>45801.0</v>
      </c>
      <c r="D886" s="512">
        <v>2.9529233989E10</v>
      </c>
      <c r="E886" s="606" t="s">
        <v>2195</v>
      </c>
      <c r="F886" s="606" t="s">
        <v>436</v>
      </c>
      <c r="G886" s="606" t="s">
        <v>2196</v>
      </c>
      <c r="H886" s="608" t="s">
        <v>901</v>
      </c>
    </row>
    <row r="887">
      <c r="A887" s="512" t="s">
        <v>439</v>
      </c>
      <c r="B887" s="512" t="s">
        <v>433</v>
      </c>
      <c r="C887" s="605">
        <v>45801.0</v>
      </c>
      <c r="D887" s="512">
        <v>3.2366515079E10</v>
      </c>
      <c r="E887" s="646" t="s">
        <v>2197</v>
      </c>
      <c r="F887" s="606" t="s">
        <v>436</v>
      </c>
      <c r="G887" s="606" t="s">
        <v>2198</v>
      </c>
      <c r="H887" s="608" t="s">
        <v>1608</v>
      </c>
    </row>
    <row r="888">
      <c r="A888" s="512" t="s">
        <v>439</v>
      </c>
      <c r="B888" s="512" t="s">
        <v>995</v>
      </c>
      <c r="C888" s="605">
        <v>45802.0</v>
      </c>
      <c r="D888" s="512">
        <v>3.1886832896E10</v>
      </c>
      <c r="E888" s="646" t="s">
        <v>2199</v>
      </c>
      <c r="F888" s="606" t="s">
        <v>436</v>
      </c>
      <c r="G888" s="606" t="s">
        <v>2200</v>
      </c>
      <c r="H888" s="608" t="s">
        <v>1608</v>
      </c>
    </row>
    <row r="889">
      <c r="A889" s="512" t="s">
        <v>617</v>
      </c>
      <c r="B889" s="512" t="s">
        <v>995</v>
      </c>
      <c r="C889" s="605">
        <v>45802.0</v>
      </c>
      <c r="D889" s="512">
        <v>3.5842627527E10</v>
      </c>
      <c r="E889" s="646" t="s">
        <v>2201</v>
      </c>
      <c r="F889" s="512" t="s">
        <v>436</v>
      </c>
      <c r="G889" s="606" t="s">
        <v>2202</v>
      </c>
      <c r="H889" s="608" t="s">
        <v>623</v>
      </c>
    </row>
    <row r="890">
      <c r="A890" s="512" t="s">
        <v>617</v>
      </c>
      <c r="B890" s="512" t="s">
        <v>995</v>
      </c>
      <c r="C890" s="605">
        <v>45802.0</v>
      </c>
      <c r="D890" s="512" t="s">
        <v>2203</v>
      </c>
      <c r="E890" s="646" t="s">
        <v>2204</v>
      </c>
      <c r="F890" s="606" t="s">
        <v>436</v>
      </c>
      <c r="G890" s="606" t="s">
        <v>2205</v>
      </c>
      <c r="H890" s="608" t="s">
        <v>623</v>
      </c>
    </row>
    <row r="891">
      <c r="A891" s="512" t="s">
        <v>439</v>
      </c>
      <c r="B891" s="512" t="s">
        <v>433</v>
      </c>
      <c r="C891" s="605">
        <v>45802.0</v>
      </c>
      <c r="D891" s="512">
        <v>2.999263931E10</v>
      </c>
      <c r="E891" s="646" t="s">
        <v>2206</v>
      </c>
      <c r="F891" s="606" t="s">
        <v>436</v>
      </c>
      <c r="G891" s="606" t="s">
        <v>2207</v>
      </c>
      <c r="H891" s="608" t="s">
        <v>1608</v>
      </c>
    </row>
    <row r="892">
      <c r="A892" s="512" t="s">
        <v>439</v>
      </c>
      <c r="B892" s="512" t="s">
        <v>995</v>
      </c>
      <c r="C892" s="605">
        <v>45802.0</v>
      </c>
      <c r="D892" s="512">
        <v>2.9870898069E10</v>
      </c>
      <c r="E892" s="646" t="s">
        <v>2208</v>
      </c>
      <c r="F892" s="606" t="s">
        <v>436</v>
      </c>
      <c r="G892" s="606" t="s">
        <v>1588</v>
      </c>
      <c r="H892" s="608" t="s">
        <v>1608</v>
      </c>
    </row>
    <row r="893">
      <c r="A893" s="512" t="s">
        <v>439</v>
      </c>
      <c r="B893" s="512" t="s">
        <v>995</v>
      </c>
      <c r="C893" s="605">
        <v>45802.0</v>
      </c>
      <c r="D893" s="512">
        <v>3.0806751521E10</v>
      </c>
      <c r="E893" s="646" t="s">
        <v>2208</v>
      </c>
      <c r="F893" s="512" t="s">
        <v>436</v>
      </c>
      <c r="G893" s="606" t="s">
        <v>2209</v>
      </c>
      <c r="H893" s="608" t="s">
        <v>1608</v>
      </c>
    </row>
    <row r="894">
      <c r="A894" s="512" t="s">
        <v>690</v>
      </c>
      <c r="B894" s="512" t="s">
        <v>995</v>
      </c>
      <c r="C894" s="605">
        <v>45802.0</v>
      </c>
      <c r="D894" s="512">
        <v>3.2130132754E10</v>
      </c>
      <c r="E894" s="646" t="s">
        <v>2210</v>
      </c>
      <c r="F894" s="512" t="s">
        <v>436</v>
      </c>
      <c r="G894" s="606" t="s">
        <v>1627</v>
      </c>
      <c r="H894" s="608" t="s">
        <v>693</v>
      </c>
    </row>
    <row r="895">
      <c r="A895" s="512" t="s">
        <v>690</v>
      </c>
      <c r="B895" s="512" t="s">
        <v>995</v>
      </c>
      <c r="C895" s="605">
        <v>45802.0</v>
      </c>
      <c r="D895" s="512" t="s">
        <v>2211</v>
      </c>
      <c r="E895" s="646" t="s">
        <v>2212</v>
      </c>
      <c r="F895" s="606" t="s">
        <v>436</v>
      </c>
      <c r="G895" s="606" t="s">
        <v>2213</v>
      </c>
      <c r="H895" s="608" t="s">
        <v>693</v>
      </c>
    </row>
    <row r="896">
      <c r="A896" s="512" t="s">
        <v>439</v>
      </c>
      <c r="B896" s="512" t="s">
        <v>433</v>
      </c>
      <c r="C896" s="605">
        <v>45802.0</v>
      </c>
      <c r="D896" s="512">
        <v>3.1336054272E10</v>
      </c>
      <c r="E896" s="646" t="s">
        <v>2214</v>
      </c>
      <c r="F896" s="606" t="s">
        <v>436</v>
      </c>
      <c r="G896" s="606" t="s">
        <v>2215</v>
      </c>
      <c r="H896" s="608" t="s">
        <v>1608</v>
      </c>
    </row>
    <row r="897">
      <c r="A897" s="512" t="s">
        <v>823</v>
      </c>
      <c r="B897" s="512" t="s">
        <v>995</v>
      </c>
      <c r="C897" s="605">
        <v>45802.0</v>
      </c>
      <c r="D897" s="512">
        <v>3.2358316083E10</v>
      </c>
      <c r="E897" s="646" t="s">
        <v>2216</v>
      </c>
      <c r="F897" s="606" t="s">
        <v>436</v>
      </c>
      <c r="G897" s="606" t="s">
        <v>2023</v>
      </c>
      <c r="H897" s="608" t="s">
        <v>1835</v>
      </c>
    </row>
    <row r="898">
      <c r="A898" s="512" t="s">
        <v>439</v>
      </c>
      <c r="B898" s="512" t="s">
        <v>995</v>
      </c>
      <c r="C898" s="605">
        <v>45802.0</v>
      </c>
      <c r="D898" s="512">
        <v>3.2073075654E10</v>
      </c>
      <c r="E898" s="646" t="s">
        <v>2217</v>
      </c>
      <c r="F898" s="606" t="s">
        <v>436</v>
      </c>
      <c r="G898" s="606" t="s">
        <v>802</v>
      </c>
      <c r="H898" s="608" t="s">
        <v>1608</v>
      </c>
    </row>
    <row r="899">
      <c r="A899" s="512" t="s">
        <v>617</v>
      </c>
      <c r="B899" s="512" t="s">
        <v>995</v>
      </c>
      <c r="C899" s="605">
        <v>45803.0</v>
      </c>
      <c r="D899" s="512" t="s">
        <v>2218</v>
      </c>
      <c r="E899" s="646" t="s">
        <v>2219</v>
      </c>
      <c r="F899" s="512" t="s">
        <v>436</v>
      </c>
      <c r="G899" s="606" t="s">
        <v>2220</v>
      </c>
      <c r="H899" s="608" t="s">
        <v>623</v>
      </c>
    </row>
    <row r="900">
      <c r="A900" s="512" t="s">
        <v>617</v>
      </c>
      <c r="B900" s="512" t="s">
        <v>995</v>
      </c>
      <c r="C900" s="605">
        <v>45803.0</v>
      </c>
      <c r="D900" s="512">
        <v>3.5858992942E10</v>
      </c>
      <c r="E900" s="646" t="s">
        <v>2221</v>
      </c>
      <c r="F900" s="512" t="s">
        <v>436</v>
      </c>
      <c r="G900" s="606" t="s">
        <v>2222</v>
      </c>
      <c r="H900" s="608" t="s">
        <v>623</v>
      </c>
    </row>
    <row r="901">
      <c r="A901" s="512" t="s">
        <v>432</v>
      </c>
      <c r="B901" s="512" t="s">
        <v>995</v>
      </c>
      <c r="C901" s="605">
        <v>45803.0</v>
      </c>
      <c r="D901" s="512">
        <v>3.5871644978E10</v>
      </c>
      <c r="E901" s="606" t="s">
        <v>2223</v>
      </c>
      <c r="F901" s="512" t="s">
        <v>436</v>
      </c>
      <c r="G901" s="606" t="s">
        <v>1486</v>
      </c>
      <c r="H901" s="608" t="s">
        <v>1096</v>
      </c>
    </row>
    <row r="902">
      <c r="A902" s="512" t="s">
        <v>690</v>
      </c>
      <c r="B902" s="512" t="s">
        <v>433</v>
      </c>
      <c r="C902" s="605">
        <v>45804.0</v>
      </c>
      <c r="D902" s="512">
        <v>2.69300435E8</v>
      </c>
      <c r="E902" s="646" t="s">
        <v>2224</v>
      </c>
      <c r="F902" s="606" t="s">
        <v>436</v>
      </c>
      <c r="G902" s="606" t="s">
        <v>2225</v>
      </c>
      <c r="H902" s="608" t="s">
        <v>1742</v>
      </c>
    </row>
    <row r="903">
      <c r="A903" s="512" t="s">
        <v>432</v>
      </c>
      <c r="B903" s="512" t="s">
        <v>433</v>
      </c>
      <c r="C903" s="605">
        <v>45804.0</v>
      </c>
      <c r="D903" s="512">
        <v>3.0674965583E10</v>
      </c>
      <c r="E903" s="606" t="s">
        <v>2226</v>
      </c>
      <c r="F903" s="606" t="s">
        <v>436</v>
      </c>
      <c r="G903" s="606" t="s">
        <v>2227</v>
      </c>
      <c r="H903" s="608" t="s">
        <v>901</v>
      </c>
    </row>
    <row r="904">
      <c r="A904" s="512" t="s">
        <v>432</v>
      </c>
      <c r="B904" s="512" t="s">
        <v>433</v>
      </c>
      <c r="C904" s="605">
        <v>45804.0</v>
      </c>
      <c r="D904" s="512">
        <v>3.4045474642E10</v>
      </c>
      <c r="E904" s="606" t="s">
        <v>2228</v>
      </c>
      <c r="F904" s="606" t="s">
        <v>436</v>
      </c>
      <c r="G904" s="606" t="s">
        <v>2229</v>
      </c>
      <c r="H904" s="608" t="s">
        <v>901</v>
      </c>
    </row>
    <row r="905">
      <c r="A905" s="512" t="s">
        <v>432</v>
      </c>
      <c r="B905" s="512" t="s">
        <v>433</v>
      </c>
      <c r="C905" s="605">
        <v>45804.0</v>
      </c>
      <c r="D905" s="512">
        <v>3.0899754371E10</v>
      </c>
      <c r="E905" s="606" t="s">
        <v>2230</v>
      </c>
      <c r="F905" s="606" t="s">
        <v>436</v>
      </c>
      <c r="G905" s="606" t="s">
        <v>2231</v>
      </c>
      <c r="H905" s="608" t="s">
        <v>901</v>
      </c>
    </row>
    <row r="906">
      <c r="A906" s="512" t="s">
        <v>432</v>
      </c>
      <c r="B906" s="512" t="s">
        <v>433</v>
      </c>
      <c r="C906" s="605">
        <v>45804.0</v>
      </c>
      <c r="D906" s="512">
        <v>3.1546832532E10</v>
      </c>
      <c r="E906" s="606" t="s">
        <v>2232</v>
      </c>
      <c r="F906" s="606" t="s">
        <v>436</v>
      </c>
      <c r="G906" s="606" t="s">
        <v>2233</v>
      </c>
      <c r="H906" s="608" t="s">
        <v>901</v>
      </c>
    </row>
    <row r="907">
      <c r="A907" s="512" t="s">
        <v>432</v>
      </c>
      <c r="B907" s="512" t="s">
        <v>433</v>
      </c>
      <c r="C907" s="605">
        <v>45804.0</v>
      </c>
      <c r="D907" s="512">
        <v>3.0824096821E10</v>
      </c>
      <c r="E907" s="606" t="s">
        <v>2234</v>
      </c>
      <c r="F907" s="606" t="s">
        <v>436</v>
      </c>
      <c r="G907" s="606" t="s">
        <v>2235</v>
      </c>
      <c r="H907" s="608" t="s">
        <v>901</v>
      </c>
    </row>
    <row r="908">
      <c r="A908" s="512" t="s">
        <v>432</v>
      </c>
      <c r="B908" s="512" t="s">
        <v>433</v>
      </c>
      <c r="C908" s="605">
        <v>45804.0</v>
      </c>
      <c r="D908" s="512">
        <v>3.3665531235E10</v>
      </c>
      <c r="E908" s="606" t="s">
        <v>1312</v>
      </c>
      <c r="F908" s="606" t="s">
        <v>436</v>
      </c>
      <c r="G908" s="606" t="s">
        <v>2236</v>
      </c>
      <c r="H908" s="608" t="s">
        <v>901</v>
      </c>
    </row>
    <row r="909">
      <c r="A909" s="512" t="s">
        <v>432</v>
      </c>
      <c r="B909" s="512" t="s">
        <v>433</v>
      </c>
      <c r="C909" s="605">
        <v>45804.0</v>
      </c>
      <c r="D909" s="512">
        <v>3.3241023483E10</v>
      </c>
      <c r="E909" s="606" t="s">
        <v>2237</v>
      </c>
      <c r="F909" s="606" t="s">
        <v>436</v>
      </c>
      <c r="G909" s="606" t="s">
        <v>2238</v>
      </c>
      <c r="H909" s="608" t="s">
        <v>901</v>
      </c>
    </row>
    <row r="910">
      <c r="A910" s="512" t="s">
        <v>432</v>
      </c>
      <c r="B910" s="512" t="s">
        <v>433</v>
      </c>
      <c r="C910" s="605">
        <v>45804.0</v>
      </c>
      <c r="D910" s="512">
        <v>2.5397229676E10</v>
      </c>
      <c r="E910" s="646" t="s">
        <v>2239</v>
      </c>
      <c r="F910" s="606" t="s">
        <v>436</v>
      </c>
      <c r="G910" s="606" t="s">
        <v>2240</v>
      </c>
      <c r="H910" s="608" t="s">
        <v>901</v>
      </c>
    </row>
    <row r="911">
      <c r="A911" s="512" t="s">
        <v>432</v>
      </c>
      <c r="B911" s="512" t="s">
        <v>433</v>
      </c>
      <c r="C911" s="605">
        <v>45804.0</v>
      </c>
      <c r="D911" s="512">
        <v>3.3927423394E10</v>
      </c>
      <c r="E911" s="606" t="s">
        <v>2241</v>
      </c>
      <c r="F911" s="606" t="s">
        <v>436</v>
      </c>
      <c r="G911" s="606" t="s">
        <v>2242</v>
      </c>
      <c r="H911" s="608" t="s">
        <v>901</v>
      </c>
    </row>
    <row r="912">
      <c r="A912" s="512" t="s">
        <v>432</v>
      </c>
      <c r="B912" s="512" t="s">
        <v>433</v>
      </c>
      <c r="C912" s="605">
        <v>45805.0</v>
      </c>
      <c r="D912" s="512">
        <v>3.5955886036E10</v>
      </c>
      <c r="E912" s="606" t="s">
        <v>2243</v>
      </c>
      <c r="F912" s="606" t="s">
        <v>436</v>
      </c>
      <c r="G912" s="606" t="s">
        <v>2244</v>
      </c>
      <c r="H912" s="608" t="s">
        <v>901</v>
      </c>
    </row>
    <row r="913">
      <c r="A913" s="512" t="s">
        <v>432</v>
      </c>
      <c r="B913" s="512" t="s">
        <v>433</v>
      </c>
      <c r="C913" s="605">
        <v>45805.0</v>
      </c>
      <c r="D913" s="512">
        <v>3.4047669123E10</v>
      </c>
      <c r="E913" s="606" t="s">
        <v>2245</v>
      </c>
      <c r="F913" s="606" t="s">
        <v>436</v>
      </c>
      <c r="G913" s="606" t="s">
        <v>1764</v>
      </c>
      <c r="H913" s="608" t="s">
        <v>901</v>
      </c>
    </row>
    <row r="914">
      <c r="A914" s="512" t="s">
        <v>439</v>
      </c>
      <c r="B914" s="512" t="s">
        <v>433</v>
      </c>
      <c r="C914" s="605">
        <v>45805.0</v>
      </c>
      <c r="D914" s="512">
        <v>2.9224985288E10</v>
      </c>
      <c r="E914" s="648" t="s">
        <v>2246</v>
      </c>
      <c r="F914" s="606" t="s">
        <v>436</v>
      </c>
      <c r="G914" s="606" t="s">
        <v>2247</v>
      </c>
      <c r="H914" s="608" t="s">
        <v>1608</v>
      </c>
    </row>
    <row r="915">
      <c r="A915" s="512" t="s">
        <v>432</v>
      </c>
      <c r="B915" s="512" t="s">
        <v>433</v>
      </c>
      <c r="C915" s="605">
        <v>45805.0</v>
      </c>
      <c r="D915" s="512">
        <v>3.2030674122E10</v>
      </c>
      <c r="E915" s="606" t="s">
        <v>2248</v>
      </c>
      <c r="F915" s="512" t="s">
        <v>436</v>
      </c>
      <c r="G915" s="606" t="s">
        <v>2249</v>
      </c>
      <c r="H915" s="608" t="s">
        <v>901</v>
      </c>
    </row>
    <row r="916">
      <c r="A916" s="512" t="s">
        <v>432</v>
      </c>
      <c r="B916" s="512" t="s">
        <v>995</v>
      </c>
      <c r="C916" s="605">
        <v>45805.0</v>
      </c>
      <c r="D916" s="512">
        <v>3.3119559743E10</v>
      </c>
      <c r="E916" s="606" t="s">
        <v>2250</v>
      </c>
      <c r="F916" s="512" t="s">
        <v>436</v>
      </c>
      <c r="G916" s="606" t="s">
        <v>2251</v>
      </c>
      <c r="H916" s="608" t="s">
        <v>901</v>
      </c>
    </row>
    <row r="917">
      <c r="A917" s="512" t="s">
        <v>432</v>
      </c>
      <c r="B917" s="512" t="s">
        <v>433</v>
      </c>
      <c r="C917" s="605">
        <v>45805.0</v>
      </c>
      <c r="D917" s="512">
        <v>3.2718972777E10</v>
      </c>
      <c r="E917" s="606" t="s">
        <v>2252</v>
      </c>
      <c r="F917" s="606" t="s">
        <v>436</v>
      </c>
      <c r="G917" s="606" t="s">
        <v>2253</v>
      </c>
      <c r="H917" s="608" t="s">
        <v>901</v>
      </c>
    </row>
    <row r="918">
      <c r="A918" s="512" t="s">
        <v>432</v>
      </c>
      <c r="B918" s="512" t="s">
        <v>995</v>
      </c>
      <c r="C918" s="605">
        <v>45805.0</v>
      </c>
      <c r="D918" s="512">
        <v>3.3518237617E10</v>
      </c>
      <c r="E918" s="606" t="s">
        <v>2254</v>
      </c>
      <c r="F918" s="606" t="s">
        <v>436</v>
      </c>
      <c r="G918" s="606" t="s">
        <v>2255</v>
      </c>
      <c r="H918" s="608" t="s">
        <v>901</v>
      </c>
    </row>
    <row r="919">
      <c r="A919" s="512" t="s">
        <v>432</v>
      </c>
      <c r="B919" s="512" t="s">
        <v>433</v>
      </c>
      <c r="C919" s="605">
        <v>45805.0</v>
      </c>
      <c r="D919" s="512">
        <v>2.6821021377E10</v>
      </c>
      <c r="E919" s="606" t="s">
        <v>2256</v>
      </c>
      <c r="F919" s="606" t="s">
        <v>436</v>
      </c>
      <c r="G919" s="606" t="s">
        <v>894</v>
      </c>
      <c r="H919" s="608" t="s">
        <v>901</v>
      </c>
    </row>
    <row r="920">
      <c r="A920" s="512" t="s">
        <v>432</v>
      </c>
      <c r="B920" s="512" t="s">
        <v>995</v>
      </c>
      <c r="C920" s="605">
        <v>45805.0</v>
      </c>
      <c r="D920" s="512">
        <v>3.4510883356E10</v>
      </c>
      <c r="E920" s="606" t="s">
        <v>2257</v>
      </c>
      <c r="F920" s="512" t="s">
        <v>436</v>
      </c>
      <c r="G920" s="606" t="s">
        <v>2258</v>
      </c>
      <c r="H920" s="608" t="s">
        <v>901</v>
      </c>
    </row>
    <row r="921">
      <c r="A921" s="512" t="s">
        <v>432</v>
      </c>
      <c r="B921" s="512" t="s">
        <v>995</v>
      </c>
      <c r="C921" s="605">
        <v>45805.0</v>
      </c>
      <c r="D921" s="512">
        <v>3.0430164711E10</v>
      </c>
      <c r="E921" s="606" t="s">
        <v>2259</v>
      </c>
      <c r="F921" s="606" t="s">
        <v>436</v>
      </c>
      <c r="G921" s="606" t="s">
        <v>2260</v>
      </c>
      <c r="H921" s="608" t="s">
        <v>901</v>
      </c>
    </row>
    <row r="922">
      <c r="A922" s="512" t="s">
        <v>617</v>
      </c>
      <c r="B922" s="512" t="s">
        <v>449</v>
      </c>
      <c r="C922" s="605">
        <v>45805.0</v>
      </c>
      <c r="D922" s="512">
        <v>1.9963473628E10</v>
      </c>
      <c r="E922" s="606" t="s">
        <v>2261</v>
      </c>
      <c r="F922" s="606" t="s">
        <v>436</v>
      </c>
      <c r="G922" s="606" t="s">
        <v>2262</v>
      </c>
      <c r="H922" s="608" t="s">
        <v>696</v>
      </c>
    </row>
    <row r="923">
      <c r="A923" s="512" t="s">
        <v>432</v>
      </c>
      <c r="B923" s="512" t="s">
        <v>433</v>
      </c>
      <c r="C923" s="605">
        <v>45805.0</v>
      </c>
      <c r="D923" s="512">
        <v>3.60270488E10</v>
      </c>
      <c r="E923" s="606" t="s">
        <v>2263</v>
      </c>
      <c r="F923" s="512" t="s">
        <v>436</v>
      </c>
      <c r="G923" s="606" t="s">
        <v>2264</v>
      </c>
      <c r="H923" s="608" t="s">
        <v>901</v>
      </c>
    </row>
    <row r="924">
      <c r="A924" s="512" t="s">
        <v>432</v>
      </c>
      <c r="B924" s="512" t="s">
        <v>433</v>
      </c>
      <c r="C924" s="605">
        <v>45805.0</v>
      </c>
      <c r="D924" s="512">
        <v>3.457915647E10</v>
      </c>
      <c r="E924" s="606" t="s">
        <v>2265</v>
      </c>
      <c r="F924" s="512" t="s">
        <v>436</v>
      </c>
      <c r="G924" s="606" t="s">
        <v>2266</v>
      </c>
      <c r="H924" s="608" t="s">
        <v>901</v>
      </c>
    </row>
    <row r="925">
      <c r="A925" s="512" t="s">
        <v>432</v>
      </c>
      <c r="B925" s="512" t="s">
        <v>995</v>
      </c>
      <c r="C925" s="605">
        <v>45805.0</v>
      </c>
      <c r="D925" s="512">
        <v>2.7930953577E10</v>
      </c>
      <c r="E925" s="606" t="s">
        <v>2267</v>
      </c>
      <c r="F925" s="512" t="s">
        <v>436</v>
      </c>
      <c r="G925" s="606" t="s">
        <v>2268</v>
      </c>
      <c r="H925" s="608" t="s">
        <v>901</v>
      </c>
    </row>
    <row r="926">
      <c r="A926" s="512" t="s">
        <v>432</v>
      </c>
      <c r="B926" s="512" t="s">
        <v>995</v>
      </c>
      <c r="C926" s="605">
        <v>45805.0</v>
      </c>
      <c r="D926" s="512">
        <v>3.0819248004E10</v>
      </c>
      <c r="E926" s="606" t="s">
        <v>2269</v>
      </c>
      <c r="F926" s="606" t="s">
        <v>436</v>
      </c>
      <c r="G926" s="606" t="s">
        <v>2270</v>
      </c>
      <c r="H926" s="608" t="s">
        <v>901</v>
      </c>
    </row>
    <row r="927">
      <c r="A927" s="512" t="s">
        <v>432</v>
      </c>
      <c r="B927" s="512" t="s">
        <v>433</v>
      </c>
      <c r="C927" s="605">
        <v>45805.0</v>
      </c>
      <c r="D927" s="512">
        <v>3.0752924332E10</v>
      </c>
      <c r="E927" s="606" t="s">
        <v>2271</v>
      </c>
      <c r="F927" s="512" t="s">
        <v>436</v>
      </c>
      <c r="G927" s="606" t="s">
        <v>1420</v>
      </c>
      <c r="H927" s="608" t="s">
        <v>901</v>
      </c>
    </row>
    <row r="928">
      <c r="A928" s="512" t="s">
        <v>432</v>
      </c>
      <c r="B928" s="512" t="s">
        <v>995</v>
      </c>
      <c r="C928" s="605">
        <v>45805.0</v>
      </c>
      <c r="D928" s="512">
        <v>2.9812993957E10</v>
      </c>
      <c r="E928" s="606" t="s">
        <v>2272</v>
      </c>
      <c r="F928" s="512" t="s">
        <v>436</v>
      </c>
      <c r="G928" s="606" t="s">
        <v>2273</v>
      </c>
      <c r="H928" s="608" t="s">
        <v>901</v>
      </c>
    </row>
    <row r="929">
      <c r="A929" s="512" t="s">
        <v>432</v>
      </c>
      <c r="B929" s="512" t="s">
        <v>433</v>
      </c>
      <c r="C929" s="605">
        <v>45805.0</v>
      </c>
      <c r="D929" s="512">
        <v>3.2067996458E10</v>
      </c>
      <c r="E929" s="606" t="s">
        <v>2274</v>
      </c>
      <c r="F929" s="606" t="s">
        <v>436</v>
      </c>
      <c r="G929" s="606" t="s">
        <v>2275</v>
      </c>
      <c r="H929" s="608" t="s">
        <v>901</v>
      </c>
    </row>
    <row r="930">
      <c r="A930" s="512" t="s">
        <v>690</v>
      </c>
      <c r="B930" s="512" t="s">
        <v>995</v>
      </c>
      <c r="C930" s="605">
        <v>45805.0</v>
      </c>
      <c r="D930" s="512">
        <v>3.3309282191E10</v>
      </c>
      <c r="E930" s="646" t="s">
        <v>2276</v>
      </c>
      <c r="F930" s="606" t="s">
        <v>436</v>
      </c>
      <c r="G930" s="606" t="s">
        <v>2277</v>
      </c>
      <c r="H930" s="608" t="s">
        <v>693</v>
      </c>
    </row>
    <row r="931">
      <c r="A931" s="512" t="s">
        <v>432</v>
      </c>
      <c r="B931" s="512" t="s">
        <v>433</v>
      </c>
      <c r="C931" s="605">
        <v>45805.0</v>
      </c>
      <c r="D931" s="512">
        <v>3.0177576765E10</v>
      </c>
      <c r="E931" s="606" t="s">
        <v>2278</v>
      </c>
      <c r="F931" s="512" t="s">
        <v>436</v>
      </c>
      <c r="G931" s="606" t="s">
        <v>2279</v>
      </c>
      <c r="H931" s="608" t="s">
        <v>901</v>
      </c>
    </row>
    <row r="932">
      <c r="A932" s="512" t="s">
        <v>432</v>
      </c>
      <c r="B932" s="512" t="s">
        <v>433</v>
      </c>
      <c r="C932" s="605">
        <v>45805.0</v>
      </c>
      <c r="D932" s="512">
        <v>3.2688969489E10</v>
      </c>
      <c r="E932" s="606" t="s">
        <v>2280</v>
      </c>
      <c r="F932" s="606" t="s">
        <v>436</v>
      </c>
      <c r="G932" s="606" t="s">
        <v>2281</v>
      </c>
      <c r="H932" s="608" t="s">
        <v>901</v>
      </c>
    </row>
    <row r="933">
      <c r="A933" s="512" t="s">
        <v>432</v>
      </c>
      <c r="B933" s="512" t="s">
        <v>433</v>
      </c>
      <c r="C933" s="605">
        <v>45805.0</v>
      </c>
      <c r="D933" s="512">
        <v>3.2803149975E10</v>
      </c>
      <c r="E933" s="606" t="s">
        <v>2280</v>
      </c>
      <c r="F933" s="606" t="s">
        <v>436</v>
      </c>
      <c r="G933" s="606" t="s">
        <v>2281</v>
      </c>
      <c r="H933" s="608" t="s">
        <v>901</v>
      </c>
    </row>
    <row r="934">
      <c r="A934" s="512" t="s">
        <v>432</v>
      </c>
      <c r="B934" s="512" t="s">
        <v>433</v>
      </c>
      <c r="C934" s="605">
        <v>45805.0</v>
      </c>
      <c r="D934" s="512">
        <v>3.110165183E10</v>
      </c>
      <c r="E934" s="606" t="s">
        <v>2282</v>
      </c>
      <c r="F934" s="512" t="s">
        <v>436</v>
      </c>
      <c r="G934" s="606" t="s">
        <v>2283</v>
      </c>
      <c r="H934" s="608" t="s">
        <v>901</v>
      </c>
    </row>
    <row r="935">
      <c r="A935" s="512" t="s">
        <v>432</v>
      </c>
      <c r="B935" s="512" t="s">
        <v>433</v>
      </c>
      <c r="C935" s="605">
        <v>45805.0</v>
      </c>
      <c r="D935" s="512">
        <v>3.2220138908E10</v>
      </c>
      <c r="E935" s="606" t="s">
        <v>2284</v>
      </c>
      <c r="F935" s="606" t="s">
        <v>436</v>
      </c>
      <c r="G935" s="606" t="s">
        <v>2285</v>
      </c>
      <c r="H935" s="608" t="s">
        <v>901</v>
      </c>
    </row>
    <row r="936">
      <c r="A936" s="512" t="s">
        <v>432</v>
      </c>
      <c r="B936" s="512" t="s">
        <v>433</v>
      </c>
      <c r="C936" s="605">
        <v>45805.0</v>
      </c>
      <c r="D936" s="512">
        <v>3.2277945149E10</v>
      </c>
      <c r="E936" s="606" t="s">
        <v>2286</v>
      </c>
      <c r="F936" s="606" t="s">
        <v>436</v>
      </c>
      <c r="G936" s="606" t="s">
        <v>1781</v>
      </c>
      <c r="H936" s="608" t="s">
        <v>901</v>
      </c>
    </row>
    <row r="937">
      <c r="A937" s="512" t="s">
        <v>432</v>
      </c>
      <c r="B937" s="512" t="s">
        <v>995</v>
      </c>
      <c r="C937" s="605">
        <v>45805.0</v>
      </c>
      <c r="D937" s="512">
        <v>3.1772861604E10</v>
      </c>
      <c r="E937" s="606" t="s">
        <v>2287</v>
      </c>
      <c r="F937" s="512" t="s">
        <v>436</v>
      </c>
      <c r="G937" s="606" t="s">
        <v>2288</v>
      </c>
      <c r="H937" s="608" t="s">
        <v>901</v>
      </c>
    </row>
    <row r="938">
      <c r="A938" s="512" t="s">
        <v>432</v>
      </c>
      <c r="B938" s="512" t="s">
        <v>433</v>
      </c>
      <c r="C938" s="605">
        <v>45805.0</v>
      </c>
      <c r="D938" s="512">
        <v>3.1989818826E10</v>
      </c>
      <c r="E938" s="606" t="s">
        <v>993</v>
      </c>
      <c r="F938" s="512" t="s">
        <v>436</v>
      </c>
      <c r="G938" s="606" t="s">
        <v>1605</v>
      </c>
      <c r="H938" s="608" t="s">
        <v>901</v>
      </c>
    </row>
    <row r="939">
      <c r="A939" s="512" t="s">
        <v>432</v>
      </c>
      <c r="B939" s="512" t="s">
        <v>433</v>
      </c>
      <c r="C939" s="605">
        <v>45805.0</v>
      </c>
      <c r="D939" s="512">
        <v>3.4337883775E10</v>
      </c>
      <c r="E939" s="606" t="s">
        <v>2289</v>
      </c>
      <c r="F939" s="512" t="s">
        <v>436</v>
      </c>
      <c r="G939" s="606" t="s">
        <v>1329</v>
      </c>
      <c r="H939" s="608" t="s">
        <v>901</v>
      </c>
    </row>
    <row r="940">
      <c r="A940" s="512" t="s">
        <v>432</v>
      </c>
      <c r="B940" s="512" t="s">
        <v>433</v>
      </c>
      <c r="C940" s="605">
        <v>45805.0</v>
      </c>
      <c r="D940" s="512">
        <v>3.402561544E10</v>
      </c>
      <c r="E940" s="606" t="s">
        <v>2170</v>
      </c>
      <c r="F940" s="606" t="s">
        <v>436</v>
      </c>
      <c r="G940" s="606" t="s">
        <v>2290</v>
      </c>
      <c r="H940" s="608" t="s">
        <v>901</v>
      </c>
    </row>
    <row r="941">
      <c r="A941" s="512" t="s">
        <v>432</v>
      </c>
      <c r="B941" s="512" t="s">
        <v>995</v>
      </c>
      <c r="C941" s="605">
        <v>45805.0</v>
      </c>
      <c r="D941" s="512">
        <v>3.2517278545E10</v>
      </c>
      <c r="E941" s="606" t="s">
        <v>1178</v>
      </c>
      <c r="F941" s="512" t="s">
        <v>436</v>
      </c>
      <c r="G941" s="606" t="s">
        <v>2291</v>
      </c>
      <c r="H941" s="608" t="s">
        <v>901</v>
      </c>
    </row>
    <row r="942">
      <c r="A942" s="512" t="s">
        <v>432</v>
      </c>
      <c r="B942" s="512" t="s">
        <v>433</v>
      </c>
      <c r="C942" s="605">
        <v>45805.0</v>
      </c>
      <c r="D942" s="512">
        <v>3.3418390988E10</v>
      </c>
      <c r="E942" s="606" t="s">
        <v>2292</v>
      </c>
      <c r="F942" s="606" t="s">
        <v>436</v>
      </c>
      <c r="G942" s="606" t="s">
        <v>1894</v>
      </c>
      <c r="H942" s="608" t="s">
        <v>901</v>
      </c>
    </row>
    <row r="943">
      <c r="A943" s="512" t="s">
        <v>432</v>
      </c>
      <c r="B943" s="512" t="s">
        <v>433</v>
      </c>
      <c r="C943" s="605">
        <v>45805.0</v>
      </c>
      <c r="D943" s="512">
        <v>3.5940409961E10</v>
      </c>
      <c r="E943" s="606" t="s">
        <v>2293</v>
      </c>
      <c r="F943" s="606" t="s">
        <v>436</v>
      </c>
      <c r="G943" s="606" t="s">
        <v>2294</v>
      </c>
      <c r="H943" s="608" t="s">
        <v>901</v>
      </c>
    </row>
    <row r="944">
      <c r="A944" s="512" t="s">
        <v>432</v>
      </c>
      <c r="B944" s="512" t="s">
        <v>433</v>
      </c>
      <c r="C944" s="605">
        <v>45805.0</v>
      </c>
      <c r="D944" s="512">
        <v>3.1643341837E10</v>
      </c>
      <c r="E944" s="606" t="s">
        <v>2295</v>
      </c>
      <c r="F944" s="512" t="s">
        <v>436</v>
      </c>
      <c r="G944" s="606" t="s">
        <v>2296</v>
      </c>
      <c r="H944" s="608" t="s">
        <v>901</v>
      </c>
    </row>
    <row r="945">
      <c r="A945" s="512" t="s">
        <v>690</v>
      </c>
      <c r="B945" s="512" t="s">
        <v>995</v>
      </c>
      <c r="C945" s="605">
        <v>45805.0</v>
      </c>
      <c r="D945" s="512">
        <v>3.5978172547E10</v>
      </c>
      <c r="E945" s="646" t="s">
        <v>2297</v>
      </c>
      <c r="F945" s="606" t="s">
        <v>436</v>
      </c>
      <c r="G945" s="606" t="s">
        <v>2298</v>
      </c>
      <c r="H945" s="608" t="s">
        <v>693</v>
      </c>
    </row>
    <row r="946">
      <c r="A946" s="512" t="s">
        <v>432</v>
      </c>
      <c r="B946" s="512" t="s">
        <v>433</v>
      </c>
      <c r="C946" s="605">
        <v>45805.0</v>
      </c>
      <c r="D946" s="512">
        <v>3.2609846042E10</v>
      </c>
      <c r="E946" s="606" t="s">
        <v>2299</v>
      </c>
      <c r="F946" s="606" t="s">
        <v>436</v>
      </c>
      <c r="G946" s="606" t="s">
        <v>2300</v>
      </c>
      <c r="H946" s="608" t="s">
        <v>901</v>
      </c>
    </row>
    <row r="947">
      <c r="A947" s="512" t="s">
        <v>432</v>
      </c>
      <c r="B947" s="512" t="s">
        <v>433</v>
      </c>
      <c r="C947" s="605">
        <v>45805.0</v>
      </c>
      <c r="D947" s="512">
        <v>3.4924710211E10</v>
      </c>
      <c r="E947" s="606" t="s">
        <v>2301</v>
      </c>
      <c r="F947" s="606" t="s">
        <v>436</v>
      </c>
      <c r="G947" s="606" t="s">
        <v>2302</v>
      </c>
      <c r="H947" s="608" t="s">
        <v>901</v>
      </c>
    </row>
    <row r="948">
      <c r="A948" s="512" t="s">
        <v>823</v>
      </c>
      <c r="B948" s="525"/>
      <c r="C948" s="605">
        <v>45805.0</v>
      </c>
      <c r="D948" s="512">
        <v>4.18124047E8</v>
      </c>
      <c r="E948" s="646" t="s">
        <v>2303</v>
      </c>
      <c r="F948" s="512" t="s">
        <v>436</v>
      </c>
      <c r="G948" s="606" t="s">
        <v>2304</v>
      </c>
      <c r="H948" s="608" t="s">
        <v>1742</v>
      </c>
    </row>
    <row r="949">
      <c r="A949" s="512" t="s">
        <v>432</v>
      </c>
      <c r="B949" s="512" t="s">
        <v>995</v>
      </c>
      <c r="C949" s="605">
        <v>45805.0</v>
      </c>
      <c r="D949" s="512">
        <v>3.5021142363E10</v>
      </c>
      <c r="E949" s="606" t="s">
        <v>2305</v>
      </c>
      <c r="F949" s="606" t="s">
        <v>436</v>
      </c>
      <c r="G949" s="606" t="s">
        <v>1456</v>
      </c>
      <c r="H949" s="608" t="s">
        <v>901</v>
      </c>
    </row>
    <row r="950">
      <c r="A950" s="512" t="s">
        <v>432</v>
      </c>
      <c r="B950" s="512" t="s">
        <v>995</v>
      </c>
      <c r="C950" s="605">
        <v>45805.0</v>
      </c>
      <c r="D950" s="512">
        <v>3.0663512705E10</v>
      </c>
      <c r="E950" s="606" t="s">
        <v>2306</v>
      </c>
      <c r="F950" s="512" t="s">
        <v>436</v>
      </c>
      <c r="G950" s="606" t="s">
        <v>2307</v>
      </c>
      <c r="H950" s="608" t="s">
        <v>901</v>
      </c>
    </row>
    <row r="951">
      <c r="A951" s="512" t="s">
        <v>432</v>
      </c>
      <c r="B951" s="512" t="s">
        <v>995</v>
      </c>
      <c r="C951" s="605">
        <v>45805.0</v>
      </c>
      <c r="D951" s="512">
        <v>2.1959635812E10</v>
      </c>
      <c r="E951" s="606" t="s">
        <v>2308</v>
      </c>
      <c r="F951" s="606" t="s">
        <v>436</v>
      </c>
      <c r="G951" s="606" t="s">
        <v>2309</v>
      </c>
      <c r="H951" s="608" t="s">
        <v>901</v>
      </c>
    </row>
    <row r="952">
      <c r="A952" s="512" t="s">
        <v>432</v>
      </c>
      <c r="B952" s="512" t="s">
        <v>433</v>
      </c>
      <c r="C952" s="605">
        <v>45805.0</v>
      </c>
      <c r="D952" s="512">
        <v>3.0429146481E10</v>
      </c>
      <c r="E952" s="606" t="s">
        <v>2310</v>
      </c>
      <c r="F952" s="606" t="s">
        <v>436</v>
      </c>
      <c r="G952" s="606" t="s">
        <v>2311</v>
      </c>
      <c r="H952" s="608" t="s">
        <v>901</v>
      </c>
    </row>
    <row r="953">
      <c r="A953" s="512" t="s">
        <v>432</v>
      </c>
      <c r="B953" s="512" t="s">
        <v>433</v>
      </c>
      <c r="C953" s="605">
        <v>45805.0</v>
      </c>
      <c r="D953" s="512">
        <v>3.3274366512E10</v>
      </c>
      <c r="E953" s="606" t="s">
        <v>2312</v>
      </c>
      <c r="F953" s="606" t="s">
        <v>436</v>
      </c>
      <c r="G953" s="606" t="s">
        <v>2313</v>
      </c>
      <c r="H953" s="608" t="s">
        <v>901</v>
      </c>
    </row>
    <row r="954">
      <c r="A954" s="512" t="s">
        <v>432</v>
      </c>
      <c r="B954" s="512" t="s">
        <v>433</v>
      </c>
      <c r="C954" s="605">
        <v>45805.0</v>
      </c>
      <c r="D954" s="512">
        <v>3.0920569767E10</v>
      </c>
      <c r="E954" s="606" t="s">
        <v>2314</v>
      </c>
      <c r="F954" s="606" t="s">
        <v>436</v>
      </c>
      <c r="G954" s="606" t="s">
        <v>2315</v>
      </c>
      <c r="H954" s="608" t="s">
        <v>901</v>
      </c>
    </row>
    <row r="955">
      <c r="A955" s="512" t="s">
        <v>432</v>
      </c>
      <c r="B955" s="512" t="s">
        <v>433</v>
      </c>
      <c r="C955" s="605">
        <v>45805.0</v>
      </c>
      <c r="D955" s="512">
        <v>3.4551402961E10</v>
      </c>
      <c r="E955" s="606" t="s">
        <v>2316</v>
      </c>
      <c r="F955" s="606" t="s">
        <v>436</v>
      </c>
      <c r="G955" s="606" t="s">
        <v>1279</v>
      </c>
      <c r="H955" s="608" t="s">
        <v>901</v>
      </c>
    </row>
    <row r="956">
      <c r="A956" s="512" t="s">
        <v>432</v>
      </c>
      <c r="B956" s="512" t="s">
        <v>433</v>
      </c>
      <c r="C956" s="605">
        <v>45805.0</v>
      </c>
      <c r="D956" s="512">
        <v>2.7038530451E10</v>
      </c>
      <c r="E956" s="606" t="s">
        <v>2317</v>
      </c>
      <c r="F956" s="606" t="s">
        <v>436</v>
      </c>
      <c r="G956" s="606" t="s">
        <v>2318</v>
      </c>
      <c r="H956" s="608" t="s">
        <v>901</v>
      </c>
    </row>
    <row r="957">
      <c r="A957" s="512" t="s">
        <v>432</v>
      </c>
      <c r="B957" s="512" t="s">
        <v>433</v>
      </c>
      <c r="C957" s="605">
        <v>45805.0</v>
      </c>
      <c r="D957" s="512">
        <v>3.3999796083E10</v>
      </c>
      <c r="E957" s="606" t="s">
        <v>2319</v>
      </c>
      <c r="F957" s="606" t="s">
        <v>436</v>
      </c>
      <c r="G957" s="606" t="s">
        <v>2318</v>
      </c>
      <c r="H957" s="608" t="s">
        <v>901</v>
      </c>
    </row>
    <row r="958">
      <c r="A958" s="512" t="s">
        <v>432</v>
      </c>
      <c r="B958" s="512" t="s">
        <v>995</v>
      </c>
      <c r="C958" s="605">
        <v>45805.0</v>
      </c>
      <c r="D958" s="512">
        <v>2.3571076753E10</v>
      </c>
      <c r="E958" s="606" t="s">
        <v>2320</v>
      </c>
      <c r="F958" s="606" t="s">
        <v>436</v>
      </c>
      <c r="G958" s="606" t="s">
        <v>1089</v>
      </c>
      <c r="H958" s="608" t="s">
        <v>901</v>
      </c>
    </row>
    <row r="959">
      <c r="A959" s="512" t="s">
        <v>432</v>
      </c>
      <c r="B959" s="512" t="s">
        <v>995</v>
      </c>
      <c r="C959" s="605">
        <v>45805.0</v>
      </c>
      <c r="D959" s="512">
        <v>2.5096955724E10</v>
      </c>
      <c r="E959" s="606" t="s">
        <v>2321</v>
      </c>
      <c r="F959" s="606" t="s">
        <v>436</v>
      </c>
      <c r="G959" s="606" t="s">
        <v>2322</v>
      </c>
      <c r="H959" s="608" t="s">
        <v>901</v>
      </c>
    </row>
    <row r="960">
      <c r="A960" s="512" t="s">
        <v>617</v>
      </c>
      <c r="B960" s="512" t="s">
        <v>449</v>
      </c>
      <c r="C960" s="605">
        <v>45805.0</v>
      </c>
      <c r="D960" s="512">
        <v>2.6083293003E10</v>
      </c>
      <c r="E960" s="606" t="s">
        <v>2106</v>
      </c>
      <c r="F960" s="606" t="s">
        <v>436</v>
      </c>
      <c r="G960" s="606" t="s">
        <v>2323</v>
      </c>
      <c r="H960" s="608" t="s">
        <v>696</v>
      </c>
    </row>
    <row r="961">
      <c r="A961" s="512" t="s">
        <v>439</v>
      </c>
      <c r="B961" s="512" t="s">
        <v>449</v>
      </c>
      <c r="C961" s="605">
        <v>45806.0</v>
      </c>
      <c r="D961" s="512">
        <v>3.0924939472E10</v>
      </c>
      <c r="E961" s="646" t="s">
        <v>2324</v>
      </c>
      <c r="F961" s="606" t="s">
        <v>436</v>
      </c>
      <c r="G961" s="606" t="s">
        <v>2325</v>
      </c>
      <c r="H961" s="608" t="s">
        <v>1608</v>
      </c>
    </row>
    <row r="962">
      <c r="A962" s="512" t="s">
        <v>439</v>
      </c>
      <c r="B962" s="512" t="s">
        <v>433</v>
      </c>
      <c r="C962" s="605">
        <v>45806.0</v>
      </c>
      <c r="D962" s="512">
        <v>3.3371566419E10</v>
      </c>
      <c r="E962" s="646" t="s">
        <v>2326</v>
      </c>
      <c r="F962" s="606" t="s">
        <v>436</v>
      </c>
      <c r="G962" s="606" t="s">
        <v>1417</v>
      </c>
      <c r="H962" s="608" t="s">
        <v>1608</v>
      </c>
    </row>
    <row r="963">
      <c r="A963" s="512" t="s">
        <v>439</v>
      </c>
      <c r="B963" s="512" t="s">
        <v>433</v>
      </c>
      <c r="C963" s="605">
        <v>45806.0</v>
      </c>
      <c r="D963" s="512">
        <v>3.3371566403E10</v>
      </c>
      <c r="E963" s="646" t="s">
        <v>2326</v>
      </c>
      <c r="F963" s="606" t="s">
        <v>436</v>
      </c>
      <c r="G963" s="606" t="s">
        <v>1417</v>
      </c>
      <c r="H963" s="608" t="s">
        <v>1608</v>
      </c>
    </row>
    <row r="964">
      <c r="A964" s="512" t="s">
        <v>439</v>
      </c>
      <c r="B964" s="512" t="s">
        <v>433</v>
      </c>
      <c r="C964" s="605">
        <v>45806.0</v>
      </c>
      <c r="D964" s="512">
        <v>3.1669368901E10</v>
      </c>
      <c r="E964" s="646" t="s">
        <v>2327</v>
      </c>
      <c r="F964" s="606" t="s">
        <v>436</v>
      </c>
      <c r="G964" s="606" t="s">
        <v>2328</v>
      </c>
      <c r="H964" s="608" t="s">
        <v>1608</v>
      </c>
    </row>
    <row r="965">
      <c r="A965" s="512" t="s">
        <v>439</v>
      </c>
      <c r="B965" s="512" t="s">
        <v>433</v>
      </c>
      <c r="C965" s="605">
        <v>45806.0</v>
      </c>
      <c r="D965" s="512">
        <v>2.518891771E10</v>
      </c>
      <c r="E965" s="646" t="s">
        <v>2327</v>
      </c>
      <c r="F965" s="606" t="s">
        <v>436</v>
      </c>
      <c r="G965" s="606" t="s">
        <v>2329</v>
      </c>
      <c r="H965" s="608" t="s">
        <v>1608</v>
      </c>
    </row>
    <row r="966">
      <c r="A966" s="512" t="s">
        <v>690</v>
      </c>
      <c r="B966" s="512" t="s">
        <v>449</v>
      </c>
      <c r="C966" s="605">
        <v>45806.0</v>
      </c>
      <c r="D966" s="512">
        <v>3.110662432E10</v>
      </c>
      <c r="E966" s="646" t="s">
        <v>1880</v>
      </c>
      <c r="F966" s="606" t="s">
        <v>436</v>
      </c>
      <c r="G966" s="606" t="s">
        <v>2330</v>
      </c>
      <c r="H966" s="608" t="s">
        <v>693</v>
      </c>
    </row>
    <row r="967">
      <c r="A967" s="512" t="s">
        <v>690</v>
      </c>
      <c r="B967" s="512" t="s">
        <v>449</v>
      </c>
      <c r="C967" s="605">
        <v>45806.0</v>
      </c>
      <c r="D967" s="512">
        <v>3.3371161073E10</v>
      </c>
      <c r="E967" s="646" t="s">
        <v>2331</v>
      </c>
      <c r="F967" s="606" t="s">
        <v>436</v>
      </c>
      <c r="G967" s="606" t="s">
        <v>2332</v>
      </c>
      <c r="H967" s="608" t="s">
        <v>693</v>
      </c>
    </row>
    <row r="968">
      <c r="A968" s="512" t="s">
        <v>439</v>
      </c>
      <c r="B968" s="512" t="s">
        <v>449</v>
      </c>
      <c r="C968" s="605">
        <v>45806.0</v>
      </c>
      <c r="D968" s="512">
        <v>2.6751794545E10</v>
      </c>
      <c r="E968" s="646" t="s">
        <v>2333</v>
      </c>
      <c r="F968" s="606" t="s">
        <v>436</v>
      </c>
      <c r="G968" s="606" t="s">
        <v>2334</v>
      </c>
      <c r="H968" s="608" t="s">
        <v>1608</v>
      </c>
    </row>
    <row r="969">
      <c r="A969" s="512" t="s">
        <v>439</v>
      </c>
      <c r="B969" s="512" t="s">
        <v>433</v>
      </c>
      <c r="C969" s="605">
        <v>45806.0</v>
      </c>
      <c r="D969" s="512">
        <v>3.0944806751E10</v>
      </c>
      <c r="E969" s="646" t="s">
        <v>2335</v>
      </c>
      <c r="F969" s="606" t="s">
        <v>436</v>
      </c>
      <c r="G969" s="606" t="s">
        <v>2336</v>
      </c>
      <c r="H969" s="608" t="s">
        <v>1608</v>
      </c>
    </row>
    <row r="970">
      <c r="A970" s="512" t="s">
        <v>690</v>
      </c>
      <c r="B970" s="512" t="s">
        <v>449</v>
      </c>
      <c r="C970" s="605">
        <v>45806.0</v>
      </c>
      <c r="D970" s="512">
        <v>2.9659765948E10</v>
      </c>
      <c r="E970" s="646" t="s">
        <v>2337</v>
      </c>
      <c r="F970" s="606" t="s">
        <v>436</v>
      </c>
      <c r="G970" s="606" t="s">
        <v>1122</v>
      </c>
      <c r="H970" s="608" t="s">
        <v>693</v>
      </c>
    </row>
    <row r="971">
      <c r="A971" s="512" t="s">
        <v>439</v>
      </c>
      <c r="B971" s="512" t="s">
        <v>449</v>
      </c>
      <c r="C971" s="618">
        <v>45806.0</v>
      </c>
      <c r="D971" s="546">
        <v>3.3649385892E10</v>
      </c>
      <c r="E971" s="650" t="s">
        <v>2338</v>
      </c>
      <c r="F971" s="619" t="s">
        <v>436</v>
      </c>
      <c r="G971" s="619" t="s">
        <v>2339</v>
      </c>
      <c r="H971" s="629" t="s">
        <v>1608</v>
      </c>
    </row>
    <row r="972">
      <c r="A972" s="512" t="s">
        <v>439</v>
      </c>
      <c r="B972" s="512" t="s">
        <v>433</v>
      </c>
      <c r="C972" s="605">
        <v>45806.0</v>
      </c>
      <c r="D972" s="512">
        <v>2.1989705307E10</v>
      </c>
      <c r="E972" s="646" t="s">
        <v>2340</v>
      </c>
      <c r="F972" s="606" t="s">
        <v>436</v>
      </c>
      <c r="G972" s="606" t="s">
        <v>2341</v>
      </c>
      <c r="H972" s="608" t="s">
        <v>1608</v>
      </c>
    </row>
    <row r="973">
      <c r="A973" s="512" t="s">
        <v>617</v>
      </c>
      <c r="B973" s="512" t="s">
        <v>449</v>
      </c>
      <c r="C973" s="605">
        <v>45806.0</v>
      </c>
      <c r="D973" s="512">
        <v>2.9718170075E10</v>
      </c>
      <c r="E973" s="646" t="s">
        <v>2342</v>
      </c>
      <c r="F973" s="606" t="s">
        <v>436</v>
      </c>
      <c r="G973" s="606" t="s">
        <v>2343</v>
      </c>
      <c r="H973" s="608" t="s">
        <v>623</v>
      </c>
    </row>
    <row r="974">
      <c r="A974" s="512" t="s">
        <v>690</v>
      </c>
      <c r="B974" s="512" t="s">
        <v>449</v>
      </c>
      <c r="C974" s="605">
        <v>45807.0</v>
      </c>
      <c r="D974" s="512">
        <v>3.5095164504E10</v>
      </c>
      <c r="E974" s="646" t="s">
        <v>2344</v>
      </c>
      <c r="F974" s="606" t="s">
        <v>436</v>
      </c>
      <c r="G974" s="606" t="s">
        <v>965</v>
      </c>
      <c r="H974" s="608" t="s">
        <v>1362</v>
      </c>
    </row>
    <row r="975">
      <c r="A975" s="512" t="s">
        <v>432</v>
      </c>
      <c r="B975" s="512" t="s">
        <v>449</v>
      </c>
      <c r="C975" s="605">
        <v>45807.0</v>
      </c>
      <c r="D975" s="512">
        <v>3.6033773763E10</v>
      </c>
      <c r="E975" s="606" t="s">
        <v>2345</v>
      </c>
      <c r="F975" s="606" t="s">
        <v>436</v>
      </c>
      <c r="G975" s="606" t="s">
        <v>2346</v>
      </c>
      <c r="H975" s="608" t="s">
        <v>1096</v>
      </c>
    </row>
    <row r="976">
      <c r="A976" s="512" t="s">
        <v>690</v>
      </c>
      <c r="B976" s="512" t="s">
        <v>449</v>
      </c>
      <c r="C976" s="605">
        <v>45807.0</v>
      </c>
      <c r="D976" s="512">
        <v>3.0023876507E10</v>
      </c>
      <c r="E976" s="646" t="s">
        <v>2347</v>
      </c>
      <c r="F976" s="606" t="s">
        <v>436</v>
      </c>
      <c r="G976" s="643" t="s">
        <v>2348</v>
      </c>
      <c r="H976" s="608" t="s">
        <v>1362</v>
      </c>
    </row>
    <row r="977">
      <c r="A977" s="512" t="s">
        <v>690</v>
      </c>
      <c r="B977" s="512" t="s">
        <v>449</v>
      </c>
      <c r="C977" s="605">
        <v>45807.0</v>
      </c>
      <c r="D977" s="512">
        <v>3.1137334296E10</v>
      </c>
      <c r="E977" s="646" t="s">
        <v>2349</v>
      </c>
      <c r="F977" s="606" t="s">
        <v>436</v>
      </c>
      <c r="G977" s="643" t="s">
        <v>2350</v>
      </c>
      <c r="H977" s="608" t="s">
        <v>1362</v>
      </c>
    </row>
    <row r="978">
      <c r="A978" s="512" t="s">
        <v>439</v>
      </c>
      <c r="B978" s="512" t="s">
        <v>497</v>
      </c>
      <c r="C978" s="605">
        <v>45807.0</v>
      </c>
      <c r="D978" s="512">
        <v>3.6084086079E10</v>
      </c>
      <c r="E978" s="646" t="s">
        <v>2351</v>
      </c>
      <c r="F978" s="606" t="s">
        <v>436</v>
      </c>
      <c r="G978" s="606" t="s">
        <v>2352</v>
      </c>
      <c r="H978" s="608" t="s">
        <v>850</v>
      </c>
    </row>
    <row r="979">
      <c r="A979" s="512" t="s">
        <v>617</v>
      </c>
      <c r="B979" s="512" t="s">
        <v>449</v>
      </c>
      <c r="C979" s="605">
        <v>45808.0</v>
      </c>
      <c r="D979" s="512">
        <v>2.8654790364E10</v>
      </c>
      <c r="E979" s="606" t="s">
        <v>2353</v>
      </c>
      <c r="F979" s="606" t="s">
        <v>436</v>
      </c>
      <c r="G979" s="606" t="s">
        <v>2354</v>
      </c>
      <c r="H979" s="608" t="s">
        <v>696</v>
      </c>
    </row>
    <row r="980">
      <c r="A980" s="512" t="s">
        <v>823</v>
      </c>
      <c r="B980" s="512" t="s">
        <v>449</v>
      </c>
      <c r="C980" s="605">
        <v>45808.0</v>
      </c>
      <c r="D980" s="512">
        <v>3.4205825345E10</v>
      </c>
      <c r="E980" s="646" t="s">
        <v>2355</v>
      </c>
      <c r="F980" s="606" t="s">
        <v>436</v>
      </c>
      <c r="G980" s="606" t="s">
        <v>2356</v>
      </c>
      <c r="H980" s="608" t="s">
        <v>1742</v>
      </c>
    </row>
    <row r="981">
      <c r="A981" s="512" t="s">
        <v>617</v>
      </c>
      <c r="B981" s="512" t="s">
        <v>449</v>
      </c>
      <c r="C981" s="605">
        <v>45808.0</v>
      </c>
      <c r="D981" s="512">
        <v>3.1179497872E10</v>
      </c>
      <c r="E981" s="606" t="s">
        <v>2357</v>
      </c>
      <c r="F981" s="606" t="s">
        <v>436</v>
      </c>
      <c r="G981" s="606" t="s">
        <v>1671</v>
      </c>
      <c r="H981" s="608" t="s">
        <v>696</v>
      </c>
    </row>
    <row r="982">
      <c r="A982" s="512" t="s">
        <v>439</v>
      </c>
      <c r="B982" s="512" t="s">
        <v>449</v>
      </c>
      <c r="C982" s="605">
        <v>45808.0</v>
      </c>
      <c r="D982" s="512">
        <v>3.6176027051E10</v>
      </c>
      <c r="E982" s="646" t="s">
        <v>2358</v>
      </c>
      <c r="F982" s="606" t="s">
        <v>436</v>
      </c>
      <c r="G982" s="606" t="s">
        <v>2359</v>
      </c>
      <c r="H982" s="608" t="s">
        <v>850</v>
      </c>
    </row>
    <row r="983">
      <c r="A983" s="512" t="s">
        <v>823</v>
      </c>
      <c r="B983" s="512" t="s">
        <v>449</v>
      </c>
      <c r="C983" s="605">
        <v>45808.0</v>
      </c>
      <c r="D983" s="512">
        <v>3.3395104726E10</v>
      </c>
      <c r="E983" s="651" t="s">
        <v>2360</v>
      </c>
      <c r="F983" s="606" t="s">
        <v>436</v>
      </c>
      <c r="G983" s="606" t="s">
        <v>2361</v>
      </c>
      <c r="H983" s="608" t="s">
        <v>1742</v>
      </c>
    </row>
    <row r="984">
      <c r="A984" s="512" t="s">
        <v>690</v>
      </c>
      <c r="B984" s="512" t="s">
        <v>449</v>
      </c>
      <c r="C984" s="605">
        <v>45809.0</v>
      </c>
      <c r="D984" s="512">
        <v>3.1869499834E10</v>
      </c>
      <c r="E984" s="646" t="s">
        <v>2362</v>
      </c>
      <c r="F984" s="606" t="s">
        <v>436</v>
      </c>
      <c r="G984" s="606" t="s">
        <v>2363</v>
      </c>
      <c r="H984" s="608" t="s">
        <v>693</v>
      </c>
    </row>
    <row r="985">
      <c r="A985" s="512" t="s">
        <v>432</v>
      </c>
      <c r="B985" s="512" t="s">
        <v>449</v>
      </c>
      <c r="C985" s="605">
        <v>45809.0</v>
      </c>
      <c r="D985" s="512">
        <v>3.2718001653E10</v>
      </c>
      <c r="E985" s="606" t="s">
        <v>2364</v>
      </c>
      <c r="F985" s="606" t="s">
        <v>436</v>
      </c>
      <c r="G985" s="606" t="s">
        <v>2365</v>
      </c>
      <c r="H985" s="608" t="s">
        <v>901</v>
      </c>
    </row>
    <row r="986">
      <c r="A986" s="512" t="s">
        <v>617</v>
      </c>
      <c r="B986" s="512" t="s">
        <v>433</v>
      </c>
      <c r="C986" s="605">
        <v>45809.0</v>
      </c>
      <c r="D986" s="512">
        <v>3.3158139119E10</v>
      </c>
      <c r="E986" s="606" t="s">
        <v>2366</v>
      </c>
      <c r="F986" s="606" t="s">
        <v>436</v>
      </c>
      <c r="G986" s="606" t="s">
        <v>2367</v>
      </c>
      <c r="H986" s="608" t="s">
        <v>696</v>
      </c>
    </row>
    <row r="987">
      <c r="A987" s="512" t="s">
        <v>690</v>
      </c>
      <c r="B987" s="512" t="s">
        <v>449</v>
      </c>
      <c r="C987" s="605">
        <v>45809.0</v>
      </c>
      <c r="D987" s="512">
        <v>3.2423764518E10</v>
      </c>
      <c r="E987" s="646" t="s">
        <v>2368</v>
      </c>
      <c r="F987" s="606" t="s">
        <v>436</v>
      </c>
      <c r="G987" s="606" t="s">
        <v>1359</v>
      </c>
      <c r="H987" s="608" t="s">
        <v>693</v>
      </c>
    </row>
    <row r="988">
      <c r="A988" s="512" t="s">
        <v>432</v>
      </c>
      <c r="B988" s="512" t="s">
        <v>449</v>
      </c>
      <c r="C988" s="605">
        <v>45809.0</v>
      </c>
      <c r="D988" s="512">
        <v>3.3146004297E10</v>
      </c>
      <c r="E988" s="606" t="s">
        <v>2369</v>
      </c>
      <c r="F988" s="606" t="s">
        <v>436</v>
      </c>
      <c r="G988" s="606" t="s">
        <v>1172</v>
      </c>
      <c r="H988" s="608" t="s">
        <v>901</v>
      </c>
    </row>
    <row r="989">
      <c r="A989" s="512" t="s">
        <v>617</v>
      </c>
      <c r="B989" s="512" t="s">
        <v>449</v>
      </c>
      <c r="C989" s="605">
        <v>45809.0</v>
      </c>
      <c r="D989" s="512">
        <v>3.1886897571E10</v>
      </c>
      <c r="E989" s="606" t="s">
        <v>2370</v>
      </c>
      <c r="F989" s="606" t="s">
        <v>436</v>
      </c>
      <c r="G989" s="606" t="s">
        <v>2371</v>
      </c>
      <c r="H989" s="608" t="s">
        <v>696</v>
      </c>
    </row>
    <row r="990">
      <c r="A990" s="512" t="s">
        <v>690</v>
      </c>
      <c r="B990" s="512" t="s">
        <v>449</v>
      </c>
      <c r="C990" s="605">
        <v>45809.0</v>
      </c>
      <c r="D990" s="512">
        <v>3.1910296306E10</v>
      </c>
      <c r="E990" s="646" t="s">
        <v>2372</v>
      </c>
      <c r="F990" s="606" t="s">
        <v>436</v>
      </c>
      <c r="G990" s="606" t="s">
        <v>2373</v>
      </c>
      <c r="H990" s="608" t="s">
        <v>693</v>
      </c>
    </row>
    <row r="991">
      <c r="A991" s="512" t="s">
        <v>432</v>
      </c>
      <c r="B991" s="512" t="s">
        <v>433</v>
      </c>
      <c r="C991" s="605">
        <v>45809.0</v>
      </c>
      <c r="D991" s="512">
        <v>3.6145798543E10</v>
      </c>
      <c r="E991" s="606" t="s">
        <v>2374</v>
      </c>
      <c r="F991" s="606" t="s">
        <v>436</v>
      </c>
      <c r="G991" s="606" t="s">
        <v>2375</v>
      </c>
      <c r="H991" s="608" t="s">
        <v>901</v>
      </c>
    </row>
    <row r="992">
      <c r="A992" s="512" t="s">
        <v>617</v>
      </c>
      <c r="B992" s="512" t="s">
        <v>449</v>
      </c>
      <c r="C992" s="605">
        <v>45809.0</v>
      </c>
      <c r="D992" s="512">
        <v>2.8067855352E10</v>
      </c>
      <c r="E992" s="606" t="s">
        <v>2376</v>
      </c>
      <c r="F992" s="606" t="s">
        <v>436</v>
      </c>
      <c r="G992" s="606" t="s">
        <v>2377</v>
      </c>
      <c r="H992" s="608" t="s">
        <v>696</v>
      </c>
    </row>
    <row r="993">
      <c r="A993" s="512" t="s">
        <v>823</v>
      </c>
      <c r="B993" s="512" t="s">
        <v>449</v>
      </c>
      <c r="C993" s="605">
        <v>45809.0</v>
      </c>
      <c r="D993" s="512">
        <v>3.6081033229E10</v>
      </c>
      <c r="E993" s="646" t="s">
        <v>2378</v>
      </c>
      <c r="F993" s="606" t="s">
        <v>436</v>
      </c>
      <c r="G993" s="606" t="s">
        <v>2379</v>
      </c>
      <c r="H993" s="608" t="s">
        <v>1175</v>
      </c>
    </row>
    <row r="994">
      <c r="A994" s="512" t="s">
        <v>432</v>
      </c>
      <c r="B994" s="512" t="s">
        <v>449</v>
      </c>
      <c r="C994" s="605">
        <v>45809.0</v>
      </c>
      <c r="D994" s="512">
        <v>3.2259167307E10</v>
      </c>
      <c r="E994" s="606" t="s">
        <v>2380</v>
      </c>
      <c r="F994" s="606" t="s">
        <v>436</v>
      </c>
      <c r="G994" s="606" t="s">
        <v>2381</v>
      </c>
      <c r="H994" s="608" t="s">
        <v>901</v>
      </c>
    </row>
    <row r="995">
      <c r="A995" s="512" t="s">
        <v>690</v>
      </c>
      <c r="B995" s="512" t="s">
        <v>449</v>
      </c>
      <c r="C995" s="605">
        <v>45809.0</v>
      </c>
      <c r="D995" s="512">
        <v>3.3859193646E10</v>
      </c>
      <c r="E995" s="646" t="s">
        <v>2382</v>
      </c>
      <c r="F995" s="606" t="s">
        <v>436</v>
      </c>
      <c r="G995" s="606" t="s">
        <v>1517</v>
      </c>
      <c r="H995" s="608" t="s">
        <v>693</v>
      </c>
    </row>
    <row r="996">
      <c r="A996" s="512" t="s">
        <v>690</v>
      </c>
      <c r="B996" s="512" t="s">
        <v>449</v>
      </c>
      <c r="C996" s="605">
        <v>45809.0</v>
      </c>
      <c r="D996" s="512">
        <v>3.2259158019E10</v>
      </c>
      <c r="E996" s="646" t="s">
        <v>2383</v>
      </c>
      <c r="F996" s="606" t="s">
        <v>436</v>
      </c>
      <c r="G996" s="606" t="s">
        <v>2384</v>
      </c>
      <c r="H996" s="608" t="s">
        <v>693</v>
      </c>
    </row>
    <row r="997">
      <c r="A997" s="512" t="s">
        <v>617</v>
      </c>
      <c r="B997" s="512" t="s">
        <v>433</v>
      </c>
      <c r="C997" s="605">
        <v>45809.0</v>
      </c>
      <c r="D997" s="512">
        <v>3.175495767E10</v>
      </c>
      <c r="E997" s="606" t="s">
        <v>2385</v>
      </c>
      <c r="F997" s="606" t="s">
        <v>436</v>
      </c>
      <c r="G997" s="606" t="s">
        <v>913</v>
      </c>
      <c r="H997" s="608" t="s">
        <v>696</v>
      </c>
    </row>
    <row r="998">
      <c r="A998" s="512" t="s">
        <v>690</v>
      </c>
      <c r="B998" s="512" t="s">
        <v>449</v>
      </c>
      <c r="C998" s="605">
        <v>45809.0</v>
      </c>
      <c r="D998" s="512">
        <v>3.0979846294E10</v>
      </c>
      <c r="E998" s="646" t="s">
        <v>2386</v>
      </c>
      <c r="F998" s="606" t="s">
        <v>436</v>
      </c>
      <c r="G998" s="606" t="s">
        <v>1114</v>
      </c>
      <c r="H998" s="608" t="s">
        <v>693</v>
      </c>
    </row>
    <row r="999">
      <c r="A999" s="512" t="s">
        <v>823</v>
      </c>
      <c r="B999" s="512" t="s">
        <v>449</v>
      </c>
      <c r="C999" s="605">
        <v>45809.0</v>
      </c>
      <c r="D999" s="512">
        <v>3.3427573305E10</v>
      </c>
      <c r="E999" s="643" t="s">
        <v>2387</v>
      </c>
      <c r="F999" s="606" t="s">
        <v>436</v>
      </c>
      <c r="G999" s="606" t="s">
        <v>2388</v>
      </c>
      <c r="H999" s="608" t="s">
        <v>1175</v>
      </c>
    </row>
    <row r="1000">
      <c r="A1000" s="512" t="s">
        <v>690</v>
      </c>
      <c r="B1000" s="512" t="s">
        <v>449</v>
      </c>
      <c r="C1000" s="605">
        <v>45809.0</v>
      </c>
      <c r="D1000" s="512">
        <v>3.144721596E10</v>
      </c>
      <c r="E1000" s="646" t="s">
        <v>2389</v>
      </c>
      <c r="F1000" s="606" t="s">
        <v>436</v>
      </c>
      <c r="G1000" s="606" t="s">
        <v>2390</v>
      </c>
      <c r="H1000" s="608" t="s">
        <v>693</v>
      </c>
    </row>
    <row r="1001">
      <c r="A1001" s="512" t="s">
        <v>432</v>
      </c>
      <c r="B1001" s="512" t="s">
        <v>433</v>
      </c>
      <c r="C1001" s="605">
        <v>45809.0</v>
      </c>
      <c r="D1001" s="512">
        <v>3.1492942142E10</v>
      </c>
      <c r="E1001" s="606" t="s">
        <v>2391</v>
      </c>
      <c r="F1001" s="606" t="s">
        <v>436</v>
      </c>
      <c r="G1001" s="606" t="s">
        <v>2392</v>
      </c>
      <c r="H1001" s="608" t="s">
        <v>901</v>
      </c>
    </row>
    <row r="1002">
      <c r="A1002" s="512" t="s">
        <v>432</v>
      </c>
      <c r="B1002" s="512" t="s">
        <v>433</v>
      </c>
      <c r="C1002" s="605">
        <v>45809.0</v>
      </c>
      <c r="D1002" s="512">
        <v>3.5942561263E10</v>
      </c>
      <c r="E1002" s="606" t="s">
        <v>2393</v>
      </c>
      <c r="F1002" s="606" t="s">
        <v>436</v>
      </c>
      <c r="G1002" s="606" t="s">
        <v>1331</v>
      </c>
      <c r="H1002" s="608" t="s">
        <v>901</v>
      </c>
    </row>
    <row r="1003">
      <c r="A1003" s="512" t="s">
        <v>432</v>
      </c>
      <c r="B1003" s="512" t="s">
        <v>433</v>
      </c>
      <c r="C1003" s="605">
        <v>45809.0</v>
      </c>
      <c r="D1003" s="512">
        <v>3.233343818E10</v>
      </c>
      <c r="E1003" s="606" t="s">
        <v>2394</v>
      </c>
      <c r="F1003" s="606" t="s">
        <v>436</v>
      </c>
      <c r="G1003" s="606" t="s">
        <v>2395</v>
      </c>
      <c r="H1003" s="608" t="s">
        <v>901</v>
      </c>
    </row>
    <row r="1004">
      <c r="A1004" s="512" t="s">
        <v>432</v>
      </c>
      <c r="B1004" s="512" t="s">
        <v>433</v>
      </c>
      <c r="C1004" s="605">
        <v>45809.0</v>
      </c>
      <c r="D1004" s="512">
        <v>2.552095728E10</v>
      </c>
      <c r="E1004" s="606" t="s">
        <v>2396</v>
      </c>
      <c r="F1004" s="606" t="s">
        <v>436</v>
      </c>
      <c r="G1004" s="606" t="s">
        <v>2397</v>
      </c>
      <c r="H1004" s="608" t="s">
        <v>901</v>
      </c>
    </row>
    <row r="1005">
      <c r="A1005" s="512" t="s">
        <v>617</v>
      </c>
      <c r="B1005" s="512" t="s">
        <v>449</v>
      </c>
      <c r="C1005" s="605">
        <v>45809.0</v>
      </c>
      <c r="D1005" s="512">
        <v>3.3287943412E10</v>
      </c>
      <c r="E1005" s="606" t="s">
        <v>2398</v>
      </c>
      <c r="F1005" s="606" t="s">
        <v>436</v>
      </c>
      <c r="G1005" s="606" t="s">
        <v>2399</v>
      </c>
      <c r="H1005" s="608" t="s">
        <v>696</v>
      </c>
    </row>
    <row r="1006">
      <c r="A1006" s="512" t="s">
        <v>617</v>
      </c>
      <c r="B1006" s="512" t="s">
        <v>449</v>
      </c>
      <c r="C1006" s="605">
        <v>45810.0</v>
      </c>
      <c r="D1006" s="512">
        <v>2.9604707421E10</v>
      </c>
      <c r="E1006" s="646" t="s">
        <v>2400</v>
      </c>
      <c r="F1006" s="606" t="s">
        <v>436</v>
      </c>
      <c r="G1006" s="606" t="s">
        <v>2401</v>
      </c>
      <c r="H1006" s="608" t="s">
        <v>623</v>
      </c>
    </row>
    <row r="1007">
      <c r="A1007" s="512" t="s">
        <v>690</v>
      </c>
      <c r="B1007" s="512" t="s">
        <v>449</v>
      </c>
      <c r="C1007" s="605">
        <v>45810.0</v>
      </c>
      <c r="D1007" s="512">
        <v>3.4320841347E10</v>
      </c>
      <c r="E1007" s="646" t="s">
        <v>2402</v>
      </c>
      <c r="F1007" s="606" t="s">
        <v>436</v>
      </c>
      <c r="G1007" s="606" t="s">
        <v>2403</v>
      </c>
      <c r="H1007" s="608" t="s">
        <v>693</v>
      </c>
    </row>
    <row r="1008">
      <c r="A1008" s="512" t="s">
        <v>617</v>
      </c>
      <c r="B1008" s="512" t="s">
        <v>449</v>
      </c>
      <c r="C1008" s="605">
        <v>45810.0</v>
      </c>
      <c r="D1008" s="512">
        <v>3.1181075256E10</v>
      </c>
      <c r="E1008" s="646" t="s">
        <v>2404</v>
      </c>
      <c r="F1008" s="606" t="s">
        <v>436</v>
      </c>
      <c r="G1008" s="606" t="s">
        <v>2405</v>
      </c>
      <c r="H1008" s="608" t="s">
        <v>623</v>
      </c>
    </row>
    <row r="1009">
      <c r="A1009" s="512" t="s">
        <v>823</v>
      </c>
      <c r="B1009" s="512" t="s">
        <v>449</v>
      </c>
      <c r="C1009" s="605">
        <v>45810.0</v>
      </c>
      <c r="D1009" s="512">
        <v>2.3682623586E10</v>
      </c>
      <c r="E1009" s="606" t="s">
        <v>2406</v>
      </c>
      <c r="F1009" s="606" t="s">
        <v>436</v>
      </c>
      <c r="G1009" s="606" t="s">
        <v>2407</v>
      </c>
      <c r="H1009" s="608" t="s">
        <v>1175</v>
      </c>
    </row>
    <row r="1010">
      <c r="A1010" s="512" t="s">
        <v>432</v>
      </c>
      <c r="B1010" s="512" t="s">
        <v>433</v>
      </c>
      <c r="C1010" s="605">
        <v>45810.0</v>
      </c>
      <c r="D1010" s="512">
        <v>3.4503940395E10</v>
      </c>
      <c r="E1010" s="606" t="s">
        <v>2408</v>
      </c>
      <c r="F1010" s="606" t="s">
        <v>436</v>
      </c>
      <c r="G1010" s="606" t="s">
        <v>2128</v>
      </c>
      <c r="H1010" s="608" t="s">
        <v>901</v>
      </c>
    </row>
    <row r="1011">
      <c r="A1011" s="512" t="s">
        <v>690</v>
      </c>
      <c r="B1011" s="512" t="s">
        <v>449</v>
      </c>
      <c r="C1011" s="605">
        <v>45810.0</v>
      </c>
      <c r="D1011" s="512">
        <v>3.6164663295E10</v>
      </c>
      <c r="E1011" s="646" t="s">
        <v>2409</v>
      </c>
      <c r="F1011" s="606" t="s">
        <v>436</v>
      </c>
      <c r="G1011" s="606" t="s">
        <v>1447</v>
      </c>
      <c r="H1011" s="608" t="s">
        <v>693</v>
      </c>
    </row>
    <row r="1012">
      <c r="A1012" s="512" t="s">
        <v>823</v>
      </c>
      <c r="B1012" s="512" t="s">
        <v>449</v>
      </c>
      <c r="C1012" s="605">
        <v>45810.0</v>
      </c>
      <c r="D1012" s="512">
        <v>3.5978740612E10</v>
      </c>
      <c r="E1012" s="606" t="s">
        <v>2410</v>
      </c>
      <c r="F1012" s="606" t="s">
        <v>436</v>
      </c>
      <c r="G1012" s="606" t="s">
        <v>1136</v>
      </c>
      <c r="H1012" s="608" t="s">
        <v>1175</v>
      </c>
    </row>
    <row r="1013">
      <c r="A1013" s="512" t="s">
        <v>617</v>
      </c>
      <c r="B1013" s="512" t="s">
        <v>449</v>
      </c>
      <c r="C1013" s="605">
        <v>45810.0</v>
      </c>
      <c r="D1013" s="512">
        <v>3.5444332171E10</v>
      </c>
      <c r="E1013" s="606" t="s">
        <v>2411</v>
      </c>
      <c r="F1013" s="606" t="s">
        <v>436</v>
      </c>
      <c r="G1013" s="606" t="s">
        <v>2412</v>
      </c>
      <c r="H1013" s="608" t="s">
        <v>623</v>
      </c>
    </row>
    <row r="1014">
      <c r="A1014" s="512" t="s">
        <v>439</v>
      </c>
      <c r="B1014" s="512" t="s">
        <v>433</v>
      </c>
      <c r="C1014" s="605">
        <v>45810.0</v>
      </c>
      <c r="D1014" s="512">
        <v>3.0377129014E10</v>
      </c>
      <c r="E1014" s="646" t="s">
        <v>2413</v>
      </c>
      <c r="F1014" s="606" t="s">
        <v>436</v>
      </c>
      <c r="G1014" s="606" t="s">
        <v>2414</v>
      </c>
      <c r="H1014" s="608" t="s">
        <v>1608</v>
      </c>
    </row>
    <row r="1015">
      <c r="A1015" s="512" t="s">
        <v>439</v>
      </c>
      <c r="B1015" s="512" t="s">
        <v>449</v>
      </c>
      <c r="C1015" s="605">
        <v>45810.0</v>
      </c>
      <c r="D1015" s="512">
        <v>3.6201370426E10</v>
      </c>
      <c r="E1015" s="646" t="s">
        <v>2415</v>
      </c>
      <c r="F1015" s="606" t="s">
        <v>436</v>
      </c>
      <c r="G1015" s="606" t="s">
        <v>836</v>
      </c>
      <c r="H1015" s="608" t="s">
        <v>1608</v>
      </c>
    </row>
    <row r="1016">
      <c r="A1016" s="512" t="s">
        <v>432</v>
      </c>
      <c r="B1016" s="512" t="s">
        <v>433</v>
      </c>
      <c r="C1016" s="605">
        <v>45810.0</v>
      </c>
      <c r="D1016" s="512">
        <v>3.6059307597E10</v>
      </c>
      <c r="E1016" s="606" t="s">
        <v>2416</v>
      </c>
      <c r="F1016" s="606" t="s">
        <v>436</v>
      </c>
      <c r="G1016" s="606" t="s">
        <v>2417</v>
      </c>
      <c r="H1016" s="608" t="s">
        <v>901</v>
      </c>
    </row>
    <row r="1017">
      <c r="A1017" s="512" t="s">
        <v>439</v>
      </c>
      <c r="B1017" s="512" t="s">
        <v>449</v>
      </c>
      <c r="C1017" s="605">
        <v>45810.0</v>
      </c>
      <c r="D1017" s="512">
        <v>2.9014671311E10</v>
      </c>
      <c r="E1017" s="646" t="s">
        <v>2418</v>
      </c>
      <c r="F1017" s="606" t="s">
        <v>436</v>
      </c>
      <c r="G1017" s="606" t="s">
        <v>2419</v>
      </c>
      <c r="H1017" s="608" t="s">
        <v>1608</v>
      </c>
    </row>
    <row r="1018">
      <c r="A1018" s="512" t="s">
        <v>439</v>
      </c>
      <c r="B1018" s="512" t="s">
        <v>433</v>
      </c>
      <c r="C1018" s="605">
        <v>45810.0</v>
      </c>
      <c r="D1018" s="512">
        <v>3.076305347E10</v>
      </c>
      <c r="E1018" s="646" t="s">
        <v>2420</v>
      </c>
      <c r="F1018" s="606" t="s">
        <v>436</v>
      </c>
      <c r="G1018" s="606" t="s">
        <v>2421</v>
      </c>
      <c r="H1018" s="608" t="s">
        <v>1608</v>
      </c>
    </row>
    <row r="1019">
      <c r="A1019" s="512" t="s">
        <v>439</v>
      </c>
      <c r="B1019" s="512" t="s">
        <v>433</v>
      </c>
      <c r="C1019" s="605">
        <v>45810.0</v>
      </c>
      <c r="D1019" s="606">
        <v>3.1113007425E10</v>
      </c>
      <c r="E1019" s="646" t="s">
        <v>2420</v>
      </c>
      <c r="F1019" s="606" t="s">
        <v>436</v>
      </c>
      <c r="G1019" s="606" t="s">
        <v>2422</v>
      </c>
      <c r="H1019" s="608" t="s">
        <v>1608</v>
      </c>
    </row>
    <row r="1020">
      <c r="A1020" s="512" t="s">
        <v>439</v>
      </c>
      <c r="B1020" s="512" t="s">
        <v>433</v>
      </c>
      <c r="C1020" s="605">
        <v>45810.0</v>
      </c>
      <c r="D1020" s="512">
        <v>3.4787815707E10</v>
      </c>
      <c r="E1020" s="646" t="s">
        <v>2423</v>
      </c>
      <c r="F1020" s="606" t="s">
        <v>436</v>
      </c>
      <c r="G1020" s="606" t="s">
        <v>2424</v>
      </c>
      <c r="H1020" s="608" t="s">
        <v>1608</v>
      </c>
    </row>
    <row r="1021">
      <c r="A1021" s="512" t="s">
        <v>690</v>
      </c>
      <c r="B1021" s="512" t="s">
        <v>449</v>
      </c>
      <c r="C1021" s="605">
        <v>45811.0</v>
      </c>
      <c r="D1021" s="512">
        <v>2.9796419362E10</v>
      </c>
      <c r="E1021" s="646" t="s">
        <v>2425</v>
      </c>
      <c r="F1021" s="606" t="s">
        <v>436</v>
      </c>
      <c r="G1021" s="643" t="s">
        <v>1760</v>
      </c>
      <c r="H1021" s="649" t="s">
        <v>1362</v>
      </c>
    </row>
    <row r="1022">
      <c r="A1022" s="512" t="s">
        <v>823</v>
      </c>
      <c r="B1022" s="512" t="s">
        <v>449</v>
      </c>
      <c r="C1022" s="605">
        <v>45811.0</v>
      </c>
      <c r="D1022" s="512">
        <v>3.5095701239E10</v>
      </c>
      <c r="E1022" s="646" t="s">
        <v>2426</v>
      </c>
      <c r="F1022" s="606" t="s">
        <v>436</v>
      </c>
      <c r="G1022" s="606" t="s">
        <v>1764</v>
      </c>
      <c r="H1022" s="608" t="s">
        <v>1835</v>
      </c>
    </row>
    <row r="1023">
      <c r="A1023" s="512" t="s">
        <v>690</v>
      </c>
      <c r="B1023" s="512" t="s">
        <v>449</v>
      </c>
      <c r="C1023" s="605">
        <v>45811.0</v>
      </c>
      <c r="D1023" s="512">
        <v>3.4196220599E10</v>
      </c>
      <c r="E1023" s="646" t="s">
        <v>2427</v>
      </c>
      <c r="F1023" s="606" t="s">
        <v>436</v>
      </c>
      <c r="G1023" s="643" t="s">
        <v>1859</v>
      </c>
      <c r="H1023" s="649" t="s">
        <v>1362</v>
      </c>
    </row>
    <row r="1024">
      <c r="A1024" s="512" t="s">
        <v>617</v>
      </c>
      <c r="B1024" s="512" t="s">
        <v>449</v>
      </c>
      <c r="C1024" s="605">
        <v>45811.0</v>
      </c>
      <c r="D1024" s="512">
        <v>3.1453253462E10</v>
      </c>
      <c r="E1024" s="606" t="s">
        <v>2428</v>
      </c>
      <c r="F1024" s="606" t="s">
        <v>436</v>
      </c>
      <c r="G1024" s="606" t="s">
        <v>2429</v>
      </c>
      <c r="H1024" s="608" t="s">
        <v>623</v>
      </c>
    </row>
    <row r="1025">
      <c r="A1025" s="512" t="s">
        <v>690</v>
      </c>
      <c r="B1025" s="512" t="s">
        <v>449</v>
      </c>
      <c r="C1025" s="605">
        <v>45811.0</v>
      </c>
      <c r="D1025" s="512">
        <v>3.3130387132E10</v>
      </c>
      <c r="E1025" s="646" t="s">
        <v>618</v>
      </c>
      <c r="F1025" s="606" t="s">
        <v>436</v>
      </c>
      <c r="G1025" s="643" t="s">
        <v>2430</v>
      </c>
      <c r="H1025" s="649" t="s">
        <v>1362</v>
      </c>
    </row>
    <row r="1026">
      <c r="A1026" s="512" t="s">
        <v>617</v>
      </c>
      <c r="B1026" s="512" t="s">
        <v>449</v>
      </c>
      <c r="C1026" s="605">
        <v>45812.0</v>
      </c>
      <c r="D1026" s="512">
        <v>3.624485754E10</v>
      </c>
      <c r="E1026" s="606" t="s">
        <v>2431</v>
      </c>
      <c r="F1026" s="606" t="s">
        <v>436</v>
      </c>
      <c r="G1026" s="606" t="s">
        <v>1764</v>
      </c>
      <c r="H1026" s="608" t="s">
        <v>696</v>
      </c>
    </row>
    <row r="1027">
      <c r="A1027" s="512" t="s">
        <v>439</v>
      </c>
      <c r="B1027" s="512" t="s">
        <v>433</v>
      </c>
      <c r="C1027" s="605">
        <v>45812.0</v>
      </c>
      <c r="D1027" s="512" t="s">
        <v>2432</v>
      </c>
      <c r="E1027" s="646" t="s">
        <v>2433</v>
      </c>
      <c r="F1027" s="606" t="s">
        <v>436</v>
      </c>
      <c r="G1027" s="606" t="s">
        <v>2434</v>
      </c>
      <c r="H1027" s="608" t="s">
        <v>850</v>
      </c>
    </row>
    <row r="1028">
      <c r="A1028" s="512" t="s">
        <v>617</v>
      </c>
      <c r="B1028" s="512" t="s">
        <v>449</v>
      </c>
      <c r="C1028" s="605">
        <v>45813.0</v>
      </c>
      <c r="D1028" s="512">
        <v>3.3664249637E10</v>
      </c>
      <c r="E1028" s="606" t="s">
        <v>2435</v>
      </c>
      <c r="F1028" s="606" t="s">
        <v>436</v>
      </c>
      <c r="G1028" s="606" t="s">
        <v>1764</v>
      </c>
      <c r="H1028" s="608" t="s">
        <v>696</v>
      </c>
    </row>
    <row r="1029">
      <c r="A1029" s="512" t="s">
        <v>690</v>
      </c>
      <c r="B1029" s="512" t="s">
        <v>449</v>
      </c>
      <c r="C1029" s="605">
        <v>45813.0</v>
      </c>
      <c r="D1029" s="512">
        <v>3.0617165092E10</v>
      </c>
      <c r="E1029" s="646" t="s">
        <v>2436</v>
      </c>
      <c r="F1029" s="606" t="s">
        <v>436</v>
      </c>
      <c r="G1029" s="606" t="s">
        <v>2437</v>
      </c>
      <c r="H1029" s="608" t="s">
        <v>693</v>
      </c>
    </row>
    <row r="1030">
      <c r="A1030" s="512" t="s">
        <v>432</v>
      </c>
      <c r="B1030" s="512" t="s">
        <v>449</v>
      </c>
      <c r="C1030" s="605">
        <v>45813.0</v>
      </c>
      <c r="D1030" s="512">
        <v>3.1203523287E10</v>
      </c>
      <c r="E1030" s="606" t="s">
        <v>2438</v>
      </c>
      <c r="F1030" s="606" t="s">
        <v>436</v>
      </c>
      <c r="G1030" s="606" t="s">
        <v>2439</v>
      </c>
      <c r="H1030" s="608" t="s">
        <v>1096</v>
      </c>
    </row>
    <row r="1031">
      <c r="A1031" s="512" t="s">
        <v>432</v>
      </c>
      <c r="B1031" s="512" t="s">
        <v>449</v>
      </c>
      <c r="C1031" s="605">
        <v>45813.0</v>
      </c>
      <c r="D1031" s="512">
        <v>2.4036523198E10</v>
      </c>
      <c r="E1031" s="606" t="s">
        <v>2440</v>
      </c>
      <c r="F1031" s="606" t="s">
        <v>436</v>
      </c>
      <c r="G1031" s="606" t="s">
        <v>1454</v>
      </c>
      <c r="H1031" s="608" t="s">
        <v>1096</v>
      </c>
    </row>
    <row r="1032">
      <c r="A1032" s="512" t="s">
        <v>617</v>
      </c>
      <c r="B1032" s="512" t="s">
        <v>449</v>
      </c>
      <c r="C1032" s="605">
        <v>45813.0</v>
      </c>
      <c r="D1032" s="512">
        <v>3.6386904696E10</v>
      </c>
      <c r="E1032" s="606" t="s">
        <v>2441</v>
      </c>
      <c r="F1032" s="606" t="s">
        <v>436</v>
      </c>
      <c r="G1032" s="606" t="s">
        <v>2135</v>
      </c>
      <c r="H1032" s="608" t="s">
        <v>696</v>
      </c>
    </row>
    <row r="1033">
      <c r="A1033" s="512" t="s">
        <v>432</v>
      </c>
      <c r="B1033" s="512" t="s">
        <v>449</v>
      </c>
      <c r="C1033" s="605">
        <v>45813.0</v>
      </c>
      <c r="D1033" s="512">
        <v>3.4573097045E10</v>
      </c>
      <c r="E1033" s="606" t="s">
        <v>2440</v>
      </c>
      <c r="F1033" s="606" t="s">
        <v>436</v>
      </c>
      <c r="G1033" s="606" t="s">
        <v>1211</v>
      </c>
      <c r="H1033" s="608" t="s">
        <v>1096</v>
      </c>
    </row>
    <row r="1034">
      <c r="A1034" s="512" t="s">
        <v>439</v>
      </c>
      <c r="B1034" s="512" t="s">
        <v>433</v>
      </c>
      <c r="C1034" s="605">
        <v>45813.0</v>
      </c>
      <c r="D1034" s="512">
        <v>3.3209109501E10</v>
      </c>
      <c r="E1034" s="646" t="s">
        <v>2442</v>
      </c>
      <c r="F1034" s="606" t="s">
        <v>436</v>
      </c>
      <c r="G1034" s="606" t="s">
        <v>2443</v>
      </c>
      <c r="H1034" s="608" t="s">
        <v>1608</v>
      </c>
    </row>
    <row r="1035">
      <c r="A1035" s="512" t="s">
        <v>439</v>
      </c>
      <c r="B1035" s="512" t="s">
        <v>449</v>
      </c>
      <c r="C1035" s="605">
        <v>45813.0</v>
      </c>
      <c r="D1035" s="512">
        <v>3.6165370424E10</v>
      </c>
      <c r="E1035" s="646" t="s">
        <v>2444</v>
      </c>
      <c r="F1035" s="606" t="s">
        <v>436</v>
      </c>
      <c r="G1035" s="606" t="s">
        <v>2445</v>
      </c>
      <c r="H1035" s="608" t="s">
        <v>1608</v>
      </c>
    </row>
    <row r="1036">
      <c r="A1036" s="512" t="s">
        <v>823</v>
      </c>
      <c r="B1036" s="512" t="s">
        <v>449</v>
      </c>
      <c r="C1036" s="605">
        <v>45813.0</v>
      </c>
      <c r="D1036" s="512">
        <v>3.4289494526E10</v>
      </c>
      <c r="E1036" s="606" t="s">
        <v>2446</v>
      </c>
      <c r="F1036" s="606" t="s">
        <v>436</v>
      </c>
      <c r="G1036" s="606" t="s">
        <v>2447</v>
      </c>
      <c r="H1036" s="608" t="s">
        <v>1175</v>
      </c>
    </row>
    <row r="1037">
      <c r="A1037" s="512" t="s">
        <v>617</v>
      </c>
      <c r="B1037" s="512" t="s">
        <v>449</v>
      </c>
      <c r="C1037" s="605">
        <v>45813.0</v>
      </c>
      <c r="D1037" s="512">
        <v>3.3394295031E10</v>
      </c>
      <c r="E1037" s="606" t="s">
        <v>2448</v>
      </c>
      <c r="F1037" s="606" t="s">
        <v>436</v>
      </c>
      <c r="G1037" s="640"/>
      <c r="H1037" s="608" t="s">
        <v>696</v>
      </c>
    </row>
    <row r="1038">
      <c r="A1038" s="512" t="s">
        <v>432</v>
      </c>
      <c r="B1038" s="512" t="s">
        <v>433</v>
      </c>
      <c r="C1038" s="605">
        <v>45814.0</v>
      </c>
      <c r="D1038" s="512">
        <v>3.2388443102E10</v>
      </c>
      <c r="E1038" s="606" t="s">
        <v>2449</v>
      </c>
      <c r="F1038" s="606" t="s">
        <v>436</v>
      </c>
      <c r="G1038" s="606" t="s">
        <v>2450</v>
      </c>
      <c r="H1038" s="608" t="s">
        <v>901</v>
      </c>
    </row>
    <row r="1039">
      <c r="A1039" s="512" t="s">
        <v>617</v>
      </c>
      <c r="B1039" s="512" t="s">
        <v>449</v>
      </c>
      <c r="C1039" s="605">
        <v>45814.0</v>
      </c>
      <c r="D1039" s="512">
        <v>3.1078216687E10</v>
      </c>
      <c r="E1039" s="646" t="s">
        <v>2451</v>
      </c>
      <c r="F1039" s="606" t="s">
        <v>436</v>
      </c>
      <c r="G1039" s="606" t="s">
        <v>2452</v>
      </c>
      <c r="H1039" s="608"/>
    </row>
    <row r="1040">
      <c r="A1040" s="512" t="s">
        <v>432</v>
      </c>
      <c r="B1040" s="512" t="s">
        <v>433</v>
      </c>
      <c r="C1040" s="605">
        <v>45814.0</v>
      </c>
      <c r="D1040" s="512">
        <v>3.4337391236E10</v>
      </c>
      <c r="E1040" s="606" t="s">
        <v>2453</v>
      </c>
      <c r="F1040" s="606" t="s">
        <v>436</v>
      </c>
      <c r="G1040" s="606" t="s">
        <v>2454</v>
      </c>
      <c r="H1040" s="608" t="s">
        <v>901</v>
      </c>
    </row>
    <row r="1041">
      <c r="A1041" s="512" t="s">
        <v>432</v>
      </c>
      <c r="B1041" s="512" t="s">
        <v>449</v>
      </c>
      <c r="C1041" s="605">
        <v>45814.0</v>
      </c>
      <c r="D1041" s="512">
        <v>3.1302183446E10</v>
      </c>
      <c r="E1041" s="606" t="s">
        <v>2455</v>
      </c>
      <c r="F1041" s="606" t="s">
        <v>436</v>
      </c>
      <c r="G1041" s="606" t="s">
        <v>2456</v>
      </c>
      <c r="H1041" s="608" t="s">
        <v>901</v>
      </c>
    </row>
    <row r="1042">
      <c r="A1042" s="512" t="s">
        <v>432</v>
      </c>
      <c r="B1042" s="512" t="s">
        <v>449</v>
      </c>
      <c r="C1042" s="605">
        <v>45814.0</v>
      </c>
      <c r="D1042" s="512">
        <v>3.403327516E10</v>
      </c>
      <c r="E1042" s="606" t="s">
        <v>2457</v>
      </c>
      <c r="F1042" s="606" t="s">
        <v>436</v>
      </c>
      <c r="G1042" s="606" t="s">
        <v>2458</v>
      </c>
      <c r="H1042" s="608" t="s">
        <v>901</v>
      </c>
    </row>
    <row r="1043">
      <c r="A1043" s="512" t="s">
        <v>617</v>
      </c>
      <c r="B1043" s="512" t="s">
        <v>449</v>
      </c>
      <c r="C1043" s="605">
        <v>45814.0</v>
      </c>
      <c r="D1043" s="512">
        <v>3.6203033963E10</v>
      </c>
      <c r="E1043" s="646" t="s">
        <v>2459</v>
      </c>
      <c r="F1043" s="606" t="s">
        <v>436</v>
      </c>
      <c r="G1043" s="606" t="s">
        <v>2460</v>
      </c>
      <c r="H1043" s="608" t="s">
        <v>623</v>
      </c>
    </row>
    <row r="1044">
      <c r="A1044" s="512" t="s">
        <v>432</v>
      </c>
      <c r="B1044" s="512" t="s">
        <v>433</v>
      </c>
      <c r="C1044" s="605">
        <v>45814.0</v>
      </c>
      <c r="D1044" s="512">
        <v>1.43322739E8</v>
      </c>
      <c r="E1044" s="606" t="s">
        <v>2461</v>
      </c>
      <c r="F1044" s="606" t="s">
        <v>436</v>
      </c>
      <c r="G1044" s="606" t="s">
        <v>2329</v>
      </c>
      <c r="H1044" s="608" t="s">
        <v>901</v>
      </c>
    </row>
    <row r="1045">
      <c r="A1045" s="512" t="s">
        <v>432</v>
      </c>
      <c r="B1045" s="512" t="s">
        <v>433</v>
      </c>
      <c r="C1045" s="605">
        <v>45814.0</v>
      </c>
      <c r="D1045" s="512">
        <v>3.0425759622E10</v>
      </c>
      <c r="E1045" s="606" t="s">
        <v>2462</v>
      </c>
      <c r="F1045" s="606" t="s">
        <v>436</v>
      </c>
      <c r="G1045" s="606" t="s">
        <v>2463</v>
      </c>
      <c r="H1045" s="608" t="s">
        <v>901</v>
      </c>
    </row>
    <row r="1046">
      <c r="A1046" s="512" t="s">
        <v>432</v>
      </c>
      <c r="B1046" s="512" t="s">
        <v>433</v>
      </c>
      <c r="C1046" s="605">
        <v>45814.0</v>
      </c>
      <c r="D1046" s="512">
        <v>3.1488308804E10</v>
      </c>
      <c r="E1046" s="606" t="s">
        <v>2464</v>
      </c>
      <c r="F1046" s="606" t="s">
        <v>436</v>
      </c>
      <c r="G1046" s="606" t="s">
        <v>2465</v>
      </c>
      <c r="H1046" s="608" t="s">
        <v>901</v>
      </c>
    </row>
    <row r="1047">
      <c r="A1047" s="512" t="s">
        <v>690</v>
      </c>
      <c r="B1047" s="512" t="s">
        <v>449</v>
      </c>
      <c r="C1047" s="605">
        <v>45814.0</v>
      </c>
      <c r="D1047" s="512">
        <v>3.1906180026E10</v>
      </c>
      <c r="E1047" s="646" t="s">
        <v>2466</v>
      </c>
      <c r="F1047" s="606" t="s">
        <v>436</v>
      </c>
      <c r="G1047" s="606" t="s">
        <v>2467</v>
      </c>
      <c r="H1047" s="608" t="s">
        <v>693</v>
      </c>
    </row>
    <row r="1048">
      <c r="A1048" s="512" t="s">
        <v>690</v>
      </c>
      <c r="B1048" s="512" t="s">
        <v>449</v>
      </c>
      <c r="C1048" s="605">
        <v>45814.0</v>
      </c>
      <c r="D1048" s="512">
        <v>3.6387822336E10</v>
      </c>
      <c r="E1048" s="646" t="s">
        <v>2468</v>
      </c>
      <c r="F1048" s="606" t="s">
        <v>436</v>
      </c>
      <c r="G1048" s="606" t="s">
        <v>2469</v>
      </c>
      <c r="H1048" s="608" t="s">
        <v>693</v>
      </c>
    </row>
    <row r="1049">
      <c r="A1049" s="512" t="s">
        <v>432</v>
      </c>
      <c r="B1049" s="512" t="s">
        <v>433</v>
      </c>
      <c r="C1049" s="605">
        <v>45814.0</v>
      </c>
      <c r="D1049" s="512">
        <v>2.5313791675E10</v>
      </c>
      <c r="E1049" s="606" t="s">
        <v>2470</v>
      </c>
      <c r="F1049" s="606" t="s">
        <v>436</v>
      </c>
      <c r="G1049" s="606" t="s">
        <v>2471</v>
      </c>
      <c r="H1049" s="608" t="s">
        <v>901</v>
      </c>
    </row>
    <row r="1050">
      <c r="A1050" s="512" t="s">
        <v>439</v>
      </c>
      <c r="B1050" s="512" t="s">
        <v>433</v>
      </c>
      <c r="C1050" s="605">
        <v>45814.0</v>
      </c>
      <c r="D1050" s="512">
        <v>3.0903594133E10</v>
      </c>
      <c r="E1050" s="646" t="s">
        <v>2472</v>
      </c>
      <c r="F1050" s="606" t="s">
        <v>436</v>
      </c>
      <c r="G1050" s="606" t="s">
        <v>2473</v>
      </c>
      <c r="H1050" s="608" t="s">
        <v>1608</v>
      </c>
    </row>
    <row r="1051">
      <c r="A1051" s="512" t="s">
        <v>432</v>
      </c>
      <c r="B1051" s="512" t="s">
        <v>449</v>
      </c>
      <c r="C1051" s="605">
        <v>45814.0</v>
      </c>
      <c r="D1051" s="512">
        <v>3.2013920308E10</v>
      </c>
      <c r="E1051" s="606" t="s">
        <v>2474</v>
      </c>
      <c r="F1051" s="606" t="s">
        <v>436</v>
      </c>
      <c r="G1051" s="606" t="s">
        <v>1990</v>
      </c>
      <c r="H1051" s="608" t="s">
        <v>901</v>
      </c>
    </row>
    <row r="1052">
      <c r="A1052" s="512" t="s">
        <v>432</v>
      </c>
      <c r="B1052" s="512" t="s">
        <v>433</v>
      </c>
      <c r="C1052" s="605">
        <v>45814.0</v>
      </c>
      <c r="D1052" s="512">
        <v>2.0453238421E10</v>
      </c>
      <c r="E1052" s="606" t="s">
        <v>2475</v>
      </c>
      <c r="F1052" s="606" t="s">
        <v>436</v>
      </c>
      <c r="G1052" s="606" t="s">
        <v>2476</v>
      </c>
      <c r="H1052" s="608" t="s">
        <v>901</v>
      </c>
    </row>
    <row r="1053">
      <c r="A1053" s="512" t="s">
        <v>432</v>
      </c>
      <c r="B1053" s="512" t="s">
        <v>433</v>
      </c>
      <c r="C1053" s="605">
        <v>45814.0</v>
      </c>
      <c r="D1053" s="512">
        <v>3.3589458113E10</v>
      </c>
      <c r="E1053" s="606" t="s">
        <v>2477</v>
      </c>
      <c r="F1053" s="606" t="s">
        <v>436</v>
      </c>
      <c r="G1053" s="606" t="s">
        <v>2478</v>
      </c>
      <c r="H1053" s="608" t="s">
        <v>901</v>
      </c>
    </row>
    <row r="1054">
      <c r="A1054" s="512" t="s">
        <v>439</v>
      </c>
      <c r="B1054" s="512" t="s">
        <v>449</v>
      </c>
      <c r="C1054" s="605">
        <v>45814.0</v>
      </c>
      <c r="D1054" s="512">
        <v>3.635043909E10</v>
      </c>
      <c r="E1054" s="646" t="s">
        <v>2479</v>
      </c>
      <c r="F1054" s="606" t="s">
        <v>436</v>
      </c>
      <c r="G1054" s="606" t="s">
        <v>1283</v>
      </c>
      <c r="H1054" s="608" t="s">
        <v>1608</v>
      </c>
    </row>
    <row r="1055">
      <c r="A1055" s="512" t="s">
        <v>439</v>
      </c>
      <c r="B1055" s="512" t="s">
        <v>449</v>
      </c>
      <c r="C1055" s="605">
        <v>45814.0</v>
      </c>
      <c r="D1055" s="512">
        <v>3.424893415E10</v>
      </c>
      <c r="E1055" s="646" t="s">
        <v>2480</v>
      </c>
      <c r="F1055" s="606" t="s">
        <v>436</v>
      </c>
      <c r="G1055" s="606" t="s">
        <v>2481</v>
      </c>
      <c r="H1055" s="608" t="s">
        <v>1608</v>
      </c>
    </row>
    <row r="1056">
      <c r="A1056" s="512" t="s">
        <v>823</v>
      </c>
      <c r="B1056" s="512" t="s">
        <v>449</v>
      </c>
      <c r="C1056" s="605">
        <v>45814.0</v>
      </c>
      <c r="D1056" s="512">
        <v>3.130165827E10</v>
      </c>
      <c r="E1056" s="606" t="s">
        <v>2482</v>
      </c>
      <c r="F1056" s="606" t="s">
        <v>436</v>
      </c>
      <c r="G1056" s="606" t="s">
        <v>2483</v>
      </c>
      <c r="H1056" s="608" t="s">
        <v>696</v>
      </c>
    </row>
    <row r="1057">
      <c r="A1057" s="512" t="s">
        <v>432</v>
      </c>
      <c r="B1057" s="512" t="s">
        <v>433</v>
      </c>
      <c r="C1057" s="605">
        <v>45814.0</v>
      </c>
      <c r="D1057" s="512">
        <v>3.3429463312E10</v>
      </c>
      <c r="E1057" s="606" t="s">
        <v>2484</v>
      </c>
      <c r="F1057" s="606" t="s">
        <v>436</v>
      </c>
      <c r="G1057" s="606" t="s">
        <v>2485</v>
      </c>
      <c r="H1057" s="608" t="s">
        <v>901</v>
      </c>
    </row>
    <row r="1058">
      <c r="A1058" s="512" t="s">
        <v>432</v>
      </c>
      <c r="B1058" s="512" t="s">
        <v>433</v>
      </c>
      <c r="C1058" s="605">
        <v>45814.0</v>
      </c>
      <c r="D1058" s="512">
        <v>3.3212330278E10</v>
      </c>
      <c r="E1058" s="606" t="s">
        <v>2486</v>
      </c>
      <c r="F1058" s="606" t="s">
        <v>436</v>
      </c>
      <c r="G1058" s="606" t="s">
        <v>2487</v>
      </c>
      <c r="H1058" s="608" t="s">
        <v>901</v>
      </c>
    </row>
    <row r="1059">
      <c r="A1059" s="512" t="s">
        <v>690</v>
      </c>
      <c r="B1059" s="512" t="s">
        <v>449</v>
      </c>
      <c r="C1059" s="605">
        <v>45814.0</v>
      </c>
      <c r="D1059" s="512">
        <v>3.4736082499E10</v>
      </c>
      <c r="E1059" s="646" t="s">
        <v>2488</v>
      </c>
      <c r="F1059" s="606" t="s">
        <v>436</v>
      </c>
      <c r="G1059" s="606" t="s">
        <v>2489</v>
      </c>
      <c r="H1059" s="608" t="s">
        <v>693</v>
      </c>
    </row>
    <row r="1060">
      <c r="A1060" s="512" t="s">
        <v>823</v>
      </c>
      <c r="B1060" s="512" t="s">
        <v>449</v>
      </c>
      <c r="C1060" s="605">
        <v>45815.0</v>
      </c>
      <c r="D1060" s="512">
        <v>3.5074566656E10</v>
      </c>
      <c r="E1060" s="606" t="s">
        <v>2490</v>
      </c>
      <c r="F1060" s="606" t="s">
        <v>436</v>
      </c>
      <c r="G1060" s="606">
        <v>1069.0</v>
      </c>
      <c r="H1060" s="608" t="s">
        <v>2491</v>
      </c>
    </row>
    <row r="1061">
      <c r="A1061" s="512" t="s">
        <v>823</v>
      </c>
      <c r="B1061" s="512" t="s">
        <v>449</v>
      </c>
      <c r="C1061" s="605">
        <v>45815.0</v>
      </c>
      <c r="D1061" s="512">
        <v>3.3143641771E10</v>
      </c>
      <c r="E1061" s="606" t="s">
        <v>2490</v>
      </c>
      <c r="F1061" s="606" t="s">
        <v>436</v>
      </c>
      <c r="G1061" s="606">
        <v>1069.0</v>
      </c>
      <c r="H1061" s="608" t="s">
        <v>2491</v>
      </c>
    </row>
    <row r="1062">
      <c r="A1062" s="512" t="s">
        <v>823</v>
      </c>
      <c r="B1062" s="512" t="s">
        <v>449</v>
      </c>
      <c r="C1062" s="605">
        <v>45815.0</v>
      </c>
      <c r="D1062" s="512">
        <v>2.4183303222E10</v>
      </c>
      <c r="E1062" s="606" t="s">
        <v>2492</v>
      </c>
      <c r="F1062" s="606" t="s">
        <v>436</v>
      </c>
      <c r="G1062" s="606">
        <v>1091.0</v>
      </c>
      <c r="H1062" s="608" t="s">
        <v>2491</v>
      </c>
    </row>
    <row r="1063">
      <c r="A1063" s="512" t="s">
        <v>823</v>
      </c>
      <c r="B1063" s="512" t="s">
        <v>449</v>
      </c>
      <c r="C1063" s="605">
        <v>45815.0</v>
      </c>
      <c r="D1063" s="512">
        <v>3.229174496E10</v>
      </c>
      <c r="E1063" s="606" t="s">
        <v>2493</v>
      </c>
      <c r="F1063" s="606" t="s">
        <v>436</v>
      </c>
      <c r="G1063" s="606">
        <v>1213.0</v>
      </c>
      <c r="H1063" s="608" t="s">
        <v>2491</v>
      </c>
    </row>
    <row r="1064">
      <c r="A1064" s="512" t="s">
        <v>823</v>
      </c>
      <c r="B1064" s="512" t="s">
        <v>449</v>
      </c>
      <c r="C1064" s="605">
        <v>45815.0</v>
      </c>
      <c r="D1064" s="512">
        <v>2.8316776489E10</v>
      </c>
      <c r="E1064" s="606" t="s">
        <v>2494</v>
      </c>
      <c r="F1064" s="606" t="s">
        <v>436</v>
      </c>
      <c r="G1064" s="606">
        <v>2428.0</v>
      </c>
      <c r="H1064" s="608" t="s">
        <v>2491</v>
      </c>
    </row>
    <row r="1065">
      <c r="A1065" s="512" t="s">
        <v>690</v>
      </c>
      <c r="B1065" s="512" t="s">
        <v>449</v>
      </c>
      <c r="C1065" s="605">
        <v>45815.0</v>
      </c>
      <c r="D1065" s="512">
        <v>3.6408324426E10</v>
      </c>
      <c r="E1065" s="646" t="s">
        <v>2495</v>
      </c>
      <c r="F1065" s="606" t="s">
        <v>436</v>
      </c>
      <c r="G1065" s="637" t="s">
        <v>2496</v>
      </c>
      <c r="H1065" s="608" t="s">
        <v>1362</v>
      </c>
    </row>
    <row r="1066">
      <c r="A1066" s="512" t="s">
        <v>690</v>
      </c>
      <c r="B1066" s="512" t="s">
        <v>449</v>
      </c>
      <c r="C1066" s="605">
        <v>45815.0</v>
      </c>
      <c r="D1066" s="512">
        <v>3.0733677922E10</v>
      </c>
      <c r="E1066" s="646" t="s">
        <v>2497</v>
      </c>
      <c r="F1066" s="606" t="s">
        <v>436</v>
      </c>
      <c r="G1066" s="637" t="s">
        <v>2498</v>
      </c>
      <c r="H1066" s="608" t="s">
        <v>1362</v>
      </c>
    </row>
    <row r="1067">
      <c r="A1067" s="512" t="s">
        <v>432</v>
      </c>
      <c r="B1067" s="512" t="s">
        <v>433</v>
      </c>
      <c r="C1067" s="605">
        <v>45815.0</v>
      </c>
      <c r="D1067" s="512">
        <v>3.3160983852E10</v>
      </c>
      <c r="E1067" s="648" t="s">
        <v>2499</v>
      </c>
      <c r="F1067" s="606" t="s">
        <v>436</v>
      </c>
      <c r="G1067" s="606" t="s">
        <v>2500</v>
      </c>
      <c r="H1067" s="608" t="s">
        <v>901</v>
      </c>
    </row>
    <row r="1068">
      <c r="A1068" s="512" t="s">
        <v>690</v>
      </c>
      <c r="B1068" s="512" t="s">
        <v>449</v>
      </c>
      <c r="C1068" s="605">
        <v>45815.0</v>
      </c>
      <c r="D1068" s="512">
        <v>2.2890805542E10</v>
      </c>
      <c r="E1068" s="646" t="s">
        <v>2501</v>
      </c>
      <c r="F1068" s="606" t="s">
        <v>436</v>
      </c>
      <c r="G1068" s="637" t="s">
        <v>2502</v>
      </c>
      <c r="H1068" s="608" t="s">
        <v>1362</v>
      </c>
    </row>
    <row r="1069">
      <c r="A1069" s="512" t="s">
        <v>617</v>
      </c>
      <c r="B1069" s="512" t="s">
        <v>449</v>
      </c>
      <c r="C1069" s="605">
        <v>45815.0</v>
      </c>
      <c r="D1069" s="512">
        <v>3.638500863E10</v>
      </c>
      <c r="E1069" s="646" t="s">
        <v>2503</v>
      </c>
      <c r="F1069" s="606" t="s">
        <v>436</v>
      </c>
      <c r="G1069" s="606" t="s">
        <v>2504</v>
      </c>
      <c r="H1069" s="608" t="s">
        <v>623</v>
      </c>
    </row>
    <row r="1070">
      <c r="A1070" s="512" t="s">
        <v>690</v>
      </c>
      <c r="B1070" s="512" t="s">
        <v>433</v>
      </c>
      <c r="C1070" s="605">
        <v>45815.0</v>
      </c>
      <c r="D1070" s="512">
        <v>2.988869565E10</v>
      </c>
      <c r="E1070" s="646" t="s">
        <v>2505</v>
      </c>
      <c r="F1070" s="606" t="s">
        <v>436</v>
      </c>
      <c r="G1070" s="637" t="s">
        <v>2506</v>
      </c>
      <c r="H1070" s="608" t="s">
        <v>1362</v>
      </c>
    </row>
    <row r="1071">
      <c r="A1071" s="512" t="s">
        <v>439</v>
      </c>
      <c r="B1071" s="512" t="s">
        <v>449</v>
      </c>
      <c r="C1071" s="605">
        <v>45815.0</v>
      </c>
      <c r="D1071" s="512">
        <v>3.0370132145E10</v>
      </c>
      <c r="E1071" s="646" t="s">
        <v>2507</v>
      </c>
      <c r="F1071" s="606" t="s">
        <v>436</v>
      </c>
      <c r="G1071" s="606" t="s">
        <v>2508</v>
      </c>
      <c r="H1071" s="608" t="s">
        <v>850</v>
      </c>
    </row>
    <row r="1072">
      <c r="A1072" s="512" t="s">
        <v>617</v>
      </c>
      <c r="B1072" s="512" t="s">
        <v>449</v>
      </c>
      <c r="C1072" s="605">
        <v>45816.0</v>
      </c>
      <c r="D1072" s="512">
        <v>3.2143173716E10</v>
      </c>
      <c r="E1072" s="606" t="s">
        <v>2509</v>
      </c>
      <c r="F1072" s="606" t="s">
        <v>436</v>
      </c>
      <c r="G1072" s="606" t="s">
        <v>2510</v>
      </c>
      <c r="H1072" s="608" t="s">
        <v>696</v>
      </c>
    </row>
    <row r="1073">
      <c r="A1073" s="512" t="s">
        <v>823</v>
      </c>
      <c r="B1073" s="512" t="s">
        <v>433</v>
      </c>
      <c r="C1073" s="605">
        <v>45816.0</v>
      </c>
      <c r="D1073" s="512">
        <v>3.6408520124E10</v>
      </c>
      <c r="E1073" s="606" t="s">
        <v>2511</v>
      </c>
      <c r="F1073" s="606" t="s">
        <v>436</v>
      </c>
      <c r="G1073" s="606" t="s">
        <v>2247</v>
      </c>
      <c r="H1073" s="608" t="s">
        <v>2491</v>
      </c>
      <c r="I1073" s="520"/>
    </row>
    <row r="1074">
      <c r="A1074" s="512" t="s">
        <v>823</v>
      </c>
      <c r="B1074" s="512" t="s">
        <v>449</v>
      </c>
      <c r="C1074" s="605">
        <v>45816.0</v>
      </c>
      <c r="D1074" s="512">
        <v>3.2240608874E10</v>
      </c>
      <c r="E1074" s="606" t="s">
        <v>2512</v>
      </c>
      <c r="F1074" s="606" t="s">
        <v>436</v>
      </c>
      <c r="G1074" s="606" t="s">
        <v>977</v>
      </c>
      <c r="H1074" s="608" t="s">
        <v>2491</v>
      </c>
    </row>
    <row r="1075">
      <c r="A1075" s="512" t="s">
        <v>432</v>
      </c>
      <c r="B1075" s="512" t="s">
        <v>433</v>
      </c>
      <c r="C1075" s="605">
        <v>45816.0</v>
      </c>
      <c r="D1075" s="512">
        <v>3.1030301699E10</v>
      </c>
      <c r="E1075" s="606" t="s">
        <v>2513</v>
      </c>
      <c r="F1075" s="606" t="s">
        <v>436</v>
      </c>
      <c r="G1075" s="606" t="s">
        <v>1618</v>
      </c>
      <c r="H1075" s="608" t="s">
        <v>901</v>
      </c>
    </row>
    <row r="1076">
      <c r="A1076" s="512" t="s">
        <v>439</v>
      </c>
      <c r="B1076" s="512" t="s">
        <v>449</v>
      </c>
      <c r="C1076" s="605">
        <v>45816.0</v>
      </c>
      <c r="D1076" s="512">
        <v>3.0828774559E10</v>
      </c>
      <c r="E1076" s="646" t="s">
        <v>2514</v>
      </c>
      <c r="F1076" s="606" t="s">
        <v>436</v>
      </c>
      <c r="G1076" s="606" t="s">
        <v>2515</v>
      </c>
      <c r="H1076" s="608" t="s">
        <v>850</v>
      </c>
    </row>
    <row r="1077">
      <c r="A1077" s="512" t="s">
        <v>617</v>
      </c>
      <c r="B1077" s="512" t="s">
        <v>449</v>
      </c>
      <c r="C1077" s="605">
        <v>45816.0</v>
      </c>
      <c r="D1077" s="512">
        <v>3.0572170572E10</v>
      </c>
      <c r="E1077" s="606" t="s">
        <v>2516</v>
      </c>
      <c r="F1077" s="606" t="s">
        <v>436</v>
      </c>
      <c r="G1077" s="606" t="s">
        <v>2517</v>
      </c>
      <c r="H1077" s="608" t="s">
        <v>696</v>
      </c>
    </row>
    <row r="1078">
      <c r="A1078" s="512" t="s">
        <v>432</v>
      </c>
      <c r="B1078" s="512" t="s">
        <v>433</v>
      </c>
      <c r="C1078" s="605">
        <v>45816.0</v>
      </c>
      <c r="D1078" s="512">
        <v>3.0834166277E10</v>
      </c>
      <c r="E1078" s="606" t="s">
        <v>2518</v>
      </c>
      <c r="F1078" s="606" t="s">
        <v>436</v>
      </c>
      <c r="G1078" s="606" t="s">
        <v>2519</v>
      </c>
      <c r="H1078" s="608" t="s">
        <v>901</v>
      </c>
    </row>
    <row r="1079">
      <c r="A1079" s="512" t="s">
        <v>439</v>
      </c>
      <c r="B1079" s="512" t="s">
        <v>449</v>
      </c>
      <c r="C1079" s="605">
        <v>45816.0</v>
      </c>
      <c r="D1079" s="512">
        <v>3.3157996441E10</v>
      </c>
      <c r="E1079" s="646" t="s">
        <v>2520</v>
      </c>
      <c r="F1079" s="606" t="s">
        <v>436</v>
      </c>
      <c r="G1079" s="606" t="s">
        <v>2521</v>
      </c>
      <c r="H1079" s="608" t="s">
        <v>850</v>
      </c>
    </row>
    <row r="1080">
      <c r="A1080" s="512" t="s">
        <v>439</v>
      </c>
      <c r="B1080" s="512" t="s">
        <v>449</v>
      </c>
      <c r="C1080" s="605">
        <v>45816.0</v>
      </c>
      <c r="D1080" s="512">
        <v>2.9291879602E10</v>
      </c>
      <c r="E1080" s="646" t="s">
        <v>2522</v>
      </c>
      <c r="F1080" s="606" t="s">
        <v>436</v>
      </c>
      <c r="G1080" s="606" t="s">
        <v>2523</v>
      </c>
      <c r="H1080" s="608" t="s">
        <v>850</v>
      </c>
    </row>
    <row r="1081">
      <c r="A1081" s="512" t="s">
        <v>617</v>
      </c>
      <c r="B1081" s="512" t="s">
        <v>449</v>
      </c>
      <c r="C1081" s="605">
        <v>45816.0</v>
      </c>
      <c r="D1081" s="512">
        <v>2.7191224574E10</v>
      </c>
      <c r="E1081" s="606" t="s">
        <v>2524</v>
      </c>
      <c r="F1081" s="606" t="s">
        <v>436</v>
      </c>
      <c r="G1081" s="606" t="s">
        <v>2525</v>
      </c>
      <c r="H1081" s="608" t="s">
        <v>696</v>
      </c>
    </row>
    <row r="1082">
      <c r="A1082" s="512" t="s">
        <v>432</v>
      </c>
      <c r="B1082" s="512" t="s">
        <v>449</v>
      </c>
      <c r="C1082" s="605">
        <v>45816.0</v>
      </c>
      <c r="D1082" s="512">
        <v>3.6055265374E10</v>
      </c>
      <c r="E1082" s="606" t="s">
        <v>2526</v>
      </c>
      <c r="F1082" s="606" t="s">
        <v>436</v>
      </c>
      <c r="G1082" s="606" t="s">
        <v>2419</v>
      </c>
      <c r="H1082" s="608" t="s">
        <v>901</v>
      </c>
    </row>
    <row r="1083">
      <c r="A1083" s="512" t="s">
        <v>617</v>
      </c>
      <c r="B1083" s="512" t="s">
        <v>449</v>
      </c>
      <c r="C1083" s="605">
        <v>45817.0</v>
      </c>
      <c r="D1083" s="512">
        <v>3.6681402509E10</v>
      </c>
      <c r="E1083" s="606" t="s">
        <v>2527</v>
      </c>
      <c r="F1083" s="606" t="s">
        <v>436</v>
      </c>
      <c r="G1083" s="606" t="s">
        <v>2528</v>
      </c>
      <c r="H1083" s="608" t="s">
        <v>696</v>
      </c>
    </row>
    <row r="1084">
      <c r="A1084" s="512" t="s">
        <v>439</v>
      </c>
      <c r="B1084" s="512" t="s">
        <v>433</v>
      </c>
      <c r="C1084" s="605">
        <v>45817.0</v>
      </c>
      <c r="D1084" s="512">
        <v>3.3676578789E10</v>
      </c>
      <c r="E1084" s="646" t="s">
        <v>2529</v>
      </c>
      <c r="F1084" s="606" t="s">
        <v>436</v>
      </c>
      <c r="G1084" s="606" t="s">
        <v>2530</v>
      </c>
      <c r="H1084" s="608" t="s">
        <v>1608</v>
      </c>
    </row>
    <row r="1085">
      <c r="A1085" s="512" t="s">
        <v>617</v>
      </c>
      <c r="B1085" s="512" t="s">
        <v>449</v>
      </c>
      <c r="C1085" s="605">
        <v>45817.0</v>
      </c>
      <c r="D1085" s="512">
        <v>3.6456322476E10</v>
      </c>
      <c r="E1085" s="606" t="s">
        <v>2531</v>
      </c>
      <c r="F1085" s="606" t="s">
        <v>436</v>
      </c>
      <c r="G1085" s="606" t="s">
        <v>2532</v>
      </c>
      <c r="H1085" s="608" t="s">
        <v>696</v>
      </c>
    </row>
    <row r="1086">
      <c r="A1086" s="512" t="s">
        <v>823</v>
      </c>
      <c r="B1086" s="512" t="s">
        <v>433</v>
      </c>
      <c r="C1086" s="605">
        <v>45817.0</v>
      </c>
      <c r="D1086" s="512">
        <v>3.2042808309E10</v>
      </c>
      <c r="E1086" s="646" t="s">
        <v>2533</v>
      </c>
      <c r="F1086" s="606" t="s">
        <v>436</v>
      </c>
      <c r="G1086" s="606" t="s">
        <v>2534</v>
      </c>
      <c r="H1086" s="608" t="s">
        <v>1175</v>
      </c>
    </row>
    <row r="1087">
      <c r="A1087" s="512" t="s">
        <v>823</v>
      </c>
      <c r="B1087" s="512" t="s">
        <v>449</v>
      </c>
      <c r="C1087" s="605">
        <v>45818.0</v>
      </c>
      <c r="D1087" s="512">
        <v>3.1615431502E10</v>
      </c>
      <c r="E1087" s="606" t="s">
        <v>2535</v>
      </c>
      <c r="F1087" s="606" t="s">
        <v>436</v>
      </c>
      <c r="G1087" s="606">
        <v>448.0</v>
      </c>
      <c r="H1087" s="608" t="s">
        <v>2491</v>
      </c>
    </row>
    <row r="1088">
      <c r="A1088" s="512" t="s">
        <v>690</v>
      </c>
      <c r="B1088" s="512" t="s">
        <v>449</v>
      </c>
      <c r="C1088" s="626">
        <v>45818.0</v>
      </c>
      <c r="D1088" s="512">
        <v>3.073291467E10</v>
      </c>
      <c r="E1088" s="646" t="s">
        <v>2536</v>
      </c>
      <c r="F1088" s="606" t="s">
        <v>436</v>
      </c>
      <c r="G1088" s="606" t="s">
        <v>2537</v>
      </c>
      <c r="H1088" s="608" t="s">
        <v>693</v>
      </c>
    </row>
    <row r="1089">
      <c r="A1089" s="512" t="s">
        <v>432</v>
      </c>
      <c r="B1089" s="512" t="s">
        <v>433</v>
      </c>
      <c r="C1089" s="605">
        <v>45818.0</v>
      </c>
      <c r="D1089" s="512">
        <v>3.2142998454E10</v>
      </c>
      <c r="E1089" s="606" t="s">
        <v>2538</v>
      </c>
      <c r="F1089" s="606" t="s">
        <v>436</v>
      </c>
      <c r="G1089" s="606" t="s">
        <v>2539</v>
      </c>
      <c r="H1089" s="608" t="s">
        <v>699</v>
      </c>
    </row>
    <row r="1090">
      <c r="A1090" s="512" t="s">
        <v>823</v>
      </c>
      <c r="B1090" s="512" t="s">
        <v>449</v>
      </c>
      <c r="C1090" s="626">
        <v>45818.0</v>
      </c>
      <c r="D1090" s="512">
        <v>2.9913435868E10</v>
      </c>
      <c r="E1090" s="606" t="s">
        <v>2540</v>
      </c>
      <c r="F1090" s="606" t="s">
        <v>436</v>
      </c>
      <c r="G1090" s="606" t="s">
        <v>1252</v>
      </c>
      <c r="H1090" s="608" t="s">
        <v>2491</v>
      </c>
    </row>
    <row r="1091">
      <c r="A1091" s="512" t="s">
        <v>432</v>
      </c>
      <c r="B1091" s="512" t="s">
        <v>433</v>
      </c>
      <c r="C1091" s="605">
        <v>45818.0</v>
      </c>
      <c r="D1091" s="512">
        <v>3.4787265592E10</v>
      </c>
      <c r="E1091" s="606" t="s">
        <v>2541</v>
      </c>
      <c r="F1091" s="606" t="s">
        <v>436</v>
      </c>
      <c r="G1091" s="606" t="s">
        <v>2542</v>
      </c>
      <c r="H1091" s="608" t="s">
        <v>2543</v>
      </c>
    </row>
    <row r="1092">
      <c r="A1092" s="512" t="s">
        <v>432</v>
      </c>
      <c r="B1092" s="512" t="s">
        <v>449</v>
      </c>
      <c r="C1092" s="605">
        <v>45818.0</v>
      </c>
      <c r="D1092" s="512">
        <v>3.390162571E10</v>
      </c>
      <c r="E1092" s="606" t="s">
        <v>2544</v>
      </c>
      <c r="F1092" s="606" t="s">
        <v>436</v>
      </c>
      <c r="G1092" s="606" t="s">
        <v>1259</v>
      </c>
      <c r="H1092" s="608" t="s">
        <v>699</v>
      </c>
    </row>
    <row r="1093">
      <c r="A1093" s="512" t="s">
        <v>617</v>
      </c>
      <c r="B1093" s="512" t="s">
        <v>449</v>
      </c>
      <c r="C1093" s="605">
        <v>45818.0</v>
      </c>
      <c r="D1093" s="512">
        <v>2.7405731365E10</v>
      </c>
      <c r="E1093" s="606" t="s">
        <v>2545</v>
      </c>
      <c r="F1093" s="606" t="s">
        <v>436</v>
      </c>
      <c r="G1093" s="606" t="s">
        <v>2546</v>
      </c>
      <c r="H1093" s="608" t="s">
        <v>623</v>
      </c>
    </row>
    <row r="1094">
      <c r="A1094" s="512" t="s">
        <v>617</v>
      </c>
      <c r="B1094" s="512" t="s">
        <v>449</v>
      </c>
      <c r="C1094" s="605">
        <v>45818.0</v>
      </c>
      <c r="D1094" s="512">
        <v>3.2205064703E10</v>
      </c>
      <c r="E1094" s="646" t="s">
        <v>2547</v>
      </c>
      <c r="F1094" s="606" t="s">
        <v>436</v>
      </c>
      <c r="G1094" s="606" t="s">
        <v>2548</v>
      </c>
      <c r="H1094" s="608" t="s">
        <v>623</v>
      </c>
    </row>
    <row r="1095">
      <c r="A1095" s="512" t="s">
        <v>432</v>
      </c>
      <c r="B1095" s="512" t="s">
        <v>433</v>
      </c>
      <c r="C1095" s="605">
        <v>45818.0</v>
      </c>
      <c r="D1095" s="512">
        <v>3.0934696199E10</v>
      </c>
      <c r="E1095" s="606" t="s">
        <v>2549</v>
      </c>
      <c r="F1095" s="606" t="s">
        <v>436</v>
      </c>
      <c r="G1095" s="606" t="s">
        <v>2550</v>
      </c>
      <c r="H1095" s="608" t="s">
        <v>696</v>
      </c>
    </row>
    <row r="1096">
      <c r="A1096" s="512" t="s">
        <v>823</v>
      </c>
      <c r="B1096" s="512" t="s">
        <v>449</v>
      </c>
      <c r="C1096" s="605">
        <v>45819.0</v>
      </c>
      <c r="D1096" s="512">
        <v>3.1879610505E10</v>
      </c>
      <c r="E1096" s="606" t="s">
        <v>2551</v>
      </c>
      <c r="F1096" s="606" t="s">
        <v>436</v>
      </c>
      <c r="G1096" s="606">
        <v>2613.0</v>
      </c>
      <c r="H1096" s="608" t="s">
        <v>2491</v>
      </c>
    </row>
    <row r="1097">
      <c r="A1097" s="512" t="s">
        <v>823</v>
      </c>
      <c r="B1097" s="512" t="s">
        <v>449</v>
      </c>
      <c r="C1097" s="605">
        <v>45819.0</v>
      </c>
      <c r="D1097" s="512">
        <v>3.400947774E10</v>
      </c>
      <c r="E1097" s="606" t="s">
        <v>2552</v>
      </c>
      <c r="F1097" s="606" t="s">
        <v>436</v>
      </c>
      <c r="G1097" s="606">
        <v>3505.0</v>
      </c>
      <c r="H1097" s="608" t="s">
        <v>2491</v>
      </c>
    </row>
    <row r="1098">
      <c r="A1098" s="512" t="s">
        <v>432</v>
      </c>
      <c r="B1098" s="512" t="s">
        <v>433</v>
      </c>
      <c r="C1098" s="605">
        <v>45819.0</v>
      </c>
      <c r="D1098" s="512">
        <v>3.2203305163E10</v>
      </c>
      <c r="E1098" s="606" t="s">
        <v>2553</v>
      </c>
      <c r="F1098" s="606" t="s">
        <v>436</v>
      </c>
      <c r="G1098" s="606" t="s">
        <v>2108</v>
      </c>
      <c r="H1098" s="608" t="s">
        <v>2554</v>
      </c>
    </row>
    <row r="1099">
      <c r="A1099" s="512" t="s">
        <v>690</v>
      </c>
      <c r="B1099" s="512" t="s">
        <v>449</v>
      </c>
      <c r="C1099" s="605">
        <v>45819.0</v>
      </c>
      <c r="D1099" s="512">
        <v>3.2646306291E10</v>
      </c>
      <c r="E1099" s="646" t="s">
        <v>2555</v>
      </c>
      <c r="F1099" s="606" t="s">
        <v>436</v>
      </c>
      <c r="G1099" s="606" t="s">
        <v>2556</v>
      </c>
      <c r="H1099" s="608" t="s">
        <v>850</v>
      </c>
    </row>
    <row r="1100">
      <c r="A1100" s="512" t="s">
        <v>432</v>
      </c>
      <c r="B1100" s="512" t="s">
        <v>433</v>
      </c>
      <c r="C1100" s="605">
        <v>45819.0</v>
      </c>
      <c r="D1100" s="512">
        <v>3.1886844204E10</v>
      </c>
      <c r="E1100" s="606" t="s">
        <v>2557</v>
      </c>
      <c r="F1100" s="606" t="s">
        <v>436</v>
      </c>
      <c r="G1100" s="606" t="s">
        <v>2558</v>
      </c>
      <c r="H1100" s="608" t="s">
        <v>2559</v>
      </c>
    </row>
    <row r="1101">
      <c r="A1101" s="512" t="s">
        <v>432</v>
      </c>
      <c r="B1101" s="512" t="s">
        <v>433</v>
      </c>
      <c r="C1101" s="605">
        <v>45819.0</v>
      </c>
      <c r="D1101" s="512">
        <v>3.09285092E10</v>
      </c>
      <c r="E1101" s="606" t="s">
        <v>2560</v>
      </c>
      <c r="F1101" s="606" t="s">
        <v>436</v>
      </c>
      <c r="G1101" s="606" t="s">
        <v>2561</v>
      </c>
      <c r="H1101" s="608" t="s">
        <v>2554</v>
      </c>
    </row>
    <row r="1102">
      <c r="A1102" s="512" t="s">
        <v>432</v>
      </c>
      <c r="B1102" s="512" t="s">
        <v>449</v>
      </c>
      <c r="C1102" s="605">
        <v>45819.0</v>
      </c>
      <c r="D1102" s="512">
        <v>3.6440954914E10</v>
      </c>
      <c r="E1102" s="606" t="s">
        <v>2562</v>
      </c>
      <c r="F1102" s="606" t="s">
        <v>436</v>
      </c>
      <c r="G1102" s="606" t="s">
        <v>2563</v>
      </c>
      <c r="H1102" s="608" t="s">
        <v>2559</v>
      </c>
    </row>
    <row r="1103">
      <c r="A1103" s="512" t="s">
        <v>432</v>
      </c>
      <c r="B1103" s="512" t="s">
        <v>449</v>
      </c>
      <c r="C1103" s="605">
        <v>45819.0</v>
      </c>
      <c r="D1103" s="512">
        <v>2.7896881405E10</v>
      </c>
      <c r="E1103" s="606" t="s">
        <v>2564</v>
      </c>
      <c r="F1103" s="606" t="s">
        <v>436</v>
      </c>
      <c r="G1103" s="606" t="s">
        <v>1677</v>
      </c>
      <c r="H1103" s="608" t="s">
        <v>901</v>
      </c>
    </row>
    <row r="1104">
      <c r="A1104" s="512" t="s">
        <v>432</v>
      </c>
      <c r="B1104" s="512" t="s">
        <v>433</v>
      </c>
      <c r="C1104" s="605">
        <v>45819.0</v>
      </c>
      <c r="D1104" s="512">
        <v>3.1326864624E10</v>
      </c>
      <c r="E1104" s="606" t="s">
        <v>2565</v>
      </c>
      <c r="F1104" s="606" t="s">
        <v>436</v>
      </c>
      <c r="G1104" s="606" t="s">
        <v>2566</v>
      </c>
      <c r="H1104" s="608" t="s">
        <v>2559</v>
      </c>
    </row>
    <row r="1105">
      <c r="A1105" s="512" t="s">
        <v>432</v>
      </c>
      <c r="B1105" s="512" t="s">
        <v>433</v>
      </c>
      <c r="C1105" s="605">
        <v>45819.0</v>
      </c>
      <c r="D1105" s="512">
        <v>3.4479319188E10</v>
      </c>
      <c r="E1105" s="606" t="s">
        <v>2567</v>
      </c>
      <c r="F1105" s="606" t="s">
        <v>436</v>
      </c>
      <c r="G1105" s="606" t="s">
        <v>1116</v>
      </c>
      <c r="H1105" s="608" t="s">
        <v>2559</v>
      </c>
    </row>
    <row r="1106">
      <c r="A1106" s="512" t="s">
        <v>432</v>
      </c>
      <c r="B1106" s="512" t="s">
        <v>433</v>
      </c>
      <c r="C1106" s="605">
        <v>45819.0</v>
      </c>
      <c r="D1106" s="512">
        <v>3.1082454958E10</v>
      </c>
      <c r="E1106" s="606" t="s">
        <v>2568</v>
      </c>
      <c r="F1106" s="606" t="s">
        <v>436</v>
      </c>
      <c r="G1106" s="606" t="s">
        <v>2569</v>
      </c>
      <c r="H1106" s="608" t="s">
        <v>2559</v>
      </c>
    </row>
    <row r="1107">
      <c r="A1107" s="512" t="s">
        <v>432</v>
      </c>
      <c r="B1107" s="512" t="s">
        <v>433</v>
      </c>
      <c r="C1107" s="605">
        <v>45819.0</v>
      </c>
      <c r="D1107" s="512">
        <v>2.3814113335E10</v>
      </c>
      <c r="E1107" s="648" t="s">
        <v>2570</v>
      </c>
      <c r="F1107" s="606" t="s">
        <v>436</v>
      </c>
      <c r="G1107" s="606" t="s">
        <v>2471</v>
      </c>
      <c r="H1107" s="608" t="s">
        <v>2554</v>
      </c>
    </row>
    <row r="1108">
      <c r="A1108" s="512" t="s">
        <v>432</v>
      </c>
      <c r="B1108" s="512" t="s">
        <v>433</v>
      </c>
      <c r="C1108" s="605">
        <v>45819.0</v>
      </c>
      <c r="D1108" s="512">
        <v>3.4553350937E10</v>
      </c>
      <c r="E1108" s="606" t="s">
        <v>2571</v>
      </c>
      <c r="F1108" s="606" t="s">
        <v>436</v>
      </c>
      <c r="G1108" s="606" t="s">
        <v>2572</v>
      </c>
      <c r="H1108" s="608" t="s">
        <v>2559</v>
      </c>
    </row>
    <row r="1109">
      <c r="A1109" s="512" t="s">
        <v>432</v>
      </c>
      <c r="B1109" s="512" t="s">
        <v>433</v>
      </c>
      <c r="C1109" s="605">
        <v>45819.0</v>
      </c>
      <c r="D1109" s="512">
        <v>3.3596865169E10</v>
      </c>
      <c r="E1109" s="648" t="s">
        <v>2573</v>
      </c>
      <c r="F1109" s="606" t="s">
        <v>436</v>
      </c>
      <c r="G1109" s="606" t="s">
        <v>2574</v>
      </c>
      <c r="H1109" s="608" t="s">
        <v>2559</v>
      </c>
    </row>
    <row r="1110">
      <c r="A1110" s="512" t="s">
        <v>432</v>
      </c>
      <c r="B1110" s="512" t="s">
        <v>433</v>
      </c>
      <c r="C1110" s="605">
        <v>45819.0</v>
      </c>
      <c r="D1110" s="512">
        <v>3.6274557588E10</v>
      </c>
      <c r="E1110" s="606" t="s">
        <v>2575</v>
      </c>
      <c r="F1110" s="606" t="s">
        <v>436</v>
      </c>
      <c r="G1110" s="606" t="s">
        <v>2576</v>
      </c>
      <c r="H1110" s="608" t="s">
        <v>2559</v>
      </c>
    </row>
    <row r="1111">
      <c r="A1111" s="512" t="s">
        <v>432</v>
      </c>
      <c r="B1111" s="512" t="s">
        <v>433</v>
      </c>
      <c r="C1111" s="605">
        <v>45819.0</v>
      </c>
      <c r="D1111" s="512">
        <v>3.0428614159E10</v>
      </c>
      <c r="E1111" s="606" t="s">
        <v>2577</v>
      </c>
      <c r="F1111" s="606" t="s">
        <v>436</v>
      </c>
      <c r="G1111" s="606" t="s">
        <v>2578</v>
      </c>
      <c r="H1111" s="608" t="s">
        <v>2559</v>
      </c>
    </row>
    <row r="1112">
      <c r="A1112" s="512" t="s">
        <v>432</v>
      </c>
      <c r="B1112" s="512" t="s">
        <v>433</v>
      </c>
      <c r="C1112" s="605">
        <v>45819.0</v>
      </c>
      <c r="D1112" s="512">
        <v>3.2755683607E10</v>
      </c>
      <c r="E1112" s="648" t="s">
        <v>2579</v>
      </c>
      <c r="F1112" s="606" t="s">
        <v>436</v>
      </c>
      <c r="G1112" s="606" t="s">
        <v>2580</v>
      </c>
      <c r="H1112" s="608" t="s">
        <v>2559</v>
      </c>
    </row>
    <row r="1113">
      <c r="A1113" s="512" t="s">
        <v>432</v>
      </c>
      <c r="B1113" s="512" t="s">
        <v>433</v>
      </c>
      <c r="C1113" s="605">
        <v>45819.0</v>
      </c>
      <c r="D1113" s="512">
        <v>2.6087154752E10</v>
      </c>
      <c r="E1113" s="646" t="s">
        <v>2581</v>
      </c>
      <c r="F1113" s="606" t="s">
        <v>436</v>
      </c>
      <c r="G1113" s="606" t="s">
        <v>2582</v>
      </c>
      <c r="H1113" s="608" t="s">
        <v>2559</v>
      </c>
    </row>
    <row r="1114">
      <c r="A1114" s="512" t="s">
        <v>432</v>
      </c>
      <c r="B1114" s="512" t="s">
        <v>449</v>
      </c>
      <c r="C1114" s="605">
        <v>45819.0</v>
      </c>
      <c r="D1114" s="512">
        <v>3.2142883798E10</v>
      </c>
      <c r="E1114" s="606" t="s">
        <v>2583</v>
      </c>
      <c r="F1114" s="606" t="s">
        <v>436</v>
      </c>
      <c r="G1114" s="606" t="s">
        <v>2584</v>
      </c>
      <c r="H1114" s="608" t="s">
        <v>2559</v>
      </c>
    </row>
    <row r="1115">
      <c r="A1115" s="512" t="s">
        <v>432</v>
      </c>
      <c r="B1115" s="512" t="s">
        <v>433</v>
      </c>
      <c r="C1115" s="605">
        <v>45819.0</v>
      </c>
      <c r="D1115" s="512">
        <v>3.5364324677E10</v>
      </c>
      <c r="E1115" s="606" t="s">
        <v>2585</v>
      </c>
      <c r="F1115" s="606" t="s">
        <v>436</v>
      </c>
      <c r="G1115" s="606" t="s">
        <v>2586</v>
      </c>
      <c r="H1115" s="608" t="s">
        <v>2559</v>
      </c>
    </row>
    <row r="1116">
      <c r="A1116" s="512" t="s">
        <v>439</v>
      </c>
      <c r="B1116" s="512" t="s">
        <v>449</v>
      </c>
      <c r="C1116" s="605">
        <v>45819.0</v>
      </c>
      <c r="D1116" s="512">
        <v>3.4195758578E10</v>
      </c>
      <c r="E1116" s="646" t="s">
        <v>2587</v>
      </c>
      <c r="F1116" s="606" t="s">
        <v>436</v>
      </c>
      <c r="G1116" s="606" t="s">
        <v>2588</v>
      </c>
      <c r="H1116" s="608" t="s">
        <v>1175</v>
      </c>
    </row>
    <row r="1117">
      <c r="A1117" s="512" t="s">
        <v>617</v>
      </c>
      <c r="B1117" s="512" t="s">
        <v>449</v>
      </c>
      <c r="C1117" s="605">
        <v>45819.0</v>
      </c>
      <c r="D1117" s="512">
        <v>2.7812828442E10</v>
      </c>
      <c r="E1117" s="606" t="s">
        <v>2589</v>
      </c>
      <c r="F1117" s="606" t="s">
        <v>436</v>
      </c>
      <c r="G1117" s="606" t="s">
        <v>2590</v>
      </c>
      <c r="H1117" s="608" t="s">
        <v>623</v>
      </c>
    </row>
    <row r="1118">
      <c r="A1118" s="512" t="s">
        <v>617</v>
      </c>
      <c r="B1118" s="512" t="s">
        <v>449</v>
      </c>
      <c r="C1118" s="605">
        <v>45819.0</v>
      </c>
      <c r="D1118" s="512">
        <v>2.9606897039E10</v>
      </c>
      <c r="E1118" s="646" t="s">
        <v>2591</v>
      </c>
      <c r="F1118" s="606" t="s">
        <v>436</v>
      </c>
      <c r="G1118" s="606" t="s">
        <v>2592</v>
      </c>
      <c r="H1118" s="608" t="s">
        <v>623</v>
      </c>
    </row>
    <row r="1119">
      <c r="A1119" s="512" t="s">
        <v>617</v>
      </c>
      <c r="B1119" s="512" t="s">
        <v>449</v>
      </c>
      <c r="C1119" s="605">
        <v>45819.0</v>
      </c>
      <c r="D1119" s="512">
        <v>3.6626051326E10</v>
      </c>
      <c r="E1119" s="646" t="s">
        <v>2593</v>
      </c>
      <c r="F1119" s="606" t="s">
        <v>436</v>
      </c>
      <c r="G1119" s="606" t="s">
        <v>2594</v>
      </c>
      <c r="H1119" s="608" t="s">
        <v>623</v>
      </c>
    </row>
    <row r="1120">
      <c r="A1120" s="512" t="s">
        <v>432</v>
      </c>
      <c r="B1120" s="512" t="s">
        <v>433</v>
      </c>
      <c r="C1120" s="605">
        <v>45819.0</v>
      </c>
      <c r="D1120" s="512">
        <v>3.3250493571E10</v>
      </c>
      <c r="E1120" s="606" t="s">
        <v>2595</v>
      </c>
      <c r="F1120" s="606" t="s">
        <v>436</v>
      </c>
      <c r="G1120" s="606" t="s">
        <v>2596</v>
      </c>
      <c r="H1120" s="608" t="s">
        <v>2554</v>
      </c>
    </row>
    <row r="1121">
      <c r="A1121" s="512" t="s">
        <v>432</v>
      </c>
      <c r="B1121" s="512" t="s">
        <v>433</v>
      </c>
      <c r="C1121" s="605">
        <v>45819.0</v>
      </c>
      <c r="D1121" s="512">
        <v>3.3609936202E10</v>
      </c>
      <c r="E1121" s="606" t="s">
        <v>2597</v>
      </c>
      <c r="F1121" s="606" t="s">
        <v>436</v>
      </c>
      <c r="G1121" s="606" t="s">
        <v>2598</v>
      </c>
      <c r="H1121" s="608" t="s">
        <v>2554</v>
      </c>
    </row>
    <row r="1122">
      <c r="A1122" s="512" t="s">
        <v>432</v>
      </c>
      <c r="B1122" s="512" t="s">
        <v>433</v>
      </c>
      <c r="C1122" s="605">
        <v>45819.0</v>
      </c>
      <c r="D1122" s="512">
        <v>3.0899811576E10</v>
      </c>
      <c r="E1122" s="606" t="s">
        <v>2599</v>
      </c>
      <c r="F1122" s="606" t="s">
        <v>436</v>
      </c>
      <c r="G1122" s="606" t="s">
        <v>1525</v>
      </c>
      <c r="H1122" s="608" t="s">
        <v>2554</v>
      </c>
    </row>
    <row r="1123">
      <c r="A1123" s="512" t="s">
        <v>690</v>
      </c>
      <c r="B1123" s="512" t="s">
        <v>1103</v>
      </c>
      <c r="C1123" s="605">
        <v>45820.0</v>
      </c>
      <c r="D1123" s="512">
        <v>3.2996486995E10</v>
      </c>
      <c r="E1123" s="606" t="s">
        <v>2600</v>
      </c>
      <c r="F1123" s="606" t="s">
        <v>436</v>
      </c>
      <c r="G1123" s="606" t="s">
        <v>2601</v>
      </c>
      <c r="H1123" s="608" t="s">
        <v>1054</v>
      </c>
    </row>
    <row r="1124">
      <c r="A1124" s="512" t="s">
        <v>432</v>
      </c>
      <c r="B1124" s="512" t="s">
        <v>433</v>
      </c>
      <c r="C1124" s="605">
        <v>45820.0</v>
      </c>
      <c r="D1124" s="512">
        <v>2.9976829805E10</v>
      </c>
      <c r="E1124" s="606" t="s">
        <v>1236</v>
      </c>
      <c r="F1124" s="606" t="s">
        <v>436</v>
      </c>
      <c r="G1124" s="606" t="s">
        <v>2602</v>
      </c>
      <c r="H1124" s="608" t="s">
        <v>901</v>
      </c>
    </row>
    <row r="1125">
      <c r="A1125" s="512" t="s">
        <v>690</v>
      </c>
      <c r="B1125" s="512" t="s">
        <v>1103</v>
      </c>
      <c r="C1125" s="605">
        <v>45820.0</v>
      </c>
      <c r="D1125" s="512">
        <v>3.184782707E10</v>
      </c>
      <c r="E1125" s="646" t="s">
        <v>2603</v>
      </c>
      <c r="F1125" s="606" t="s">
        <v>436</v>
      </c>
      <c r="G1125" s="606" t="s">
        <v>2604</v>
      </c>
      <c r="H1125" s="608" t="s">
        <v>1054</v>
      </c>
    </row>
    <row r="1126">
      <c r="A1126" s="512" t="s">
        <v>432</v>
      </c>
      <c r="B1126" s="512" t="s">
        <v>433</v>
      </c>
      <c r="C1126" s="605">
        <v>45820.0</v>
      </c>
      <c r="D1126" s="512">
        <v>3.4457564241E10</v>
      </c>
      <c r="E1126" s="606" t="s">
        <v>2605</v>
      </c>
      <c r="F1126" s="606" t="s">
        <v>436</v>
      </c>
      <c r="G1126" s="606" t="s">
        <v>2606</v>
      </c>
      <c r="H1126" s="608" t="s">
        <v>2554</v>
      </c>
    </row>
    <row r="1127">
      <c r="A1127" s="512" t="s">
        <v>432</v>
      </c>
      <c r="B1127" s="512" t="s">
        <v>449</v>
      </c>
      <c r="C1127" s="652">
        <v>45820.0</v>
      </c>
      <c r="D1127" s="653">
        <v>3.55038101E10</v>
      </c>
      <c r="E1127" s="606" t="s">
        <v>2607</v>
      </c>
      <c r="F1127" s="606" t="s">
        <v>436</v>
      </c>
      <c r="G1127" s="606" t="s">
        <v>2608</v>
      </c>
      <c r="H1127" s="608" t="s">
        <v>2554</v>
      </c>
    </row>
    <row r="1128">
      <c r="A1128" s="512" t="s">
        <v>432</v>
      </c>
      <c r="B1128" s="512" t="s">
        <v>433</v>
      </c>
      <c r="C1128" s="605">
        <v>45820.0</v>
      </c>
      <c r="D1128" s="512">
        <v>3.2790549492E10</v>
      </c>
      <c r="E1128" s="606" t="s">
        <v>2609</v>
      </c>
      <c r="F1128" s="606" t="s">
        <v>436</v>
      </c>
      <c r="G1128" s="606" t="s">
        <v>2610</v>
      </c>
      <c r="H1128" s="608" t="s">
        <v>2554</v>
      </c>
    </row>
    <row r="1129">
      <c r="A1129" s="512" t="s">
        <v>617</v>
      </c>
      <c r="B1129" s="512" t="s">
        <v>449</v>
      </c>
      <c r="C1129" s="605">
        <v>45820.0</v>
      </c>
      <c r="D1129" s="512">
        <v>1.9408663741E10</v>
      </c>
      <c r="E1129" s="606" t="s">
        <v>2611</v>
      </c>
      <c r="F1129" s="606" t="s">
        <v>436</v>
      </c>
      <c r="G1129" s="606" t="s">
        <v>2612</v>
      </c>
      <c r="H1129" s="608" t="s">
        <v>696</v>
      </c>
    </row>
    <row r="1130">
      <c r="A1130" s="512" t="s">
        <v>432</v>
      </c>
      <c r="B1130" s="512" t="s">
        <v>433</v>
      </c>
      <c r="C1130" s="605">
        <v>45820.0</v>
      </c>
      <c r="D1130" s="512">
        <v>3.6769988398E10</v>
      </c>
      <c r="E1130" s="606" t="s">
        <v>2613</v>
      </c>
      <c r="F1130" s="606" t="s">
        <v>436</v>
      </c>
      <c r="G1130" s="606" t="s">
        <v>2614</v>
      </c>
      <c r="H1130" s="608" t="s">
        <v>901</v>
      </c>
    </row>
    <row r="1131">
      <c r="A1131" s="512" t="s">
        <v>432</v>
      </c>
      <c r="B1131" s="512" t="s">
        <v>433</v>
      </c>
      <c r="C1131" s="605">
        <v>45820.0</v>
      </c>
      <c r="D1131" s="512">
        <v>3.3460840503E10</v>
      </c>
      <c r="E1131" s="606" t="s">
        <v>2615</v>
      </c>
      <c r="F1131" s="606" t="s">
        <v>436</v>
      </c>
      <c r="G1131" s="606" t="s">
        <v>2616</v>
      </c>
      <c r="H1131" s="608" t="s">
        <v>2554</v>
      </c>
    </row>
    <row r="1132">
      <c r="A1132" s="512" t="s">
        <v>432</v>
      </c>
      <c r="B1132" s="512" t="s">
        <v>433</v>
      </c>
      <c r="C1132" s="605">
        <v>45820.0</v>
      </c>
      <c r="D1132" s="512">
        <v>3.3836578029E10</v>
      </c>
      <c r="E1132" s="606" t="s">
        <v>2617</v>
      </c>
      <c r="F1132" s="606" t="s">
        <v>436</v>
      </c>
      <c r="G1132" s="606" t="s">
        <v>2618</v>
      </c>
      <c r="H1132" s="608" t="s">
        <v>2554</v>
      </c>
    </row>
    <row r="1133">
      <c r="A1133" s="512" t="s">
        <v>439</v>
      </c>
      <c r="B1133" s="512" t="s">
        <v>449</v>
      </c>
      <c r="C1133" s="605">
        <v>45820.0</v>
      </c>
      <c r="D1133" s="512">
        <v>3.344030657E9</v>
      </c>
      <c r="E1133" s="646" t="s">
        <v>2619</v>
      </c>
      <c r="F1133" s="606" t="s">
        <v>436</v>
      </c>
      <c r="G1133" s="606" t="s">
        <v>1665</v>
      </c>
      <c r="H1133" s="608" t="s">
        <v>850</v>
      </c>
    </row>
    <row r="1134">
      <c r="A1134" s="512" t="s">
        <v>432</v>
      </c>
      <c r="B1134" s="512" t="s">
        <v>433</v>
      </c>
      <c r="C1134" s="605">
        <v>45820.0</v>
      </c>
      <c r="D1134" s="512">
        <v>3.5079890609E10</v>
      </c>
      <c r="E1134" s="606" t="s">
        <v>2620</v>
      </c>
      <c r="F1134" s="606" t="s">
        <v>436</v>
      </c>
      <c r="G1134" s="606" t="s">
        <v>2621</v>
      </c>
      <c r="H1134" s="608" t="s">
        <v>2554</v>
      </c>
    </row>
    <row r="1135">
      <c r="A1135" s="512" t="s">
        <v>432</v>
      </c>
      <c r="B1135" s="512" t="s">
        <v>433</v>
      </c>
      <c r="C1135" s="605">
        <v>45820.0</v>
      </c>
      <c r="D1135" s="512">
        <v>3.1942864232E10</v>
      </c>
      <c r="E1135" s="606" t="s">
        <v>2159</v>
      </c>
      <c r="F1135" s="606" t="s">
        <v>436</v>
      </c>
      <c r="G1135" s="606" t="s">
        <v>2622</v>
      </c>
      <c r="H1135" s="608" t="s">
        <v>2554</v>
      </c>
    </row>
    <row r="1136">
      <c r="A1136" s="512" t="s">
        <v>432</v>
      </c>
      <c r="B1136" s="512" t="s">
        <v>433</v>
      </c>
      <c r="C1136" s="605">
        <v>45820.0</v>
      </c>
      <c r="D1136" s="512">
        <v>2.9809926299E10</v>
      </c>
      <c r="E1136" s="606" t="s">
        <v>2623</v>
      </c>
      <c r="F1136" s="606" t="s">
        <v>436</v>
      </c>
      <c r="G1136" s="606" t="s">
        <v>2624</v>
      </c>
      <c r="H1136" s="608" t="s">
        <v>2554</v>
      </c>
    </row>
    <row r="1137">
      <c r="A1137" s="512" t="s">
        <v>432</v>
      </c>
      <c r="B1137" s="512" t="s">
        <v>433</v>
      </c>
      <c r="C1137" s="605">
        <v>45820.0</v>
      </c>
      <c r="D1137" s="512">
        <v>3.1084570902E10</v>
      </c>
      <c r="E1137" s="606" t="s">
        <v>2625</v>
      </c>
      <c r="F1137" s="606" t="s">
        <v>436</v>
      </c>
      <c r="G1137" s="606" t="s">
        <v>2626</v>
      </c>
      <c r="H1137" s="608" t="s">
        <v>2554</v>
      </c>
    </row>
    <row r="1138">
      <c r="A1138" s="512" t="s">
        <v>617</v>
      </c>
      <c r="B1138" s="512" t="s">
        <v>2627</v>
      </c>
      <c r="C1138" s="605">
        <v>45820.0</v>
      </c>
      <c r="D1138" s="512">
        <v>3.6409369313E10</v>
      </c>
      <c r="E1138" s="606" t="s">
        <v>2628</v>
      </c>
      <c r="F1138" s="606" t="s">
        <v>436</v>
      </c>
      <c r="G1138" s="606" t="s">
        <v>2629</v>
      </c>
      <c r="H1138" s="608" t="s">
        <v>696</v>
      </c>
    </row>
    <row r="1139">
      <c r="A1139" s="512" t="s">
        <v>432</v>
      </c>
      <c r="B1139" s="512" t="s">
        <v>433</v>
      </c>
      <c r="C1139" s="605">
        <v>45820.0</v>
      </c>
      <c r="D1139" s="512">
        <v>3.5893169823E10</v>
      </c>
      <c r="E1139" s="648" t="s">
        <v>2630</v>
      </c>
      <c r="F1139" s="606" t="s">
        <v>436</v>
      </c>
      <c r="G1139" s="606" t="s">
        <v>2631</v>
      </c>
      <c r="H1139" s="608" t="s">
        <v>2554</v>
      </c>
    </row>
    <row r="1140">
      <c r="A1140" s="512" t="s">
        <v>432</v>
      </c>
      <c r="B1140" s="512" t="s">
        <v>433</v>
      </c>
      <c r="C1140" s="605">
        <v>45820.0</v>
      </c>
      <c r="D1140" s="512">
        <v>3.3791478762E10</v>
      </c>
      <c r="E1140" s="606" t="s">
        <v>2632</v>
      </c>
      <c r="F1140" s="606" t="s">
        <v>436</v>
      </c>
      <c r="G1140" s="606" t="s">
        <v>2633</v>
      </c>
      <c r="H1140" s="608" t="s">
        <v>901</v>
      </c>
    </row>
    <row r="1141">
      <c r="A1141" s="512" t="s">
        <v>432</v>
      </c>
      <c r="B1141" s="512" t="s">
        <v>449</v>
      </c>
      <c r="C1141" s="605">
        <v>45820.0</v>
      </c>
      <c r="D1141" s="512">
        <v>2.9427434082E10</v>
      </c>
      <c r="E1141" s="606" t="s">
        <v>2634</v>
      </c>
      <c r="F1141" s="606" t="s">
        <v>436</v>
      </c>
      <c r="G1141" s="606" t="s">
        <v>2635</v>
      </c>
      <c r="H1141" s="608" t="s">
        <v>2554</v>
      </c>
    </row>
    <row r="1142">
      <c r="A1142" s="512" t="s">
        <v>617</v>
      </c>
      <c r="B1142" s="512" t="s">
        <v>449</v>
      </c>
      <c r="C1142" s="605">
        <v>45820.0</v>
      </c>
      <c r="D1142" s="512">
        <v>3.514957035E10</v>
      </c>
      <c r="E1142" s="606" t="s">
        <v>2636</v>
      </c>
      <c r="F1142" s="606" t="s">
        <v>436</v>
      </c>
      <c r="G1142" s="606" t="s">
        <v>2637</v>
      </c>
      <c r="H1142" s="608" t="s">
        <v>696</v>
      </c>
    </row>
    <row r="1143">
      <c r="A1143" s="512" t="s">
        <v>432</v>
      </c>
      <c r="B1143" s="512" t="s">
        <v>433</v>
      </c>
      <c r="C1143" s="605">
        <v>45820.0</v>
      </c>
      <c r="D1143" s="512">
        <v>3.0676098582E10</v>
      </c>
      <c r="E1143" s="606" t="s">
        <v>2638</v>
      </c>
      <c r="F1143" s="606" t="s">
        <v>436</v>
      </c>
      <c r="G1143" s="606" t="s">
        <v>2639</v>
      </c>
      <c r="H1143" s="608" t="s">
        <v>2554</v>
      </c>
    </row>
    <row r="1144">
      <c r="A1144" s="512" t="s">
        <v>690</v>
      </c>
      <c r="B1144" s="512" t="s">
        <v>1383</v>
      </c>
      <c r="C1144" s="605">
        <v>45820.0</v>
      </c>
      <c r="D1144" s="512">
        <v>3.6598839262E10</v>
      </c>
      <c r="E1144" s="646" t="s">
        <v>2640</v>
      </c>
      <c r="F1144" s="606" t="s">
        <v>436</v>
      </c>
      <c r="G1144" s="606" t="s">
        <v>2641</v>
      </c>
      <c r="H1144" s="608" t="s">
        <v>1054</v>
      </c>
    </row>
    <row r="1145">
      <c r="A1145" s="512" t="s">
        <v>432</v>
      </c>
      <c r="B1145" s="512" t="s">
        <v>433</v>
      </c>
      <c r="C1145" s="605">
        <v>45820.0</v>
      </c>
      <c r="D1145" s="512">
        <v>2.7916589362E10</v>
      </c>
      <c r="E1145" s="606" t="s">
        <v>2642</v>
      </c>
      <c r="F1145" s="606" t="s">
        <v>436</v>
      </c>
      <c r="G1145" s="606" t="s">
        <v>2643</v>
      </c>
      <c r="H1145" s="608" t="s">
        <v>2554</v>
      </c>
    </row>
    <row r="1146">
      <c r="A1146" s="512" t="s">
        <v>439</v>
      </c>
      <c r="B1146" s="512" t="s">
        <v>1103</v>
      </c>
      <c r="C1146" s="605">
        <v>45820.0</v>
      </c>
      <c r="D1146" s="512">
        <v>3.1469648941E10</v>
      </c>
      <c r="E1146" s="646" t="s">
        <v>2644</v>
      </c>
      <c r="F1146" s="606" t="s">
        <v>436</v>
      </c>
      <c r="G1146" s="606" t="s">
        <v>2645</v>
      </c>
      <c r="H1146" s="608" t="s">
        <v>850</v>
      </c>
    </row>
    <row r="1147">
      <c r="A1147" s="512" t="s">
        <v>432</v>
      </c>
      <c r="B1147" s="512" t="s">
        <v>433</v>
      </c>
      <c r="C1147" s="605">
        <v>45820.0</v>
      </c>
      <c r="D1147" s="512">
        <v>3.071549556E10</v>
      </c>
      <c r="E1147" s="606" t="s">
        <v>2646</v>
      </c>
      <c r="F1147" s="606" t="s">
        <v>436</v>
      </c>
      <c r="G1147" s="606" t="s">
        <v>2647</v>
      </c>
      <c r="H1147" s="608" t="s">
        <v>2554</v>
      </c>
    </row>
    <row r="1148">
      <c r="A1148" s="512" t="s">
        <v>617</v>
      </c>
      <c r="B1148" s="512" t="s">
        <v>449</v>
      </c>
      <c r="C1148" s="605">
        <v>45820.0</v>
      </c>
      <c r="D1148" s="512">
        <v>3.183983062E10</v>
      </c>
      <c r="E1148" s="606" t="s">
        <v>2648</v>
      </c>
      <c r="F1148" s="606" t="s">
        <v>436</v>
      </c>
      <c r="G1148" s="640"/>
      <c r="H1148" s="608" t="s">
        <v>696</v>
      </c>
    </row>
    <row r="1149">
      <c r="A1149" s="512" t="s">
        <v>690</v>
      </c>
      <c r="B1149" s="512" t="s">
        <v>1103</v>
      </c>
      <c r="C1149" s="605">
        <v>45820.0</v>
      </c>
      <c r="D1149" s="512">
        <v>3.365101985E10</v>
      </c>
      <c r="E1149" s="646" t="s">
        <v>2649</v>
      </c>
      <c r="F1149" s="606" t="s">
        <v>436</v>
      </c>
      <c r="G1149" s="640"/>
      <c r="H1149" s="608" t="s">
        <v>1054</v>
      </c>
    </row>
    <row r="1150">
      <c r="A1150" s="512" t="s">
        <v>690</v>
      </c>
      <c r="B1150" s="512" t="s">
        <v>1103</v>
      </c>
      <c r="C1150" s="605">
        <v>45821.0</v>
      </c>
      <c r="D1150" s="512">
        <v>3.164613534E10</v>
      </c>
      <c r="E1150" s="646" t="s">
        <v>2650</v>
      </c>
      <c r="F1150" s="606" t="s">
        <v>436</v>
      </c>
      <c r="G1150" s="606" t="s">
        <v>2651</v>
      </c>
      <c r="H1150" s="608" t="s">
        <v>1054</v>
      </c>
    </row>
    <row r="1151">
      <c r="A1151" s="512" t="s">
        <v>617</v>
      </c>
      <c r="B1151" s="512" t="s">
        <v>433</v>
      </c>
      <c r="C1151" s="605">
        <v>45821.0</v>
      </c>
      <c r="D1151" s="512">
        <v>3.3840254677E10</v>
      </c>
      <c r="E1151" s="606" t="s">
        <v>2652</v>
      </c>
      <c r="F1151" s="606" t="s">
        <v>436</v>
      </c>
      <c r="G1151" s="606" t="s">
        <v>2653</v>
      </c>
      <c r="H1151" s="608" t="s">
        <v>696</v>
      </c>
    </row>
    <row r="1152">
      <c r="A1152" s="512" t="s">
        <v>617</v>
      </c>
      <c r="B1152" s="512" t="s">
        <v>449</v>
      </c>
      <c r="C1152" s="605">
        <v>45821.0</v>
      </c>
      <c r="D1152" s="512">
        <v>3.4545734214E10</v>
      </c>
      <c r="E1152" s="606" t="s">
        <v>2654</v>
      </c>
      <c r="F1152" s="606" t="s">
        <v>436</v>
      </c>
      <c r="G1152" s="606" t="s">
        <v>2655</v>
      </c>
      <c r="H1152" s="608" t="s">
        <v>696</v>
      </c>
    </row>
    <row r="1153">
      <c r="A1153" s="512" t="s">
        <v>617</v>
      </c>
      <c r="B1153" s="512" t="s">
        <v>433</v>
      </c>
      <c r="C1153" s="605">
        <v>45821.0</v>
      </c>
      <c r="D1153" s="512">
        <v>3.015113995E10</v>
      </c>
      <c r="E1153" s="606" t="s">
        <v>2656</v>
      </c>
      <c r="F1153" s="606" t="s">
        <v>436</v>
      </c>
      <c r="G1153" s="606" t="s">
        <v>2657</v>
      </c>
      <c r="H1153" s="608" t="s">
        <v>696</v>
      </c>
    </row>
    <row r="1154">
      <c r="A1154" s="512" t="s">
        <v>617</v>
      </c>
      <c r="B1154" s="512" t="s">
        <v>433</v>
      </c>
      <c r="C1154" s="605">
        <v>45821.0</v>
      </c>
      <c r="D1154" s="512">
        <v>3.0443321855E10</v>
      </c>
      <c r="E1154" s="606" t="s">
        <v>2136</v>
      </c>
      <c r="F1154" s="606" t="s">
        <v>436</v>
      </c>
      <c r="G1154" s="606" t="s">
        <v>2658</v>
      </c>
      <c r="H1154" s="608" t="s">
        <v>696</v>
      </c>
    </row>
    <row r="1155">
      <c r="A1155" s="512" t="s">
        <v>439</v>
      </c>
      <c r="B1155" s="512" t="s">
        <v>433</v>
      </c>
      <c r="C1155" s="605">
        <v>45821.0</v>
      </c>
      <c r="D1155" s="512">
        <v>3.4479838474E10</v>
      </c>
      <c r="E1155" s="646" t="s">
        <v>2659</v>
      </c>
      <c r="F1155" s="606" t="s">
        <v>436</v>
      </c>
      <c r="G1155" s="606" t="s">
        <v>2660</v>
      </c>
      <c r="H1155" s="608" t="s">
        <v>1608</v>
      </c>
    </row>
    <row r="1156">
      <c r="A1156" s="512" t="s">
        <v>617</v>
      </c>
      <c r="B1156" s="512" t="s">
        <v>433</v>
      </c>
      <c r="C1156" s="605">
        <v>45821.0</v>
      </c>
      <c r="D1156" s="512">
        <v>3.1472022289E10</v>
      </c>
      <c r="E1156" s="606" t="s">
        <v>2661</v>
      </c>
      <c r="F1156" s="606" t="s">
        <v>436</v>
      </c>
      <c r="G1156" s="606" t="s">
        <v>2662</v>
      </c>
      <c r="H1156" s="608" t="s">
        <v>696</v>
      </c>
    </row>
    <row r="1157">
      <c r="A1157" s="512" t="s">
        <v>439</v>
      </c>
      <c r="B1157" s="512" t="s">
        <v>433</v>
      </c>
      <c r="C1157" s="605">
        <v>45821.0</v>
      </c>
      <c r="D1157" s="512">
        <v>3.1038873149E10</v>
      </c>
      <c r="E1157" s="646" t="s">
        <v>2663</v>
      </c>
      <c r="F1157" s="606" t="s">
        <v>436</v>
      </c>
      <c r="G1157" s="606" t="s">
        <v>1859</v>
      </c>
      <c r="H1157" s="608" t="s">
        <v>1608</v>
      </c>
    </row>
    <row r="1158">
      <c r="A1158" s="512" t="s">
        <v>432</v>
      </c>
      <c r="B1158" s="512" t="s">
        <v>449</v>
      </c>
      <c r="C1158" s="605">
        <v>45821.0</v>
      </c>
      <c r="D1158" s="512">
        <v>3.1205747005E10</v>
      </c>
      <c r="E1158" s="606" t="s">
        <v>2664</v>
      </c>
      <c r="F1158" s="606" t="s">
        <v>436</v>
      </c>
      <c r="G1158" s="606" t="s">
        <v>1529</v>
      </c>
      <c r="H1158" s="608" t="s">
        <v>1096</v>
      </c>
    </row>
    <row r="1159">
      <c r="A1159" s="512" t="s">
        <v>823</v>
      </c>
      <c r="B1159" s="512" t="s">
        <v>1103</v>
      </c>
      <c r="C1159" s="605">
        <v>45821.0</v>
      </c>
      <c r="D1159" s="512">
        <v>3.6689118997E10</v>
      </c>
      <c r="E1159" s="606" t="s">
        <v>2535</v>
      </c>
      <c r="F1159" s="606" t="s">
        <v>436</v>
      </c>
      <c r="G1159" s="606" t="s">
        <v>2665</v>
      </c>
      <c r="H1159" s="608" t="s">
        <v>1175</v>
      </c>
    </row>
    <row r="1160">
      <c r="A1160" s="512" t="s">
        <v>617</v>
      </c>
      <c r="B1160" s="512" t="s">
        <v>449</v>
      </c>
      <c r="C1160" s="605">
        <v>45821.0</v>
      </c>
      <c r="D1160" s="512">
        <v>3.4902572524E10</v>
      </c>
      <c r="E1160" s="606" t="s">
        <v>2666</v>
      </c>
      <c r="F1160" s="606" t="s">
        <v>436</v>
      </c>
      <c r="G1160" s="606" t="s">
        <v>2667</v>
      </c>
      <c r="H1160" s="608" t="s">
        <v>696</v>
      </c>
    </row>
    <row r="1161">
      <c r="A1161" s="512" t="s">
        <v>439</v>
      </c>
      <c r="B1161" s="512" t="s">
        <v>2668</v>
      </c>
      <c r="C1161" s="605">
        <v>45821.0</v>
      </c>
      <c r="D1161" s="512">
        <v>3.6672549517E10</v>
      </c>
      <c r="E1161" s="646" t="s">
        <v>2669</v>
      </c>
      <c r="F1161" s="606" t="s">
        <v>436</v>
      </c>
      <c r="G1161" s="606" t="s">
        <v>2670</v>
      </c>
      <c r="H1161" s="608" t="s">
        <v>1608</v>
      </c>
    </row>
    <row r="1162">
      <c r="A1162" s="512" t="s">
        <v>439</v>
      </c>
      <c r="B1162" s="512" t="s">
        <v>449</v>
      </c>
      <c r="C1162" s="605">
        <v>45821.0</v>
      </c>
      <c r="D1162" s="512">
        <v>3.4581901185E10</v>
      </c>
      <c r="E1162" s="646" t="s">
        <v>2671</v>
      </c>
      <c r="F1162" s="606" t="s">
        <v>436</v>
      </c>
      <c r="G1162" s="606" t="s">
        <v>2672</v>
      </c>
      <c r="H1162" s="608" t="s">
        <v>1608</v>
      </c>
    </row>
    <row r="1163">
      <c r="A1163" s="512" t="s">
        <v>617</v>
      </c>
      <c r="B1163" s="512" t="s">
        <v>449</v>
      </c>
      <c r="C1163" s="605">
        <v>45821.0</v>
      </c>
      <c r="D1163" s="512">
        <v>1.464649408E10</v>
      </c>
      <c r="E1163" s="606" t="s">
        <v>2673</v>
      </c>
      <c r="F1163" s="606" t="s">
        <v>436</v>
      </c>
      <c r="G1163" s="640"/>
      <c r="H1163" s="608" t="s">
        <v>696</v>
      </c>
    </row>
    <row r="1164">
      <c r="A1164" s="512" t="s">
        <v>823</v>
      </c>
      <c r="B1164" s="512" t="s">
        <v>433</v>
      </c>
      <c r="C1164" s="605">
        <v>45822.0</v>
      </c>
      <c r="D1164" s="512">
        <v>3.5834616872E10</v>
      </c>
      <c r="E1164" s="606" t="s">
        <v>2674</v>
      </c>
      <c r="F1164" s="606" t="s">
        <v>436</v>
      </c>
      <c r="G1164" s="606" t="s">
        <v>2675</v>
      </c>
      <c r="H1164" s="608" t="s">
        <v>2676</v>
      </c>
    </row>
    <row r="1165">
      <c r="A1165" s="512" t="s">
        <v>432</v>
      </c>
      <c r="B1165" s="512" t="s">
        <v>449</v>
      </c>
      <c r="C1165" s="605">
        <v>45822.0</v>
      </c>
      <c r="D1165" s="512">
        <v>2.9882582548E10</v>
      </c>
      <c r="E1165" s="606" t="s">
        <v>2677</v>
      </c>
      <c r="F1165" s="606" t="s">
        <v>436</v>
      </c>
      <c r="G1165" s="606" t="s">
        <v>1086</v>
      </c>
      <c r="H1165" s="608" t="s">
        <v>1096</v>
      </c>
    </row>
    <row r="1166">
      <c r="A1166" s="512" t="s">
        <v>439</v>
      </c>
      <c r="B1166" s="512" t="s">
        <v>433</v>
      </c>
      <c r="C1166" s="605">
        <v>45822.0</v>
      </c>
      <c r="D1166" s="512">
        <v>3.3445458379E10</v>
      </c>
      <c r="E1166" s="646" t="s">
        <v>2678</v>
      </c>
      <c r="F1166" s="606" t="s">
        <v>436</v>
      </c>
      <c r="G1166" s="606" t="s">
        <v>2328</v>
      </c>
      <c r="H1166" s="608" t="s">
        <v>1608</v>
      </c>
    </row>
    <row r="1167">
      <c r="A1167" s="512" t="s">
        <v>617</v>
      </c>
      <c r="B1167" s="512" t="s">
        <v>449</v>
      </c>
      <c r="C1167" s="605">
        <v>45822.0</v>
      </c>
      <c r="D1167" s="512">
        <v>1.2800062755E10</v>
      </c>
      <c r="E1167" s="646" t="s">
        <v>2679</v>
      </c>
      <c r="F1167" s="606" t="s">
        <v>436</v>
      </c>
      <c r="G1167" s="606" t="s">
        <v>2680</v>
      </c>
      <c r="H1167" s="608" t="s">
        <v>623</v>
      </c>
    </row>
    <row r="1168">
      <c r="A1168" s="512" t="s">
        <v>439</v>
      </c>
      <c r="B1168" s="512" t="s">
        <v>433</v>
      </c>
      <c r="C1168" s="605">
        <v>45822.0</v>
      </c>
      <c r="D1168" s="512">
        <v>3.5118556383E10</v>
      </c>
      <c r="E1168" s="646" t="s">
        <v>2681</v>
      </c>
      <c r="F1168" s="606" t="s">
        <v>436</v>
      </c>
      <c r="G1168" s="606" t="s">
        <v>965</v>
      </c>
      <c r="H1168" s="608" t="s">
        <v>1608</v>
      </c>
    </row>
    <row r="1169">
      <c r="A1169" s="512" t="s">
        <v>439</v>
      </c>
      <c r="B1169" s="512" t="s">
        <v>433</v>
      </c>
      <c r="C1169" s="605">
        <v>45822.0</v>
      </c>
      <c r="D1169" s="512">
        <v>3.3395400168E10</v>
      </c>
      <c r="E1169" s="646" t="s">
        <v>2682</v>
      </c>
      <c r="F1169" s="606" t="s">
        <v>436</v>
      </c>
      <c r="G1169" s="606" t="s">
        <v>2683</v>
      </c>
      <c r="H1169" s="608" t="s">
        <v>1608</v>
      </c>
    </row>
    <row r="1170">
      <c r="A1170" s="512" t="s">
        <v>439</v>
      </c>
      <c r="B1170" s="512" t="s">
        <v>433</v>
      </c>
      <c r="C1170" s="605">
        <v>45822.0</v>
      </c>
      <c r="D1170" s="512">
        <v>3.4431979718E10</v>
      </c>
      <c r="E1170" s="646" t="s">
        <v>2684</v>
      </c>
      <c r="F1170" s="606" t="s">
        <v>436</v>
      </c>
      <c r="G1170" s="606" t="s">
        <v>2685</v>
      </c>
      <c r="H1170" s="608" t="s">
        <v>1608</v>
      </c>
    </row>
    <row r="1171">
      <c r="A1171" s="512" t="s">
        <v>432</v>
      </c>
      <c r="B1171" s="512" t="s">
        <v>449</v>
      </c>
      <c r="C1171" s="605">
        <v>45822.0</v>
      </c>
      <c r="D1171" s="512">
        <v>3.0716943245E10</v>
      </c>
      <c r="E1171" s="606" t="s">
        <v>2686</v>
      </c>
      <c r="F1171" s="606" t="s">
        <v>436</v>
      </c>
      <c r="G1171" s="606" t="s">
        <v>2687</v>
      </c>
      <c r="H1171" s="608" t="s">
        <v>1096</v>
      </c>
    </row>
    <row r="1172">
      <c r="A1172" s="512" t="s">
        <v>690</v>
      </c>
      <c r="B1172" s="512" t="s">
        <v>449</v>
      </c>
      <c r="C1172" s="605">
        <v>45822.0</v>
      </c>
      <c r="D1172" s="512">
        <v>3.3160397207E10</v>
      </c>
      <c r="E1172" s="646" t="s">
        <v>2688</v>
      </c>
      <c r="F1172" s="606" t="s">
        <v>436</v>
      </c>
      <c r="G1172" s="606" t="s">
        <v>2689</v>
      </c>
      <c r="H1172" s="608" t="s">
        <v>693</v>
      </c>
    </row>
    <row r="1173">
      <c r="A1173" s="512" t="s">
        <v>439</v>
      </c>
      <c r="B1173" s="512" t="s">
        <v>433</v>
      </c>
      <c r="C1173" s="605">
        <v>45822.0</v>
      </c>
      <c r="D1173" s="512">
        <v>3.3589999334E10</v>
      </c>
      <c r="E1173" s="646" t="s">
        <v>2690</v>
      </c>
      <c r="F1173" s="606" t="s">
        <v>436</v>
      </c>
      <c r="G1173" s="606" t="s">
        <v>2691</v>
      </c>
      <c r="H1173" s="608" t="s">
        <v>1608</v>
      </c>
    </row>
    <row r="1174">
      <c r="A1174" s="512" t="s">
        <v>823</v>
      </c>
      <c r="B1174" s="512" t="s">
        <v>449</v>
      </c>
      <c r="C1174" s="605">
        <v>45822.0</v>
      </c>
      <c r="D1174" s="512">
        <v>3.487760322E10</v>
      </c>
      <c r="E1174" s="606" t="s">
        <v>2692</v>
      </c>
      <c r="F1174" s="606" t="s">
        <v>436</v>
      </c>
      <c r="G1174" s="606" t="s">
        <v>2693</v>
      </c>
      <c r="H1174" s="608" t="s">
        <v>2676</v>
      </c>
    </row>
    <row r="1175">
      <c r="A1175" s="512" t="s">
        <v>823</v>
      </c>
      <c r="B1175" s="512" t="s">
        <v>449</v>
      </c>
      <c r="C1175" s="605">
        <v>45822.0</v>
      </c>
      <c r="D1175" s="512">
        <v>3.0926435033E10</v>
      </c>
      <c r="E1175" s="606" t="s">
        <v>2694</v>
      </c>
      <c r="F1175" s="606" t="s">
        <v>436</v>
      </c>
      <c r="G1175" s="606" t="s">
        <v>2695</v>
      </c>
      <c r="H1175" s="608" t="s">
        <v>2676</v>
      </c>
    </row>
    <row r="1176">
      <c r="A1176" s="512" t="s">
        <v>439</v>
      </c>
      <c r="B1176" s="512" t="s">
        <v>433</v>
      </c>
      <c r="C1176" s="605">
        <v>45822.0</v>
      </c>
      <c r="D1176" s="512">
        <v>3.2757632144E10</v>
      </c>
      <c r="E1176" s="646" t="s">
        <v>2696</v>
      </c>
      <c r="F1176" s="606" t="s">
        <v>436</v>
      </c>
      <c r="G1176" s="606" t="s">
        <v>2697</v>
      </c>
      <c r="H1176" s="608" t="s">
        <v>1608</v>
      </c>
    </row>
    <row r="1177">
      <c r="A1177" s="512" t="s">
        <v>432</v>
      </c>
      <c r="B1177" s="512" t="s">
        <v>449</v>
      </c>
      <c r="C1177" s="605">
        <v>45822.0</v>
      </c>
      <c r="D1177" s="512">
        <v>2.7041134536E10</v>
      </c>
      <c r="E1177" s="606" t="s">
        <v>2698</v>
      </c>
      <c r="F1177" s="606" t="s">
        <v>436</v>
      </c>
      <c r="G1177" s="606" t="s">
        <v>2699</v>
      </c>
      <c r="H1177" s="608" t="s">
        <v>1096</v>
      </c>
    </row>
    <row r="1178">
      <c r="A1178" s="512" t="s">
        <v>439</v>
      </c>
      <c r="B1178" s="512" t="s">
        <v>433</v>
      </c>
      <c r="C1178" s="605">
        <v>45822.0</v>
      </c>
      <c r="D1178" s="512">
        <v>3.4458615236E10</v>
      </c>
      <c r="E1178" s="646" t="s">
        <v>2700</v>
      </c>
      <c r="F1178" s="606" t="s">
        <v>436</v>
      </c>
      <c r="G1178" s="606" t="s">
        <v>2701</v>
      </c>
      <c r="H1178" s="608" t="s">
        <v>1608</v>
      </c>
    </row>
    <row r="1179">
      <c r="A1179" s="512" t="s">
        <v>617</v>
      </c>
      <c r="B1179" s="512" t="s">
        <v>449</v>
      </c>
      <c r="C1179" s="605">
        <v>45822.0</v>
      </c>
      <c r="D1179" s="512">
        <v>3.4384091746E10</v>
      </c>
      <c r="E1179" s="646" t="s">
        <v>2702</v>
      </c>
      <c r="F1179" s="606" t="s">
        <v>436</v>
      </c>
      <c r="G1179" s="606" t="s">
        <v>2703</v>
      </c>
      <c r="H1179" s="608" t="s">
        <v>623</v>
      </c>
    </row>
    <row r="1180">
      <c r="A1180" s="512" t="s">
        <v>432</v>
      </c>
      <c r="B1180" s="512" t="s">
        <v>449</v>
      </c>
      <c r="C1180" s="605">
        <v>45823.0</v>
      </c>
      <c r="D1180" s="512">
        <v>3.698754161E10</v>
      </c>
      <c r="E1180" s="606" t="s">
        <v>2704</v>
      </c>
      <c r="F1180" s="606" t="s">
        <v>436</v>
      </c>
      <c r="G1180" s="606" t="s">
        <v>2705</v>
      </c>
      <c r="H1180" s="608" t="s">
        <v>1096</v>
      </c>
    </row>
    <row r="1181">
      <c r="A1181" s="512" t="s">
        <v>690</v>
      </c>
      <c r="B1181" s="512" t="s">
        <v>449</v>
      </c>
      <c r="C1181" s="605">
        <v>45823.0</v>
      </c>
      <c r="D1181" s="512">
        <v>3.420225775E10</v>
      </c>
      <c r="E1181" s="606" t="s">
        <v>2706</v>
      </c>
      <c r="F1181" s="606" t="s">
        <v>436</v>
      </c>
      <c r="G1181" s="606" t="s">
        <v>2707</v>
      </c>
      <c r="H1181" s="608" t="s">
        <v>2708</v>
      </c>
    </row>
    <row r="1182">
      <c r="A1182" s="512" t="s">
        <v>617</v>
      </c>
      <c r="B1182" s="512" t="s">
        <v>449</v>
      </c>
      <c r="C1182" s="605">
        <v>45823.0</v>
      </c>
      <c r="D1182" s="512">
        <v>2.3477625941E10</v>
      </c>
      <c r="E1182" s="640"/>
      <c r="F1182" s="606" t="s">
        <v>436</v>
      </c>
      <c r="G1182" s="606" t="s">
        <v>2709</v>
      </c>
      <c r="H1182" s="608" t="s">
        <v>623</v>
      </c>
    </row>
    <row r="1183">
      <c r="A1183" s="512" t="s">
        <v>690</v>
      </c>
      <c r="B1183" s="512" t="s">
        <v>433</v>
      </c>
      <c r="C1183" s="605">
        <v>45823.0</v>
      </c>
      <c r="D1183" s="512">
        <v>3.0737375837E10</v>
      </c>
      <c r="E1183" s="606" t="s">
        <v>2710</v>
      </c>
      <c r="F1183" s="606" t="s">
        <v>436</v>
      </c>
      <c r="G1183" s="606" t="s">
        <v>2711</v>
      </c>
      <c r="H1183" s="608" t="s">
        <v>2708</v>
      </c>
    </row>
    <row r="1184">
      <c r="A1184" s="512" t="s">
        <v>690</v>
      </c>
      <c r="B1184" s="512" t="s">
        <v>433</v>
      </c>
      <c r="C1184" s="605">
        <v>45823.0</v>
      </c>
      <c r="D1184" s="512">
        <v>2.8558001426E10</v>
      </c>
      <c r="E1184" s="606" t="s">
        <v>2712</v>
      </c>
      <c r="F1184" s="606" t="s">
        <v>436</v>
      </c>
      <c r="G1184" s="606" t="s">
        <v>954</v>
      </c>
      <c r="H1184" s="608" t="s">
        <v>2708</v>
      </c>
    </row>
    <row r="1185">
      <c r="A1185" s="512" t="s">
        <v>823</v>
      </c>
      <c r="B1185" s="512" t="s">
        <v>449</v>
      </c>
      <c r="C1185" s="605">
        <v>45823.0</v>
      </c>
      <c r="D1185" s="512">
        <v>3.5892143991E10</v>
      </c>
      <c r="E1185" s="606" t="s">
        <v>2713</v>
      </c>
      <c r="F1185" s="606" t="s">
        <v>436</v>
      </c>
      <c r="G1185" s="606" t="s">
        <v>2714</v>
      </c>
      <c r="H1185" s="608" t="s">
        <v>2676</v>
      </c>
    </row>
    <row r="1186">
      <c r="A1186" s="512" t="s">
        <v>690</v>
      </c>
      <c r="B1186" s="512" t="s">
        <v>449</v>
      </c>
      <c r="C1186" s="605">
        <v>45823.0</v>
      </c>
      <c r="D1186" s="512">
        <v>3.6466004298E10</v>
      </c>
      <c r="E1186" s="606" t="s">
        <v>2715</v>
      </c>
      <c r="F1186" s="606" t="s">
        <v>436</v>
      </c>
      <c r="G1186" s="606" t="s">
        <v>2716</v>
      </c>
      <c r="H1186" s="608" t="s">
        <v>2708</v>
      </c>
    </row>
    <row r="1187">
      <c r="A1187" s="512" t="s">
        <v>432</v>
      </c>
      <c r="B1187" s="512" t="s">
        <v>449</v>
      </c>
      <c r="C1187" s="605">
        <v>45823.0</v>
      </c>
      <c r="D1187" s="512">
        <v>3.1443206764E10</v>
      </c>
      <c r="E1187" s="606" t="s">
        <v>2717</v>
      </c>
      <c r="F1187" s="606" t="s">
        <v>436</v>
      </c>
      <c r="G1187" s="606" t="s">
        <v>2718</v>
      </c>
      <c r="H1187" s="608" t="s">
        <v>1096</v>
      </c>
    </row>
    <row r="1188">
      <c r="A1188" s="512" t="s">
        <v>823</v>
      </c>
      <c r="B1188" s="512" t="s">
        <v>433</v>
      </c>
      <c r="C1188" s="605">
        <v>45823.0</v>
      </c>
      <c r="D1188" s="512">
        <v>2.9795923278E10</v>
      </c>
      <c r="E1188" s="606" t="s">
        <v>2719</v>
      </c>
      <c r="F1188" s="606" t="s">
        <v>436</v>
      </c>
      <c r="G1188" s="606" t="s">
        <v>2720</v>
      </c>
      <c r="H1188" s="608" t="s">
        <v>2676</v>
      </c>
    </row>
    <row r="1189">
      <c r="A1189" s="512" t="s">
        <v>823</v>
      </c>
      <c r="B1189" s="512" t="s">
        <v>449</v>
      </c>
      <c r="C1189" s="605">
        <v>45823.0</v>
      </c>
      <c r="D1189" s="512">
        <v>3.6658393407E10</v>
      </c>
      <c r="E1189" s="606" t="s">
        <v>2721</v>
      </c>
      <c r="F1189" s="606" t="s">
        <v>436</v>
      </c>
      <c r="G1189" s="606" t="s">
        <v>2722</v>
      </c>
      <c r="H1189" s="608" t="s">
        <v>2676</v>
      </c>
    </row>
    <row r="1190">
      <c r="A1190" s="512" t="s">
        <v>823</v>
      </c>
      <c r="B1190" s="512" t="s">
        <v>449</v>
      </c>
      <c r="C1190" s="605">
        <v>45823.0</v>
      </c>
      <c r="D1190" s="512">
        <v>3.4779300849E10</v>
      </c>
      <c r="E1190" s="606" t="s">
        <v>2723</v>
      </c>
      <c r="F1190" s="606" t="s">
        <v>436</v>
      </c>
      <c r="G1190" s="606" t="s">
        <v>2724</v>
      </c>
      <c r="H1190" s="608" t="s">
        <v>2676</v>
      </c>
    </row>
    <row r="1191">
      <c r="A1191" s="512" t="s">
        <v>439</v>
      </c>
      <c r="B1191" s="512" t="s">
        <v>449</v>
      </c>
      <c r="C1191" s="605">
        <v>45823.0</v>
      </c>
      <c r="D1191" s="512">
        <v>3.6729601144E10</v>
      </c>
      <c r="E1191" s="646" t="s">
        <v>2725</v>
      </c>
      <c r="F1191" s="606" t="s">
        <v>436</v>
      </c>
      <c r="G1191" s="606" t="s">
        <v>2726</v>
      </c>
      <c r="H1191" s="608" t="s">
        <v>850</v>
      </c>
    </row>
    <row r="1192">
      <c r="A1192" s="512" t="s">
        <v>823</v>
      </c>
      <c r="B1192" s="512" t="s">
        <v>433</v>
      </c>
      <c r="C1192" s="605">
        <v>45823.0</v>
      </c>
      <c r="D1192" s="512">
        <v>3.2999380482E10</v>
      </c>
      <c r="E1192" s="606" t="s">
        <v>2727</v>
      </c>
      <c r="F1192" s="606" t="s">
        <v>436</v>
      </c>
      <c r="G1192" s="606" t="s">
        <v>2728</v>
      </c>
      <c r="H1192" s="608" t="s">
        <v>2676</v>
      </c>
    </row>
    <row r="1193">
      <c r="A1193" s="512" t="s">
        <v>439</v>
      </c>
      <c r="B1193" s="512" t="s">
        <v>433</v>
      </c>
      <c r="C1193" s="605">
        <v>45824.0</v>
      </c>
      <c r="D1193" s="512">
        <v>3.4583636016E10</v>
      </c>
      <c r="E1193" s="646" t="s">
        <v>2729</v>
      </c>
      <c r="F1193" s="606" t="s">
        <v>436</v>
      </c>
      <c r="G1193" s="606" t="s">
        <v>2730</v>
      </c>
      <c r="H1193" s="608" t="s">
        <v>1608</v>
      </c>
    </row>
    <row r="1194">
      <c r="A1194" s="512" t="s">
        <v>439</v>
      </c>
      <c r="B1194" s="512" t="s">
        <v>433</v>
      </c>
      <c r="C1194" s="605">
        <v>45824.0</v>
      </c>
      <c r="D1194" s="512">
        <v>2.7935227857E10</v>
      </c>
      <c r="E1194" s="646" t="s">
        <v>1363</v>
      </c>
      <c r="F1194" s="606" t="s">
        <v>436</v>
      </c>
      <c r="G1194" s="606" t="s">
        <v>2139</v>
      </c>
      <c r="H1194" s="608" t="s">
        <v>1608</v>
      </c>
    </row>
    <row r="1195">
      <c r="A1195" s="512" t="s">
        <v>617</v>
      </c>
      <c r="B1195" s="512" t="s">
        <v>433</v>
      </c>
      <c r="C1195" s="605">
        <v>45824.0</v>
      </c>
      <c r="D1195" s="512">
        <v>3.401396048E10</v>
      </c>
      <c r="E1195" s="606" t="s">
        <v>2731</v>
      </c>
      <c r="F1195" s="606" t="s">
        <v>436</v>
      </c>
      <c r="G1195" s="606" t="s">
        <v>2732</v>
      </c>
      <c r="H1195" s="608" t="s">
        <v>696</v>
      </c>
    </row>
    <row r="1196">
      <c r="A1196" s="512" t="s">
        <v>690</v>
      </c>
      <c r="B1196" s="512" t="s">
        <v>449</v>
      </c>
      <c r="C1196" s="605">
        <v>45824.0</v>
      </c>
      <c r="D1196" s="512">
        <v>3.1875818413E10</v>
      </c>
      <c r="E1196" s="606" t="s">
        <v>2733</v>
      </c>
      <c r="F1196" s="606" t="s">
        <v>436</v>
      </c>
      <c r="G1196" s="606" t="s">
        <v>2734</v>
      </c>
      <c r="H1196" s="608" t="s">
        <v>2708</v>
      </c>
    </row>
    <row r="1197">
      <c r="A1197" s="512" t="s">
        <v>690</v>
      </c>
      <c r="B1197" s="512" t="s">
        <v>449</v>
      </c>
      <c r="C1197" s="605">
        <v>45824.0</v>
      </c>
      <c r="D1197" s="512">
        <v>3.1921374612E10</v>
      </c>
      <c r="E1197" s="606" t="s">
        <v>2735</v>
      </c>
      <c r="F1197" s="606" t="s">
        <v>436</v>
      </c>
      <c r="G1197" s="606" t="s">
        <v>1206</v>
      </c>
      <c r="H1197" s="608" t="s">
        <v>2708</v>
      </c>
    </row>
    <row r="1198">
      <c r="A1198" s="512" t="s">
        <v>439</v>
      </c>
      <c r="B1198" s="512" t="s">
        <v>497</v>
      </c>
      <c r="C1198" s="605">
        <v>45824.0</v>
      </c>
      <c r="D1198" s="512">
        <v>3.6897043581E10</v>
      </c>
      <c r="E1198" s="646" t="s">
        <v>2736</v>
      </c>
      <c r="F1198" s="606" t="s">
        <v>436</v>
      </c>
      <c r="G1198" s="606" t="s">
        <v>2737</v>
      </c>
      <c r="H1198" s="608" t="s">
        <v>850</v>
      </c>
    </row>
    <row r="1199">
      <c r="A1199" s="512" t="s">
        <v>617</v>
      </c>
      <c r="B1199" s="512" t="s">
        <v>449</v>
      </c>
      <c r="C1199" s="605">
        <v>45824.0</v>
      </c>
      <c r="D1199" s="512">
        <v>3.0168062792E10</v>
      </c>
      <c r="E1199" s="606" t="s">
        <v>2738</v>
      </c>
      <c r="F1199" s="606" t="s">
        <v>436</v>
      </c>
      <c r="G1199" s="606" t="s">
        <v>2739</v>
      </c>
      <c r="H1199" s="608" t="s">
        <v>696</v>
      </c>
    </row>
    <row r="1200">
      <c r="A1200" s="512" t="s">
        <v>432</v>
      </c>
      <c r="B1200" s="512" t="s">
        <v>433</v>
      </c>
      <c r="C1200" s="605">
        <v>45824.0</v>
      </c>
      <c r="D1200" s="512">
        <v>3.6354637627E10</v>
      </c>
      <c r="E1200" s="606" t="s">
        <v>2740</v>
      </c>
      <c r="F1200" s="606" t="s">
        <v>436</v>
      </c>
      <c r="G1200" s="606" t="s">
        <v>2741</v>
      </c>
      <c r="H1200" s="608" t="s">
        <v>2676</v>
      </c>
    </row>
    <row r="1201">
      <c r="A1201" s="512" t="s">
        <v>439</v>
      </c>
      <c r="B1201" s="512" t="s">
        <v>433</v>
      </c>
      <c r="C1201" s="605">
        <v>45824.0</v>
      </c>
      <c r="D1201" s="512">
        <v>3.1507541514E10</v>
      </c>
      <c r="E1201" s="646" t="s">
        <v>2742</v>
      </c>
      <c r="F1201" s="606" t="s">
        <v>436</v>
      </c>
      <c r="G1201" s="606" t="s">
        <v>2743</v>
      </c>
      <c r="H1201" s="608" t="s">
        <v>1608</v>
      </c>
    </row>
    <row r="1202">
      <c r="A1202" s="512" t="s">
        <v>690</v>
      </c>
      <c r="B1202" s="512" t="s">
        <v>449</v>
      </c>
      <c r="C1202" s="605">
        <v>45824.0</v>
      </c>
      <c r="D1202" s="512">
        <v>3.4824448856E10</v>
      </c>
      <c r="E1202" s="606" t="s">
        <v>2744</v>
      </c>
      <c r="F1202" s="606" t="s">
        <v>436</v>
      </c>
      <c r="G1202" s="606" t="s">
        <v>2745</v>
      </c>
      <c r="H1202" s="608" t="s">
        <v>2708</v>
      </c>
    </row>
    <row r="1203">
      <c r="A1203" s="512" t="s">
        <v>439</v>
      </c>
      <c r="B1203" s="512" t="s">
        <v>433</v>
      </c>
      <c r="C1203" s="605">
        <v>45824.0</v>
      </c>
      <c r="D1203" s="512">
        <v>2.9719237207E10</v>
      </c>
      <c r="E1203" s="646" t="s">
        <v>2746</v>
      </c>
      <c r="F1203" s="606" t="s">
        <v>436</v>
      </c>
      <c r="G1203" s="606" t="s">
        <v>949</v>
      </c>
      <c r="H1203" s="608" t="s">
        <v>1608</v>
      </c>
    </row>
    <row r="1204">
      <c r="A1204" s="512" t="s">
        <v>823</v>
      </c>
      <c r="B1204" s="512" t="s">
        <v>950</v>
      </c>
      <c r="C1204" s="605">
        <v>45824.0</v>
      </c>
      <c r="D1204" s="512">
        <v>3.4582376718E10</v>
      </c>
      <c r="E1204" s="606" t="s">
        <v>2747</v>
      </c>
      <c r="F1204" s="606" t="s">
        <v>436</v>
      </c>
      <c r="G1204" s="606" t="s">
        <v>2748</v>
      </c>
      <c r="H1204" s="608" t="s">
        <v>699</v>
      </c>
    </row>
    <row r="1205">
      <c r="A1205" s="512" t="s">
        <v>617</v>
      </c>
      <c r="B1205" s="512" t="s">
        <v>433</v>
      </c>
      <c r="C1205" s="605">
        <v>45824.0</v>
      </c>
      <c r="D1205" s="512">
        <v>3.5446510615E10</v>
      </c>
      <c r="E1205" s="606" t="s">
        <v>2749</v>
      </c>
      <c r="F1205" s="606" t="s">
        <v>436</v>
      </c>
      <c r="G1205" s="606" t="s">
        <v>2750</v>
      </c>
      <c r="H1205" s="608" t="s">
        <v>696</v>
      </c>
    </row>
    <row r="1206">
      <c r="A1206" s="512" t="s">
        <v>432</v>
      </c>
      <c r="B1206" s="512" t="s">
        <v>449</v>
      </c>
      <c r="C1206" s="605">
        <v>45824.0</v>
      </c>
      <c r="D1206" s="512">
        <v>2.8672042359E10</v>
      </c>
      <c r="E1206" s="606" t="s">
        <v>2751</v>
      </c>
      <c r="F1206" s="606" t="s">
        <v>436</v>
      </c>
      <c r="G1206" s="606" t="s">
        <v>2752</v>
      </c>
      <c r="H1206" s="608" t="s">
        <v>2676</v>
      </c>
    </row>
    <row r="1207">
      <c r="A1207" s="512" t="s">
        <v>432</v>
      </c>
      <c r="B1207" s="512" t="s">
        <v>433</v>
      </c>
      <c r="C1207" s="605">
        <v>45824.0</v>
      </c>
      <c r="D1207" s="512">
        <v>3.3844123649E10</v>
      </c>
      <c r="E1207" s="606" t="s">
        <v>2753</v>
      </c>
      <c r="F1207" s="606" t="s">
        <v>436</v>
      </c>
      <c r="G1207" s="606" t="s">
        <v>2754</v>
      </c>
      <c r="H1207" s="608" t="s">
        <v>2676</v>
      </c>
    </row>
    <row r="1208">
      <c r="A1208" s="512" t="s">
        <v>439</v>
      </c>
      <c r="B1208" s="512" t="s">
        <v>433</v>
      </c>
      <c r="C1208" s="605">
        <v>45824.0</v>
      </c>
      <c r="D1208" s="512">
        <v>3.1785268829E10</v>
      </c>
      <c r="E1208" s="646" t="s">
        <v>2729</v>
      </c>
      <c r="F1208" s="606" t="s">
        <v>436</v>
      </c>
      <c r="G1208" s="606" t="s">
        <v>2755</v>
      </c>
      <c r="H1208" s="608" t="s">
        <v>1608</v>
      </c>
    </row>
    <row r="1209">
      <c r="A1209" s="512" t="s">
        <v>439</v>
      </c>
      <c r="B1209" s="512" t="s">
        <v>433</v>
      </c>
      <c r="C1209" s="605">
        <v>45825.0</v>
      </c>
      <c r="D1209" s="512">
        <v>3.3902201747E10</v>
      </c>
      <c r="E1209" s="646" t="s">
        <v>2756</v>
      </c>
      <c r="F1209" s="606" t="s">
        <v>436</v>
      </c>
      <c r="G1209" s="606" t="s">
        <v>2757</v>
      </c>
      <c r="H1209" s="608" t="s">
        <v>1608</v>
      </c>
    </row>
    <row r="1210">
      <c r="A1210" s="512" t="s">
        <v>439</v>
      </c>
      <c r="B1210" s="512" t="s">
        <v>433</v>
      </c>
      <c r="C1210" s="605">
        <v>45825.0</v>
      </c>
      <c r="D1210" s="512">
        <v>3.2546647319E10</v>
      </c>
      <c r="E1210" s="646" t="s">
        <v>2758</v>
      </c>
      <c r="F1210" s="606" t="s">
        <v>436</v>
      </c>
      <c r="G1210" s="606" t="s">
        <v>2759</v>
      </c>
      <c r="H1210" s="608" t="s">
        <v>1608</v>
      </c>
    </row>
    <row r="1211">
      <c r="A1211" s="512" t="s">
        <v>432</v>
      </c>
      <c r="B1211" s="512" t="s">
        <v>433</v>
      </c>
      <c r="C1211" s="605">
        <v>45825.0</v>
      </c>
      <c r="D1211" s="512">
        <v>3.6805383743E10</v>
      </c>
      <c r="E1211" s="606" t="s">
        <v>2760</v>
      </c>
      <c r="F1211" s="606" t="s">
        <v>436</v>
      </c>
      <c r="G1211" s="606" t="s">
        <v>2761</v>
      </c>
      <c r="H1211" s="608" t="s">
        <v>901</v>
      </c>
    </row>
    <row r="1212">
      <c r="A1212" s="512" t="s">
        <v>439</v>
      </c>
      <c r="B1212" s="512" t="s">
        <v>433</v>
      </c>
      <c r="C1212" s="605">
        <v>45825.0</v>
      </c>
      <c r="D1212" s="512">
        <v>3.3190747861E10</v>
      </c>
      <c r="E1212" s="646" t="s">
        <v>2762</v>
      </c>
      <c r="F1212" s="606" t="s">
        <v>436</v>
      </c>
      <c r="G1212" s="606" t="s">
        <v>2763</v>
      </c>
      <c r="H1212" s="608" t="s">
        <v>1608</v>
      </c>
    </row>
    <row r="1213">
      <c r="A1213" s="512" t="s">
        <v>432</v>
      </c>
      <c r="B1213" s="512" t="s">
        <v>449</v>
      </c>
      <c r="C1213" s="605">
        <v>45825.0</v>
      </c>
      <c r="D1213" s="512">
        <v>3.6549474342E10</v>
      </c>
      <c r="E1213" s="606" t="s">
        <v>2764</v>
      </c>
      <c r="F1213" s="606" t="s">
        <v>436</v>
      </c>
      <c r="G1213" s="606" t="s">
        <v>2765</v>
      </c>
      <c r="H1213" s="608" t="s">
        <v>901</v>
      </c>
    </row>
    <row r="1214">
      <c r="A1214" s="512" t="s">
        <v>432</v>
      </c>
      <c r="B1214" s="512" t="s">
        <v>433</v>
      </c>
      <c r="C1214" s="605">
        <v>45825.0</v>
      </c>
      <c r="D1214" s="512">
        <v>3.6925152041E10</v>
      </c>
      <c r="E1214" s="606" t="s">
        <v>2764</v>
      </c>
      <c r="F1214" s="606" t="s">
        <v>436</v>
      </c>
      <c r="G1214" s="606" t="s">
        <v>2766</v>
      </c>
      <c r="H1214" s="608" t="s">
        <v>901</v>
      </c>
    </row>
    <row r="1215">
      <c r="A1215" s="512" t="s">
        <v>617</v>
      </c>
      <c r="B1215" s="512" t="s">
        <v>449</v>
      </c>
      <c r="C1215" s="605">
        <v>45825.0</v>
      </c>
      <c r="D1215" s="512">
        <v>3.0652016315E10</v>
      </c>
      <c r="E1215" s="606" t="s">
        <v>2136</v>
      </c>
      <c r="F1215" s="606" t="s">
        <v>436</v>
      </c>
      <c r="G1215" s="606" t="s">
        <v>2126</v>
      </c>
      <c r="H1215" s="608" t="s">
        <v>696</v>
      </c>
    </row>
    <row r="1216">
      <c r="A1216" s="512" t="s">
        <v>823</v>
      </c>
      <c r="B1216" s="512" t="s">
        <v>449</v>
      </c>
      <c r="C1216" s="605">
        <v>45825.0</v>
      </c>
      <c r="D1216" s="512">
        <v>3.0042833102E10</v>
      </c>
      <c r="E1216" s="606" t="s">
        <v>2767</v>
      </c>
      <c r="F1216" s="606" t="s">
        <v>436</v>
      </c>
      <c r="G1216" s="606" t="s">
        <v>2768</v>
      </c>
      <c r="H1216" s="608" t="s">
        <v>699</v>
      </c>
    </row>
    <row r="1217">
      <c r="A1217" s="512" t="s">
        <v>823</v>
      </c>
      <c r="B1217" s="512" t="s">
        <v>433</v>
      </c>
      <c r="C1217" s="605">
        <v>45825.0</v>
      </c>
      <c r="D1217" s="512">
        <v>3.248278304E10</v>
      </c>
      <c r="E1217" s="606" t="s">
        <v>2769</v>
      </c>
      <c r="F1217" s="606" t="s">
        <v>436</v>
      </c>
      <c r="G1217" s="606" t="s">
        <v>2770</v>
      </c>
      <c r="H1217" s="608" t="s">
        <v>699</v>
      </c>
    </row>
    <row r="1218">
      <c r="A1218" s="512" t="s">
        <v>432</v>
      </c>
      <c r="B1218" s="512" t="s">
        <v>449</v>
      </c>
      <c r="C1218" s="605">
        <v>45825.0</v>
      </c>
      <c r="D1218" s="512">
        <v>3.1943043391E10</v>
      </c>
      <c r="E1218" s="606" t="s">
        <v>2771</v>
      </c>
      <c r="F1218" s="606" t="s">
        <v>436</v>
      </c>
      <c r="G1218" s="606" t="s">
        <v>2772</v>
      </c>
      <c r="H1218" s="608" t="s">
        <v>901</v>
      </c>
    </row>
    <row r="1219">
      <c r="A1219" s="512" t="s">
        <v>439</v>
      </c>
      <c r="B1219" s="512" t="s">
        <v>433</v>
      </c>
      <c r="C1219" s="605">
        <v>45825.0</v>
      </c>
      <c r="D1219" s="512">
        <v>3.314419661E10</v>
      </c>
      <c r="E1219" s="646" t="s">
        <v>2773</v>
      </c>
      <c r="F1219" s="606" t="s">
        <v>436</v>
      </c>
      <c r="G1219" s="606" t="s">
        <v>2774</v>
      </c>
      <c r="H1219" s="608" t="s">
        <v>1608</v>
      </c>
    </row>
    <row r="1220">
      <c r="A1220" s="512" t="s">
        <v>432</v>
      </c>
      <c r="B1220" s="512" t="s">
        <v>449</v>
      </c>
      <c r="C1220" s="605">
        <v>45825.0</v>
      </c>
      <c r="D1220" s="512">
        <v>3.2352004374E10</v>
      </c>
      <c r="E1220" s="606" t="s">
        <v>2775</v>
      </c>
      <c r="F1220" s="606" t="s">
        <v>436</v>
      </c>
      <c r="G1220" s="606" t="s">
        <v>2776</v>
      </c>
      <c r="H1220" s="608" t="s">
        <v>901</v>
      </c>
    </row>
    <row r="1221">
      <c r="A1221" s="512" t="s">
        <v>617</v>
      </c>
      <c r="B1221" s="512" t="s">
        <v>449</v>
      </c>
      <c r="C1221" s="605">
        <v>45825.0</v>
      </c>
      <c r="D1221" s="512">
        <v>2.7032915293E10</v>
      </c>
      <c r="E1221" s="606" t="s">
        <v>2589</v>
      </c>
      <c r="F1221" s="606" t="s">
        <v>436</v>
      </c>
      <c r="G1221" s="606" t="s">
        <v>2777</v>
      </c>
      <c r="H1221" s="608" t="s">
        <v>2543</v>
      </c>
    </row>
    <row r="1222">
      <c r="A1222" s="512" t="s">
        <v>823</v>
      </c>
      <c r="B1222" s="512" t="s">
        <v>449</v>
      </c>
      <c r="C1222" s="605">
        <v>45825.0</v>
      </c>
      <c r="D1222" s="512">
        <v>3.0415053626E10</v>
      </c>
      <c r="E1222" s="606" t="s">
        <v>2778</v>
      </c>
      <c r="F1222" s="606" t="s">
        <v>436</v>
      </c>
      <c r="G1222" s="606" t="s">
        <v>475</v>
      </c>
      <c r="H1222" s="608" t="s">
        <v>699</v>
      </c>
    </row>
    <row r="1223">
      <c r="A1223" s="512" t="s">
        <v>432</v>
      </c>
      <c r="B1223" s="512" t="s">
        <v>449</v>
      </c>
      <c r="C1223" s="605">
        <v>45825.0</v>
      </c>
      <c r="D1223" s="512">
        <v>3.28968944E10</v>
      </c>
      <c r="E1223" s="606" t="s">
        <v>2779</v>
      </c>
      <c r="F1223" s="606" t="s">
        <v>436</v>
      </c>
      <c r="G1223" s="606" t="s">
        <v>2780</v>
      </c>
      <c r="H1223" s="608" t="s">
        <v>901</v>
      </c>
    </row>
    <row r="1224">
      <c r="A1224" s="512" t="s">
        <v>439</v>
      </c>
      <c r="B1224" s="512" t="s">
        <v>433</v>
      </c>
      <c r="C1224" s="605">
        <v>45825.0</v>
      </c>
      <c r="D1224" s="512">
        <v>3.2814617716E10</v>
      </c>
      <c r="E1224" s="646" t="s">
        <v>2781</v>
      </c>
      <c r="F1224" s="606" t="s">
        <v>436</v>
      </c>
      <c r="G1224" s="606" t="s">
        <v>2782</v>
      </c>
      <c r="H1224" s="608" t="s">
        <v>1608</v>
      </c>
    </row>
    <row r="1225">
      <c r="A1225" s="512" t="s">
        <v>690</v>
      </c>
      <c r="B1225" s="512" t="s">
        <v>449</v>
      </c>
      <c r="C1225" s="605">
        <v>45825.0</v>
      </c>
      <c r="D1225" s="512" t="s">
        <v>2783</v>
      </c>
      <c r="E1225" s="646" t="s">
        <v>2784</v>
      </c>
      <c r="F1225" s="606" t="s">
        <v>436</v>
      </c>
      <c r="G1225" s="606" t="s">
        <v>2785</v>
      </c>
      <c r="H1225" s="608" t="s">
        <v>693</v>
      </c>
    </row>
    <row r="1226">
      <c r="A1226" s="512" t="s">
        <v>432</v>
      </c>
      <c r="B1226" s="512" t="s">
        <v>433</v>
      </c>
      <c r="C1226" s="605">
        <v>45825.0</v>
      </c>
      <c r="D1226" s="512">
        <v>3.6897149587E10</v>
      </c>
      <c r="E1226" s="606" t="s">
        <v>2786</v>
      </c>
      <c r="F1226" s="606" t="s">
        <v>436</v>
      </c>
      <c r="G1226" s="606" t="s">
        <v>593</v>
      </c>
      <c r="H1226" s="608" t="s">
        <v>901</v>
      </c>
    </row>
    <row r="1227">
      <c r="A1227" s="512" t="s">
        <v>823</v>
      </c>
      <c r="B1227" s="512" t="s">
        <v>433</v>
      </c>
      <c r="C1227" s="605">
        <v>45826.0</v>
      </c>
      <c r="D1227" s="512">
        <v>3.2794313115E10</v>
      </c>
      <c r="E1227" s="606" t="s">
        <v>2787</v>
      </c>
      <c r="F1227" s="606" t="s">
        <v>436</v>
      </c>
      <c r="G1227" s="606" t="s">
        <v>2788</v>
      </c>
      <c r="H1227" s="608" t="s">
        <v>2676</v>
      </c>
    </row>
    <row r="1228">
      <c r="A1228" s="512" t="s">
        <v>439</v>
      </c>
      <c r="B1228" s="512" t="s">
        <v>433</v>
      </c>
      <c r="C1228" s="605">
        <v>45826.0</v>
      </c>
      <c r="D1228" s="512">
        <v>3.4257674049E10</v>
      </c>
      <c r="E1228" s="606" t="s">
        <v>2789</v>
      </c>
      <c r="F1228" s="606" t="s">
        <v>436</v>
      </c>
      <c r="G1228" s="606" t="s">
        <v>2790</v>
      </c>
      <c r="H1228" s="608" t="s">
        <v>2791</v>
      </c>
    </row>
    <row r="1229">
      <c r="A1229" s="512" t="s">
        <v>823</v>
      </c>
      <c r="B1229" s="512" t="s">
        <v>433</v>
      </c>
      <c r="C1229" s="605">
        <v>45826.0</v>
      </c>
      <c r="D1229" s="512">
        <v>3.3324789E10</v>
      </c>
      <c r="E1229" s="606" t="s">
        <v>2792</v>
      </c>
      <c r="F1229" s="606" t="s">
        <v>436</v>
      </c>
      <c r="G1229" s="606" t="s">
        <v>2793</v>
      </c>
      <c r="H1229" s="608" t="s">
        <v>2676</v>
      </c>
    </row>
    <row r="1230">
      <c r="A1230" s="512" t="s">
        <v>617</v>
      </c>
      <c r="B1230" s="512" t="s">
        <v>449</v>
      </c>
      <c r="C1230" s="605">
        <v>45826.0</v>
      </c>
      <c r="D1230" s="512">
        <v>2.4176995923E10</v>
      </c>
      <c r="E1230" s="606" t="s">
        <v>2794</v>
      </c>
      <c r="F1230" s="606" t="s">
        <v>436</v>
      </c>
      <c r="G1230" s="606" t="s">
        <v>2795</v>
      </c>
      <c r="H1230" s="608" t="s">
        <v>623</v>
      </c>
    </row>
    <row r="1231">
      <c r="A1231" s="512" t="s">
        <v>823</v>
      </c>
      <c r="B1231" s="512" t="s">
        <v>449</v>
      </c>
      <c r="C1231" s="605">
        <v>45826.0</v>
      </c>
      <c r="D1231" s="512">
        <v>2.9993230813E10</v>
      </c>
      <c r="E1231" s="606" t="s">
        <v>2796</v>
      </c>
      <c r="F1231" s="606" t="s">
        <v>436</v>
      </c>
      <c r="G1231" s="606" t="s">
        <v>2797</v>
      </c>
      <c r="H1231" s="608" t="s">
        <v>2676</v>
      </c>
    </row>
    <row r="1232">
      <c r="A1232" s="512" t="s">
        <v>439</v>
      </c>
      <c r="B1232" s="512" t="s">
        <v>449</v>
      </c>
      <c r="C1232" s="605">
        <v>45826.0</v>
      </c>
      <c r="D1232" s="512">
        <v>2.6041268914E10</v>
      </c>
      <c r="E1232" s="646" t="s">
        <v>2798</v>
      </c>
      <c r="F1232" s="606" t="s">
        <v>436</v>
      </c>
      <c r="G1232" s="606" t="s">
        <v>2799</v>
      </c>
      <c r="H1232" s="608" t="s">
        <v>1608</v>
      </c>
    </row>
    <row r="1233">
      <c r="A1233" s="512" t="s">
        <v>617</v>
      </c>
      <c r="B1233" s="512" t="s">
        <v>449</v>
      </c>
      <c r="C1233" s="605">
        <v>45826.0</v>
      </c>
      <c r="D1233" s="512">
        <v>3.5011636034E10</v>
      </c>
      <c r="E1233" s="646" t="s">
        <v>2800</v>
      </c>
      <c r="F1233" s="606" t="s">
        <v>436</v>
      </c>
      <c r="G1233" s="606" t="s">
        <v>2801</v>
      </c>
      <c r="H1233" s="608" t="s">
        <v>623</v>
      </c>
    </row>
    <row r="1234">
      <c r="A1234" s="512" t="s">
        <v>690</v>
      </c>
      <c r="B1234" s="512" t="s">
        <v>449</v>
      </c>
      <c r="C1234" s="605">
        <v>45826.0</v>
      </c>
      <c r="D1234" s="512">
        <v>3.1056038875E10</v>
      </c>
      <c r="E1234" s="646" t="s">
        <v>2802</v>
      </c>
      <c r="F1234" s="606" t="s">
        <v>436</v>
      </c>
      <c r="G1234" s="606" t="s">
        <v>855</v>
      </c>
      <c r="H1234" s="608" t="s">
        <v>693</v>
      </c>
    </row>
    <row r="1235">
      <c r="A1235" s="512" t="s">
        <v>617</v>
      </c>
      <c r="B1235" s="512" t="s">
        <v>449</v>
      </c>
      <c r="C1235" s="605">
        <v>45826.0</v>
      </c>
      <c r="D1235" s="512">
        <v>3.3781876835E10</v>
      </c>
      <c r="E1235" s="606" t="s">
        <v>2803</v>
      </c>
      <c r="F1235" s="606" t="s">
        <v>436</v>
      </c>
      <c r="G1235" s="606" t="s">
        <v>2804</v>
      </c>
      <c r="H1235" s="608" t="s">
        <v>623</v>
      </c>
    </row>
    <row r="1236">
      <c r="A1236" s="512" t="s">
        <v>439</v>
      </c>
      <c r="B1236" s="512" t="s">
        <v>433</v>
      </c>
      <c r="C1236" s="605">
        <v>45826.0</v>
      </c>
      <c r="D1236" s="512" t="s">
        <v>2805</v>
      </c>
      <c r="E1236" s="646" t="s">
        <v>2806</v>
      </c>
      <c r="F1236" s="606" t="s">
        <v>436</v>
      </c>
      <c r="G1236" s="606" t="s">
        <v>2236</v>
      </c>
      <c r="H1236" s="608" t="s">
        <v>1608</v>
      </c>
    </row>
    <row r="1237">
      <c r="A1237" s="512" t="s">
        <v>617</v>
      </c>
      <c r="B1237" s="512" t="s">
        <v>449</v>
      </c>
      <c r="C1237" s="605">
        <v>45826.0</v>
      </c>
      <c r="D1237" s="512">
        <v>3.0531239374E10</v>
      </c>
      <c r="E1237" s="606" t="s">
        <v>2807</v>
      </c>
      <c r="F1237" s="606" t="s">
        <v>436</v>
      </c>
      <c r="G1237" s="606" t="s">
        <v>2808</v>
      </c>
      <c r="H1237" s="608" t="s">
        <v>623</v>
      </c>
    </row>
    <row r="1238">
      <c r="A1238" s="512" t="s">
        <v>439</v>
      </c>
      <c r="B1238" s="512" t="s">
        <v>449</v>
      </c>
      <c r="C1238" s="605">
        <v>45826.0</v>
      </c>
      <c r="D1238" s="512">
        <v>3.361425189E10</v>
      </c>
      <c r="E1238" s="606" t="s">
        <v>2809</v>
      </c>
      <c r="F1238" s="606" t="s">
        <v>436</v>
      </c>
      <c r="G1238" s="606" t="s">
        <v>2810</v>
      </c>
      <c r="H1238" s="608" t="s">
        <v>2791</v>
      </c>
    </row>
    <row r="1239">
      <c r="A1239" s="512" t="s">
        <v>439</v>
      </c>
      <c r="B1239" s="512" t="s">
        <v>433</v>
      </c>
      <c r="C1239" s="605">
        <v>45826.0</v>
      </c>
      <c r="D1239" s="512">
        <v>3.4902337048E10</v>
      </c>
      <c r="E1239" s="606" t="s">
        <v>2811</v>
      </c>
      <c r="F1239" s="606" t="s">
        <v>436</v>
      </c>
      <c r="G1239" s="606" t="s">
        <v>2812</v>
      </c>
      <c r="H1239" s="608" t="s">
        <v>2791</v>
      </c>
    </row>
    <row r="1240">
      <c r="A1240" s="512" t="s">
        <v>439</v>
      </c>
      <c r="B1240" s="512" t="s">
        <v>433</v>
      </c>
      <c r="C1240" s="605">
        <v>45826.0</v>
      </c>
      <c r="D1240" s="512">
        <v>3.0184603031E10</v>
      </c>
      <c r="E1240" s="606" t="s">
        <v>2813</v>
      </c>
      <c r="F1240" s="606" t="s">
        <v>436</v>
      </c>
      <c r="G1240" s="606" t="s">
        <v>2814</v>
      </c>
      <c r="H1240" s="608" t="s">
        <v>2791</v>
      </c>
    </row>
    <row r="1241">
      <c r="A1241" s="512" t="s">
        <v>432</v>
      </c>
      <c r="B1241" s="512" t="s">
        <v>449</v>
      </c>
      <c r="C1241" s="605">
        <v>45827.0</v>
      </c>
      <c r="D1241" s="512">
        <v>2.7071518919E10</v>
      </c>
      <c r="E1241" s="606" t="s">
        <v>2815</v>
      </c>
      <c r="F1241" s="606" t="s">
        <v>436</v>
      </c>
      <c r="G1241" s="606" t="s">
        <v>2816</v>
      </c>
      <c r="H1241" s="608" t="s">
        <v>1096</v>
      </c>
    </row>
    <row r="1242">
      <c r="A1242" s="512" t="s">
        <v>690</v>
      </c>
      <c r="B1242" s="512" t="s">
        <v>449</v>
      </c>
      <c r="C1242" s="605">
        <v>45827.0</v>
      </c>
      <c r="D1242" s="512">
        <v>3.2284842819E10</v>
      </c>
      <c r="E1242" s="606" t="s">
        <v>2817</v>
      </c>
      <c r="F1242" s="606" t="s">
        <v>436</v>
      </c>
      <c r="G1242" s="606" t="s">
        <v>2818</v>
      </c>
      <c r="H1242" s="608" t="s">
        <v>2791</v>
      </c>
    </row>
    <row r="1243">
      <c r="A1243" s="512" t="s">
        <v>823</v>
      </c>
      <c r="B1243" s="512" t="s">
        <v>433</v>
      </c>
      <c r="C1243" s="605">
        <v>45827.0</v>
      </c>
      <c r="D1243" s="512">
        <v>3.4459603993E10</v>
      </c>
      <c r="E1243" s="606" t="s">
        <v>2819</v>
      </c>
      <c r="F1243" s="606" t="s">
        <v>436</v>
      </c>
      <c r="G1243" s="606" t="s">
        <v>2820</v>
      </c>
      <c r="H1243" s="608" t="s">
        <v>2676</v>
      </c>
    </row>
    <row r="1244">
      <c r="A1244" s="512" t="s">
        <v>690</v>
      </c>
      <c r="B1244" s="512" t="s">
        <v>449</v>
      </c>
      <c r="C1244" s="605">
        <v>45827.0</v>
      </c>
      <c r="D1244" s="512">
        <v>3.0617205005E10</v>
      </c>
      <c r="E1244" s="606" t="s">
        <v>2821</v>
      </c>
      <c r="F1244" s="606" t="s">
        <v>436</v>
      </c>
      <c r="G1244" s="606" t="s">
        <v>2264</v>
      </c>
      <c r="H1244" s="608" t="s">
        <v>2791</v>
      </c>
    </row>
    <row r="1245">
      <c r="A1245" s="512" t="s">
        <v>690</v>
      </c>
      <c r="B1245" s="512" t="s">
        <v>449</v>
      </c>
      <c r="C1245" s="605">
        <v>45827.0</v>
      </c>
      <c r="D1245" s="512">
        <v>3.4807717987E10</v>
      </c>
      <c r="E1245" s="606" t="s">
        <v>2822</v>
      </c>
      <c r="F1245" s="606" t="s">
        <v>436</v>
      </c>
      <c r="G1245" s="606" t="s">
        <v>2823</v>
      </c>
      <c r="H1245" s="608" t="s">
        <v>2791</v>
      </c>
    </row>
    <row r="1246">
      <c r="A1246" s="512" t="s">
        <v>690</v>
      </c>
      <c r="B1246" s="512" t="s">
        <v>449</v>
      </c>
      <c r="C1246" s="605">
        <v>45827.0</v>
      </c>
      <c r="D1246" s="512">
        <v>3.3205775183E10</v>
      </c>
      <c r="E1246" s="606" t="s">
        <v>2824</v>
      </c>
      <c r="F1246" s="606" t="s">
        <v>436</v>
      </c>
      <c r="G1246" s="606" t="s">
        <v>2825</v>
      </c>
      <c r="H1246" s="608" t="s">
        <v>2791</v>
      </c>
    </row>
    <row r="1247">
      <c r="A1247" s="512" t="s">
        <v>823</v>
      </c>
      <c r="B1247" s="512" t="s">
        <v>449</v>
      </c>
      <c r="C1247" s="605">
        <v>45827.0</v>
      </c>
      <c r="D1247" s="512">
        <v>3.1641532621E10</v>
      </c>
      <c r="E1247" s="606" t="s">
        <v>2826</v>
      </c>
      <c r="F1247" s="606" t="s">
        <v>436</v>
      </c>
      <c r="G1247" s="606" t="s">
        <v>2827</v>
      </c>
      <c r="H1247" s="608" t="s">
        <v>2676</v>
      </c>
    </row>
    <row r="1248">
      <c r="A1248" s="512" t="s">
        <v>823</v>
      </c>
      <c r="B1248" s="512" t="s">
        <v>449</v>
      </c>
      <c r="C1248" s="605">
        <v>45827.0</v>
      </c>
      <c r="D1248" s="512">
        <v>2.4271739017E10</v>
      </c>
      <c r="E1248" s="606" t="s">
        <v>2828</v>
      </c>
      <c r="F1248" s="606" t="s">
        <v>436</v>
      </c>
      <c r="G1248" s="606" t="s">
        <v>2829</v>
      </c>
      <c r="H1248" s="608" t="s">
        <v>2676</v>
      </c>
    </row>
    <row r="1249">
      <c r="A1249" s="512" t="s">
        <v>432</v>
      </c>
      <c r="B1249" s="512" t="s">
        <v>449</v>
      </c>
      <c r="C1249" s="605">
        <v>45827.0</v>
      </c>
      <c r="D1249" s="512">
        <v>3.0431761049E10</v>
      </c>
      <c r="E1249" s="606" t="s">
        <v>2830</v>
      </c>
      <c r="F1249" s="606" t="s">
        <v>436</v>
      </c>
      <c r="G1249" s="606" t="s">
        <v>2831</v>
      </c>
      <c r="H1249" s="608" t="s">
        <v>2832</v>
      </c>
    </row>
    <row r="1250">
      <c r="A1250" s="512" t="s">
        <v>690</v>
      </c>
      <c r="B1250" s="512" t="s">
        <v>449</v>
      </c>
      <c r="C1250" s="605">
        <v>45827.0</v>
      </c>
      <c r="D1250" s="512">
        <v>3.4253892882E10</v>
      </c>
      <c r="E1250" s="606" t="s">
        <v>2833</v>
      </c>
      <c r="F1250" s="606" t="s">
        <v>436</v>
      </c>
      <c r="G1250" s="606" t="s">
        <v>2834</v>
      </c>
      <c r="H1250" s="608" t="s">
        <v>2791</v>
      </c>
    </row>
    <row r="1251">
      <c r="A1251" s="512" t="s">
        <v>690</v>
      </c>
      <c r="B1251" s="512" t="s">
        <v>449</v>
      </c>
      <c r="C1251" s="605">
        <v>45827.0</v>
      </c>
      <c r="D1251" s="512">
        <v>3.1061487836E10</v>
      </c>
      <c r="E1251" s="606" t="s">
        <v>2835</v>
      </c>
      <c r="F1251" s="606" t="s">
        <v>436</v>
      </c>
      <c r="G1251" s="606" t="s">
        <v>2836</v>
      </c>
      <c r="H1251" s="608" t="s">
        <v>2791</v>
      </c>
    </row>
    <row r="1252">
      <c r="A1252" s="512" t="s">
        <v>432</v>
      </c>
      <c r="B1252" s="512" t="s">
        <v>449</v>
      </c>
      <c r="C1252" s="605">
        <v>45827.0</v>
      </c>
      <c r="D1252" s="512">
        <v>3.4610848681E10</v>
      </c>
      <c r="E1252" s="606" t="s">
        <v>2837</v>
      </c>
      <c r="F1252" s="606" t="s">
        <v>436</v>
      </c>
      <c r="G1252" s="606" t="s">
        <v>2838</v>
      </c>
      <c r="H1252" s="608" t="s">
        <v>1096</v>
      </c>
    </row>
    <row r="1253">
      <c r="A1253" s="512" t="s">
        <v>690</v>
      </c>
      <c r="B1253" s="512" t="s">
        <v>433</v>
      </c>
      <c r="C1253" s="605">
        <v>45827.0</v>
      </c>
      <c r="D1253" s="512">
        <v>3.1607018864E10</v>
      </c>
      <c r="E1253" s="606" t="s">
        <v>2839</v>
      </c>
      <c r="F1253" s="606" t="s">
        <v>436</v>
      </c>
      <c r="G1253" s="606" t="s">
        <v>2840</v>
      </c>
      <c r="H1253" s="608" t="s">
        <v>2791</v>
      </c>
    </row>
    <row r="1254">
      <c r="A1254" s="512" t="s">
        <v>690</v>
      </c>
      <c r="B1254" s="512" t="s">
        <v>433</v>
      </c>
      <c r="C1254" s="605">
        <v>45827.0</v>
      </c>
      <c r="D1254" s="512">
        <v>3.2885708516E10</v>
      </c>
      <c r="E1254" s="606" t="s">
        <v>2841</v>
      </c>
      <c r="F1254" s="606" t="s">
        <v>436</v>
      </c>
      <c r="G1254" s="606" t="s">
        <v>2842</v>
      </c>
      <c r="H1254" s="608" t="s">
        <v>2791</v>
      </c>
    </row>
    <row r="1255">
      <c r="A1255" s="512" t="s">
        <v>439</v>
      </c>
      <c r="B1255" s="512" t="s">
        <v>433</v>
      </c>
      <c r="C1255" s="605">
        <v>45828.0</v>
      </c>
      <c r="D1255" s="512">
        <v>3.1177899574E10</v>
      </c>
      <c r="E1255" s="606" t="s">
        <v>2843</v>
      </c>
      <c r="F1255" s="606" t="s">
        <v>436</v>
      </c>
      <c r="G1255" s="606" t="s">
        <v>2844</v>
      </c>
      <c r="H1255" s="608" t="s">
        <v>2791</v>
      </c>
    </row>
    <row r="1256">
      <c r="A1256" s="512" t="s">
        <v>432</v>
      </c>
      <c r="B1256" s="512" t="s">
        <v>449</v>
      </c>
      <c r="C1256" s="605">
        <v>45828.0</v>
      </c>
      <c r="D1256" s="512">
        <v>3.0660578711E10</v>
      </c>
      <c r="E1256" s="606" t="s">
        <v>2845</v>
      </c>
      <c r="F1256" s="606" t="s">
        <v>436</v>
      </c>
      <c r="G1256" s="606" t="s">
        <v>2846</v>
      </c>
      <c r="H1256" s="608" t="s">
        <v>2676</v>
      </c>
    </row>
    <row r="1257">
      <c r="A1257" s="512" t="s">
        <v>690</v>
      </c>
      <c r="B1257" s="512" t="s">
        <v>449</v>
      </c>
      <c r="C1257" s="605">
        <v>45828.0</v>
      </c>
      <c r="D1257" s="512">
        <v>2.8929871525E10</v>
      </c>
      <c r="E1257" s="646" t="s">
        <v>2847</v>
      </c>
      <c r="F1257" s="606" t="s">
        <v>436</v>
      </c>
      <c r="G1257" s="606" t="s">
        <v>2848</v>
      </c>
      <c r="H1257" s="608" t="s">
        <v>2849</v>
      </c>
    </row>
    <row r="1258">
      <c r="A1258" s="512" t="s">
        <v>432</v>
      </c>
      <c r="B1258" s="512" t="s">
        <v>433</v>
      </c>
      <c r="C1258" s="605">
        <v>45828.0</v>
      </c>
      <c r="D1258" s="654">
        <v>2.039582747193E12</v>
      </c>
      <c r="E1258" s="606" t="s">
        <v>2850</v>
      </c>
      <c r="F1258" s="606" t="s">
        <v>436</v>
      </c>
      <c r="G1258" s="606" t="s">
        <v>2851</v>
      </c>
      <c r="H1258" s="608" t="s">
        <v>2676</v>
      </c>
    </row>
    <row r="1259">
      <c r="A1259" s="512" t="s">
        <v>432</v>
      </c>
      <c r="B1259" s="512" t="s">
        <v>433</v>
      </c>
      <c r="C1259" s="605">
        <v>45828.0</v>
      </c>
      <c r="D1259" s="512">
        <v>3.7039067626E10</v>
      </c>
      <c r="E1259" s="606" t="s">
        <v>2852</v>
      </c>
      <c r="F1259" s="606" t="s">
        <v>436</v>
      </c>
      <c r="G1259" s="606" t="s">
        <v>2616</v>
      </c>
      <c r="H1259" s="608" t="s">
        <v>2676</v>
      </c>
    </row>
    <row r="1260">
      <c r="A1260" s="512" t="s">
        <v>439</v>
      </c>
      <c r="B1260" s="512" t="s">
        <v>449</v>
      </c>
      <c r="C1260" s="605">
        <v>45828.0</v>
      </c>
      <c r="D1260" s="512">
        <v>3.1640415262E10</v>
      </c>
      <c r="E1260" s="606" t="s">
        <v>2853</v>
      </c>
      <c r="F1260" s="606" t="s">
        <v>436</v>
      </c>
      <c r="G1260" s="606" t="s">
        <v>2854</v>
      </c>
      <c r="H1260" s="608" t="s">
        <v>2791</v>
      </c>
    </row>
    <row r="1261">
      <c r="A1261" s="512" t="s">
        <v>690</v>
      </c>
      <c r="B1261" s="512" t="s">
        <v>449</v>
      </c>
      <c r="C1261" s="605">
        <v>45828.0</v>
      </c>
      <c r="D1261" s="512">
        <v>3.4095314514E10</v>
      </c>
      <c r="E1261" s="648" t="s">
        <v>2855</v>
      </c>
      <c r="F1261" s="606" t="s">
        <v>436</v>
      </c>
      <c r="G1261" s="606" t="s">
        <v>2856</v>
      </c>
      <c r="H1261" s="608" t="s">
        <v>2849</v>
      </c>
    </row>
    <row r="1262">
      <c r="A1262" s="512" t="s">
        <v>823</v>
      </c>
      <c r="B1262" s="512" t="s">
        <v>449</v>
      </c>
      <c r="C1262" s="605">
        <v>45828.0</v>
      </c>
      <c r="D1262" s="512">
        <v>3.6946692526E10</v>
      </c>
      <c r="E1262" s="606" t="s">
        <v>2857</v>
      </c>
      <c r="F1262" s="606" t="s">
        <v>436</v>
      </c>
      <c r="G1262" s="606" t="s">
        <v>2858</v>
      </c>
      <c r="H1262" s="608" t="s">
        <v>699</v>
      </c>
    </row>
    <row r="1263">
      <c r="A1263" s="512" t="s">
        <v>439</v>
      </c>
      <c r="B1263" s="512" t="s">
        <v>449</v>
      </c>
      <c r="C1263" s="605">
        <v>45828.0</v>
      </c>
      <c r="D1263" s="512">
        <v>3.2193400533E10</v>
      </c>
      <c r="E1263" s="606" t="s">
        <v>2859</v>
      </c>
      <c r="F1263" s="606" t="s">
        <v>436</v>
      </c>
      <c r="G1263" s="606" t="s">
        <v>2860</v>
      </c>
      <c r="H1263" s="608" t="s">
        <v>2791</v>
      </c>
    </row>
    <row r="1264">
      <c r="A1264" s="512" t="s">
        <v>690</v>
      </c>
      <c r="B1264" s="512" t="s">
        <v>449</v>
      </c>
      <c r="C1264" s="605">
        <v>45828.0</v>
      </c>
      <c r="D1264" s="512">
        <v>3.7128209235E10</v>
      </c>
      <c r="E1264" s="646" t="s">
        <v>2861</v>
      </c>
      <c r="F1264" s="606" t="s">
        <v>436</v>
      </c>
      <c r="G1264" s="606" t="s">
        <v>2862</v>
      </c>
      <c r="H1264" s="608" t="s">
        <v>2849</v>
      </c>
    </row>
    <row r="1265">
      <c r="A1265" s="512" t="s">
        <v>823</v>
      </c>
      <c r="B1265" s="512" t="s">
        <v>433</v>
      </c>
      <c r="C1265" s="605">
        <v>45828.0</v>
      </c>
      <c r="D1265" s="512">
        <v>3.3423492513E10</v>
      </c>
      <c r="E1265" s="606" t="s">
        <v>2863</v>
      </c>
      <c r="F1265" s="606" t="s">
        <v>436</v>
      </c>
      <c r="G1265" s="606" t="s">
        <v>2864</v>
      </c>
      <c r="H1265" s="608" t="s">
        <v>699</v>
      </c>
    </row>
    <row r="1266">
      <c r="A1266" s="512" t="s">
        <v>432</v>
      </c>
      <c r="B1266" s="512" t="s">
        <v>449</v>
      </c>
      <c r="C1266" s="605">
        <v>45828.0</v>
      </c>
      <c r="D1266" s="512">
        <v>3.1100373823E10</v>
      </c>
      <c r="E1266" s="606" t="s">
        <v>2865</v>
      </c>
      <c r="F1266" s="606" t="s">
        <v>436</v>
      </c>
      <c r="G1266" s="606" t="s">
        <v>2866</v>
      </c>
      <c r="H1266" s="608" t="s">
        <v>2676</v>
      </c>
    </row>
    <row r="1267">
      <c r="A1267" s="512" t="s">
        <v>439</v>
      </c>
      <c r="B1267" s="512" t="s">
        <v>449</v>
      </c>
      <c r="C1267" s="605">
        <v>45828.0</v>
      </c>
      <c r="D1267" s="512">
        <v>3.1971029962E10</v>
      </c>
      <c r="E1267" s="606" t="s">
        <v>2867</v>
      </c>
      <c r="F1267" s="606" t="s">
        <v>436</v>
      </c>
      <c r="G1267" s="606" t="s">
        <v>2868</v>
      </c>
      <c r="H1267" s="608" t="s">
        <v>2791</v>
      </c>
    </row>
    <row r="1268">
      <c r="A1268" s="512" t="s">
        <v>617</v>
      </c>
      <c r="B1268" s="512" t="s">
        <v>449</v>
      </c>
      <c r="C1268" s="605">
        <v>45828.0</v>
      </c>
      <c r="D1268" s="512">
        <v>3.6824796149E10</v>
      </c>
      <c r="E1268" s="606" t="s">
        <v>2869</v>
      </c>
      <c r="F1268" s="606" t="s">
        <v>436</v>
      </c>
      <c r="G1268" s="606" t="s">
        <v>1510</v>
      </c>
      <c r="H1268" s="608" t="s">
        <v>2870</v>
      </c>
    </row>
    <row r="1269">
      <c r="A1269" s="512" t="s">
        <v>823</v>
      </c>
      <c r="B1269" s="512" t="s">
        <v>433</v>
      </c>
      <c r="C1269" s="605">
        <v>45828.0</v>
      </c>
      <c r="D1269" s="512">
        <v>3.4195675852E10</v>
      </c>
      <c r="E1269" s="606" t="s">
        <v>2871</v>
      </c>
      <c r="F1269" s="606" t="s">
        <v>436</v>
      </c>
      <c r="G1269" s="606" t="s">
        <v>2872</v>
      </c>
      <c r="H1269" s="608" t="s">
        <v>699</v>
      </c>
    </row>
    <row r="1270">
      <c r="A1270" s="512" t="s">
        <v>823</v>
      </c>
      <c r="B1270" s="512" t="s">
        <v>433</v>
      </c>
      <c r="C1270" s="605">
        <v>45828.0</v>
      </c>
      <c r="D1270" s="512">
        <v>3.2511732821E10</v>
      </c>
      <c r="E1270" s="606" t="s">
        <v>2873</v>
      </c>
      <c r="F1270" s="606" t="s">
        <v>436</v>
      </c>
      <c r="G1270" s="606" t="s">
        <v>2874</v>
      </c>
      <c r="H1270" s="608" t="s">
        <v>699</v>
      </c>
    </row>
    <row r="1271">
      <c r="A1271" s="512" t="s">
        <v>823</v>
      </c>
      <c r="B1271" s="512" t="s">
        <v>433</v>
      </c>
      <c r="C1271" s="605">
        <v>45828.0</v>
      </c>
      <c r="D1271" s="512">
        <v>2.141034017E10</v>
      </c>
      <c r="E1271" s="606" t="s">
        <v>2875</v>
      </c>
      <c r="F1271" s="606" t="s">
        <v>436</v>
      </c>
      <c r="G1271" s="606" t="s">
        <v>2876</v>
      </c>
      <c r="H1271" s="608" t="s">
        <v>699</v>
      </c>
    </row>
    <row r="1272">
      <c r="A1272" s="512" t="s">
        <v>823</v>
      </c>
      <c r="B1272" s="512" t="s">
        <v>433</v>
      </c>
      <c r="C1272" s="605">
        <v>45828.0</v>
      </c>
      <c r="D1272" s="512">
        <v>3.5932090703E10</v>
      </c>
      <c r="E1272" s="606" t="s">
        <v>2877</v>
      </c>
      <c r="F1272" s="606" t="s">
        <v>436</v>
      </c>
      <c r="G1272" s="606" t="s">
        <v>2878</v>
      </c>
      <c r="H1272" s="608" t="s">
        <v>699</v>
      </c>
    </row>
    <row r="1273">
      <c r="A1273" s="512" t="s">
        <v>432</v>
      </c>
      <c r="B1273" s="512" t="s">
        <v>449</v>
      </c>
      <c r="C1273" s="605">
        <v>45828.0</v>
      </c>
      <c r="D1273" s="512">
        <v>3.6998647882E10</v>
      </c>
      <c r="E1273" s="606" t="s">
        <v>2879</v>
      </c>
      <c r="F1273" s="606" t="s">
        <v>436</v>
      </c>
      <c r="G1273" s="606" t="s">
        <v>662</v>
      </c>
      <c r="H1273" s="608" t="s">
        <v>2676</v>
      </c>
    </row>
    <row r="1274">
      <c r="A1274" s="512" t="s">
        <v>823</v>
      </c>
      <c r="B1274" s="512" t="s">
        <v>449</v>
      </c>
      <c r="C1274" s="605">
        <v>45828.0</v>
      </c>
      <c r="D1274" s="512">
        <v>3.2422649656E10</v>
      </c>
      <c r="E1274" s="606" t="s">
        <v>2880</v>
      </c>
      <c r="F1274" s="606" t="s">
        <v>436</v>
      </c>
      <c r="G1274" s="606" t="s">
        <v>2881</v>
      </c>
      <c r="H1274" s="608" t="s">
        <v>699</v>
      </c>
    </row>
    <row r="1275">
      <c r="A1275" s="512" t="s">
        <v>617</v>
      </c>
      <c r="B1275" s="512" t="s">
        <v>449</v>
      </c>
      <c r="C1275" s="605">
        <v>45828.0</v>
      </c>
      <c r="D1275" s="512">
        <v>3.180088456E10</v>
      </c>
      <c r="E1275" s="606" t="s">
        <v>2882</v>
      </c>
      <c r="F1275" s="606" t="s">
        <v>436</v>
      </c>
      <c r="G1275" s="606" t="s">
        <v>2883</v>
      </c>
      <c r="H1275" s="608" t="s">
        <v>2870</v>
      </c>
    </row>
    <row r="1276">
      <c r="A1276" s="512" t="s">
        <v>432</v>
      </c>
      <c r="B1276" s="512" t="s">
        <v>449</v>
      </c>
      <c r="C1276" s="605">
        <v>45829.0</v>
      </c>
      <c r="D1276" s="512">
        <v>3.017443241E10</v>
      </c>
      <c r="E1276" s="606" t="s">
        <v>2884</v>
      </c>
      <c r="F1276" s="606" t="s">
        <v>436</v>
      </c>
      <c r="G1276" s="606" t="s">
        <v>2885</v>
      </c>
      <c r="H1276" s="608" t="s">
        <v>2676</v>
      </c>
    </row>
    <row r="1277">
      <c r="A1277" s="512" t="s">
        <v>432</v>
      </c>
      <c r="B1277" s="512" t="s">
        <v>449</v>
      </c>
      <c r="C1277" s="605">
        <v>45829.0</v>
      </c>
      <c r="D1277" s="512">
        <v>2.5310412432E10</v>
      </c>
      <c r="E1277" s="606" t="s">
        <v>2886</v>
      </c>
      <c r="F1277" s="606" t="s">
        <v>436</v>
      </c>
      <c r="G1277" s="606" t="s">
        <v>2887</v>
      </c>
      <c r="H1277" s="608" t="s">
        <v>2676</v>
      </c>
    </row>
    <row r="1278">
      <c r="A1278" s="512" t="s">
        <v>432</v>
      </c>
      <c r="B1278" s="512" t="s">
        <v>449</v>
      </c>
      <c r="C1278" s="605">
        <v>45829.0</v>
      </c>
      <c r="D1278" s="512">
        <v>1.3657627664E10</v>
      </c>
      <c r="E1278" s="606" t="s">
        <v>2888</v>
      </c>
      <c r="F1278" s="606" t="s">
        <v>436</v>
      </c>
      <c r="G1278" s="606" t="s">
        <v>2889</v>
      </c>
      <c r="H1278" s="608" t="s">
        <v>2870</v>
      </c>
    </row>
    <row r="1279">
      <c r="A1279" s="512" t="s">
        <v>439</v>
      </c>
      <c r="B1279" s="512" t="s">
        <v>449</v>
      </c>
      <c r="C1279" s="605">
        <v>45829.0</v>
      </c>
      <c r="D1279" s="512">
        <v>3.1455505123E10</v>
      </c>
      <c r="E1279" s="646" t="s">
        <v>2890</v>
      </c>
      <c r="F1279" s="606" t="s">
        <v>436</v>
      </c>
      <c r="G1279" s="606" t="s">
        <v>2891</v>
      </c>
      <c r="H1279" s="608" t="s">
        <v>1608</v>
      </c>
    </row>
    <row r="1280">
      <c r="A1280" s="512" t="s">
        <v>439</v>
      </c>
      <c r="B1280" s="512" t="s">
        <v>950</v>
      </c>
      <c r="C1280" s="605">
        <v>45829.0</v>
      </c>
      <c r="D1280" s="512">
        <v>2.619534946E10</v>
      </c>
      <c r="E1280" s="646" t="s">
        <v>2892</v>
      </c>
      <c r="F1280" s="606" t="s">
        <v>436</v>
      </c>
      <c r="G1280" s="606" t="s">
        <v>2893</v>
      </c>
      <c r="H1280" s="608" t="s">
        <v>1608</v>
      </c>
    </row>
    <row r="1281">
      <c r="A1281" s="512" t="s">
        <v>617</v>
      </c>
      <c r="B1281" s="512" t="s">
        <v>449</v>
      </c>
      <c r="C1281" s="605">
        <v>45829.0</v>
      </c>
      <c r="D1281" s="512">
        <v>3.0229936743E10</v>
      </c>
      <c r="E1281" s="606" t="s">
        <v>2894</v>
      </c>
      <c r="F1281" s="606" t="s">
        <v>436</v>
      </c>
      <c r="G1281" s="606" t="s">
        <v>469</v>
      </c>
      <c r="H1281" s="608" t="s">
        <v>696</v>
      </c>
    </row>
    <row r="1282">
      <c r="A1282" s="512" t="s">
        <v>439</v>
      </c>
      <c r="B1282" s="512" t="s">
        <v>950</v>
      </c>
      <c r="C1282" s="605">
        <v>45829.0</v>
      </c>
      <c r="D1282" s="512">
        <v>3.4214737604E10</v>
      </c>
      <c r="E1282" s="646" t="s">
        <v>2895</v>
      </c>
      <c r="F1282" s="606" t="s">
        <v>436</v>
      </c>
      <c r="G1282" s="606" t="s">
        <v>2209</v>
      </c>
      <c r="H1282" s="608" t="s">
        <v>1608</v>
      </c>
    </row>
    <row r="1283">
      <c r="A1283" s="512" t="s">
        <v>439</v>
      </c>
      <c r="B1283" s="512" t="s">
        <v>2668</v>
      </c>
      <c r="C1283" s="605">
        <v>45829.0</v>
      </c>
      <c r="D1283" s="512">
        <v>3.0935162604E10</v>
      </c>
      <c r="E1283" s="646" t="s">
        <v>2896</v>
      </c>
      <c r="F1283" s="606" t="s">
        <v>436</v>
      </c>
      <c r="G1283" s="606" t="s">
        <v>2897</v>
      </c>
      <c r="H1283" s="608" t="s">
        <v>1608</v>
      </c>
    </row>
    <row r="1284">
      <c r="A1284" s="512" t="s">
        <v>617</v>
      </c>
      <c r="B1284" s="512" t="s">
        <v>449</v>
      </c>
      <c r="C1284" s="605">
        <v>45829.0</v>
      </c>
      <c r="D1284" s="512">
        <v>3.2108222435E10</v>
      </c>
      <c r="E1284" s="606" t="s">
        <v>2898</v>
      </c>
      <c r="F1284" s="606" t="s">
        <v>436</v>
      </c>
      <c r="G1284" s="606" t="s">
        <v>2899</v>
      </c>
      <c r="H1284" s="608" t="s">
        <v>696</v>
      </c>
    </row>
    <row r="1285">
      <c r="A1285" s="512" t="s">
        <v>432</v>
      </c>
      <c r="B1285" s="512" t="s">
        <v>449</v>
      </c>
      <c r="C1285" s="605">
        <v>45829.0</v>
      </c>
      <c r="D1285" s="512">
        <v>2.8668513814E10</v>
      </c>
      <c r="E1285" s="606" t="s">
        <v>2900</v>
      </c>
      <c r="F1285" s="606" t="s">
        <v>436</v>
      </c>
      <c r="G1285" s="606" t="s">
        <v>2901</v>
      </c>
      <c r="H1285" s="608" t="s">
        <v>2676</v>
      </c>
    </row>
    <row r="1286">
      <c r="A1286" s="512" t="s">
        <v>617</v>
      </c>
      <c r="B1286" s="512" t="s">
        <v>449</v>
      </c>
      <c r="C1286" s="605">
        <v>45829.0</v>
      </c>
      <c r="D1286" s="512">
        <v>3.682440523E10</v>
      </c>
      <c r="E1286" s="606" t="s">
        <v>2902</v>
      </c>
      <c r="F1286" s="606" t="s">
        <v>436</v>
      </c>
      <c r="G1286" s="606" t="s">
        <v>2903</v>
      </c>
      <c r="H1286" s="608" t="s">
        <v>696</v>
      </c>
    </row>
    <row r="1287">
      <c r="A1287" s="512" t="s">
        <v>439</v>
      </c>
      <c r="B1287" s="512" t="s">
        <v>449</v>
      </c>
      <c r="C1287" s="605">
        <v>45829.0</v>
      </c>
      <c r="D1287" s="512">
        <v>3.6985389108E10</v>
      </c>
      <c r="E1287" s="646" t="s">
        <v>2904</v>
      </c>
      <c r="F1287" s="606" t="s">
        <v>436</v>
      </c>
      <c r="G1287" s="606" t="s">
        <v>2905</v>
      </c>
      <c r="H1287" s="608" t="s">
        <v>1608</v>
      </c>
    </row>
    <row r="1288">
      <c r="A1288" s="512" t="s">
        <v>617</v>
      </c>
      <c r="B1288" s="512" t="s">
        <v>449</v>
      </c>
      <c r="C1288" s="605">
        <v>45829.0</v>
      </c>
      <c r="D1288" s="512">
        <v>2.2537816709E10</v>
      </c>
      <c r="E1288" s="606" t="s">
        <v>2906</v>
      </c>
      <c r="F1288" s="606" t="s">
        <v>436</v>
      </c>
      <c r="G1288" s="606" t="s">
        <v>2812</v>
      </c>
      <c r="H1288" s="608" t="s">
        <v>696</v>
      </c>
    </row>
    <row r="1289">
      <c r="A1289" s="512" t="s">
        <v>690</v>
      </c>
      <c r="B1289" s="512" t="s">
        <v>950</v>
      </c>
      <c r="C1289" s="605">
        <v>45829.0</v>
      </c>
      <c r="D1289" s="512" t="s">
        <v>2907</v>
      </c>
      <c r="E1289" s="646" t="s">
        <v>2908</v>
      </c>
      <c r="F1289" s="606" t="s">
        <v>436</v>
      </c>
      <c r="G1289" s="606" t="s">
        <v>836</v>
      </c>
      <c r="H1289" s="608" t="s">
        <v>693</v>
      </c>
    </row>
    <row r="1290">
      <c r="A1290" s="512" t="s">
        <v>617</v>
      </c>
      <c r="B1290" s="512" t="s">
        <v>449</v>
      </c>
      <c r="C1290" s="605">
        <v>45829.0</v>
      </c>
      <c r="D1290" s="512">
        <v>3.5891789489E10</v>
      </c>
      <c r="E1290" s="606" t="s">
        <v>2909</v>
      </c>
      <c r="F1290" s="606" t="s">
        <v>436</v>
      </c>
      <c r="G1290" s="606" t="s">
        <v>2910</v>
      </c>
      <c r="H1290" s="608" t="s">
        <v>696</v>
      </c>
    </row>
    <row r="1291">
      <c r="A1291" s="512" t="s">
        <v>439</v>
      </c>
      <c r="B1291" s="512" t="s">
        <v>449</v>
      </c>
      <c r="C1291" s="605">
        <v>45829.0</v>
      </c>
      <c r="D1291" s="512">
        <v>3.017443241E10</v>
      </c>
      <c r="E1291" s="646" t="s">
        <v>2911</v>
      </c>
      <c r="F1291" s="606" t="s">
        <v>436</v>
      </c>
      <c r="G1291" s="606" t="s">
        <v>2912</v>
      </c>
      <c r="H1291" s="608" t="s">
        <v>1608</v>
      </c>
    </row>
    <row r="1292">
      <c r="A1292" s="512" t="s">
        <v>432</v>
      </c>
      <c r="B1292" s="512" t="s">
        <v>449</v>
      </c>
      <c r="C1292" s="605">
        <v>45829.0</v>
      </c>
      <c r="D1292" s="512">
        <v>3.1902032503E10</v>
      </c>
      <c r="E1292" s="606" t="s">
        <v>2913</v>
      </c>
      <c r="F1292" s="606" t="s">
        <v>436</v>
      </c>
      <c r="G1292" s="606" t="s">
        <v>2914</v>
      </c>
      <c r="H1292" s="608" t="s">
        <v>2870</v>
      </c>
    </row>
    <row r="1293">
      <c r="A1293" s="512" t="s">
        <v>690</v>
      </c>
      <c r="B1293" s="512" t="s">
        <v>449</v>
      </c>
      <c r="C1293" s="605">
        <v>45829.0</v>
      </c>
      <c r="D1293" s="512" t="s">
        <v>2915</v>
      </c>
      <c r="E1293" s="646" t="s">
        <v>2916</v>
      </c>
      <c r="F1293" s="606" t="s">
        <v>436</v>
      </c>
      <c r="G1293" s="606" t="s">
        <v>1279</v>
      </c>
      <c r="H1293" s="608" t="s">
        <v>693</v>
      </c>
    </row>
    <row r="1294">
      <c r="A1294" s="512" t="s">
        <v>823</v>
      </c>
      <c r="B1294" s="512" t="s">
        <v>950</v>
      </c>
      <c r="C1294" s="605">
        <v>45829.0</v>
      </c>
      <c r="D1294" s="512">
        <v>3.2871409186E10</v>
      </c>
      <c r="E1294" s="606" t="s">
        <v>2917</v>
      </c>
      <c r="F1294" s="606" t="s">
        <v>436</v>
      </c>
      <c r="G1294" s="606" t="s">
        <v>2918</v>
      </c>
      <c r="H1294" s="608" t="s">
        <v>699</v>
      </c>
    </row>
    <row r="1295">
      <c r="A1295" s="512" t="s">
        <v>823</v>
      </c>
      <c r="B1295" s="512" t="s">
        <v>449</v>
      </c>
      <c r="C1295" s="605">
        <v>45830.0</v>
      </c>
      <c r="D1295" s="512">
        <v>3.2108600894E10</v>
      </c>
      <c r="E1295" s="606" t="s">
        <v>2919</v>
      </c>
      <c r="F1295" s="606" t="s">
        <v>436</v>
      </c>
      <c r="G1295" s="606">
        <v>1061.0</v>
      </c>
      <c r="H1295" s="608" t="s">
        <v>2491</v>
      </c>
    </row>
    <row r="1296">
      <c r="A1296" s="512" t="s">
        <v>823</v>
      </c>
      <c r="B1296" s="512" t="s">
        <v>449</v>
      </c>
      <c r="C1296" s="605">
        <v>45830.0</v>
      </c>
      <c r="D1296" s="512">
        <v>3.1818803149E10</v>
      </c>
      <c r="E1296" s="606" t="s">
        <v>2920</v>
      </c>
      <c r="F1296" s="606" t="s">
        <v>436</v>
      </c>
      <c r="G1296" s="606">
        <v>1941.0</v>
      </c>
      <c r="H1296" s="608" t="s">
        <v>2491</v>
      </c>
    </row>
    <row r="1297">
      <c r="A1297" s="512" t="s">
        <v>617</v>
      </c>
      <c r="B1297" s="512" t="s">
        <v>449</v>
      </c>
      <c r="C1297" s="605">
        <v>45830.0</v>
      </c>
      <c r="D1297" s="512">
        <v>1.1322468698E10</v>
      </c>
      <c r="E1297" s="646" t="s">
        <v>2921</v>
      </c>
      <c r="F1297" s="606" t="s">
        <v>436</v>
      </c>
      <c r="G1297" s="606" t="s">
        <v>2922</v>
      </c>
      <c r="H1297" s="608" t="s">
        <v>623</v>
      </c>
    </row>
    <row r="1298">
      <c r="A1298" s="512" t="s">
        <v>823</v>
      </c>
      <c r="B1298" s="512" t="s">
        <v>449</v>
      </c>
      <c r="C1298" s="605">
        <v>45830.0</v>
      </c>
      <c r="D1298" s="512">
        <v>3.3997794626E10</v>
      </c>
      <c r="E1298" s="648" t="s">
        <v>2923</v>
      </c>
      <c r="F1298" s="606" t="s">
        <v>436</v>
      </c>
      <c r="G1298" s="606" t="s">
        <v>2924</v>
      </c>
      <c r="H1298" s="647"/>
    </row>
    <row r="1299">
      <c r="A1299" s="512" t="s">
        <v>432</v>
      </c>
      <c r="B1299" s="512" t="s">
        <v>433</v>
      </c>
      <c r="C1299" s="605">
        <v>45830.0</v>
      </c>
      <c r="D1299" s="512">
        <v>3.1084213872E10</v>
      </c>
      <c r="E1299" s="606" t="s">
        <v>2925</v>
      </c>
      <c r="F1299" s="606" t="s">
        <v>436</v>
      </c>
      <c r="G1299" s="606" t="s">
        <v>1172</v>
      </c>
      <c r="H1299" s="608" t="s">
        <v>696</v>
      </c>
    </row>
    <row r="1300">
      <c r="A1300" s="512" t="s">
        <v>690</v>
      </c>
      <c r="B1300" s="512" t="s">
        <v>449</v>
      </c>
      <c r="C1300" s="605">
        <v>45830.0</v>
      </c>
      <c r="D1300" s="512" t="s">
        <v>2926</v>
      </c>
      <c r="E1300" s="646" t="s">
        <v>2927</v>
      </c>
      <c r="F1300" s="606" t="s">
        <v>436</v>
      </c>
      <c r="G1300" s="606" t="s">
        <v>2928</v>
      </c>
      <c r="H1300" s="608" t="s">
        <v>693</v>
      </c>
    </row>
    <row r="1301">
      <c r="A1301" s="512" t="s">
        <v>690</v>
      </c>
      <c r="B1301" s="512" t="s">
        <v>449</v>
      </c>
      <c r="C1301" s="605">
        <v>45830.0</v>
      </c>
      <c r="D1301" s="512" t="s">
        <v>2929</v>
      </c>
      <c r="E1301" s="646" t="s">
        <v>2927</v>
      </c>
      <c r="F1301" s="606" t="s">
        <v>436</v>
      </c>
      <c r="G1301" s="606" t="s">
        <v>2928</v>
      </c>
      <c r="H1301" s="608" t="s">
        <v>693</v>
      </c>
    </row>
    <row r="1302">
      <c r="A1302" s="512" t="s">
        <v>690</v>
      </c>
      <c r="B1302" s="512" t="s">
        <v>449</v>
      </c>
      <c r="C1302" s="605">
        <v>45830.0</v>
      </c>
      <c r="D1302" s="512">
        <v>3.7354118621E10</v>
      </c>
      <c r="E1302" s="646" t="s">
        <v>2861</v>
      </c>
      <c r="F1302" s="606" t="s">
        <v>436</v>
      </c>
      <c r="G1302" s="606" t="s">
        <v>2930</v>
      </c>
      <c r="H1302" s="608" t="s">
        <v>693</v>
      </c>
    </row>
    <row r="1303">
      <c r="A1303" s="512" t="s">
        <v>617</v>
      </c>
      <c r="B1303" s="512" t="s">
        <v>449</v>
      </c>
      <c r="C1303" s="605">
        <v>45830.0</v>
      </c>
      <c r="D1303" s="512">
        <v>3.3897943856E10</v>
      </c>
      <c r="E1303" s="646" t="s">
        <v>2931</v>
      </c>
      <c r="F1303" s="606" t="s">
        <v>436</v>
      </c>
      <c r="G1303" s="606" t="s">
        <v>2932</v>
      </c>
      <c r="H1303" s="608" t="s">
        <v>623</v>
      </c>
    </row>
    <row r="1304">
      <c r="A1304" s="512" t="s">
        <v>432</v>
      </c>
      <c r="B1304" s="512" t="s">
        <v>433</v>
      </c>
      <c r="C1304" s="605">
        <v>45830.0</v>
      </c>
      <c r="D1304" s="512">
        <v>2.8485602896E10</v>
      </c>
      <c r="E1304" s="606" t="s">
        <v>2933</v>
      </c>
      <c r="F1304" s="606" t="s">
        <v>436</v>
      </c>
      <c r="G1304" s="606" t="s">
        <v>2934</v>
      </c>
      <c r="H1304" s="608" t="s">
        <v>696</v>
      </c>
    </row>
    <row r="1305">
      <c r="A1305" s="512" t="s">
        <v>439</v>
      </c>
      <c r="B1305" s="512" t="s">
        <v>449</v>
      </c>
      <c r="C1305" s="605">
        <v>45830.0</v>
      </c>
      <c r="D1305" s="512">
        <v>3.7224608887E10</v>
      </c>
      <c r="E1305" s="606" t="s">
        <v>2935</v>
      </c>
      <c r="F1305" s="606" t="s">
        <v>436</v>
      </c>
      <c r="G1305" s="606" t="s">
        <v>2936</v>
      </c>
      <c r="H1305" s="608" t="s">
        <v>2791</v>
      </c>
    </row>
    <row r="1306">
      <c r="A1306" s="512" t="s">
        <v>432</v>
      </c>
      <c r="B1306" s="512" t="s">
        <v>433</v>
      </c>
      <c r="C1306" s="605">
        <v>45830.0</v>
      </c>
      <c r="D1306" s="512">
        <v>2.8936034445E10</v>
      </c>
      <c r="E1306" s="606" t="s">
        <v>2937</v>
      </c>
      <c r="F1306" s="606" t="s">
        <v>436</v>
      </c>
      <c r="G1306" s="606" t="s">
        <v>2938</v>
      </c>
      <c r="H1306" s="608" t="s">
        <v>696</v>
      </c>
    </row>
    <row r="1307">
      <c r="A1307" s="512" t="s">
        <v>439</v>
      </c>
      <c r="B1307" s="512" t="s">
        <v>950</v>
      </c>
      <c r="C1307" s="605">
        <v>45830.0</v>
      </c>
      <c r="D1307" s="512">
        <v>3.1443072098E10</v>
      </c>
      <c r="E1307" s="606" t="s">
        <v>2939</v>
      </c>
      <c r="F1307" s="606" t="s">
        <v>436</v>
      </c>
      <c r="G1307" s="606" t="s">
        <v>2940</v>
      </c>
      <c r="H1307" s="608" t="s">
        <v>2791</v>
      </c>
    </row>
    <row r="1308">
      <c r="A1308" s="512" t="s">
        <v>823</v>
      </c>
      <c r="B1308" s="512" t="s">
        <v>449</v>
      </c>
      <c r="C1308" s="605">
        <v>45831.0</v>
      </c>
      <c r="D1308" s="512">
        <v>3.2482343821E10</v>
      </c>
      <c r="E1308" s="606" t="s">
        <v>2941</v>
      </c>
      <c r="F1308" s="606" t="s">
        <v>436</v>
      </c>
      <c r="G1308" s="606">
        <v>575.0</v>
      </c>
      <c r="H1308" s="608" t="s">
        <v>2491</v>
      </c>
    </row>
    <row r="1309">
      <c r="A1309" s="512" t="s">
        <v>617</v>
      </c>
      <c r="B1309" s="512" t="s">
        <v>449</v>
      </c>
      <c r="C1309" s="605">
        <v>45831.0</v>
      </c>
      <c r="D1309" s="512">
        <v>3.1336265368E10</v>
      </c>
      <c r="E1309" s="606" t="s">
        <v>2942</v>
      </c>
      <c r="F1309" s="606" t="s">
        <v>436</v>
      </c>
      <c r="G1309" s="606" t="s">
        <v>2943</v>
      </c>
      <c r="H1309" s="608" t="s">
        <v>696</v>
      </c>
    </row>
    <row r="1310">
      <c r="A1310" s="512" t="s">
        <v>439</v>
      </c>
      <c r="B1310" s="512" t="s">
        <v>449</v>
      </c>
      <c r="C1310" s="605">
        <v>45831.0</v>
      </c>
      <c r="D1310" s="512">
        <v>3.424967407E10</v>
      </c>
      <c r="E1310" s="606" t="s">
        <v>2944</v>
      </c>
      <c r="F1310" s="606" t="s">
        <v>436</v>
      </c>
      <c r="G1310" s="606" t="s">
        <v>2945</v>
      </c>
      <c r="H1310" s="608" t="s">
        <v>2791</v>
      </c>
    </row>
    <row r="1311">
      <c r="A1311" s="512" t="s">
        <v>617</v>
      </c>
      <c r="B1311" s="512" t="s">
        <v>449</v>
      </c>
      <c r="C1311" s="605">
        <v>45831.0</v>
      </c>
      <c r="D1311" s="512">
        <v>3.5501899483E10</v>
      </c>
      <c r="E1311" s="606" t="s">
        <v>2946</v>
      </c>
      <c r="F1311" s="606" t="s">
        <v>436</v>
      </c>
      <c r="G1311" s="606" t="s">
        <v>2947</v>
      </c>
      <c r="H1311" s="608" t="s">
        <v>696</v>
      </c>
    </row>
    <row r="1312">
      <c r="A1312" s="512" t="s">
        <v>690</v>
      </c>
      <c r="B1312" s="512" t="s">
        <v>449</v>
      </c>
      <c r="C1312" s="605">
        <v>45831.0</v>
      </c>
      <c r="D1312" s="512">
        <v>3.728830016E10</v>
      </c>
      <c r="E1312" s="646" t="s">
        <v>2948</v>
      </c>
      <c r="F1312" s="606" t="s">
        <v>436</v>
      </c>
      <c r="G1312" s="606" t="s">
        <v>2949</v>
      </c>
      <c r="H1312" s="608" t="s">
        <v>2849</v>
      </c>
    </row>
    <row r="1313">
      <c r="A1313" s="512" t="s">
        <v>617</v>
      </c>
      <c r="B1313" s="512" t="s">
        <v>433</v>
      </c>
      <c r="C1313" s="605">
        <v>45831.0</v>
      </c>
      <c r="D1313" s="512">
        <v>3.712839748E10</v>
      </c>
      <c r="E1313" s="606" t="s">
        <v>2950</v>
      </c>
      <c r="F1313" s="606" t="s">
        <v>436</v>
      </c>
      <c r="G1313" s="606" t="s">
        <v>2017</v>
      </c>
      <c r="H1313" s="608" t="s">
        <v>696</v>
      </c>
    </row>
    <row r="1314">
      <c r="A1314" s="512" t="s">
        <v>439</v>
      </c>
      <c r="B1314" s="512" t="s">
        <v>449</v>
      </c>
      <c r="C1314" s="605">
        <v>45831.0</v>
      </c>
      <c r="D1314" s="512">
        <v>3.2577276171E10</v>
      </c>
      <c r="E1314" s="606" t="s">
        <v>2951</v>
      </c>
      <c r="F1314" s="606" t="s">
        <v>436</v>
      </c>
      <c r="G1314" s="606" t="s">
        <v>2952</v>
      </c>
      <c r="H1314" s="608" t="s">
        <v>2791</v>
      </c>
    </row>
    <row r="1315">
      <c r="A1315" s="512" t="s">
        <v>617</v>
      </c>
      <c r="B1315" s="512" t="s">
        <v>449</v>
      </c>
      <c r="C1315" s="605">
        <v>45831.0</v>
      </c>
      <c r="D1315" s="512">
        <v>3.6926460147E10</v>
      </c>
      <c r="E1315" s="606" t="s">
        <v>2953</v>
      </c>
      <c r="F1315" s="606" t="s">
        <v>436</v>
      </c>
      <c r="G1315" s="606" t="s">
        <v>2954</v>
      </c>
      <c r="H1315" s="608" t="s">
        <v>696</v>
      </c>
    </row>
    <row r="1316">
      <c r="A1316" s="512" t="s">
        <v>439</v>
      </c>
      <c r="B1316" s="512" t="s">
        <v>433</v>
      </c>
      <c r="C1316" s="605">
        <v>45831.0</v>
      </c>
      <c r="D1316" s="512">
        <v>3.1623444207E10</v>
      </c>
      <c r="E1316" s="606" t="s">
        <v>2955</v>
      </c>
      <c r="F1316" s="606" t="s">
        <v>436</v>
      </c>
      <c r="G1316" s="606" t="s">
        <v>2956</v>
      </c>
      <c r="H1316" s="608" t="s">
        <v>2791</v>
      </c>
    </row>
    <row r="1317">
      <c r="A1317" s="512" t="s">
        <v>439</v>
      </c>
      <c r="B1317" s="512" t="s">
        <v>433</v>
      </c>
      <c r="C1317" s="605">
        <v>45831.0</v>
      </c>
      <c r="D1317" s="512">
        <v>3.3929084155E10</v>
      </c>
      <c r="E1317" s="606" t="s">
        <v>2957</v>
      </c>
      <c r="F1317" s="606" t="s">
        <v>436</v>
      </c>
      <c r="G1317" s="606" t="s">
        <v>2958</v>
      </c>
      <c r="H1317" s="608" t="s">
        <v>2791</v>
      </c>
    </row>
    <row r="1318">
      <c r="A1318" s="512" t="s">
        <v>823</v>
      </c>
      <c r="B1318" s="512" t="s">
        <v>955</v>
      </c>
      <c r="C1318" s="605">
        <v>45832.0</v>
      </c>
      <c r="D1318" s="512">
        <v>3.4827084666E10</v>
      </c>
      <c r="E1318" s="606" t="s">
        <v>2959</v>
      </c>
      <c r="F1318" s="606" t="s">
        <v>436</v>
      </c>
      <c r="G1318" s="606" t="s">
        <v>927</v>
      </c>
      <c r="H1318" s="608" t="s">
        <v>699</v>
      </c>
    </row>
    <row r="1319">
      <c r="A1319" s="512" t="s">
        <v>823</v>
      </c>
      <c r="B1319" s="512" t="s">
        <v>950</v>
      </c>
      <c r="C1319" s="605">
        <v>45832.0</v>
      </c>
      <c r="D1319" s="512">
        <v>3.7179809967E10</v>
      </c>
      <c r="E1319" s="606" t="s">
        <v>2960</v>
      </c>
      <c r="F1319" s="606" t="s">
        <v>436</v>
      </c>
      <c r="G1319" s="606" t="s">
        <v>2961</v>
      </c>
      <c r="H1319" s="608" t="s">
        <v>699</v>
      </c>
    </row>
    <row r="1320">
      <c r="A1320" s="512" t="s">
        <v>823</v>
      </c>
      <c r="B1320" s="512" t="s">
        <v>433</v>
      </c>
      <c r="C1320" s="605">
        <v>45832.0</v>
      </c>
      <c r="D1320" s="512">
        <v>3.2216979699E10</v>
      </c>
      <c r="E1320" s="606" t="s">
        <v>2962</v>
      </c>
      <c r="F1320" s="606" t="s">
        <v>436</v>
      </c>
      <c r="G1320" s="606" t="s">
        <v>2963</v>
      </c>
      <c r="H1320" s="608" t="s">
        <v>699</v>
      </c>
    </row>
    <row r="1321">
      <c r="A1321" s="512" t="s">
        <v>439</v>
      </c>
      <c r="B1321" s="512" t="s">
        <v>433</v>
      </c>
      <c r="C1321" s="605">
        <v>45832.0</v>
      </c>
      <c r="D1321" s="512">
        <v>3.4505073819E10</v>
      </c>
      <c r="E1321" s="646" t="s">
        <v>2964</v>
      </c>
      <c r="F1321" s="606" t="s">
        <v>436</v>
      </c>
      <c r="G1321" s="606" t="s">
        <v>2120</v>
      </c>
      <c r="H1321" s="608" t="s">
        <v>1608</v>
      </c>
    </row>
    <row r="1322">
      <c r="A1322" s="512" t="s">
        <v>617</v>
      </c>
      <c r="B1322" s="512" t="s">
        <v>646</v>
      </c>
      <c r="C1322" s="605">
        <v>45832.0</v>
      </c>
      <c r="D1322" s="512">
        <v>3.2257050102E10</v>
      </c>
      <c r="E1322" s="606" t="s">
        <v>2965</v>
      </c>
      <c r="F1322" s="606" t="s">
        <v>436</v>
      </c>
      <c r="G1322" s="606" t="s">
        <v>2966</v>
      </c>
      <c r="H1322" s="608" t="s">
        <v>696</v>
      </c>
    </row>
    <row r="1323">
      <c r="A1323" s="512" t="s">
        <v>439</v>
      </c>
      <c r="B1323" s="512" t="s">
        <v>433</v>
      </c>
      <c r="C1323" s="605">
        <v>45832.0</v>
      </c>
      <c r="D1323" s="512">
        <v>3.5154619591E10</v>
      </c>
      <c r="E1323" s="646" t="s">
        <v>2967</v>
      </c>
      <c r="F1323" s="606" t="s">
        <v>436</v>
      </c>
      <c r="G1323" s="606" t="s">
        <v>2968</v>
      </c>
      <c r="H1323" s="608" t="s">
        <v>1608</v>
      </c>
    </row>
    <row r="1324">
      <c r="A1324" s="512" t="s">
        <v>823</v>
      </c>
      <c r="B1324" s="512" t="s">
        <v>433</v>
      </c>
      <c r="C1324" s="605">
        <v>45832.0</v>
      </c>
      <c r="D1324" s="512">
        <v>3.5472824163E10</v>
      </c>
      <c r="E1324" s="606" t="s">
        <v>2969</v>
      </c>
      <c r="F1324" s="606" t="s">
        <v>436</v>
      </c>
      <c r="G1324" s="606" t="s">
        <v>2970</v>
      </c>
      <c r="H1324" s="608" t="s">
        <v>699</v>
      </c>
    </row>
    <row r="1325">
      <c r="A1325" s="512" t="s">
        <v>823</v>
      </c>
      <c r="B1325" s="512" t="s">
        <v>433</v>
      </c>
      <c r="C1325" s="605">
        <v>45832.0</v>
      </c>
      <c r="D1325" s="512">
        <v>3.3682764258E10</v>
      </c>
      <c r="E1325" s="606" t="s">
        <v>2971</v>
      </c>
      <c r="F1325" s="606" t="s">
        <v>436</v>
      </c>
      <c r="G1325" s="606" t="s">
        <v>2972</v>
      </c>
      <c r="H1325" s="608" t="s">
        <v>699</v>
      </c>
    </row>
    <row r="1326">
      <c r="A1326" s="512" t="s">
        <v>439</v>
      </c>
      <c r="B1326" s="512" t="s">
        <v>433</v>
      </c>
      <c r="C1326" s="605">
        <v>45832.0</v>
      </c>
      <c r="D1326" s="512">
        <v>3.1810978688E10</v>
      </c>
      <c r="E1326" s="646" t="s">
        <v>2973</v>
      </c>
      <c r="F1326" s="606" t="s">
        <v>436</v>
      </c>
      <c r="G1326" s="606" t="s">
        <v>2974</v>
      </c>
      <c r="H1326" s="608" t="s">
        <v>1608</v>
      </c>
    </row>
    <row r="1327">
      <c r="A1327" s="512" t="s">
        <v>439</v>
      </c>
      <c r="B1327" s="512" t="s">
        <v>433</v>
      </c>
      <c r="C1327" s="605">
        <v>45832.0</v>
      </c>
      <c r="D1327" s="512" t="s">
        <v>2975</v>
      </c>
      <c r="E1327" s="646" t="s">
        <v>2976</v>
      </c>
      <c r="F1327" s="606" t="s">
        <v>436</v>
      </c>
      <c r="G1327" s="606" t="s">
        <v>2977</v>
      </c>
      <c r="H1327" s="608" t="s">
        <v>1608</v>
      </c>
    </row>
    <row r="1328">
      <c r="A1328" s="512" t="s">
        <v>823</v>
      </c>
      <c r="B1328" s="512" t="s">
        <v>433</v>
      </c>
      <c r="C1328" s="605">
        <v>45832.0</v>
      </c>
      <c r="D1328" s="512">
        <v>3.3563272279E10</v>
      </c>
      <c r="E1328" s="606" t="s">
        <v>2978</v>
      </c>
      <c r="F1328" s="606" t="s">
        <v>436</v>
      </c>
      <c r="G1328" s="606" t="s">
        <v>2979</v>
      </c>
      <c r="H1328" s="608" t="s">
        <v>699</v>
      </c>
    </row>
    <row r="1329">
      <c r="A1329" s="512" t="s">
        <v>823</v>
      </c>
      <c r="B1329" s="512" t="s">
        <v>433</v>
      </c>
      <c r="C1329" s="605">
        <v>45832.0</v>
      </c>
      <c r="D1329" s="512">
        <v>3.3159297842E10</v>
      </c>
      <c r="E1329" s="606" t="s">
        <v>2980</v>
      </c>
      <c r="F1329" s="606" t="s">
        <v>436</v>
      </c>
      <c r="G1329" s="606" t="s">
        <v>682</v>
      </c>
      <c r="H1329" s="608" t="s">
        <v>699</v>
      </c>
    </row>
    <row r="1330">
      <c r="A1330" s="512" t="s">
        <v>439</v>
      </c>
      <c r="B1330" s="512" t="s">
        <v>433</v>
      </c>
      <c r="C1330" s="605">
        <v>45832.0</v>
      </c>
      <c r="D1330" s="512">
        <v>3.5506405892E10</v>
      </c>
      <c r="E1330" s="646" t="s">
        <v>2981</v>
      </c>
      <c r="F1330" s="606" t="s">
        <v>436</v>
      </c>
      <c r="G1330" s="606" t="s">
        <v>2982</v>
      </c>
      <c r="H1330" s="608" t="s">
        <v>1608</v>
      </c>
    </row>
    <row r="1331">
      <c r="A1331" s="512" t="s">
        <v>823</v>
      </c>
      <c r="B1331" s="512" t="s">
        <v>433</v>
      </c>
      <c r="C1331" s="605">
        <v>45832.0</v>
      </c>
      <c r="D1331" s="512">
        <v>3.2243977707E10</v>
      </c>
      <c r="E1331" s="606" t="s">
        <v>2983</v>
      </c>
      <c r="F1331" s="606" t="s">
        <v>436</v>
      </c>
      <c r="G1331" s="606" t="s">
        <v>2984</v>
      </c>
      <c r="H1331" s="608" t="s">
        <v>699</v>
      </c>
    </row>
    <row r="1332">
      <c r="A1332" s="512" t="s">
        <v>823</v>
      </c>
      <c r="B1332" s="512" t="s">
        <v>433</v>
      </c>
      <c r="C1332" s="605">
        <v>45832.0</v>
      </c>
      <c r="D1332" s="512">
        <v>3.7091858449E10</v>
      </c>
      <c r="E1332" s="606" t="s">
        <v>2983</v>
      </c>
      <c r="F1332" s="606" t="s">
        <v>436</v>
      </c>
      <c r="G1332" s="606" t="s">
        <v>2985</v>
      </c>
      <c r="H1332" s="608" t="s">
        <v>699</v>
      </c>
    </row>
    <row r="1333">
      <c r="A1333" s="512" t="s">
        <v>823</v>
      </c>
      <c r="B1333" s="512" t="s">
        <v>433</v>
      </c>
      <c r="C1333" s="605">
        <v>45832.0</v>
      </c>
      <c r="D1333" s="512">
        <v>3.2399492066E10</v>
      </c>
      <c r="E1333" s="606" t="s">
        <v>2986</v>
      </c>
      <c r="F1333" s="606" t="s">
        <v>436</v>
      </c>
      <c r="G1333" s="606" t="s">
        <v>2987</v>
      </c>
      <c r="H1333" s="608" t="s">
        <v>699</v>
      </c>
    </row>
    <row r="1334">
      <c r="A1334" s="512" t="s">
        <v>432</v>
      </c>
      <c r="B1334" s="512" t="s">
        <v>646</v>
      </c>
      <c r="C1334" s="605">
        <v>45832.0</v>
      </c>
      <c r="D1334" s="512">
        <v>3.7270486054E10</v>
      </c>
      <c r="E1334" s="606" t="s">
        <v>2988</v>
      </c>
      <c r="F1334" s="606" t="s">
        <v>436</v>
      </c>
      <c r="G1334" s="606" t="s">
        <v>2989</v>
      </c>
      <c r="H1334" s="608" t="s">
        <v>1096</v>
      </c>
    </row>
    <row r="1335">
      <c r="A1335" s="512" t="s">
        <v>617</v>
      </c>
      <c r="B1335" s="512" t="s">
        <v>449</v>
      </c>
      <c r="C1335" s="605">
        <v>45832.0</v>
      </c>
      <c r="D1335" s="512">
        <v>3.5332152473E10</v>
      </c>
      <c r="E1335" s="606" t="s">
        <v>2990</v>
      </c>
      <c r="F1335" s="606" t="s">
        <v>436</v>
      </c>
      <c r="G1335" s="606" t="s">
        <v>2991</v>
      </c>
      <c r="H1335" s="608" t="s">
        <v>696</v>
      </c>
    </row>
    <row r="1336">
      <c r="A1336" s="512" t="s">
        <v>823</v>
      </c>
      <c r="B1336" s="512" t="s">
        <v>433</v>
      </c>
      <c r="C1336" s="605">
        <v>45832.0</v>
      </c>
      <c r="D1336" s="512">
        <v>3.1008761081E10</v>
      </c>
      <c r="E1336" s="606" t="s">
        <v>2992</v>
      </c>
      <c r="F1336" s="606" t="s">
        <v>436</v>
      </c>
      <c r="G1336" s="606" t="s">
        <v>2993</v>
      </c>
      <c r="H1336" s="608" t="s">
        <v>699</v>
      </c>
    </row>
    <row r="1337">
      <c r="A1337" s="512" t="s">
        <v>439</v>
      </c>
      <c r="B1337" s="512" t="s">
        <v>449</v>
      </c>
      <c r="C1337" s="605">
        <v>45832.0</v>
      </c>
      <c r="D1337" s="512" t="s">
        <v>2994</v>
      </c>
      <c r="E1337" s="646" t="s">
        <v>2995</v>
      </c>
      <c r="F1337" s="606" t="s">
        <v>436</v>
      </c>
      <c r="G1337" s="606" t="s">
        <v>2242</v>
      </c>
      <c r="H1337" s="608" t="s">
        <v>1608</v>
      </c>
    </row>
    <row r="1338">
      <c r="A1338" s="512" t="s">
        <v>823</v>
      </c>
      <c r="B1338" s="512" t="s">
        <v>433</v>
      </c>
      <c r="C1338" s="605">
        <v>45833.0</v>
      </c>
      <c r="D1338" s="512">
        <v>3.4802819073E10</v>
      </c>
      <c r="E1338" s="606" t="s">
        <v>2996</v>
      </c>
      <c r="F1338" s="606" t="s">
        <v>436</v>
      </c>
      <c r="G1338" s="606" t="s">
        <v>2997</v>
      </c>
      <c r="H1338" s="608" t="s">
        <v>699</v>
      </c>
    </row>
    <row r="1339">
      <c r="A1339" s="512" t="s">
        <v>690</v>
      </c>
      <c r="B1339" s="512" t="s">
        <v>646</v>
      </c>
      <c r="C1339" s="605">
        <v>45833.0</v>
      </c>
      <c r="D1339" s="512">
        <v>3.7375418516E10</v>
      </c>
      <c r="E1339" s="646" t="s">
        <v>2998</v>
      </c>
      <c r="F1339" s="606" t="s">
        <v>436</v>
      </c>
      <c r="G1339" s="606" t="s">
        <v>2999</v>
      </c>
      <c r="H1339" s="608" t="s">
        <v>693</v>
      </c>
    </row>
    <row r="1340">
      <c r="A1340" s="512" t="s">
        <v>823</v>
      </c>
      <c r="B1340" s="512" t="s">
        <v>449</v>
      </c>
      <c r="C1340" s="605">
        <v>45833.0</v>
      </c>
      <c r="D1340" s="512">
        <v>3.2220571888E10</v>
      </c>
      <c r="E1340" s="606" t="s">
        <v>3000</v>
      </c>
      <c r="F1340" s="606" t="s">
        <v>436</v>
      </c>
      <c r="G1340" s="606" t="s">
        <v>1232</v>
      </c>
      <c r="H1340" s="608" t="s">
        <v>699</v>
      </c>
    </row>
    <row r="1341">
      <c r="A1341" s="512" t="s">
        <v>823</v>
      </c>
      <c r="B1341" s="512" t="s">
        <v>449</v>
      </c>
      <c r="C1341" s="605">
        <v>45833.0</v>
      </c>
      <c r="D1341" s="512">
        <v>2.839709952E10</v>
      </c>
      <c r="E1341" s="606" t="s">
        <v>3001</v>
      </c>
      <c r="F1341" s="606" t="s">
        <v>436</v>
      </c>
      <c r="G1341" s="606" t="s">
        <v>1969</v>
      </c>
      <c r="H1341" s="608" t="s">
        <v>699</v>
      </c>
    </row>
    <row r="1342">
      <c r="A1342" s="512" t="s">
        <v>823</v>
      </c>
      <c r="B1342" s="512" t="s">
        <v>433</v>
      </c>
      <c r="C1342" s="605">
        <v>45833.0</v>
      </c>
      <c r="D1342" s="512">
        <v>2.9821151326E10</v>
      </c>
      <c r="E1342" s="606" t="s">
        <v>3002</v>
      </c>
      <c r="F1342" s="606" t="s">
        <v>436</v>
      </c>
      <c r="G1342" s="606" t="s">
        <v>514</v>
      </c>
      <c r="H1342" s="608" t="s">
        <v>699</v>
      </c>
    </row>
    <row r="1343">
      <c r="A1343" s="512" t="s">
        <v>823</v>
      </c>
      <c r="B1343" s="512" t="s">
        <v>433</v>
      </c>
      <c r="C1343" s="605">
        <v>45833.0</v>
      </c>
      <c r="D1343" s="512">
        <v>3.5637309026E10</v>
      </c>
      <c r="E1343" s="606" t="s">
        <v>3003</v>
      </c>
      <c r="F1343" s="606" t="s">
        <v>436</v>
      </c>
      <c r="G1343" s="606" t="s">
        <v>2968</v>
      </c>
      <c r="H1343" s="608" t="s">
        <v>699</v>
      </c>
    </row>
    <row r="1344">
      <c r="A1344" s="512" t="s">
        <v>439</v>
      </c>
      <c r="B1344" s="512" t="s">
        <v>449</v>
      </c>
      <c r="C1344" s="605">
        <v>45833.0</v>
      </c>
      <c r="D1344" s="512">
        <v>3.4831639496E10</v>
      </c>
      <c r="E1344" s="646" t="s">
        <v>3004</v>
      </c>
      <c r="F1344" s="606" t="s">
        <v>436</v>
      </c>
      <c r="G1344" s="606" t="s">
        <v>3005</v>
      </c>
      <c r="H1344" s="608" t="s">
        <v>1608</v>
      </c>
    </row>
    <row r="1345">
      <c r="A1345" s="512" t="s">
        <v>690</v>
      </c>
      <c r="B1345" s="512" t="s">
        <v>449</v>
      </c>
      <c r="C1345" s="605">
        <v>45833.0</v>
      </c>
      <c r="D1345" s="512">
        <v>3.7021239242E10</v>
      </c>
      <c r="E1345" s="646" t="s">
        <v>3006</v>
      </c>
      <c r="F1345" s="606" t="s">
        <v>436</v>
      </c>
      <c r="G1345" s="606" t="s">
        <v>3007</v>
      </c>
      <c r="H1345" s="608" t="s">
        <v>693</v>
      </c>
    </row>
    <row r="1346">
      <c r="A1346" s="512" t="s">
        <v>823</v>
      </c>
      <c r="B1346" s="512" t="s">
        <v>449</v>
      </c>
      <c r="C1346" s="605">
        <v>45834.0</v>
      </c>
      <c r="D1346" s="512">
        <v>3.5637100491E10</v>
      </c>
      <c r="E1346" s="606" t="s">
        <v>3008</v>
      </c>
      <c r="F1346" s="606" t="s">
        <v>436</v>
      </c>
      <c r="G1346" s="606">
        <v>727.0</v>
      </c>
      <c r="H1346" s="608" t="s">
        <v>2491</v>
      </c>
    </row>
    <row r="1347">
      <c r="A1347" s="512" t="s">
        <v>432</v>
      </c>
      <c r="B1347" s="512" t="s">
        <v>449</v>
      </c>
      <c r="C1347" s="605">
        <v>45834.0</v>
      </c>
      <c r="D1347" s="512">
        <v>3.4457310348E10</v>
      </c>
      <c r="E1347" s="606" t="s">
        <v>3009</v>
      </c>
      <c r="F1347" s="606" t="s">
        <v>436</v>
      </c>
      <c r="G1347" s="606" t="s">
        <v>3010</v>
      </c>
      <c r="H1347" s="608" t="s">
        <v>2676</v>
      </c>
    </row>
    <row r="1348">
      <c r="A1348" s="512" t="s">
        <v>439</v>
      </c>
      <c r="B1348" s="512" t="s">
        <v>433</v>
      </c>
      <c r="C1348" s="605">
        <v>45834.0</v>
      </c>
      <c r="D1348" s="512">
        <v>3.4402909705E10</v>
      </c>
      <c r="E1348" s="646" t="s">
        <v>3011</v>
      </c>
      <c r="F1348" s="606" t="s">
        <v>436</v>
      </c>
      <c r="G1348" s="606" t="s">
        <v>1594</v>
      </c>
      <c r="H1348" s="608" t="s">
        <v>1608</v>
      </c>
      <c r="I1348" s="520" t="s">
        <v>1</v>
      </c>
    </row>
    <row r="1349">
      <c r="A1349" s="512" t="s">
        <v>432</v>
      </c>
      <c r="B1349" s="512" t="s">
        <v>433</v>
      </c>
      <c r="C1349" s="605">
        <v>45834.0</v>
      </c>
      <c r="D1349" s="512">
        <v>3.5004727246E10</v>
      </c>
      <c r="E1349" s="606" t="s">
        <v>3012</v>
      </c>
      <c r="F1349" s="606" t="s">
        <v>436</v>
      </c>
      <c r="G1349" s="606" t="s">
        <v>3013</v>
      </c>
      <c r="H1349" s="608" t="s">
        <v>2676</v>
      </c>
    </row>
    <row r="1350">
      <c r="A1350" s="512" t="s">
        <v>617</v>
      </c>
      <c r="B1350" s="512" t="s">
        <v>449</v>
      </c>
      <c r="C1350" s="605">
        <v>45834.0</v>
      </c>
      <c r="D1350" s="512">
        <v>3.1113894875E10</v>
      </c>
      <c r="E1350" s="606" t="s">
        <v>3014</v>
      </c>
      <c r="F1350" s="606" t="s">
        <v>436</v>
      </c>
      <c r="G1350" s="606" t="s">
        <v>3015</v>
      </c>
      <c r="H1350" s="608" t="s">
        <v>696</v>
      </c>
    </row>
    <row r="1351">
      <c r="A1351" s="512" t="s">
        <v>439</v>
      </c>
      <c r="B1351" s="512" t="s">
        <v>449</v>
      </c>
      <c r="C1351" s="605">
        <v>45834.0</v>
      </c>
      <c r="D1351" s="512">
        <v>3.1621732986E10</v>
      </c>
      <c r="E1351" s="646" t="s">
        <v>3016</v>
      </c>
      <c r="F1351" s="606" t="s">
        <v>436</v>
      </c>
      <c r="G1351" s="606" t="s">
        <v>1324</v>
      </c>
      <c r="H1351" s="608" t="s">
        <v>1608</v>
      </c>
    </row>
    <row r="1352">
      <c r="A1352" s="512" t="s">
        <v>432</v>
      </c>
      <c r="B1352" s="512" t="s">
        <v>449</v>
      </c>
      <c r="C1352" s="605">
        <v>45834.0</v>
      </c>
      <c r="D1352" s="512">
        <v>3.351588301E10</v>
      </c>
      <c r="E1352" s="606" t="s">
        <v>3017</v>
      </c>
      <c r="F1352" s="606" t="s">
        <v>436</v>
      </c>
      <c r="G1352" s="606" t="s">
        <v>3018</v>
      </c>
      <c r="H1352" s="608" t="s">
        <v>2676</v>
      </c>
    </row>
    <row r="1353">
      <c r="A1353" s="512" t="s">
        <v>617</v>
      </c>
      <c r="B1353" s="512" t="s">
        <v>449</v>
      </c>
      <c r="C1353" s="605">
        <v>45834.0</v>
      </c>
      <c r="D1353" s="512">
        <v>3.3175574993E10</v>
      </c>
      <c r="E1353" s="606" t="s">
        <v>3019</v>
      </c>
      <c r="F1353" s="606" t="s">
        <v>436</v>
      </c>
      <c r="G1353" s="606" t="s">
        <v>3020</v>
      </c>
      <c r="H1353" s="608" t="s">
        <v>696</v>
      </c>
    </row>
    <row r="1354">
      <c r="A1354" s="512" t="s">
        <v>432</v>
      </c>
      <c r="B1354" s="512" t="s">
        <v>449</v>
      </c>
      <c r="C1354" s="605">
        <v>45834.0</v>
      </c>
      <c r="D1354" s="512">
        <v>3.7462404407E10</v>
      </c>
      <c r="E1354" s="606" t="s">
        <v>3021</v>
      </c>
      <c r="F1354" s="606" t="s">
        <v>436</v>
      </c>
      <c r="G1354" s="606" t="s">
        <v>3022</v>
      </c>
      <c r="H1354" s="608" t="s">
        <v>2676</v>
      </c>
    </row>
    <row r="1355">
      <c r="A1355" s="512" t="s">
        <v>617</v>
      </c>
      <c r="B1355" s="512" t="s">
        <v>449</v>
      </c>
      <c r="C1355" s="605">
        <v>45834.0</v>
      </c>
      <c r="D1355" s="512">
        <v>3.3175575701E10</v>
      </c>
      <c r="E1355" s="606" t="s">
        <v>3019</v>
      </c>
      <c r="F1355" s="606" t="s">
        <v>436</v>
      </c>
      <c r="G1355" s="606" t="s">
        <v>3023</v>
      </c>
      <c r="H1355" s="608" t="s">
        <v>696</v>
      </c>
    </row>
    <row r="1356">
      <c r="A1356" s="512" t="s">
        <v>432</v>
      </c>
      <c r="B1356" s="512" t="s">
        <v>433</v>
      </c>
      <c r="C1356" s="605">
        <v>45834.0</v>
      </c>
      <c r="D1356" s="512">
        <v>3.2500052098E10</v>
      </c>
      <c r="E1356" s="606" t="s">
        <v>3024</v>
      </c>
      <c r="F1356" s="606" t="s">
        <v>436</v>
      </c>
      <c r="G1356" s="606" t="s">
        <v>2641</v>
      </c>
      <c r="H1356" s="608" t="s">
        <v>2676</v>
      </c>
    </row>
    <row r="1357">
      <c r="A1357" s="512" t="s">
        <v>432</v>
      </c>
      <c r="B1357" s="512" t="s">
        <v>433</v>
      </c>
      <c r="C1357" s="605">
        <v>45834.0</v>
      </c>
      <c r="D1357" s="512">
        <v>3.3302477448E10</v>
      </c>
      <c r="E1357" s="606" t="s">
        <v>3025</v>
      </c>
      <c r="F1357" s="606" t="s">
        <v>436</v>
      </c>
      <c r="G1357" s="606" t="s">
        <v>3026</v>
      </c>
      <c r="H1357" s="608" t="s">
        <v>2676</v>
      </c>
    </row>
    <row r="1358">
      <c r="A1358" s="512" t="s">
        <v>439</v>
      </c>
      <c r="B1358" s="512" t="s">
        <v>2668</v>
      </c>
      <c r="C1358" s="605">
        <v>45834.0</v>
      </c>
      <c r="D1358" s="512">
        <v>3.4582253938E10</v>
      </c>
      <c r="E1358" s="646" t="s">
        <v>3027</v>
      </c>
      <c r="F1358" s="606" t="s">
        <v>436</v>
      </c>
      <c r="G1358" s="606" t="s">
        <v>3028</v>
      </c>
      <c r="H1358" s="608" t="s">
        <v>1608</v>
      </c>
    </row>
    <row r="1359">
      <c r="A1359" s="512" t="s">
        <v>432</v>
      </c>
      <c r="B1359" s="512" t="s">
        <v>449</v>
      </c>
      <c r="C1359" s="605">
        <v>45834.0</v>
      </c>
      <c r="D1359" s="512">
        <v>3.3611844902E10</v>
      </c>
      <c r="E1359" s="606" t="s">
        <v>3029</v>
      </c>
      <c r="F1359" s="606" t="s">
        <v>436</v>
      </c>
      <c r="G1359" s="606" t="s">
        <v>3030</v>
      </c>
      <c r="H1359" s="608" t="s">
        <v>2676</v>
      </c>
    </row>
    <row r="1360">
      <c r="A1360" s="512" t="s">
        <v>617</v>
      </c>
      <c r="B1360" s="512" t="s">
        <v>449</v>
      </c>
      <c r="C1360" s="605">
        <v>45834.0</v>
      </c>
      <c r="D1360" s="512">
        <v>3.6363693885E10</v>
      </c>
      <c r="E1360" s="606" t="s">
        <v>3031</v>
      </c>
      <c r="F1360" s="606" t="s">
        <v>436</v>
      </c>
      <c r="G1360" s="640"/>
      <c r="H1360" s="608" t="s">
        <v>696</v>
      </c>
    </row>
    <row r="1361">
      <c r="A1361" s="512" t="s">
        <v>823</v>
      </c>
      <c r="B1361" s="512" t="s">
        <v>449</v>
      </c>
      <c r="C1361" s="605">
        <v>45835.0</v>
      </c>
      <c r="D1361" s="512">
        <v>3.3414138829E10</v>
      </c>
      <c r="E1361" s="606" t="s">
        <v>3032</v>
      </c>
      <c r="F1361" s="606" t="s">
        <v>436</v>
      </c>
      <c r="G1361" s="606">
        <v>1472.0</v>
      </c>
      <c r="H1361" s="608" t="s">
        <v>2491</v>
      </c>
    </row>
    <row r="1362">
      <c r="A1362" s="512" t="s">
        <v>432</v>
      </c>
      <c r="B1362" s="512" t="s">
        <v>449</v>
      </c>
      <c r="C1362" s="605">
        <v>45835.0</v>
      </c>
      <c r="D1362" s="512">
        <v>3.7468525549E10</v>
      </c>
      <c r="E1362" s="606" t="s">
        <v>3033</v>
      </c>
      <c r="F1362" s="606" t="s">
        <v>436</v>
      </c>
      <c r="G1362" s="606" t="s">
        <v>3034</v>
      </c>
      <c r="H1362" s="608" t="s">
        <v>1096</v>
      </c>
    </row>
    <row r="1363">
      <c r="A1363" s="512" t="s">
        <v>439</v>
      </c>
      <c r="B1363" s="512" t="s">
        <v>449</v>
      </c>
      <c r="C1363" s="605">
        <v>45835.0</v>
      </c>
      <c r="D1363" s="512">
        <v>3.1671509599E10</v>
      </c>
      <c r="E1363" s="606" t="s">
        <v>3035</v>
      </c>
      <c r="F1363" s="606" t="s">
        <v>436</v>
      </c>
      <c r="G1363" s="606" t="s">
        <v>3036</v>
      </c>
      <c r="H1363" s="608" t="s">
        <v>2791</v>
      </c>
    </row>
    <row r="1364">
      <c r="A1364" s="512" t="s">
        <v>432</v>
      </c>
      <c r="B1364" s="512" t="s">
        <v>449</v>
      </c>
      <c r="C1364" s="605">
        <v>45835.0</v>
      </c>
      <c r="D1364" s="512">
        <v>3.2394154451E10</v>
      </c>
      <c r="E1364" s="606" t="s">
        <v>3037</v>
      </c>
      <c r="F1364" s="606" t="s">
        <v>436</v>
      </c>
      <c r="G1364" s="606" t="s">
        <v>3038</v>
      </c>
      <c r="H1364" s="608" t="s">
        <v>1096</v>
      </c>
    </row>
    <row r="1365">
      <c r="A1365" s="512" t="s">
        <v>432</v>
      </c>
      <c r="B1365" s="512" t="s">
        <v>449</v>
      </c>
      <c r="C1365" s="605">
        <v>45835.0</v>
      </c>
      <c r="D1365" s="512">
        <v>3.6277519746E10</v>
      </c>
      <c r="E1365" s="606" t="s">
        <v>3039</v>
      </c>
      <c r="F1365" s="606" t="s">
        <v>436</v>
      </c>
      <c r="G1365" s="606" t="s">
        <v>3040</v>
      </c>
      <c r="H1365" s="608" t="s">
        <v>1096</v>
      </c>
    </row>
    <row r="1366">
      <c r="A1366" s="512" t="s">
        <v>439</v>
      </c>
      <c r="B1366" s="512" t="s">
        <v>433</v>
      </c>
      <c r="C1366" s="605">
        <v>45836.0</v>
      </c>
      <c r="D1366" s="512">
        <v>2.3443040171E10</v>
      </c>
      <c r="E1366" s="606" t="s">
        <v>3041</v>
      </c>
      <c r="F1366" s="606" t="s">
        <v>436</v>
      </c>
      <c r="G1366" s="606" t="s">
        <v>3042</v>
      </c>
      <c r="H1366" s="608" t="s">
        <v>2791</v>
      </c>
    </row>
    <row r="1367">
      <c r="A1367" s="512" t="s">
        <v>690</v>
      </c>
      <c r="B1367" s="512" t="s">
        <v>449</v>
      </c>
      <c r="C1367" s="605">
        <v>45836.0</v>
      </c>
      <c r="D1367" s="512">
        <v>3.3685147421E10</v>
      </c>
      <c r="E1367" s="646" t="s">
        <v>3043</v>
      </c>
      <c r="F1367" s="606" t="s">
        <v>436</v>
      </c>
      <c r="G1367" s="606" t="s">
        <v>3044</v>
      </c>
      <c r="H1367" s="608" t="s">
        <v>2849</v>
      </c>
    </row>
    <row r="1368">
      <c r="A1368" s="512" t="s">
        <v>439</v>
      </c>
      <c r="B1368" s="512" t="s">
        <v>449</v>
      </c>
      <c r="C1368" s="605">
        <v>45836.0</v>
      </c>
      <c r="D1368" s="512">
        <v>3.1818822242E10</v>
      </c>
      <c r="E1368" s="606" t="s">
        <v>3045</v>
      </c>
      <c r="F1368" s="606" t="s">
        <v>436</v>
      </c>
      <c r="G1368" s="606" t="s">
        <v>1699</v>
      </c>
      <c r="H1368" s="608" t="s">
        <v>2791</v>
      </c>
    </row>
    <row r="1369">
      <c r="A1369" s="512" t="s">
        <v>823</v>
      </c>
      <c r="B1369" s="512" t="s">
        <v>433</v>
      </c>
      <c r="C1369" s="605">
        <v>45836.0</v>
      </c>
      <c r="D1369" s="512">
        <v>3.0230468597E10</v>
      </c>
      <c r="E1369" s="606" t="s">
        <v>3046</v>
      </c>
      <c r="F1369" s="606" t="s">
        <v>436</v>
      </c>
      <c r="G1369" s="606" t="s">
        <v>3047</v>
      </c>
      <c r="H1369" s="608" t="s">
        <v>699</v>
      </c>
    </row>
    <row r="1370">
      <c r="A1370" s="512" t="s">
        <v>823</v>
      </c>
      <c r="B1370" s="512" t="s">
        <v>433</v>
      </c>
      <c r="C1370" s="605">
        <v>45836.0</v>
      </c>
      <c r="D1370" s="512">
        <v>3.2493864941E10</v>
      </c>
      <c r="E1370" s="606" t="s">
        <v>3048</v>
      </c>
      <c r="F1370" s="606" t="s">
        <v>436</v>
      </c>
      <c r="G1370" s="606" t="s">
        <v>3049</v>
      </c>
      <c r="H1370" s="608" t="s">
        <v>699</v>
      </c>
    </row>
    <row r="1371">
      <c r="A1371" s="512" t="s">
        <v>823</v>
      </c>
      <c r="B1371" s="512" t="s">
        <v>433</v>
      </c>
      <c r="C1371" s="605">
        <v>45836.0</v>
      </c>
      <c r="D1371" s="512">
        <v>3.5459055975E10</v>
      </c>
      <c r="E1371" s="606" t="s">
        <v>3050</v>
      </c>
      <c r="F1371" s="606" t="s">
        <v>436</v>
      </c>
      <c r="G1371" s="606" t="s">
        <v>1973</v>
      </c>
      <c r="H1371" s="608" t="s">
        <v>699</v>
      </c>
    </row>
    <row r="1372">
      <c r="A1372" s="512" t="s">
        <v>432</v>
      </c>
      <c r="B1372" s="512" t="s">
        <v>449</v>
      </c>
      <c r="C1372" s="605">
        <v>45836.0</v>
      </c>
      <c r="D1372" s="512">
        <v>3.1621418784E10</v>
      </c>
      <c r="E1372" s="606" t="s">
        <v>3051</v>
      </c>
      <c r="F1372" s="606" t="s">
        <v>436</v>
      </c>
      <c r="G1372" s="606" t="s">
        <v>3052</v>
      </c>
      <c r="H1372" s="608" t="s">
        <v>1096</v>
      </c>
    </row>
    <row r="1373">
      <c r="A1373" s="512" t="s">
        <v>823</v>
      </c>
      <c r="B1373" s="512" t="s">
        <v>433</v>
      </c>
      <c r="C1373" s="605">
        <v>45836.0</v>
      </c>
      <c r="D1373" s="512">
        <v>3.3560307159E10</v>
      </c>
      <c r="E1373" s="606" t="s">
        <v>3053</v>
      </c>
      <c r="F1373" s="606" t="s">
        <v>436</v>
      </c>
      <c r="G1373" s="606" t="s">
        <v>2768</v>
      </c>
      <c r="H1373" s="608" t="s">
        <v>699</v>
      </c>
    </row>
    <row r="1374">
      <c r="A1374" s="512" t="s">
        <v>823</v>
      </c>
      <c r="B1374" s="512" t="s">
        <v>433</v>
      </c>
      <c r="C1374" s="605">
        <v>45836.0</v>
      </c>
      <c r="D1374" s="512">
        <v>2.6768614227E10</v>
      </c>
      <c r="E1374" s="606" t="s">
        <v>3054</v>
      </c>
      <c r="F1374" s="606" t="s">
        <v>436</v>
      </c>
      <c r="G1374" s="606" t="s">
        <v>2970</v>
      </c>
      <c r="H1374" s="608" t="s">
        <v>699</v>
      </c>
    </row>
    <row r="1375">
      <c r="A1375" s="512" t="s">
        <v>439</v>
      </c>
      <c r="B1375" s="512" t="s">
        <v>449</v>
      </c>
      <c r="C1375" s="605">
        <v>45836.0</v>
      </c>
      <c r="D1375" s="512">
        <v>2.9426213026E10</v>
      </c>
      <c r="E1375" s="606" t="s">
        <v>3055</v>
      </c>
      <c r="F1375" s="606" t="s">
        <v>436</v>
      </c>
      <c r="G1375" s="606" t="s">
        <v>3056</v>
      </c>
      <c r="H1375" s="608" t="s">
        <v>2791</v>
      </c>
    </row>
    <row r="1376">
      <c r="A1376" s="512" t="s">
        <v>823</v>
      </c>
      <c r="B1376" s="512" t="s">
        <v>433</v>
      </c>
      <c r="C1376" s="605">
        <v>45836.0</v>
      </c>
      <c r="D1376" s="512">
        <v>3.5161549363E10</v>
      </c>
      <c r="E1376" s="606" t="s">
        <v>3057</v>
      </c>
      <c r="F1376" s="606" t="s">
        <v>436</v>
      </c>
      <c r="G1376" s="606" t="s">
        <v>3058</v>
      </c>
      <c r="H1376" s="608" t="s">
        <v>699</v>
      </c>
    </row>
    <row r="1377">
      <c r="A1377" s="512" t="s">
        <v>823</v>
      </c>
      <c r="B1377" s="512" t="s">
        <v>433</v>
      </c>
      <c r="C1377" s="605">
        <v>45836.0</v>
      </c>
      <c r="D1377" s="512">
        <v>2.955235417E10</v>
      </c>
      <c r="E1377" s="606" t="s">
        <v>3059</v>
      </c>
      <c r="F1377" s="606" t="s">
        <v>436</v>
      </c>
      <c r="G1377" s="606" t="s">
        <v>1844</v>
      </c>
      <c r="H1377" s="608" t="s">
        <v>699</v>
      </c>
    </row>
    <row r="1378">
      <c r="A1378" s="512" t="s">
        <v>439</v>
      </c>
      <c r="B1378" s="512" t="s">
        <v>449</v>
      </c>
      <c r="C1378" s="605">
        <v>45836.0</v>
      </c>
      <c r="D1378" s="512">
        <v>3.7187300636E10</v>
      </c>
      <c r="E1378" s="606" t="s">
        <v>3060</v>
      </c>
      <c r="F1378" s="606" t="s">
        <v>436</v>
      </c>
      <c r="G1378" s="606" t="s">
        <v>3061</v>
      </c>
      <c r="H1378" s="608" t="s">
        <v>2791</v>
      </c>
    </row>
    <row r="1379">
      <c r="A1379" s="512" t="s">
        <v>432</v>
      </c>
      <c r="B1379" s="512" t="s">
        <v>1084</v>
      </c>
      <c r="C1379" s="605">
        <v>45836.0</v>
      </c>
      <c r="D1379" s="512">
        <v>3.3899940713E10</v>
      </c>
      <c r="E1379" s="606" t="s">
        <v>3062</v>
      </c>
      <c r="F1379" s="606" t="s">
        <v>436</v>
      </c>
      <c r="G1379" s="606" t="s">
        <v>650</v>
      </c>
      <c r="H1379" s="608" t="s">
        <v>1096</v>
      </c>
    </row>
    <row r="1380">
      <c r="A1380" s="512" t="s">
        <v>823</v>
      </c>
      <c r="B1380" s="512" t="s">
        <v>3063</v>
      </c>
      <c r="C1380" s="605">
        <v>45836.0</v>
      </c>
      <c r="D1380" s="512">
        <v>3.7344073769E10</v>
      </c>
      <c r="E1380" s="606" t="s">
        <v>3064</v>
      </c>
      <c r="F1380" s="606" t="s">
        <v>436</v>
      </c>
      <c r="G1380" s="606" t="s">
        <v>3065</v>
      </c>
      <c r="H1380" s="608" t="s">
        <v>699</v>
      </c>
    </row>
    <row r="1381">
      <c r="A1381" s="512" t="s">
        <v>823</v>
      </c>
      <c r="B1381" s="512" t="s">
        <v>433</v>
      </c>
      <c r="C1381" s="605">
        <v>45836.0</v>
      </c>
      <c r="D1381" s="512">
        <v>2.9512159049E10</v>
      </c>
      <c r="E1381" s="606" t="s">
        <v>3066</v>
      </c>
      <c r="F1381" s="606" t="s">
        <v>436</v>
      </c>
      <c r="G1381" s="606" t="s">
        <v>1138</v>
      </c>
      <c r="H1381" s="608" t="s">
        <v>699</v>
      </c>
    </row>
    <row r="1382">
      <c r="A1382" s="512" t="s">
        <v>823</v>
      </c>
      <c r="B1382" s="512" t="s">
        <v>433</v>
      </c>
      <c r="C1382" s="605">
        <v>45836.0</v>
      </c>
      <c r="D1382" s="512">
        <v>3.341487755E10</v>
      </c>
      <c r="E1382" s="606" t="s">
        <v>3067</v>
      </c>
      <c r="F1382" s="606" t="s">
        <v>436</v>
      </c>
      <c r="G1382" s="606" t="s">
        <v>3068</v>
      </c>
      <c r="H1382" s="608" t="s">
        <v>699</v>
      </c>
    </row>
    <row r="1383">
      <c r="A1383" s="512" t="s">
        <v>823</v>
      </c>
      <c r="B1383" s="512" t="s">
        <v>1084</v>
      </c>
      <c r="C1383" s="605">
        <v>45836.0</v>
      </c>
      <c r="D1383" s="512">
        <v>2.0245557226E10</v>
      </c>
      <c r="E1383" s="606" t="s">
        <v>3067</v>
      </c>
      <c r="F1383" s="606" t="s">
        <v>436</v>
      </c>
      <c r="G1383" s="606" t="s">
        <v>3068</v>
      </c>
      <c r="H1383" s="608" t="s">
        <v>699</v>
      </c>
    </row>
    <row r="1384">
      <c r="A1384" s="512" t="s">
        <v>432</v>
      </c>
      <c r="B1384" s="512" t="s">
        <v>1084</v>
      </c>
      <c r="C1384" s="605">
        <v>45837.0</v>
      </c>
      <c r="D1384" s="512">
        <v>3.7568457439E10</v>
      </c>
      <c r="E1384" s="606" t="s">
        <v>3069</v>
      </c>
      <c r="F1384" s="606" t="s">
        <v>436</v>
      </c>
      <c r="G1384" s="606" t="s">
        <v>3070</v>
      </c>
      <c r="H1384" s="608" t="s">
        <v>2676</v>
      </c>
    </row>
    <row r="1385">
      <c r="A1385" s="512" t="s">
        <v>690</v>
      </c>
      <c r="B1385" s="512" t="s">
        <v>1084</v>
      </c>
      <c r="C1385" s="605">
        <v>45837.0</v>
      </c>
      <c r="D1385" s="512">
        <v>3.100973066E10</v>
      </c>
      <c r="E1385" s="646" t="s">
        <v>3071</v>
      </c>
      <c r="F1385" s="606" t="s">
        <v>436</v>
      </c>
      <c r="G1385" s="606" t="s">
        <v>3072</v>
      </c>
      <c r="H1385" s="608" t="s">
        <v>693</v>
      </c>
    </row>
    <row r="1386">
      <c r="A1386" s="512" t="s">
        <v>823</v>
      </c>
      <c r="B1386" s="512" t="s">
        <v>433</v>
      </c>
      <c r="C1386" s="605">
        <v>45837.0</v>
      </c>
      <c r="D1386" s="512">
        <v>3.4417070235E10</v>
      </c>
      <c r="E1386" s="606" t="s">
        <v>3073</v>
      </c>
      <c r="F1386" s="606" t="s">
        <v>436</v>
      </c>
      <c r="G1386" s="606" t="s">
        <v>3074</v>
      </c>
      <c r="H1386" s="608" t="s">
        <v>699</v>
      </c>
    </row>
    <row r="1387">
      <c r="A1387" s="512" t="s">
        <v>823</v>
      </c>
      <c r="B1387" s="512" t="s">
        <v>433</v>
      </c>
      <c r="C1387" s="605">
        <v>45837.0</v>
      </c>
      <c r="D1387" s="512">
        <v>3.3428483632E10</v>
      </c>
      <c r="E1387" s="606" t="s">
        <v>3075</v>
      </c>
      <c r="F1387" s="606" t="s">
        <v>436</v>
      </c>
      <c r="G1387" s="606" t="s">
        <v>3076</v>
      </c>
      <c r="H1387" s="608" t="s">
        <v>699</v>
      </c>
    </row>
    <row r="1388">
      <c r="A1388" s="512" t="s">
        <v>439</v>
      </c>
      <c r="B1388" s="512" t="s">
        <v>433</v>
      </c>
      <c r="C1388" s="605">
        <v>45837.0</v>
      </c>
      <c r="D1388" s="512">
        <v>2.7445876656E10</v>
      </c>
      <c r="E1388" s="646" t="s">
        <v>3077</v>
      </c>
      <c r="F1388" s="606" t="s">
        <v>436</v>
      </c>
      <c r="G1388" s="606" t="s">
        <v>3078</v>
      </c>
      <c r="H1388" s="608" t="s">
        <v>1608</v>
      </c>
    </row>
    <row r="1389">
      <c r="A1389" s="512" t="s">
        <v>823</v>
      </c>
      <c r="B1389" s="512" t="s">
        <v>433</v>
      </c>
      <c r="C1389" s="605">
        <v>45837.0</v>
      </c>
      <c r="D1389" s="512">
        <v>2.7364259798E10</v>
      </c>
      <c r="E1389" s="606" t="s">
        <v>3079</v>
      </c>
      <c r="F1389" s="606" t="s">
        <v>436</v>
      </c>
      <c r="G1389" s="606" t="s">
        <v>3080</v>
      </c>
      <c r="H1389" s="608" t="s">
        <v>699</v>
      </c>
    </row>
    <row r="1390">
      <c r="A1390" s="512" t="s">
        <v>823</v>
      </c>
      <c r="B1390" s="512" t="s">
        <v>433</v>
      </c>
      <c r="C1390" s="605">
        <v>45837.0</v>
      </c>
      <c r="D1390" s="512">
        <v>3.757883124E10</v>
      </c>
      <c r="E1390" s="606" t="s">
        <v>3081</v>
      </c>
      <c r="F1390" s="606" t="s">
        <v>436</v>
      </c>
      <c r="G1390" s="606" t="s">
        <v>3082</v>
      </c>
      <c r="H1390" s="608" t="s">
        <v>699</v>
      </c>
    </row>
    <row r="1391">
      <c r="A1391" s="512" t="s">
        <v>439</v>
      </c>
      <c r="B1391" s="512" t="s">
        <v>433</v>
      </c>
      <c r="C1391" s="605">
        <v>45837.0</v>
      </c>
      <c r="D1391" s="512">
        <v>3.2344055958E10</v>
      </c>
      <c r="E1391" s="646" t="s">
        <v>2335</v>
      </c>
      <c r="F1391" s="606" t="s">
        <v>436</v>
      </c>
      <c r="G1391" s="606" t="s">
        <v>2336</v>
      </c>
      <c r="H1391" s="608" t="s">
        <v>1608</v>
      </c>
    </row>
    <row r="1392">
      <c r="A1392" s="512" t="s">
        <v>439</v>
      </c>
      <c r="B1392" s="512" t="s">
        <v>433</v>
      </c>
      <c r="C1392" s="605">
        <v>45837.0</v>
      </c>
      <c r="D1392" s="512">
        <v>3.4824435888E10</v>
      </c>
      <c r="E1392" s="646" t="s">
        <v>2335</v>
      </c>
      <c r="F1392" s="606" t="s">
        <v>436</v>
      </c>
      <c r="G1392" s="606" t="s">
        <v>2336</v>
      </c>
      <c r="H1392" s="608" t="s">
        <v>1608</v>
      </c>
    </row>
    <row r="1393">
      <c r="A1393" s="512" t="s">
        <v>823</v>
      </c>
      <c r="B1393" s="512" t="s">
        <v>433</v>
      </c>
      <c r="C1393" s="605">
        <v>45837.0</v>
      </c>
      <c r="D1393" s="512">
        <v>3.4412808257E10</v>
      </c>
      <c r="E1393" s="606" t="s">
        <v>3083</v>
      </c>
      <c r="F1393" s="606" t="s">
        <v>436</v>
      </c>
      <c r="G1393" s="606" t="s">
        <v>3084</v>
      </c>
      <c r="H1393" s="608" t="s">
        <v>699</v>
      </c>
    </row>
    <row r="1394">
      <c r="A1394" s="512" t="s">
        <v>823</v>
      </c>
      <c r="B1394" s="512" t="s">
        <v>433</v>
      </c>
      <c r="C1394" s="605">
        <v>45837.0</v>
      </c>
      <c r="D1394" s="512">
        <v>3.3713890743E10</v>
      </c>
      <c r="E1394" s="606" t="s">
        <v>3085</v>
      </c>
      <c r="F1394" s="606" t="s">
        <v>436</v>
      </c>
      <c r="G1394" s="606" t="s">
        <v>3086</v>
      </c>
      <c r="H1394" s="608" t="s">
        <v>699</v>
      </c>
    </row>
    <row r="1395">
      <c r="A1395" s="512" t="s">
        <v>823</v>
      </c>
      <c r="B1395" s="512" t="s">
        <v>817</v>
      </c>
      <c r="C1395" s="605">
        <v>45837.0</v>
      </c>
      <c r="D1395" s="512">
        <v>3.746866694E10</v>
      </c>
      <c r="E1395" s="606" t="s">
        <v>3087</v>
      </c>
      <c r="F1395" s="606" t="s">
        <v>436</v>
      </c>
      <c r="G1395" s="606" t="s">
        <v>3088</v>
      </c>
      <c r="H1395" s="608" t="s">
        <v>699</v>
      </c>
    </row>
    <row r="1396">
      <c r="A1396" s="512" t="s">
        <v>823</v>
      </c>
      <c r="B1396" s="512" t="s">
        <v>433</v>
      </c>
      <c r="C1396" s="605">
        <v>45837.0</v>
      </c>
      <c r="D1396" s="512">
        <v>3.5734183214E10</v>
      </c>
      <c r="E1396" s="606" t="s">
        <v>3089</v>
      </c>
      <c r="F1396" s="606" t="s">
        <v>436</v>
      </c>
      <c r="G1396" s="606" t="s">
        <v>3090</v>
      </c>
      <c r="H1396" s="608" t="s">
        <v>699</v>
      </c>
    </row>
    <row r="1397">
      <c r="A1397" s="512" t="s">
        <v>823</v>
      </c>
      <c r="B1397" s="512" t="s">
        <v>433</v>
      </c>
      <c r="C1397" s="605">
        <v>45837.0</v>
      </c>
      <c r="D1397" s="512">
        <v>3.4798708264E10</v>
      </c>
      <c r="E1397" s="606" t="s">
        <v>3091</v>
      </c>
      <c r="F1397" s="606" t="s">
        <v>436</v>
      </c>
      <c r="G1397" s="606" t="s">
        <v>3092</v>
      </c>
      <c r="H1397" s="608" t="s">
        <v>699</v>
      </c>
    </row>
    <row r="1398">
      <c r="A1398" s="512" t="s">
        <v>823</v>
      </c>
      <c r="B1398" s="512" t="s">
        <v>433</v>
      </c>
      <c r="C1398" s="605">
        <v>45837.0</v>
      </c>
      <c r="D1398" s="512">
        <v>3.1546667153E10</v>
      </c>
      <c r="E1398" s="606" t="s">
        <v>3093</v>
      </c>
      <c r="F1398" s="606" t="s">
        <v>436</v>
      </c>
      <c r="G1398" s="606" t="s">
        <v>3094</v>
      </c>
      <c r="H1398" s="608" t="s">
        <v>699</v>
      </c>
    </row>
    <row r="1399">
      <c r="A1399" s="512" t="s">
        <v>432</v>
      </c>
      <c r="B1399" s="512" t="s">
        <v>1084</v>
      </c>
      <c r="C1399" s="605">
        <v>45837.0</v>
      </c>
      <c r="D1399" s="512">
        <v>3.2074491432E10</v>
      </c>
      <c r="E1399" s="606" t="s">
        <v>3095</v>
      </c>
      <c r="F1399" s="606" t="s">
        <v>436</v>
      </c>
      <c r="G1399" s="606" t="s">
        <v>3096</v>
      </c>
      <c r="H1399" s="608" t="s">
        <v>2676</v>
      </c>
    </row>
    <row r="1400">
      <c r="A1400" s="512" t="s">
        <v>823</v>
      </c>
      <c r="B1400" s="512" t="s">
        <v>433</v>
      </c>
      <c r="C1400" s="605">
        <v>45837.0</v>
      </c>
      <c r="D1400" s="512">
        <v>2.9758630036E10</v>
      </c>
      <c r="E1400" s="606" t="s">
        <v>3097</v>
      </c>
      <c r="F1400" s="606" t="s">
        <v>436</v>
      </c>
      <c r="G1400" s="606" t="s">
        <v>3098</v>
      </c>
      <c r="H1400" s="608" t="s">
        <v>699</v>
      </c>
    </row>
    <row r="1401">
      <c r="A1401" s="512" t="s">
        <v>823</v>
      </c>
      <c r="B1401" s="512" t="s">
        <v>433</v>
      </c>
      <c r="C1401" s="605">
        <v>45837.0</v>
      </c>
      <c r="D1401" s="512">
        <v>3.1807777318E10</v>
      </c>
      <c r="E1401" s="606" t="s">
        <v>3099</v>
      </c>
      <c r="F1401" s="606" t="s">
        <v>436</v>
      </c>
      <c r="G1401" s="606" t="s">
        <v>832</v>
      </c>
      <c r="H1401" s="608" t="s">
        <v>699</v>
      </c>
    </row>
    <row r="1402">
      <c r="A1402" s="512" t="s">
        <v>617</v>
      </c>
      <c r="B1402" s="512" t="s">
        <v>449</v>
      </c>
      <c r="C1402" s="605">
        <v>45837.0</v>
      </c>
      <c r="D1402" s="512">
        <v>3.1745758391E10</v>
      </c>
      <c r="E1402" s="606" t="s">
        <v>3100</v>
      </c>
      <c r="F1402" s="606" t="s">
        <v>436</v>
      </c>
      <c r="G1402" s="606" t="s">
        <v>3101</v>
      </c>
      <c r="H1402" s="608" t="s">
        <v>696</v>
      </c>
    </row>
    <row r="1403">
      <c r="A1403" s="512" t="s">
        <v>823</v>
      </c>
      <c r="B1403" s="512" t="s">
        <v>3102</v>
      </c>
      <c r="C1403" s="605">
        <v>45837.0</v>
      </c>
      <c r="D1403" s="512">
        <v>3.44320233E10</v>
      </c>
      <c r="E1403" s="606" t="s">
        <v>3103</v>
      </c>
      <c r="F1403" s="606" t="s">
        <v>436</v>
      </c>
      <c r="G1403" s="606" t="s">
        <v>3104</v>
      </c>
      <c r="H1403" s="608" t="s">
        <v>699</v>
      </c>
    </row>
    <row r="1404">
      <c r="A1404" s="512" t="s">
        <v>439</v>
      </c>
      <c r="B1404" s="512" t="s">
        <v>449</v>
      </c>
      <c r="C1404" s="605">
        <v>45837.0</v>
      </c>
      <c r="D1404" s="512">
        <v>3.4185869573E10</v>
      </c>
      <c r="E1404" s="646" t="s">
        <v>3105</v>
      </c>
      <c r="F1404" s="606" t="s">
        <v>436</v>
      </c>
      <c r="G1404" s="606" t="s">
        <v>3106</v>
      </c>
      <c r="H1404" s="608" t="s">
        <v>1608</v>
      </c>
    </row>
    <row r="1405">
      <c r="A1405" s="512" t="s">
        <v>439</v>
      </c>
      <c r="B1405" s="512" t="s">
        <v>433</v>
      </c>
      <c r="C1405" s="605">
        <v>45837.0</v>
      </c>
      <c r="D1405" s="512">
        <v>3.4131474098E10</v>
      </c>
      <c r="E1405" s="646" t="s">
        <v>3105</v>
      </c>
      <c r="F1405" s="606" t="s">
        <v>436</v>
      </c>
      <c r="G1405" s="606" t="s">
        <v>3106</v>
      </c>
      <c r="H1405" s="608" t="s">
        <v>1608</v>
      </c>
    </row>
    <row r="1406">
      <c r="A1406" s="512" t="s">
        <v>690</v>
      </c>
      <c r="B1406" s="512" t="s">
        <v>1084</v>
      </c>
      <c r="C1406" s="605">
        <v>45837.0</v>
      </c>
      <c r="D1406" s="512">
        <v>3.268261595E10</v>
      </c>
      <c r="E1406" s="646" t="s">
        <v>3107</v>
      </c>
      <c r="F1406" s="606" t="s">
        <v>436</v>
      </c>
      <c r="G1406" s="606" t="s">
        <v>3108</v>
      </c>
      <c r="H1406" s="608" t="s">
        <v>693</v>
      </c>
    </row>
    <row r="1407">
      <c r="A1407" s="512" t="s">
        <v>823</v>
      </c>
      <c r="B1407" s="512" t="s">
        <v>433</v>
      </c>
      <c r="C1407" s="605">
        <v>45837.0</v>
      </c>
      <c r="D1407" s="512">
        <v>2.993422556E10</v>
      </c>
      <c r="E1407" s="606" t="s">
        <v>3109</v>
      </c>
      <c r="F1407" s="606" t="s">
        <v>436</v>
      </c>
      <c r="G1407" s="606" t="s">
        <v>3110</v>
      </c>
      <c r="H1407" s="608" t="s">
        <v>699</v>
      </c>
    </row>
    <row r="1408">
      <c r="A1408" s="512" t="s">
        <v>823</v>
      </c>
      <c r="B1408" s="512" t="s">
        <v>433</v>
      </c>
      <c r="C1408" s="605">
        <v>45837.0</v>
      </c>
      <c r="D1408" s="512">
        <v>3.0208002288E10</v>
      </c>
      <c r="E1408" s="606" t="s">
        <v>3109</v>
      </c>
      <c r="F1408" s="606" t="s">
        <v>436</v>
      </c>
      <c r="G1408" s="606" t="s">
        <v>3110</v>
      </c>
      <c r="H1408" s="608" t="s">
        <v>699</v>
      </c>
    </row>
    <row r="1409">
      <c r="A1409" s="512" t="s">
        <v>823</v>
      </c>
      <c r="B1409" s="512" t="s">
        <v>433</v>
      </c>
      <c r="C1409" s="605">
        <v>45837.0</v>
      </c>
      <c r="D1409" s="512">
        <v>2.8938922711E10</v>
      </c>
      <c r="E1409" s="606" t="s">
        <v>3111</v>
      </c>
      <c r="F1409" s="606" t="s">
        <v>436</v>
      </c>
      <c r="G1409" s="606" t="s">
        <v>3112</v>
      </c>
      <c r="H1409" s="608" t="s">
        <v>699</v>
      </c>
    </row>
    <row r="1410">
      <c r="A1410" s="512" t="s">
        <v>690</v>
      </c>
      <c r="B1410" s="512" t="s">
        <v>449</v>
      </c>
      <c r="C1410" s="605">
        <v>45837.0</v>
      </c>
      <c r="D1410" s="512">
        <v>3.1699017366E10</v>
      </c>
      <c r="E1410" s="646" t="s">
        <v>3113</v>
      </c>
      <c r="F1410" s="606" t="s">
        <v>436</v>
      </c>
      <c r="G1410" s="606" t="s">
        <v>3114</v>
      </c>
      <c r="H1410" s="608" t="s">
        <v>693</v>
      </c>
    </row>
    <row r="1411">
      <c r="A1411" s="512" t="s">
        <v>432</v>
      </c>
      <c r="B1411" s="512" t="s">
        <v>433</v>
      </c>
      <c r="C1411" s="605">
        <v>45837.0</v>
      </c>
      <c r="D1411" s="512">
        <v>3.1025294467E10</v>
      </c>
      <c r="E1411" s="606" t="s">
        <v>3115</v>
      </c>
      <c r="F1411" s="606" t="s">
        <v>436</v>
      </c>
      <c r="G1411" s="606" t="s">
        <v>3116</v>
      </c>
      <c r="H1411" s="608" t="s">
        <v>2676</v>
      </c>
    </row>
    <row r="1412">
      <c r="A1412" s="512" t="s">
        <v>823</v>
      </c>
      <c r="B1412" s="512" t="s">
        <v>1084</v>
      </c>
      <c r="C1412" s="605">
        <v>45837.0</v>
      </c>
      <c r="D1412" s="512">
        <v>3.1861217746E10</v>
      </c>
      <c r="E1412" s="606" t="s">
        <v>3117</v>
      </c>
      <c r="F1412" s="606" t="s">
        <v>436</v>
      </c>
      <c r="G1412" s="606" t="s">
        <v>3118</v>
      </c>
      <c r="H1412" s="608" t="s">
        <v>699</v>
      </c>
    </row>
    <row r="1413">
      <c r="A1413" s="512" t="s">
        <v>823</v>
      </c>
      <c r="B1413" s="512" t="s">
        <v>433</v>
      </c>
      <c r="C1413" s="605">
        <v>45837.0</v>
      </c>
      <c r="D1413" s="512">
        <v>3.2682283373E10</v>
      </c>
      <c r="E1413" s="606" t="s">
        <v>3119</v>
      </c>
      <c r="F1413" s="606" t="s">
        <v>436</v>
      </c>
      <c r="G1413" s="606" t="s">
        <v>3120</v>
      </c>
      <c r="H1413" s="608" t="s">
        <v>699</v>
      </c>
    </row>
    <row r="1414">
      <c r="A1414" s="512" t="s">
        <v>617</v>
      </c>
      <c r="B1414" s="512" t="s">
        <v>449</v>
      </c>
      <c r="C1414" s="605">
        <v>45837.0</v>
      </c>
      <c r="D1414" s="512">
        <v>3.589564693E10</v>
      </c>
      <c r="E1414" s="606" t="s">
        <v>3121</v>
      </c>
      <c r="F1414" s="606" t="s">
        <v>436</v>
      </c>
      <c r="G1414" s="606" t="s">
        <v>3122</v>
      </c>
      <c r="H1414" s="608" t="s">
        <v>696</v>
      </c>
    </row>
    <row r="1415">
      <c r="A1415" s="512" t="s">
        <v>823</v>
      </c>
      <c r="B1415" s="512" t="s">
        <v>433</v>
      </c>
      <c r="C1415" s="605">
        <v>45837.0</v>
      </c>
      <c r="D1415" s="512">
        <v>3.3212816977E10</v>
      </c>
      <c r="E1415" s="606" t="s">
        <v>3123</v>
      </c>
      <c r="F1415" s="606" t="s">
        <v>436</v>
      </c>
      <c r="G1415" s="640"/>
      <c r="H1415" s="608" t="s">
        <v>699</v>
      </c>
    </row>
    <row r="1416">
      <c r="A1416" s="512" t="s">
        <v>823</v>
      </c>
      <c r="B1416" s="512" t="s">
        <v>449</v>
      </c>
      <c r="C1416" s="605">
        <v>45837.0</v>
      </c>
      <c r="D1416" s="512">
        <v>3.3192406392E10</v>
      </c>
      <c r="E1416" s="606" t="s">
        <v>3124</v>
      </c>
      <c r="F1416" s="606" t="s">
        <v>436</v>
      </c>
      <c r="G1416" s="640"/>
      <c r="H1416" s="608" t="s">
        <v>699</v>
      </c>
    </row>
    <row r="1417">
      <c r="A1417" s="512" t="s">
        <v>823</v>
      </c>
      <c r="B1417" s="512" t="s">
        <v>449</v>
      </c>
      <c r="C1417" s="605">
        <v>45838.0</v>
      </c>
      <c r="D1417" s="512">
        <v>2.9877113292E10</v>
      </c>
      <c r="E1417" s="606" t="s">
        <v>3125</v>
      </c>
      <c r="F1417" s="606" t="s">
        <v>436</v>
      </c>
      <c r="G1417" s="606">
        <v>1350.0</v>
      </c>
      <c r="H1417" s="608" t="s">
        <v>2491</v>
      </c>
    </row>
    <row r="1418">
      <c r="A1418" s="512" t="s">
        <v>690</v>
      </c>
      <c r="B1418" s="512" t="s">
        <v>449</v>
      </c>
      <c r="C1418" s="605">
        <v>45838.0</v>
      </c>
      <c r="D1418" s="512">
        <v>3.3716181133E10</v>
      </c>
      <c r="E1418" s="646" t="s">
        <v>3126</v>
      </c>
      <c r="F1418" s="606" t="s">
        <v>436</v>
      </c>
      <c r="G1418" s="606" t="s">
        <v>3127</v>
      </c>
      <c r="H1418" s="608" t="s">
        <v>693</v>
      </c>
    </row>
    <row r="1419">
      <c r="A1419" s="512" t="s">
        <v>690</v>
      </c>
      <c r="B1419" s="512" t="s">
        <v>449</v>
      </c>
      <c r="C1419" s="605">
        <v>45838.0</v>
      </c>
      <c r="D1419" s="512">
        <v>3.1115422251E10</v>
      </c>
      <c r="E1419" s="646" t="s">
        <v>3128</v>
      </c>
      <c r="F1419" s="606" t="s">
        <v>436</v>
      </c>
      <c r="G1419" s="606" t="s">
        <v>3129</v>
      </c>
      <c r="H1419" s="608" t="s">
        <v>693</v>
      </c>
    </row>
    <row r="1420">
      <c r="A1420" s="512" t="s">
        <v>439</v>
      </c>
      <c r="B1420" s="512" t="s">
        <v>433</v>
      </c>
      <c r="C1420" s="605">
        <v>45838.0</v>
      </c>
      <c r="D1420" s="512">
        <v>3.4506732385E10</v>
      </c>
      <c r="E1420" s="646" t="s">
        <v>1512</v>
      </c>
      <c r="F1420" s="606" t="s">
        <v>436</v>
      </c>
      <c r="G1420" s="606" t="s">
        <v>3130</v>
      </c>
      <c r="H1420" s="608" t="s">
        <v>1608</v>
      </c>
    </row>
    <row r="1421">
      <c r="A1421" s="512" t="s">
        <v>439</v>
      </c>
      <c r="B1421" s="512" t="s">
        <v>433</v>
      </c>
      <c r="C1421" s="605">
        <v>45838.0</v>
      </c>
      <c r="D1421" s="512">
        <v>3.4735651793E10</v>
      </c>
      <c r="E1421" s="646" t="s">
        <v>3131</v>
      </c>
      <c r="F1421" s="606" t="s">
        <v>436</v>
      </c>
      <c r="G1421" s="606" t="s">
        <v>3132</v>
      </c>
      <c r="H1421" s="608" t="s">
        <v>1608</v>
      </c>
    </row>
    <row r="1422">
      <c r="A1422" s="512" t="s">
        <v>439</v>
      </c>
      <c r="B1422" s="512" t="s">
        <v>449</v>
      </c>
      <c r="C1422" s="605">
        <v>45838.0</v>
      </c>
      <c r="D1422" s="512">
        <v>3.5177431191E10</v>
      </c>
      <c r="E1422" s="646" t="s">
        <v>3133</v>
      </c>
      <c r="F1422" s="606" t="s">
        <v>436</v>
      </c>
      <c r="G1422" s="606" t="s">
        <v>3134</v>
      </c>
      <c r="H1422" s="608" t="s">
        <v>1608</v>
      </c>
    </row>
    <row r="1423">
      <c r="A1423" s="512" t="s">
        <v>617</v>
      </c>
      <c r="B1423" s="512" t="s">
        <v>449</v>
      </c>
      <c r="C1423" s="605">
        <v>45838.0</v>
      </c>
      <c r="D1423" s="512">
        <v>2.8951126798E10</v>
      </c>
      <c r="E1423" s="606" t="s">
        <v>3135</v>
      </c>
      <c r="F1423" s="606" t="s">
        <v>436</v>
      </c>
      <c r="G1423" s="606" t="s">
        <v>3136</v>
      </c>
      <c r="H1423" s="608" t="s">
        <v>696</v>
      </c>
    </row>
    <row r="1424">
      <c r="A1424" s="512" t="s">
        <v>617</v>
      </c>
      <c r="B1424" s="512" t="s">
        <v>433</v>
      </c>
      <c r="C1424" s="618">
        <v>45839.0</v>
      </c>
      <c r="D1424" s="546">
        <v>3.3102832026E10</v>
      </c>
      <c r="E1424" s="619" t="s">
        <v>3137</v>
      </c>
      <c r="F1424" s="655" t="s">
        <v>436</v>
      </c>
      <c r="G1424" s="619">
        <v>403.0</v>
      </c>
      <c r="H1424" s="629" t="s">
        <v>2676</v>
      </c>
    </row>
    <row r="1425">
      <c r="A1425" s="512" t="s">
        <v>823</v>
      </c>
      <c r="B1425" s="512" t="s">
        <v>449</v>
      </c>
      <c r="C1425" s="605">
        <v>45839.0</v>
      </c>
      <c r="D1425" s="512">
        <v>3.4704536779E10</v>
      </c>
      <c r="E1425" s="606" t="s">
        <v>3138</v>
      </c>
      <c r="F1425" s="656" t="s">
        <v>436</v>
      </c>
      <c r="G1425" s="606">
        <v>624.0</v>
      </c>
      <c r="H1425" s="608" t="s">
        <v>2491</v>
      </c>
    </row>
    <row r="1426">
      <c r="A1426" s="512" t="s">
        <v>823</v>
      </c>
      <c r="B1426" s="512" t="s">
        <v>449</v>
      </c>
      <c r="C1426" s="605">
        <v>45839.0</v>
      </c>
      <c r="D1426" s="512">
        <v>3.2928224086E10</v>
      </c>
      <c r="E1426" s="606" t="s">
        <v>3139</v>
      </c>
      <c r="F1426" s="656" t="s">
        <v>436</v>
      </c>
      <c r="G1426" s="606">
        <v>1358.0</v>
      </c>
      <c r="H1426" s="608" t="s">
        <v>2491</v>
      </c>
    </row>
    <row r="1427">
      <c r="A1427" s="512" t="s">
        <v>823</v>
      </c>
      <c r="B1427" s="512" t="s">
        <v>433</v>
      </c>
      <c r="C1427" s="605">
        <v>45839.0</v>
      </c>
      <c r="D1427" s="512">
        <v>3.3603110624E10</v>
      </c>
      <c r="E1427" s="606" t="s">
        <v>3140</v>
      </c>
      <c r="F1427" s="656" t="s">
        <v>436</v>
      </c>
      <c r="G1427" s="606">
        <v>2180.0</v>
      </c>
      <c r="H1427" s="608" t="s">
        <v>2491</v>
      </c>
    </row>
    <row r="1428">
      <c r="A1428" s="512" t="s">
        <v>617</v>
      </c>
      <c r="B1428" s="512" t="s">
        <v>449</v>
      </c>
      <c r="C1428" s="605">
        <v>45839.0</v>
      </c>
      <c r="D1428" s="512">
        <v>3.0996818477E10</v>
      </c>
      <c r="E1428" s="606" t="s">
        <v>3141</v>
      </c>
      <c r="F1428" s="656" t="s">
        <v>436</v>
      </c>
      <c r="G1428" s="606" t="s">
        <v>3142</v>
      </c>
      <c r="H1428" s="608" t="s">
        <v>2676</v>
      </c>
    </row>
    <row r="1429">
      <c r="A1429" s="512" t="s">
        <v>617</v>
      </c>
      <c r="B1429" s="512" t="s">
        <v>449</v>
      </c>
      <c r="C1429" s="605">
        <v>45839.0</v>
      </c>
      <c r="D1429" s="512">
        <v>3.3944192659E10</v>
      </c>
      <c r="E1429" s="606" t="s">
        <v>3143</v>
      </c>
      <c r="F1429" s="656" t="s">
        <v>436</v>
      </c>
      <c r="G1429" s="606" t="s">
        <v>3144</v>
      </c>
      <c r="H1429" s="608" t="s">
        <v>2676</v>
      </c>
    </row>
    <row r="1430">
      <c r="A1430" s="512" t="s">
        <v>439</v>
      </c>
      <c r="B1430" s="512" t="s">
        <v>449</v>
      </c>
      <c r="C1430" s="605">
        <v>45839.0</v>
      </c>
      <c r="D1430" s="512">
        <v>3.4313572322E10</v>
      </c>
      <c r="E1430" s="606" t="s">
        <v>3145</v>
      </c>
      <c r="F1430" s="656" t="s">
        <v>436</v>
      </c>
      <c r="G1430" s="606" t="s">
        <v>3146</v>
      </c>
      <c r="H1430" s="608" t="s">
        <v>2791</v>
      </c>
    </row>
    <row r="1431">
      <c r="A1431" s="512" t="s">
        <v>617</v>
      </c>
      <c r="B1431" s="512" t="s">
        <v>449</v>
      </c>
      <c r="C1431" s="605">
        <v>45839.0</v>
      </c>
      <c r="D1431" s="512">
        <v>2.8042534256E10</v>
      </c>
      <c r="E1431" s="606" t="s">
        <v>3147</v>
      </c>
      <c r="F1431" s="656" t="s">
        <v>436</v>
      </c>
      <c r="G1431" s="606" t="s">
        <v>3148</v>
      </c>
      <c r="H1431" s="608" t="s">
        <v>2676</v>
      </c>
    </row>
    <row r="1432">
      <c r="A1432" s="512" t="s">
        <v>439</v>
      </c>
      <c r="B1432" s="512" t="s">
        <v>449</v>
      </c>
      <c r="C1432" s="605">
        <v>45839.0</v>
      </c>
      <c r="D1432" s="512">
        <v>3.2747918628E10</v>
      </c>
      <c r="E1432" s="606" t="s">
        <v>3149</v>
      </c>
      <c r="F1432" s="656" t="s">
        <v>436</v>
      </c>
      <c r="G1432" s="606" t="s">
        <v>3150</v>
      </c>
      <c r="H1432" s="608" t="s">
        <v>2791</v>
      </c>
    </row>
    <row r="1433">
      <c r="A1433" s="512" t="s">
        <v>617</v>
      </c>
      <c r="B1433" s="512" t="s">
        <v>433</v>
      </c>
      <c r="C1433" s="605">
        <v>45839.0</v>
      </c>
      <c r="D1433" s="512">
        <v>3.0930301805E10</v>
      </c>
      <c r="E1433" s="606" t="s">
        <v>3151</v>
      </c>
      <c r="F1433" s="656" t="s">
        <v>436</v>
      </c>
      <c r="G1433" s="606" t="s">
        <v>3152</v>
      </c>
      <c r="H1433" s="608" t="s">
        <v>2676</v>
      </c>
    </row>
    <row r="1434">
      <c r="A1434" s="512" t="s">
        <v>617</v>
      </c>
      <c r="B1434" s="512" t="s">
        <v>449</v>
      </c>
      <c r="C1434" s="605">
        <v>45839.0</v>
      </c>
      <c r="D1434" s="512">
        <v>3.2207776822E10</v>
      </c>
      <c r="E1434" s="606" t="s">
        <v>3153</v>
      </c>
      <c r="F1434" s="656" t="s">
        <v>436</v>
      </c>
      <c r="G1434" s="606" t="s">
        <v>3154</v>
      </c>
      <c r="H1434" s="608" t="s">
        <v>2676</v>
      </c>
    </row>
    <row r="1435">
      <c r="A1435" s="512" t="s">
        <v>617</v>
      </c>
      <c r="B1435" s="512" t="s">
        <v>449</v>
      </c>
      <c r="C1435" s="605">
        <v>45839.0</v>
      </c>
      <c r="D1435" s="512">
        <v>3.7353993826E10</v>
      </c>
      <c r="E1435" s="606" t="s">
        <v>2869</v>
      </c>
      <c r="F1435" s="656" t="s">
        <v>436</v>
      </c>
      <c r="G1435" s="606" t="s">
        <v>3155</v>
      </c>
      <c r="H1435" s="608" t="s">
        <v>2676</v>
      </c>
    </row>
    <row r="1436">
      <c r="A1436" s="512" t="s">
        <v>617</v>
      </c>
      <c r="B1436" s="512" t="s">
        <v>433</v>
      </c>
      <c r="C1436" s="605">
        <v>45839.0</v>
      </c>
      <c r="D1436" s="512">
        <v>3.7490805652E10</v>
      </c>
      <c r="E1436" s="606" t="s">
        <v>3156</v>
      </c>
      <c r="F1436" s="656" t="s">
        <v>436</v>
      </c>
      <c r="G1436" s="606" t="s">
        <v>3157</v>
      </c>
      <c r="H1436" s="608" t="s">
        <v>696</v>
      </c>
    </row>
    <row r="1437">
      <c r="A1437" s="512" t="s">
        <v>823</v>
      </c>
      <c r="B1437" s="512" t="s">
        <v>449</v>
      </c>
      <c r="C1437" s="605">
        <v>45839.0</v>
      </c>
      <c r="D1437" s="512">
        <v>3.4206802542E10</v>
      </c>
      <c r="E1437" s="606" t="s">
        <v>3158</v>
      </c>
      <c r="F1437" s="606" t="s">
        <v>436</v>
      </c>
      <c r="G1437" s="606" t="s">
        <v>3159</v>
      </c>
      <c r="H1437" s="608" t="s">
        <v>2491</v>
      </c>
    </row>
    <row r="1438">
      <c r="A1438" s="512" t="s">
        <v>617</v>
      </c>
      <c r="B1438" s="512" t="s">
        <v>449</v>
      </c>
      <c r="C1438" s="605">
        <v>45839.0</v>
      </c>
      <c r="D1438" s="512">
        <v>3.389498054E10</v>
      </c>
      <c r="E1438" s="606" t="s">
        <v>3160</v>
      </c>
      <c r="F1438" s="656" t="s">
        <v>436</v>
      </c>
      <c r="G1438" s="606" t="s">
        <v>3161</v>
      </c>
      <c r="H1438" s="608" t="s">
        <v>2676</v>
      </c>
    </row>
    <row r="1439">
      <c r="A1439" s="512" t="s">
        <v>617</v>
      </c>
      <c r="B1439" s="512" t="s">
        <v>449</v>
      </c>
      <c r="C1439" s="605">
        <v>45839.0</v>
      </c>
      <c r="D1439" s="512">
        <v>3.2482156311E10</v>
      </c>
      <c r="E1439" s="606" t="s">
        <v>3162</v>
      </c>
      <c r="F1439" s="656" t="s">
        <v>436</v>
      </c>
      <c r="G1439" s="606" t="s">
        <v>2639</v>
      </c>
      <c r="H1439" s="608" t="s">
        <v>2676</v>
      </c>
    </row>
    <row r="1440">
      <c r="A1440" s="512" t="s">
        <v>439</v>
      </c>
      <c r="B1440" s="512" t="s">
        <v>449</v>
      </c>
      <c r="C1440" s="605">
        <v>45839.0</v>
      </c>
      <c r="D1440" s="512">
        <v>3.030861087E10</v>
      </c>
      <c r="E1440" s="606" t="s">
        <v>3163</v>
      </c>
      <c r="F1440" s="656" t="s">
        <v>436</v>
      </c>
      <c r="G1440" s="606" t="s">
        <v>3136</v>
      </c>
      <c r="H1440" s="608" t="s">
        <v>2791</v>
      </c>
    </row>
    <row r="1441">
      <c r="A1441" s="512" t="s">
        <v>823</v>
      </c>
      <c r="B1441" s="512" t="s">
        <v>449</v>
      </c>
      <c r="C1441" s="605">
        <v>45840.0</v>
      </c>
      <c r="D1441" s="512">
        <v>3.3797845173E10</v>
      </c>
      <c r="E1441" s="606" t="s">
        <v>3164</v>
      </c>
      <c r="F1441" s="656" t="s">
        <v>436</v>
      </c>
      <c r="G1441" s="606" t="s">
        <v>3165</v>
      </c>
      <c r="H1441" s="608" t="s">
        <v>699</v>
      </c>
    </row>
    <row r="1442">
      <c r="A1442" s="512" t="s">
        <v>432</v>
      </c>
      <c r="B1442" s="512" t="s">
        <v>3166</v>
      </c>
      <c r="C1442" s="605">
        <v>45840.0</v>
      </c>
      <c r="D1442" s="512">
        <v>3.3077760505E10</v>
      </c>
      <c r="E1442" s="606" t="s">
        <v>3167</v>
      </c>
      <c r="F1442" s="656" t="s">
        <v>436</v>
      </c>
      <c r="G1442" s="606" t="s">
        <v>3168</v>
      </c>
      <c r="H1442" s="608" t="s">
        <v>1096</v>
      </c>
    </row>
    <row r="1443">
      <c r="A1443" s="512" t="s">
        <v>617</v>
      </c>
      <c r="B1443" s="512" t="s">
        <v>449</v>
      </c>
      <c r="C1443" s="605">
        <v>45840.0</v>
      </c>
      <c r="D1443" s="512">
        <v>3.2353909178E10</v>
      </c>
      <c r="E1443" s="606" t="s">
        <v>3169</v>
      </c>
      <c r="F1443" s="656" t="s">
        <v>436</v>
      </c>
      <c r="G1443" s="606" t="s">
        <v>1687</v>
      </c>
      <c r="H1443" s="608" t="s">
        <v>696</v>
      </c>
    </row>
    <row r="1444">
      <c r="A1444" s="512" t="s">
        <v>617</v>
      </c>
      <c r="B1444" s="512" t="s">
        <v>449</v>
      </c>
      <c r="C1444" s="605">
        <v>45840.0</v>
      </c>
      <c r="D1444" s="512">
        <v>3.7437862022E10</v>
      </c>
      <c r="E1444" s="606" t="s">
        <v>3170</v>
      </c>
      <c r="F1444" s="656" t="s">
        <v>436</v>
      </c>
      <c r="G1444" s="606" t="s">
        <v>3171</v>
      </c>
      <c r="H1444" s="608" t="s">
        <v>696</v>
      </c>
    </row>
    <row r="1445">
      <c r="A1445" s="512" t="s">
        <v>823</v>
      </c>
      <c r="B1445" s="512" t="s">
        <v>433</v>
      </c>
      <c r="C1445" s="605">
        <v>45840.0</v>
      </c>
      <c r="D1445" s="512">
        <v>3.5439204398E10</v>
      </c>
      <c r="E1445" s="606" t="s">
        <v>3172</v>
      </c>
      <c r="F1445" s="656" t="s">
        <v>436</v>
      </c>
      <c r="G1445" s="606" t="s">
        <v>3173</v>
      </c>
      <c r="H1445" s="608" t="s">
        <v>699</v>
      </c>
    </row>
    <row r="1446">
      <c r="A1446" s="512" t="s">
        <v>439</v>
      </c>
      <c r="B1446" s="512" t="s">
        <v>449</v>
      </c>
      <c r="C1446" s="605">
        <v>45840.0</v>
      </c>
      <c r="D1446" s="512" t="s">
        <v>3174</v>
      </c>
      <c r="E1446" s="646" t="s">
        <v>3175</v>
      </c>
      <c r="F1446" s="656" t="s">
        <v>436</v>
      </c>
      <c r="G1446" s="606" t="s">
        <v>3176</v>
      </c>
      <c r="H1446" s="608" t="s">
        <v>1608</v>
      </c>
    </row>
    <row r="1447">
      <c r="A1447" s="512" t="s">
        <v>823</v>
      </c>
      <c r="B1447" s="512" t="s">
        <v>433</v>
      </c>
      <c r="C1447" s="605">
        <v>45841.0</v>
      </c>
      <c r="D1447" s="512">
        <v>3.4575452244E10</v>
      </c>
      <c r="E1447" s="606" t="s">
        <v>3177</v>
      </c>
      <c r="F1447" s="656" t="s">
        <v>436</v>
      </c>
      <c r="G1447" s="606" t="s">
        <v>3178</v>
      </c>
      <c r="H1447" s="608" t="s">
        <v>699</v>
      </c>
    </row>
    <row r="1448">
      <c r="A1448" s="512" t="s">
        <v>823</v>
      </c>
      <c r="B1448" s="512" t="s">
        <v>449</v>
      </c>
      <c r="C1448" s="605">
        <v>45841.0</v>
      </c>
      <c r="D1448" s="512">
        <v>3.5493856532E10</v>
      </c>
      <c r="E1448" s="606" t="s">
        <v>3179</v>
      </c>
      <c r="F1448" s="656" t="s">
        <v>436</v>
      </c>
      <c r="G1448" s="606" t="s">
        <v>3180</v>
      </c>
      <c r="H1448" s="608" t="s">
        <v>699</v>
      </c>
    </row>
    <row r="1449">
      <c r="A1449" s="512" t="s">
        <v>439</v>
      </c>
      <c r="B1449" s="512" t="s">
        <v>433</v>
      </c>
      <c r="C1449" s="605">
        <v>45841.0</v>
      </c>
      <c r="D1449" s="512">
        <v>3.4686306676E10</v>
      </c>
      <c r="E1449" s="646" t="s">
        <v>1784</v>
      </c>
      <c r="F1449" s="656" t="s">
        <v>436</v>
      </c>
      <c r="G1449" s="606" t="s">
        <v>3181</v>
      </c>
      <c r="H1449" s="608" t="s">
        <v>1608</v>
      </c>
    </row>
    <row r="1450">
      <c r="A1450" s="512" t="s">
        <v>823</v>
      </c>
      <c r="B1450" s="512" t="s">
        <v>433</v>
      </c>
      <c r="C1450" s="605">
        <v>45841.0</v>
      </c>
      <c r="D1450" s="512">
        <v>3.420761408E10</v>
      </c>
      <c r="E1450" s="606" t="s">
        <v>3081</v>
      </c>
      <c r="F1450" s="656" t="s">
        <v>436</v>
      </c>
      <c r="G1450" s="606" t="s">
        <v>3182</v>
      </c>
      <c r="H1450" s="608" t="s">
        <v>699</v>
      </c>
    </row>
    <row r="1451">
      <c r="A1451" s="512" t="s">
        <v>823</v>
      </c>
      <c r="B1451" s="512" t="s">
        <v>3183</v>
      </c>
      <c r="C1451" s="605">
        <v>45841.0</v>
      </c>
      <c r="D1451" s="512">
        <v>3.264704332E10</v>
      </c>
      <c r="E1451" s="606" t="s">
        <v>3184</v>
      </c>
      <c r="F1451" s="656" t="s">
        <v>436</v>
      </c>
      <c r="G1451" s="606" t="s">
        <v>3185</v>
      </c>
      <c r="H1451" s="608" t="s">
        <v>699</v>
      </c>
    </row>
    <row r="1452">
      <c r="A1452" s="512" t="s">
        <v>439</v>
      </c>
      <c r="B1452" s="512" t="s">
        <v>449</v>
      </c>
      <c r="C1452" s="605">
        <v>45841.0</v>
      </c>
      <c r="D1452" s="512">
        <v>3.4300471611E10</v>
      </c>
      <c r="E1452" s="646" t="s">
        <v>3186</v>
      </c>
      <c r="F1452" s="656" t="s">
        <v>436</v>
      </c>
      <c r="G1452" s="606" t="s">
        <v>3187</v>
      </c>
      <c r="H1452" s="608" t="s">
        <v>1608</v>
      </c>
    </row>
    <row r="1453">
      <c r="A1453" s="512" t="s">
        <v>690</v>
      </c>
      <c r="B1453" s="512" t="s">
        <v>433</v>
      </c>
      <c r="C1453" s="605">
        <v>45841.0</v>
      </c>
      <c r="D1453" s="512">
        <v>3.2008246515E10</v>
      </c>
      <c r="E1453" s="606" t="s">
        <v>3188</v>
      </c>
      <c r="F1453" s="656" t="s">
        <v>436</v>
      </c>
      <c r="G1453" s="606" t="s">
        <v>3189</v>
      </c>
      <c r="H1453" s="608" t="s">
        <v>2676</v>
      </c>
    </row>
    <row r="1454">
      <c r="A1454" s="512" t="s">
        <v>823</v>
      </c>
      <c r="B1454" s="512" t="s">
        <v>433</v>
      </c>
      <c r="C1454" s="605">
        <v>45841.0</v>
      </c>
      <c r="D1454" s="512">
        <v>3.6955264011E10</v>
      </c>
      <c r="E1454" s="606" t="s">
        <v>3190</v>
      </c>
      <c r="F1454" s="656" t="s">
        <v>436</v>
      </c>
      <c r="G1454" s="606" t="s">
        <v>3191</v>
      </c>
      <c r="H1454" s="608" t="s">
        <v>699</v>
      </c>
    </row>
    <row r="1455">
      <c r="A1455" s="512" t="s">
        <v>823</v>
      </c>
      <c r="B1455" s="512" t="s">
        <v>449</v>
      </c>
      <c r="C1455" s="605">
        <v>45842.0</v>
      </c>
      <c r="D1455" s="512">
        <v>3.3550690399E10</v>
      </c>
      <c r="E1455" s="606" t="s">
        <v>3192</v>
      </c>
      <c r="F1455" s="656" t="s">
        <v>436</v>
      </c>
      <c r="G1455" s="606">
        <v>474.0</v>
      </c>
      <c r="H1455" s="608" t="s">
        <v>2491</v>
      </c>
    </row>
    <row r="1456">
      <c r="A1456" s="512" t="s">
        <v>823</v>
      </c>
      <c r="B1456" s="512" t="s">
        <v>449</v>
      </c>
      <c r="C1456" s="605">
        <v>45842.0</v>
      </c>
      <c r="D1456" s="512">
        <v>3.6513038332E10</v>
      </c>
      <c r="E1456" s="606" t="s">
        <v>3193</v>
      </c>
      <c r="F1456" s="656" t="s">
        <v>436</v>
      </c>
      <c r="G1456" s="606">
        <v>1774.0</v>
      </c>
      <c r="H1456" s="608" t="s">
        <v>2491</v>
      </c>
    </row>
    <row r="1457">
      <c r="A1457" s="512" t="s">
        <v>617</v>
      </c>
      <c r="B1457" s="512" t="s">
        <v>449</v>
      </c>
      <c r="C1457" s="605">
        <v>45842.0</v>
      </c>
      <c r="D1457" s="512">
        <v>3.503592516E10</v>
      </c>
      <c r="E1457" s="646" t="s">
        <v>3194</v>
      </c>
      <c r="F1457" s="656" t="s">
        <v>436</v>
      </c>
      <c r="G1457" s="606" t="s">
        <v>3195</v>
      </c>
      <c r="H1457" s="608" t="s">
        <v>693</v>
      </c>
    </row>
    <row r="1458">
      <c r="A1458" s="512" t="s">
        <v>439</v>
      </c>
      <c r="B1458" s="512" t="s">
        <v>449</v>
      </c>
      <c r="C1458" s="605">
        <v>45842.0</v>
      </c>
      <c r="D1458" s="512">
        <v>3.6671329106E10</v>
      </c>
      <c r="E1458" s="646" t="s">
        <v>3196</v>
      </c>
      <c r="F1458" s="656" t="s">
        <v>436</v>
      </c>
      <c r="G1458" s="606" t="s">
        <v>3197</v>
      </c>
      <c r="H1458" s="608" t="s">
        <v>1608</v>
      </c>
    </row>
    <row r="1459">
      <c r="A1459" s="512" t="s">
        <v>439</v>
      </c>
      <c r="B1459" s="512" t="s">
        <v>449</v>
      </c>
      <c r="C1459" s="605">
        <v>45842.0</v>
      </c>
      <c r="D1459" s="512">
        <v>3.4429379555E10</v>
      </c>
      <c r="E1459" s="646" t="s">
        <v>3198</v>
      </c>
      <c r="F1459" s="656" t="s">
        <v>436</v>
      </c>
      <c r="G1459" s="606" t="s">
        <v>3199</v>
      </c>
      <c r="H1459" s="608" t="s">
        <v>1608</v>
      </c>
    </row>
    <row r="1460">
      <c r="A1460" s="512" t="s">
        <v>432</v>
      </c>
      <c r="B1460" s="512" t="s">
        <v>433</v>
      </c>
      <c r="C1460" s="605">
        <v>45842.0</v>
      </c>
      <c r="D1460" s="512">
        <v>3.5050273961E10</v>
      </c>
      <c r="E1460" s="606" t="s">
        <v>3200</v>
      </c>
      <c r="F1460" s="656" t="s">
        <v>436</v>
      </c>
      <c r="G1460" s="606" t="s">
        <v>3201</v>
      </c>
      <c r="H1460" s="608" t="s">
        <v>3202</v>
      </c>
    </row>
    <row r="1461">
      <c r="A1461" s="512" t="s">
        <v>439</v>
      </c>
      <c r="B1461" s="512" t="s">
        <v>449</v>
      </c>
      <c r="C1461" s="605">
        <v>45842.0</v>
      </c>
      <c r="D1461" s="512">
        <v>3.4810328232E10</v>
      </c>
      <c r="E1461" s="646" t="s">
        <v>3203</v>
      </c>
      <c r="F1461" s="656" t="s">
        <v>436</v>
      </c>
      <c r="G1461" s="606" t="s">
        <v>3204</v>
      </c>
      <c r="H1461" s="608" t="s">
        <v>1608</v>
      </c>
    </row>
    <row r="1462">
      <c r="A1462" s="512" t="s">
        <v>690</v>
      </c>
      <c r="B1462" s="512" t="s">
        <v>449</v>
      </c>
      <c r="C1462" s="605">
        <v>45842.0</v>
      </c>
      <c r="D1462" s="512">
        <v>3.0910258983E10</v>
      </c>
      <c r="E1462" s="606" t="s">
        <v>2855</v>
      </c>
      <c r="F1462" s="656" t="s">
        <v>436</v>
      </c>
      <c r="G1462" s="606" t="s">
        <v>3205</v>
      </c>
      <c r="H1462" s="608" t="s">
        <v>2676</v>
      </c>
    </row>
    <row r="1463">
      <c r="A1463" s="512" t="s">
        <v>439</v>
      </c>
      <c r="B1463" s="512" t="s">
        <v>449</v>
      </c>
      <c r="C1463" s="605">
        <v>45842.0</v>
      </c>
      <c r="D1463" s="512">
        <v>3.4429797346E10</v>
      </c>
      <c r="E1463" s="646" t="s">
        <v>3206</v>
      </c>
      <c r="F1463" s="656" t="s">
        <v>436</v>
      </c>
      <c r="G1463" s="606" t="s">
        <v>3207</v>
      </c>
      <c r="H1463" s="608" t="s">
        <v>1608</v>
      </c>
    </row>
    <row r="1464">
      <c r="A1464" s="512" t="s">
        <v>617</v>
      </c>
      <c r="B1464" s="512" t="s">
        <v>449</v>
      </c>
      <c r="C1464" s="605">
        <v>45842.0</v>
      </c>
      <c r="D1464" s="512">
        <v>3.3116607166E10</v>
      </c>
      <c r="E1464" s="646" t="s">
        <v>3208</v>
      </c>
      <c r="F1464" s="656" t="s">
        <v>436</v>
      </c>
      <c r="G1464" s="606" t="s">
        <v>3209</v>
      </c>
      <c r="H1464" s="608" t="s">
        <v>693</v>
      </c>
    </row>
    <row r="1465">
      <c r="A1465" s="512" t="s">
        <v>439</v>
      </c>
      <c r="B1465" s="512" t="s">
        <v>449</v>
      </c>
      <c r="C1465" s="605">
        <v>45842.0</v>
      </c>
      <c r="D1465" s="512">
        <v>3.0733337848E10</v>
      </c>
      <c r="E1465" s="646" t="s">
        <v>3210</v>
      </c>
      <c r="F1465" s="656" t="s">
        <v>436</v>
      </c>
      <c r="G1465" s="606" t="s">
        <v>3211</v>
      </c>
      <c r="H1465" s="608" t="s">
        <v>1608</v>
      </c>
    </row>
    <row r="1466">
      <c r="A1466" s="512" t="s">
        <v>432</v>
      </c>
      <c r="B1466" s="512" t="s">
        <v>449</v>
      </c>
      <c r="C1466" s="605">
        <v>45842.0</v>
      </c>
      <c r="D1466" s="512">
        <v>2.02869636E10</v>
      </c>
      <c r="E1466" s="606" t="s">
        <v>3212</v>
      </c>
      <c r="F1466" s="656" t="s">
        <v>436</v>
      </c>
      <c r="G1466" s="606" t="s">
        <v>2304</v>
      </c>
      <c r="H1466" s="608" t="s">
        <v>3202</v>
      </c>
    </row>
    <row r="1467">
      <c r="A1467" s="512" t="s">
        <v>439</v>
      </c>
      <c r="B1467" s="512" t="s">
        <v>449</v>
      </c>
      <c r="C1467" s="605">
        <v>45842.0</v>
      </c>
      <c r="D1467" s="512">
        <v>3.0833258686E10</v>
      </c>
      <c r="E1467" s="646" t="s">
        <v>2727</v>
      </c>
      <c r="F1467" s="656" t="s">
        <v>436</v>
      </c>
      <c r="G1467" s="606" t="s">
        <v>3213</v>
      </c>
      <c r="H1467" s="608" t="s">
        <v>1608</v>
      </c>
    </row>
    <row r="1468">
      <c r="A1468" s="512" t="s">
        <v>823</v>
      </c>
      <c r="B1468" s="512" t="s">
        <v>449</v>
      </c>
      <c r="C1468" s="605">
        <v>45843.0</v>
      </c>
      <c r="D1468" s="512">
        <v>3.3899039288E10</v>
      </c>
      <c r="E1468" s="606" t="s">
        <v>3214</v>
      </c>
      <c r="F1468" s="656" t="s">
        <v>436</v>
      </c>
      <c r="G1468" s="606">
        <v>1322.0</v>
      </c>
      <c r="H1468" s="608" t="s">
        <v>2491</v>
      </c>
    </row>
    <row r="1469">
      <c r="A1469" s="512" t="s">
        <v>439</v>
      </c>
      <c r="B1469" s="512" t="s">
        <v>449</v>
      </c>
      <c r="C1469" s="605">
        <v>45843.0</v>
      </c>
      <c r="D1469" s="512">
        <v>3.7915372224E10</v>
      </c>
      <c r="E1469" s="606" t="s">
        <v>3215</v>
      </c>
      <c r="F1469" s="656" t="s">
        <v>436</v>
      </c>
      <c r="G1469" s="606" t="s">
        <v>3216</v>
      </c>
      <c r="H1469" s="608" t="s">
        <v>2791</v>
      </c>
    </row>
    <row r="1470">
      <c r="A1470" s="512" t="s">
        <v>432</v>
      </c>
      <c r="B1470" s="512" t="s">
        <v>449</v>
      </c>
      <c r="C1470" s="605">
        <v>45843.0</v>
      </c>
      <c r="D1470" s="512">
        <v>2.9992920249E10</v>
      </c>
      <c r="E1470" s="606" t="s">
        <v>3217</v>
      </c>
      <c r="F1470" s="656" t="s">
        <v>436</v>
      </c>
      <c r="G1470" s="606" t="s">
        <v>3218</v>
      </c>
      <c r="H1470" s="608" t="s">
        <v>1096</v>
      </c>
    </row>
    <row r="1471">
      <c r="A1471" s="512" t="s">
        <v>439</v>
      </c>
      <c r="B1471" s="512" t="s">
        <v>433</v>
      </c>
      <c r="C1471" s="605">
        <v>45843.0</v>
      </c>
      <c r="D1471" s="512">
        <v>3.5545006832E10</v>
      </c>
      <c r="E1471" s="606" t="s">
        <v>3219</v>
      </c>
      <c r="F1471" s="656" t="s">
        <v>436</v>
      </c>
      <c r="G1471" s="606" t="s">
        <v>3220</v>
      </c>
      <c r="H1471" s="608" t="s">
        <v>2791</v>
      </c>
    </row>
    <row r="1472">
      <c r="A1472" s="512" t="s">
        <v>439</v>
      </c>
      <c r="B1472" s="512" t="s">
        <v>449</v>
      </c>
      <c r="C1472" s="605">
        <v>45843.0</v>
      </c>
      <c r="D1472" s="512">
        <v>3.7895069625E10</v>
      </c>
      <c r="E1472" s="606" t="s">
        <v>3221</v>
      </c>
      <c r="F1472" s="656" t="s">
        <v>436</v>
      </c>
      <c r="G1472" s="606" t="s">
        <v>1958</v>
      </c>
      <c r="H1472" s="608" t="s">
        <v>2791</v>
      </c>
    </row>
    <row r="1473">
      <c r="A1473" s="512" t="s">
        <v>439</v>
      </c>
      <c r="B1473" s="512" t="s">
        <v>433</v>
      </c>
      <c r="C1473" s="605">
        <v>45843.0</v>
      </c>
      <c r="D1473" s="512">
        <v>3.154311631E10</v>
      </c>
      <c r="E1473" s="606" t="s">
        <v>3222</v>
      </c>
      <c r="F1473" s="656" t="s">
        <v>436</v>
      </c>
      <c r="G1473" s="606" t="s">
        <v>3223</v>
      </c>
      <c r="H1473" s="608" t="s">
        <v>2791</v>
      </c>
    </row>
    <row r="1474">
      <c r="A1474" s="512" t="s">
        <v>439</v>
      </c>
      <c r="B1474" s="512" t="s">
        <v>449</v>
      </c>
      <c r="C1474" s="605">
        <v>45843.0</v>
      </c>
      <c r="D1474" s="512">
        <v>2.8083734602E10</v>
      </c>
      <c r="E1474" s="606" t="s">
        <v>3224</v>
      </c>
      <c r="F1474" s="656" t="s">
        <v>436</v>
      </c>
      <c r="G1474" s="606" t="s">
        <v>3225</v>
      </c>
      <c r="H1474" s="608" t="s">
        <v>2791</v>
      </c>
    </row>
    <row r="1475">
      <c r="A1475" s="512" t="s">
        <v>823</v>
      </c>
      <c r="B1475" s="512" t="s">
        <v>433</v>
      </c>
      <c r="C1475" s="605">
        <v>45844.0</v>
      </c>
      <c r="D1475" s="512">
        <v>3.0317582437E10</v>
      </c>
      <c r="E1475" s="606" t="s">
        <v>3226</v>
      </c>
      <c r="F1475" s="656" t="s">
        <v>436</v>
      </c>
      <c r="G1475" s="606" t="s">
        <v>1151</v>
      </c>
      <c r="H1475" s="608" t="s">
        <v>699</v>
      </c>
    </row>
    <row r="1476">
      <c r="A1476" s="512" t="s">
        <v>823</v>
      </c>
      <c r="B1476" s="512" t="s">
        <v>449</v>
      </c>
      <c r="C1476" s="605">
        <v>45844.0</v>
      </c>
      <c r="D1476" s="512">
        <v>3.2628350971E10</v>
      </c>
      <c r="E1476" s="606" t="s">
        <v>3227</v>
      </c>
      <c r="F1476" s="656" t="s">
        <v>436</v>
      </c>
      <c r="G1476" s="606" t="s">
        <v>3228</v>
      </c>
      <c r="H1476" s="608" t="s">
        <v>699</v>
      </c>
    </row>
    <row r="1477">
      <c r="A1477" s="512" t="s">
        <v>823</v>
      </c>
      <c r="B1477" s="512" t="s">
        <v>433</v>
      </c>
      <c r="C1477" s="605">
        <v>45844.0</v>
      </c>
      <c r="D1477" s="512">
        <v>3.4257832164E10</v>
      </c>
      <c r="E1477" s="606" t="s">
        <v>3229</v>
      </c>
      <c r="F1477" s="656" t="s">
        <v>436</v>
      </c>
      <c r="G1477" s="606" t="s">
        <v>3230</v>
      </c>
      <c r="H1477" s="608" t="s">
        <v>699</v>
      </c>
    </row>
    <row r="1478">
      <c r="A1478" s="512" t="s">
        <v>432</v>
      </c>
      <c r="B1478" s="512" t="s">
        <v>449</v>
      </c>
      <c r="C1478" s="605">
        <v>45844.0</v>
      </c>
      <c r="D1478" s="512" t="s">
        <v>3231</v>
      </c>
      <c r="E1478" s="606" t="s">
        <v>3232</v>
      </c>
      <c r="F1478" s="656" t="s">
        <v>436</v>
      </c>
      <c r="G1478" s="606" t="s">
        <v>3233</v>
      </c>
      <c r="H1478" s="608" t="s">
        <v>3202</v>
      </c>
    </row>
    <row r="1479">
      <c r="A1479" s="512" t="s">
        <v>617</v>
      </c>
      <c r="B1479" s="512" t="s">
        <v>449</v>
      </c>
      <c r="C1479" s="605">
        <v>45844.0</v>
      </c>
      <c r="D1479" s="512">
        <v>3.4109302287E10</v>
      </c>
      <c r="E1479" s="606" t="s">
        <v>3234</v>
      </c>
      <c r="F1479" s="656" t="s">
        <v>436</v>
      </c>
      <c r="G1479" s="606" t="s">
        <v>3235</v>
      </c>
      <c r="H1479" s="608" t="s">
        <v>696</v>
      </c>
    </row>
    <row r="1480">
      <c r="A1480" s="512" t="s">
        <v>823</v>
      </c>
      <c r="B1480" s="512" t="s">
        <v>433</v>
      </c>
      <c r="C1480" s="605">
        <v>45844.0</v>
      </c>
      <c r="D1480" s="512">
        <v>3.4382046003E10</v>
      </c>
      <c r="E1480" s="606" t="s">
        <v>3236</v>
      </c>
      <c r="F1480" s="656" t="s">
        <v>436</v>
      </c>
      <c r="G1480" s="606" t="s">
        <v>3237</v>
      </c>
      <c r="H1480" s="608" t="s">
        <v>699</v>
      </c>
    </row>
    <row r="1481">
      <c r="A1481" s="512" t="s">
        <v>617</v>
      </c>
      <c r="B1481" s="512" t="s">
        <v>449</v>
      </c>
      <c r="C1481" s="605">
        <v>45844.0</v>
      </c>
      <c r="D1481" s="512">
        <v>3.5846726851E10</v>
      </c>
      <c r="E1481" s="606" t="s">
        <v>3238</v>
      </c>
      <c r="F1481" s="656" t="s">
        <v>436</v>
      </c>
      <c r="G1481" s="606" t="s">
        <v>3239</v>
      </c>
      <c r="H1481" s="608" t="s">
        <v>696</v>
      </c>
    </row>
    <row r="1482">
      <c r="A1482" s="512" t="s">
        <v>439</v>
      </c>
      <c r="B1482" s="512" t="s">
        <v>433</v>
      </c>
      <c r="C1482" s="605">
        <v>45845.0</v>
      </c>
      <c r="D1482" s="512">
        <v>3.7461840514E10</v>
      </c>
      <c r="E1482" s="646" t="s">
        <v>3240</v>
      </c>
      <c r="F1482" s="656" t="s">
        <v>436</v>
      </c>
      <c r="G1482" s="606" t="s">
        <v>3241</v>
      </c>
      <c r="H1482" s="608" t="s">
        <v>1608</v>
      </c>
    </row>
    <row r="1483">
      <c r="A1483" s="512" t="s">
        <v>823</v>
      </c>
      <c r="B1483" s="512" t="s">
        <v>433</v>
      </c>
      <c r="C1483" s="605">
        <v>45845.0</v>
      </c>
      <c r="D1483" s="512">
        <v>3.5011750741E10</v>
      </c>
      <c r="E1483" s="606" t="s">
        <v>3242</v>
      </c>
      <c r="F1483" s="656" t="s">
        <v>436</v>
      </c>
      <c r="G1483" s="606" t="s">
        <v>3243</v>
      </c>
      <c r="H1483" s="608" t="s">
        <v>699</v>
      </c>
    </row>
    <row r="1484">
      <c r="A1484" s="512" t="s">
        <v>439</v>
      </c>
      <c r="B1484" s="512" t="s">
        <v>433</v>
      </c>
      <c r="C1484" s="605">
        <v>45845.0</v>
      </c>
      <c r="D1484" s="512">
        <v>3.0388844304E10</v>
      </c>
      <c r="E1484" s="646" t="s">
        <v>3244</v>
      </c>
      <c r="F1484" s="656" t="s">
        <v>436</v>
      </c>
      <c r="G1484" s="606" t="s">
        <v>3245</v>
      </c>
      <c r="H1484" s="608" t="s">
        <v>1608</v>
      </c>
    </row>
    <row r="1485">
      <c r="A1485" s="512" t="s">
        <v>439</v>
      </c>
      <c r="B1485" s="512" t="s">
        <v>449</v>
      </c>
      <c r="C1485" s="605">
        <v>45845.0</v>
      </c>
      <c r="D1485" s="512">
        <v>3.811492882E10</v>
      </c>
      <c r="E1485" s="646" t="s">
        <v>3246</v>
      </c>
      <c r="F1485" s="656" t="s">
        <v>436</v>
      </c>
      <c r="G1485" s="606" t="s">
        <v>3247</v>
      </c>
      <c r="H1485" s="608" t="s">
        <v>1608</v>
      </c>
    </row>
    <row r="1486">
      <c r="A1486" s="512" t="s">
        <v>439</v>
      </c>
      <c r="B1486" s="512" t="s">
        <v>3183</v>
      </c>
      <c r="C1486" s="605">
        <v>45845.0</v>
      </c>
      <c r="D1486" s="512">
        <v>3.7896546877E10</v>
      </c>
      <c r="E1486" s="646" t="s">
        <v>3248</v>
      </c>
      <c r="F1486" s="656" t="s">
        <v>436</v>
      </c>
      <c r="G1486" s="606" t="s">
        <v>3249</v>
      </c>
      <c r="H1486" s="608" t="s">
        <v>1608</v>
      </c>
    </row>
    <row r="1487">
      <c r="A1487" s="512" t="s">
        <v>439</v>
      </c>
      <c r="B1487" s="512" t="s">
        <v>433</v>
      </c>
      <c r="C1487" s="605">
        <v>45845.0</v>
      </c>
      <c r="D1487" s="512">
        <v>3.7991889803E10</v>
      </c>
      <c r="E1487" s="646" t="s">
        <v>3250</v>
      </c>
      <c r="F1487" s="656" t="s">
        <v>436</v>
      </c>
      <c r="G1487" s="606" t="s">
        <v>3251</v>
      </c>
      <c r="H1487" s="608" t="s">
        <v>1608</v>
      </c>
    </row>
    <row r="1488">
      <c r="A1488" s="512" t="s">
        <v>823</v>
      </c>
      <c r="B1488" s="512" t="s">
        <v>3183</v>
      </c>
      <c r="C1488" s="605">
        <v>45845.0</v>
      </c>
      <c r="D1488" s="512">
        <v>3.6421318958E10</v>
      </c>
      <c r="E1488" s="606" t="s">
        <v>3252</v>
      </c>
      <c r="F1488" s="656" t="s">
        <v>436</v>
      </c>
      <c r="G1488" s="606" t="s">
        <v>3253</v>
      </c>
      <c r="H1488" s="608" t="s">
        <v>699</v>
      </c>
    </row>
    <row r="1489">
      <c r="A1489" s="512" t="s">
        <v>617</v>
      </c>
      <c r="B1489" s="512" t="s">
        <v>3254</v>
      </c>
      <c r="C1489" s="605">
        <v>45846.0</v>
      </c>
      <c r="D1489" s="512">
        <v>3.2140157927E10</v>
      </c>
      <c r="E1489" s="646" t="s">
        <v>3255</v>
      </c>
      <c r="F1489" s="656" t="s">
        <v>436</v>
      </c>
      <c r="G1489" s="606" t="s">
        <v>3256</v>
      </c>
      <c r="H1489" s="608" t="s">
        <v>693</v>
      </c>
    </row>
    <row r="1490">
      <c r="A1490" s="512" t="s">
        <v>823</v>
      </c>
      <c r="B1490" s="512" t="s">
        <v>3183</v>
      </c>
      <c r="C1490" s="605">
        <v>45846.0</v>
      </c>
      <c r="D1490" s="512">
        <v>2.7593776083E10</v>
      </c>
      <c r="E1490" s="606" t="s">
        <v>3257</v>
      </c>
      <c r="F1490" s="656" t="s">
        <v>436</v>
      </c>
      <c r="G1490" s="606" t="s">
        <v>3197</v>
      </c>
      <c r="H1490" s="608" t="s">
        <v>2491</v>
      </c>
    </row>
    <row r="1491">
      <c r="A1491" s="512" t="s">
        <v>439</v>
      </c>
      <c r="B1491" s="512" t="s">
        <v>3183</v>
      </c>
      <c r="C1491" s="605">
        <v>45846.0</v>
      </c>
      <c r="D1491" s="512">
        <v>3.4956873217E10</v>
      </c>
      <c r="E1491" s="646" t="s">
        <v>3258</v>
      </c>
      <c r="F1491" s="656" t="s">
        <v>436</v>
      </c>
      <c r="G1491" s="606" t="s">
        <v>2970</v>
      </c>
      <c r="H1491" s="608" t="s">
        <v>1608</v>
      </c>
    </row>
    <row r="1492">
      <c r="A1492" s="512" t="s">
        <v>690</v>
      </c>
      <c r="B1492" s="512" t="s">
        <v>3183</v>
      </c>
      <c r="C1492" s="605">
        <v>45846.0</v>
      </c>
      <c r="D1492" s="512">
        <v>3.4320243738E10</v>
      </c>
      <c r="E1492" s="606" t="s">
        <v>2855</v>
      </c>
      <c r="F1492" s="656" t="s">
        <v>436</v>
      </c>
      <c r="G1492" s="606" t="s">
        <v>2856</v>
      </c>
      <c r="H1492" s="608" t="s">
        <v>2676</v>
      </c>
    </row>
    <row r="1493">
      <c r="A1493" s="512" t="s">
        <v>690</v>
      </c>
      <c r="B1493" s="512" t="s">
        <v>433</v>
      </c>
      <c r="C1493" s="605">
        <v>45846.0</v>
      </c>
      <c r="D1493" s="512">
        <v>3.7070509439E10</v>
      </c>
      <c r="E1493" s="606" t="s">
        <v>3259</v>
      </c>
      <c r="F1493" s="656" t="s">
        <v>436</v>
      </c>
      <c r="G1493" s="606" t="s">
        <v>3260</v>
      </c>
      <c r="H1493" s="608" t="s">
        <v>2676</v>
      </c>
    </row>
    <row r="1494">
      <c r="A1494" s="512" t="s">
        <v>823</v>
      </c>
      <c r="B1494" s="512" t="s">
        <v>3183</v>
      </c>
      <c r="C1494" s="605">
        <v>45846.0</v>
      </c>
      <c r="D1494" s="512">
        <v>3.0958892339E10</v>
      </c>
      <c r="E1494" s="606" t="s">
        <v>3261</v>
      </c>
      <c r="F1494" s="656" t="s">
        <v>436</v>
      </c>
      <c r="G1494" s="606" t="s">
        <v>3262</v>
      </c>
      <c r="H1494" s="608" t="s">
        <v>2491</v>
      </c>
    </row>
    <row r="1495">
      <c r="A1495" s="512" t="s">
        <v>617</v>
      </c>
      <c r="B1495" s="512" t="s">
        <v>3183</v>
      </c>
      <c r="C1495" s="605">
        <v>45846.0</v>
      </c>
      <c r="D1495" s="512">
        <v>3.4457439149E10</v>
      </c>
      <c r="E1495" s="646" t="s">
        <v>3263</v>
      </c>
      <c r="F1495" s="656" t="s">
        <v>436</v>
      </c>
      <c r="G1495" s="606" t="s">
        <v>3264</v>
      </c>
      <c r="H1495" s="608" t="s">
        <v>693</v>
      </c>
    </row>
    <row r="1496">
      <c r="A1496" s="512" t="s">
        <v>432</v>
      </c>
      <c r="B1496" s="512" t="s">
        <v>3183</v>
      </c>
      <c r="C1496" s="605">
        <v>45846.0</v>
      </c>
      <c r="D1496" s="512">
        <v>3.4292177882E10</v>
      </c>
      <c r="E1496" s="606" t="s">
        <v>3265</v>
      </c>
      <c r="F1496" s="656" t="s">
        <v>436</v>
      </c>
      <c r="G1496" s="606" t="s">
        <v>3266</v>
      </c>
      <c r="H1496" s="608" t="s">
        <v>1096</v>
      </c>
    </row>
    <row r="1497">
      <c r="A1497" s="512" t="s">
        <v>439</v>
      </c>
      <c r="B1497" s="512" t="s">
        <v>433</v>
      </c>
      <c r="C1497" s="605">
        <v>45846.0</v>
      </c>
      <c r="D1497" s="512">
        <v>3.2169333808E10</v>
      </c>
      <c r="E1497" s="646" t="s">
        <v>3267</v>
      </c>
      <c r="F1497" s="656" t="s">
        <v>436</v>
      </c>
      <c r="G1497" s="606" t="s">
        <v>3268</v>
      </c>
      <c r="H1497" s="608" t="s">
        <v>1608</v>
      </c>
    </row>
    <row r="1498">
      <c r="A1498" s="512" t="s">
        <v>439</v>
      </c>
      <c r="B1498" s="512" t="s">
        <v>433</v>
      </c>
      <c r="C1498" s="605">
        <v>45846.0</v>
      </c>
      <c r="D1498" s="512">
        <v>3.3417248884E10</v>
      </c>
      <c r="E1498" s="646" t="s">
        <v>3269</v>
      </c>
      <c r="F1498" s="656" t="s">
        <v>436</v>
      </c>
      <c r="G1498" s="606" t="s">
        <v>3270</v>
      </c>
      <c r="H1498" s="608" t="s">
        <v>1608</v>
      </c>
    </row>
    <row r="1499">
      <c r="A1499" s="512" t="s">
        <v>617</v>
      </c>
      <c r="B1499" s="512" t="s">
        <v>433</v>
      </c>
      <c r="C1499" s="605">
        <v>45847.0</v>
      </c>
      <c r="D1499" s="512">
        <v>3.119766199E10</v>
      </c>
      <c r="E1499" s="606" t="s">
        <v>3271</v>
      </c>
      <c r="F1499" s="656" t="s">
        <v>436</v>
      </c>
      <c r="G1499" s="606" t="s">
        <v>1370</v>
      </c>
      <c r="H1499" s="608" t="s">
        <v>696</v>
      </c>
    </row>
    <row r="1500">
      <c r="A1500" s="512" t="s">
        <v>439</v>
      </c>
      <c r="B1500" s="512" t="s">
        <v>449</v>
      </c>
      <c r="C1500" s="605">
        <v>45847.0</v>
      </c>
      <c r="D1500" s="512">
        <v>3.5374134939E10</v>
      </c>
      <c r="E1500" s="606" t="s">
        <v>3272</v>
      </c>
      <c r="F1500" s="656" t="s">
        <v>436</v>
      </c>
      <c r="G1500" s="606" t="s">
        <v>3273</v>
      </c>
      <c r="H1500" s="608" t="s">
        <v>2791</v>
      </c>
    </row>
    <row r="1501">
      <c r="A1501" s="512" t="s">
        <v>432</v>
      </c>
      <c r="B1501" s="512" t="s">
        <v>449</v>
      </c>
      <c r="C1501" s="605">
        <v>45847.0</v>
      </c>
      <c r="D1501" s="512">
        <v>3.0437120558E10</v>
      </c>
      <c r="E1501" s="606" t="s">
        <v>3274</v>
      </c>
      <c r="F1501" s="656" t="s">
        <v>436</v>
      </c>
      <c r="G1501" s="606" t="s">
        <v>3275</v>
      </c>
      <c r="H1501" s="608" t="s">
        <v>1096</v>
      </c>
    </row>
    <row r="1502">
      <c r="A1502" s="512" t="s">
        <v>439</v>
      </c>
      <c r="B1502" s="512" t="s">
        <v>449</v>
      </c>
      <c r="C1502" s="605">
        <v>45847.0</v>
      </c>
      <c r="D1502" s="512">
        <v>3.4168276836E10</v>
      </c>
      <c r="E1502" s="606" t="s">
        <v>3276</v>
      </c>
      <c r="F1502" s="656" t="s">
        <v>436</v>
      </c>
      <c r="G1502" s="606" t="s">
        <v>3277</v>
      </c>
      <c r="H1502" s="608" t="s">
        <v>2791</v>
      </c>
    </row>
    <row r="1503">
      <c r="A1503" s="512" t="s">
        <v>432</v>
      </c>
      <c r="B1503" s="512" t="s">
        <v>3183</v>
      </c>
      <c r="C1503" s="605">
        <v>45847.0</v>
      </c>
      <c r="D1503" s="512">
        <v>3.3146636498E10</v>
      </c>
      <c r="E1503" s="606" t="s">
        <v>3278</v>
      </c>
      <c r="F1503" s="656" t="s">
        <v>436</v>
      </c>
      <c r="G1503" s="606" t="s">
        <v>3279</v>
      </c>
      <c r="H1503" s="608" t="s">
        <v>1096</v>
      </c>
    </row>
    <row r="1504">
      <c r="A1504" s="512" t="s">
        <v>823</v>
      </c>
      <c r="B1504" s="512" t="s">
        <v>449</v>
      </c>
      <c r="C1504" s="605">
        <v>45847.0</v>
      </c>
      <c r="D1504" s="512">
        <v>2.9873131159E10</v>
      </c>
      <c r="E1504" s="606" t="s">
        <v>3280</v>
      </c>
      <c r="F1504" s="656" t="s">
        <v>436</v>
      </c>
      <c r="G1504" s="606" t="s">
        <v>3281</v>
      </c>
      <c r="H1504" s="608" t="s">
        <v>2491</v>
      </c>
    </row>
    <row r="1505">
      <c r="A1505" s="512" t="s">
        <v>439</v>
      </c>
      <c r="B1505" s="512" t="s">
        <v>433</v>
      </c>
      <c r="C1505" s="605">
        <v>45847.0</v>
      </c>
      <c r="D1505" s="512">
        <v>3.2461337173E10</v>
      </c>
      <c r="E1505" s="606" t="s">
        <v>3282</v>
      </c>
      <c r="F1505" s="656" t="s">
        <v>436</v>
      </c>
      <c r="G1505" s="606" t="s">
        <v>3283</v>
      </c>
      <c r="H1505" s="608" t="s">
        <v>2791</v>
      </c>
    </row>
    <row r="1506">
      <c r="A1506" s="512" t="s">
        <v>439</v>
      </c>
      <c r="B1506" s="512" t="s">
        <v>449</v>
      </c>
      <c r="C1506" s="605">
        <v>45847.0</v>
      </c>
      <c r="D1506" s="512">
        <v>3.49568483E10</v>
      </c>
      <c r="E1506" s="606" t="s">
        <v>3284</v>
      </c>
      <c r="F1506" s="656" t="s">
        <v>436</v>
      </c>
      <c r="G1506" s="606" t="s">
        <v>3285</v>
      </c>
      <c r="H1506" s="608" t="s">
        <v>2791</v>
      </c>
    </row>
    <row r="1507">
      <c r="A1507" s="512" t="s">
        <v>617</v>
      </c>
      <c r="B1507" s="512" t="s">
        <v>449</v>
      </c>
      <c r="C1507" s="605">
        <v>45847.0</v>
      </c>
      <c r="D1507" s="512">
        <v>3.5175293903E10</v>
      </c>
      <c r="E1507" s="606" t="s">
        <v>3286</v>
      </c>
      <c r="F1507" s="656" t="s">
        <v>436</v>
      </c>
      <c r="G1507" s="606" t="s">
        <v>3287</v>
      </c>
      <c r="H1507" s="608" t="s">
        <v>696</v>
      </c>
    </row>
    <row r="1508">
      <c r="A1508" s="512" t="s">
        <v>432</v>
      </c>
      <c r="B1508" s="512" t="s">
        <v>449</v>
      </c>
      <c r="C1508" s="605">
        <v>45848.0</v>
      </c>
      <c r="D1508" s="512">
        <v>3.4567836229E10</v>
      </c>
      <c r="E1508" s="606" t="s">
        <v>3288</v>
      </c>
      <c r="F1508" s="656" t="s">
        <v>436</v>
      </c>
      <c r="G1508" s="606" t="s">
        <v>3289</v>
      </c>
      <c r="H1508" s="608" t="s">
        <v>1096</v>
      </c>
    </row>
    <row r="1509">
      <c r="A1509" s="512" t="s">
        <v>823</v>
      </c>
      <c r="B1509" s="512" t="s">
        <v>449</v>
      </c>
      <c r="C1509" s="605">
        <v>45848.0</v>
      </c>
      <c r="D1509" s="512">
        <v>2.5922065106E10</v>
      </c>
      <c r="E1509" s="606" t="s">
        <v>3290</v>
      </c>
      <c r="F1509" s="656" t="s">
        <v>436</v>
      </c>
      <c r="G1509" s="606" t="s">
        <v>2561</v>
      </c>
      <c r="H1509" s="608" t="s">
        <v>699</v>
      </c>
    </row>
    <row r="1510">
      <c r="A1510" s="512" t="s">
        <v>823</v>
      </c>
      <c r="B1510" s="512" t="s">
        <v>449</v>
      </c>
      <c r="C1510" s="605">
        <v>45848.0</v>
      </c>
      <c r="D1510" s="512">
        <v>3.6217678408E10</v>
      </c>
      <c r="E1510" s="606" t="s">
        <v>3291</v>
      </c>
      <c r="F1510" s="656" t="s">
        <v>436</v>
      </c>
      <c r="G1510" s="606" t="s">
        <v>3292</v>
      </c>
      <c r="H1510" s="608" t="s">
        <v>699</v>
      </c>
    </row>
    <row r="1511">
      <c r="A1511" s="512" t="s">
        <v>823</v>
      </c>
      <c r="B1511" s="512" t="s">
        <v>433</v>
      </c>
      <c r="C1511" s="605">
        <v>45848.0</v>
      </c>
      <c r="D1511" s="512">
        <v>3.2862271555E10</v>
      </c>
      <c r="E1511" s="606" t="s">
        <v>3293</v>
      </c>
      <c r="F1511" s="656" t="s">
        <v>436</v>
      </c>
      <c r="G1511" s="606" t="s">
        <v>1823</v>
      </c>
      <c r="H1511" s="608" t="s">
        <v>699</v>
      </c>
    </row>
    <row r="1512">
      <c r="A1512" s="512" t="s">
        <v>432</v>
      </c>
      <c r="B1512" s="512" t="s">
        <v>955</v>
      </c>
      <c r="C1512" s="605">
        <v>45848.0</v>
      </c>
      <c r="D1512" s="512">
        <v>3.4245950677E10</v>
      </c>
      <c r="E1512" s="606" t="s">
        <v>3294</v>
      </c>
      <c r="F1512" s="656" t="s">
        <v>436</v>
      </c>
      <c r="G1512" s="606" t="s">
        <v>3295</v>
      </c>
      <c r="H1512" s="608" t="s">
        <v>1096</v>
      </c>
    </row>
    <row r="1513">
      <c r="A1513" s="512" t="s">
        <v>823</v>
      </c>
      <c r="B1513" s="512" t="s">
        <v>955</v>
      </c>
      <c r="C1513" s="605">
        <v>45848.0</v>
      </c>
      <c r="D1513" s="512">
        <v>3.2642757978E10</v>
      </c>
      <c r="E1513" s="606" t="s">
        <v>3296</v>
      </c>
      <c r="F1513" s="656" t="s">
        <v>436</v>
      </c>
      <c r="G1513" s="606" t="s">
        <v>3297</v>
      </c>
      <c r="H1513" s="608" t="s">
        <v>699</v>
      </c>
    </row>
    <row r="1514">
      <c r="A1514" s="512" t="s">
        <v>432</v>
      </c>
      <c r="B1514" s="512" t="s">
        <v>955</v>
      </c>
      <c r="C1514" s="605">
        <v>45848.0</v>
      </c>
      <c r="D1514" s="512">
        <v>3.0329041169E10</v>
      </c>
      <c r="E1514" s="606" t="s">
        <v>3298</v>
      </c>
      <c r="F1514" s="656" t="s">
        <v>436</v>
      </c>
      <c r="G1514" s="606" t="s">
        <v>832</v>
      </c>
      <c r="H1514" s="608" t="s">
        <v>1096</v>
      </c>
    </row>
    <row r="1515">
      <c r="A1515" s="512" t="s">
        <v>432</v>
      </c>
      <c r="B1515" s="512" t="s">
        <v>449</v>
      </c>
      <c r="C1515" s="605">
        <v>45848.0</v>
      </c>
      <c r="D1515" s="512">
        <v>2.7313496195E10</v>
      </c>
      <c r="E1515" s="606" t="s">
        <v>3299</v>
      </c>
      <c r="F1515" s="656" t="s">
        <v>436</v>
      </c>
      <c r="G1515" s="606" t="s">
        <v>870</v>
      </c>
      <c r="H1515" s="608" t="s">
        <v>1096</v>
      </c>
    </row>
    <row r="1516">
      <c r="A1516" s="512" t="s">
        <v>823</v>
      </c>
      <c r="B1516" s="512" t="s">
        <v>449</v>
      </c>
      <c r="C1516" s="605">
        <v>45849.0</v>
      </c>
      <c r="D1516" s="512">
        <v>3.1417431617E10</v>
      </c>
      <c r="E1516" s="606" t="s">
        <v>3300</v>
      </c>
      <c r="F1516" s="656" t="s">
        <v>436</v>
      </c>
      <c r="G1516" s="606" t="s">
        <v>3301</v>
      </c>
      <c r="H1516" s="608" t="s">
        <v>699</v>
      </c>
    </row>
    <row r="1517">
      <c r="A1517" s="512" t="s">
        <v>823</v>
      </c>
      <c r="B1517" s="512" t="s">
        <v>449</v>
      </c>
      <c r="C1517" s="605">
        <v>45849.0</v>
      </c>
      <c r="D1517" s="512">
        <v>3.2259042704E10</v>
      </c>
      <c r="E1517" s="606" t="s">
        <v>3291</v>
      </c>
      <c r="F1517" s="656" t="s">
        <v>436</v>
      </c>
      <c r="G1517" s="606" t="s">
        <v>3302</v>
      </c>
      <c r="H1517" s="608" t="s">
        <v>699</v>
      </c>
    </row>
    <row r="1518">
      <c r="A1518" s="512" t="s">
        <v>690</v>
      </c>
      <c r="B1518" s="512" t="s">
        <v>433</v>
      </c>
      <c r="C1518" s="605">
        <v>45849.0</v>
      </c>
      <c r="D1518" s="512">
        <v>3.1199960914E10</v>
      </c>
      <c r="E1518" s="606" t="s">
        <v>3303</v>
      </c>
      <c r="F1518" s="656" t="s">
        <v>436</v>
      </c>
      <c r="G1518" s="606" t="s">
        <v>3304</v>
      </c>
      <c r="H1518" s="608" t="s">
        <v>2676</v>
      </c>
    </row>
    <row r="1519">
      <c r="A1519" s="512" t="s">
        <v>690</v>
      </c>
      <c r="B1519" s="512" t="s">
        <v>449</v>
      </c>
      <c r="C1519" s="605">
        <v>45849.0</v>
      </c>
      <c r="D1519" s="512">
        <v>3.3910181093E10</v>
      </c>
      <c r="E1519" s="606" t="s">
        <v>3305</v>
      </c>
      <c r="F1519" s="656" t="s">
        <v>436</v>
      </c>
      <c r="G1519" s="606" t="s">
        <v>2930</v>
      </c>
      <c r="H1519" s="608" t="s">
        <v>2676</v>
      </c>
    </row>
    <row r="1520">
      <c r="A1520" s="512" t="s">
        <v>690</v>
      </c>
      <c r="B1520" s="512" t="s">
        <v>449</v>
      </c>
      <c r="C1520" s="605">
        <v>45849.0</v>
      </c>
      <c r="D1520" s="512">
        <v>3.5372195914E10</v>
      </c>
      <c r="E1520" s="606" t="s">
        <v>3306</v>
      </c>
      <c r="F1520" s="656" t="s">
        <v>436</v>
      </c>
      <c r="G1520" s="606" t="s">
        <v>3307</v>
      </c>
      <c r="H1520" s="608" t="s">
        <v>2676</v>
      </c>
    </row>
    <row r="1521">
      <c r="A1521" s="512" t="s">
        <v>690</v>
      </c>
      <c r="B1521" s="512" t="s">
        <v>449</v>
      </c>
      <c r="C1521" s="605">
        <v>45849.0</v>
      </c>
      <c r="D1521" s="512">
        <v>2.9790509501E10</v>
      </c>
      <c r="E1521" s="606" t="s">
        <v>3308</v>
      </c>
      <c r="F1521" s="656" t="s">
        <v>436</v>
      </c>
      <c r="G1521" s="606" t="s">
        <v>2905</v>
      </c>
      <c r="H1521" s="608" t="s">
        <v>2676</v>
      </c>
    </row>
    <row r="1522">
      <c r="A1522" s="512" t="s">
        <v>823</v>
      </c>
      <c r="B1522" s="512" t="s">
        <v>449</v>
      </c>
      <c r="C1522" s="605">
        <v>45849.0</v>
      </c>
      <c r="D1522" s="512">
        <v>3.265777662E10</v>
      </c>
      <c r="E1522" s="606" t="s">
        <v>3309</v>
      </c>
      <c r="F1522" s="656" t="s">
        <v>436</v>
      </c>
      <c r="G1522" s="606" t="s">
        <v>3310</v>
      </c>
      <c r="H1522" s="608" t="s">
        <v>699</v>
      </c>
    </row>
    <row r="1523">
      <c r="A1523" s="512" t="s">
        <v>617</v>
      </c>
      <c r="B1523" s="512" t="s">
        <v>955</v>
      </c>
      <c r="C1523" s="605">
        <v>45849.0</v>
      </c>
      <c r="D1523" s="512" t="s">
        <v>3311</v>
      </c>
      <c r="E1523" s="646" t="s">
        <v>3312</v>
      </c>
      <c r="F1523" s="656" t="s">
        <v>436</v>
      </c>
      <c r="G1523" s="606" t="s">
        <v>3313</v>
      </c>
      <c r="H1523" s="608" t="s">
        <v>623</v>
      </c>
    </row>
    <row r="1524">
      <c r="A1524" s="512" t="s">
        <v>439</v>
      </c>
      <c r="B1524" s="512" t="s">
        <v>955</v>
      </c>
      <c r="C1524" s="605">
        <v>45849.0</v>
      </c>
      <c r="D1524" s="512">
        <v>3.8266869129E10</v>
      </c>
      <c r="E1524" s="646" t="s">
        <v>3314</v>
      </c>
      <c r="F1524" s="656" t="s">
        <v>436</v>
      </c>
      <c r="G1524" s="606" t="s">
        <v>3315</v>
      </c>
      <c r="H1524" s="608" t="s">
        <v>1608</v>
      </c>
    </row>
    <row r="1525">
      <c r="A1525" s="512" t="s">
        <v>439</v>
      </c>
      <c r="B1525" s="512" t="s">
        <v>433</v>
      </c>
      <c r="C1525" s="605">
        <v>45849.0</v>
      </c>
      <c r="D1525" s="512">
        <v>3.164131387E10</v>
      </c>
      <c r="E1525" s="646" t="s">
        <v>3316</v>
      </c>
      <c r="F1525" s="656" t="s">
        <v>436</v>
      </c>
      <c r="G1525" s="606" t="s">
        <v>876</v>
      </c>
      <c r="H1525" s="608" t="s">
        <v>1608</v>
      </c>
    </row>
    <row r="1526">
      <c r="A1526" s="512" t="s">
        <v>439</v>
      </c>
      <c r="B1526" s="512" t="s">
        <v>433</v>
      </c>
      <c r="C1526" s="605">
        <v>45849.0</v>
      </c>
      <c r="D1526" s="512">
        <v>3.4522756474E10</v>
      </c>
      <c r="E1526" s="646" t="s">
        <v>3317</v>
      </c>
      <c r="F1526" s="656" t="s">
        <v>436</v>
      </c>
      <c r="G1526" s="606" t="s">
        <v>1194</v>
      </c>
      <c r="H1526" s="608" t="s">
        <v>1608</v>
      </c>
    </row>
    <row r="1527">
      <c r="A1527" s="512" t="s">
        <v>617</v>
      </c>
      <c r="B1527" s="512" t="s">
        <v>449</v>
      </c>
      <c r="C1527" s="605">
        <v>45849.0</v>
      </c>
      <c r="D1527" s="512" t="s">
        <v>3318</v>
      </c>
      <c r="E1527" s="646" t="s">
        <v>3319</v>
      </c>
      <c r="F1527" s="656" t="s">
        <v>436</v>
      </c>
      <c r="G1527" s="606" t="s">
        <v>2104</v>
      </c>
      <c r="H1527" s="608" t="s">
        <v>623</v>
      </c>
    </row>
    <row r="1528">
      <c r="A1528" s="512" t="s">
        <v>823</v>
      </c>
      <c r="B1528" s="512" t="s">
        <v>449</v>
      </c>
      <c r="C1528" s="605">
        <v>45849.0</v>
      </c>
      <c r="D1528" s="512">
        <v>3.5198304478E10</v>
      </c>
      <c r="E1528" s="606" t="s">
        <v>3320</v>
      </c>
      <c r="F1528" s="656" t="s">
        <v>436</v>
      </c>
      <c r="G1528" s="606" t="s">
        <v>2318</v>
      </c>
      <c r="H1528" s="608" t="s">
        <v>699</v>
      </c>
    </row>
    <row r="1529">
      <c r="A1529" s="512" t="s">
        <v>823</v>
      </c>
      <c r="B1529" s="512" t="s">
        <v>449</v>
      </c>
      <c r="C1529" s="605">
        <v>45850.0</v>
      </c>
      <c r="D1529" s="512">
        <v>3.6217867581E10</v>
      </c>
      <c r="E1529" s="606" t="s">
        <v>3321</v>
      </c>
      <c r="F1529" s="656" t="s">
        <v>436</v>
      </c>
      <c r="G1529" s="606">
        <v>2329.0</v>
      </c>
      <c r="H1529" s="608" t="s">
        <v>2491</v>
      </c>
    </row>
    <row r="1530">
      <c r="A1530" s="512" t="s">
        <v>823</v>
      </c>
      <c r="B1530" s="512" t="s">
        <v>449</v>
      </c>
      <c r="C1530" s="605">
        <v>45850.0</v>
      </c>
      <c r="D1530" s="512">
        <v>3.6346146E10</v>
      </c>
      <c r="E1530" s="606" t="s">
        <v>3322</v>
      </c>
      <c r="F1530" s="656" t="s">
        <v>436</v>
      </c>
      <c r="G1530" s="606">
        <v>2514.0</v>
      </c>
      <c r="H1530" s="608" t="s">
        <v>2491</v>
      </c>
    </row>
    <row r="1531">
      <c r="A1531" s="512" t="s">
        <v>439</v>
      </c>
      <c r="B1531" s="512" t="s">
        <v>433</v>
      </c>
      <c r="C1531" s="605">
        <v>45850.0</v>
      </c>
      <c r="D1531" s="512">
        <v>3.6041406104E10</v>
      </c>
      <c r="E1531" s="646" t="s">
        <v>3323</v>
      </c>
      <c r="F1531" s="656" t="s">
        <v>436</v>
      </c>
      <c r="G1531" s="606" t="s">
        <v>3324</v>
      </c>
      <c r="H1531" s="608" t="s">
        <v>1608</v>
      </c>
    </row>
    <row r="1532">
      <c r="A1532" s="512" t="s">
        <v>690</v>
      </c>
      <c r="B1532" s="512" t="s">
        <v>449</v>
      </c>
      <c r="C1532" s="605">
        <v>45850.0</v>
      </c>
      <c r="D1532" s="512">
        <v>2.5621137578E10</v>
      </c>
      <c r="E1532" s="646" t="s">
        <v>3325</v>
      </c>
      <c r="F1532" s="656" t="s">
        <v>436</v>
      </c>
      <c r="G1532" s="606" t="s">
        <v>3326</v>
      </c>
      <c r="H1532" s="608" t="s">
        <v>693</v>
      </c>
    </row>
    <row r="1533">
      <c r="A1533" s="512" t="s">
        <v>439</v>
      </c>
      <c r="B1533" s="512" t="s">
        <v>433</v>
      </c>
      <c r="C1533" s="605">
        <v>45850.0</v>
      </c>
      <c r="D1533" s="512">
        <v>3.4872935151E10</v>
      </c>
      <c r="E1533" s="646" t="s">
        <v>3327</v>
      </c>
      <c r="F1533" s="656" t="s">
        <v>436</v>
      </c>
      <c r="G1533" s="606" t="s">
        <v>3328</v>
      </c>
      <c r="H1533" s="608" t="s">
        <v>1608</v>
      </c>
    </row>
    <row r="1534">
      <c r="A1534" s="512" t="s">
        <v>439</v>
      </c>
      <c r="B1534" s="512" t="s">
        <v>433</v>
      </c>
      <c r="C1534" s="605">
        <v>45850.0</v>
      </c>
      <c r="D1534" s="512">
        <v>3.5859187024E10</v>
      </c>
      <c r="E1534" s="646" t="s">
        <v>3327</v>
      </c>
      <c r="F1534" s="656" t="s">
        <v>436</v>
      </c>
      <c r="G1534" s="606" t="s">
        <v>3328</v>
      </c>
      <c r="H1534" s="608" t="s">
        <v>1608</v>
      </c>
    </row>
    <row r="1535">
      <c r="A1535" s="512" t="s">
        <v>690</v>
      </c>
      <c r="B1535" s="512" t="s">
        <v>3329</v>
      </c>
      <c r="C1535" s="605">
        <v>45850.0</v>
      </c>
      <c r="D1535" s="512">
        <v>3.6997723138E10</v>
      </c>
      <c r="E1535" s="640"/>
      <c r="F1535" s="653" t="s">
        <v>3330</v>
      </c>
      <c r="G1535" s="640"/>
      <c r="H1535" s="608" t="s">
        <v>693</v>
      </c>
    </row>
    <row r="1536">
      <c r="A1536" s="512" t="s">
        <v>439</v>
      </c>
      <c r="B1536" s="512" t="s">
        <v>449</v>
      </c>
      <c r="C1536" s="605">
        <v>45851.0</v>
      </c>
      <c r="D1536" s="512">
        <v>3.4299311094E10</v>
      </c>
      <c r="E1536" s="646" t="s">
        <v>3331</v>
      </c>
      <c r="F1536" s="656" t="s">
        <v>436</v>
      </c>
      <c r="G1536" s="606">
        <v>1965.0</v>
      </c>
      <c r="H1536" s="608" t="s">
        <v>3332</v>
      </c>
    </row>
    <row r="1537">
      <c r="A1537" s="512" t="s">
        <v>439</v>
      </c>
      <c r="B1537" s="512" t="s">
        <v>449</v>
      </c>
      <c r="C1537" s="605">
        <v>45851.0</v>
      </c>
      <c r="D1537" s="512">
        <v>3.8446687707E10</v>
      </c>
      <c r="E1537" s="646" t="s">
        <v>3333</v>
      </c>
      <c r="F1537" s="656" t="s">
        <v>436</v>
      </c>
      <c r="G1537" s="606" t="s">
        <v>3334</v>
      </c>
      <c r="H1537" s="608" t="s">
        <v>3332</v>
      </c>
    </row>
    <row r="1538">
      <c r="A1538" s="512" t="s">
        <v>432</v>
      </c>
      <c r="B1538" s="512" t="s">
        <v>449</v>
      </c>
      <c r="C1538" s="657">
        <v>45851.0</v>
      </c>
      <c r="D1538" s="512">
        <v>2.2088274629E10</v>
      </c>
      <c r="E1538" s="606" t="s">
        <v>3335</v>
      </c>
      <c r="F1538" s="656" t="s">
        <v>436</v>
      </c>
      <c r="G1538" s="606" t="s">
        <v>3336</v>
      </c>
      <c r="H1538" s="608" t="s">
        <v>1096</v>
      </c>
    </row>
    <row r="1539">
      <c r="A1539" s="512" t="s">
        <v>439</v>
      </c>
      <c r="B1539" s="512" t="s">
        <v>449</v>
      </c>
      <c r="C1539" s="605">
        <v>45851.0</v>
      </c>
      <c r="D1539" s="512">
        <v>3.4311300733E10</v>
      </c>
      <c r="E1539" s="646" t="s">
        <v>3337</v>
      </c>
      <c r="F1539" s="656" t="s">
        <v>436</v>
      </c>
      <c r="G1539" s="606" t="s">
        <v>3230</v>
      </c>
      <c r="H1539" s="608" t="s">
        <v>3332</v>
      </c>
    </row>
    <row r="1540">
      <c r="A1540" s="512" t="s">
        <v>617</v>
      </c>
      <c r="B1540" s="512" t="s">
        <v>449</v>
      </c>
      <c r="C1540" s="605">
        <v>45851.0</v>
      </c>
      <c r="D1540" s="512">
        <v>2.3779420295E10</v>
      </c>
      <c r="E1540" s="606" t="s">
        <v>3338</v>
      </c>
      <c r="F1540" s="656" t="s">
        <v>436</v>
      </c>
      <c r="G1540" s="606" t="s">
        <v>1531</v>
      </c>
      <c r="H1540" s="608" t="s">
        <v>696</v>
      </c>
    </row>
    <row r="1541">
      <c r="A1541" s="512" t="s">
        <v>439</v>
      </c>
      <c r="B1541" s="512" t="s">
        <v>449</v>
      </c>
      <c r="C1541" s="605">
        <v>45851.0</v>
      </c>
      <c r="D1541" s="512">
        <v>2.60668218E10</v>
      </c>
      <c r="E1541" s="646" t="s">
        <v>3339</v>
      </c>
      <c r="F1541" s="656" t="s">
        <v>436</v>
      </c>
      <c r="G1541" s="606" t="s">
        <v>3340</v>
      </c>
      <c r="H1541" s="608" t="s">
        <v>3332</v>
      </c>
    </row>
    <row r="1542">
      <c r="A1542" s="512" t="s">
        <v>617</v>
      </c>
      <c r="B1542" s="512" t="s">
        <v>449</v>
      </c>
      <c r="C1542" s="605">
        <v>45851.0</v>
      </c>
      <c r="D1542" s="512">
        <v>3.4113566762E10</v>
      </c>
      <c r="E1542" s="606" t="s">
        <v>3341</v>
      </c>
      <c r="F1542" s="656" t="s">
        <v>436</v>
      </c>
      <c r="G1542" s="606" t="s">
        <v>3342</v>
      </c>
      <c r="H1542" s="608" t="s">
        <v>696</v>
      </c>
    </row>
    <row r="1543">
      <c r="A1543" s="512" t="s">
        <v>617</v>
      </c>
      <c r="B1543" s="512" t="s">
        <v>3343</v>
      </c>
      <c r="C1543" s="605">
        <v>45851.0</v>
      </c>
      <c r="D1543" s="512">
        <v>3.4480969578E10</v>
      </c>
      <c r="E1543" s="606" t="s">
        <v>3344</v>
      </c>
      <c r="F1543" s="656" t="s">
        <v>436</v>
      </c>
      <c r="G1543" s="606" t="s">
        <v>3345</v>
      </c>
      <c r="H1543" s="608" t="s">
        <v>696</v>
      </c>
    </row>
    <row r="1544">
      <c r="A1544" s="512" t="s">
        <v>439</v>
      </c>
      <c r="B1544" s="512" t="s">
        <v>449</v>
      </c>
      <c r="C1544" s="605">
        <v>45851.0</v>
      </c>
      <c r="D1544" s="512" t="s">
        <v>3346</v>
      </c>
      <c r="E1544" s="646" t="s">
        <v>3347</v>
      </c>
      <c r="F1544" s="656" t="s">
        <v>436</v>
      </c>
      <c r="G1544" s="606" t="s">
        <v>3348</v>
      </c>
      <c r="H1544" s="608" t="s">
        <v>3332</v>
      </c>
    </row>
    <row r="1545">
      <c r="A1545" s="512" t="s">
        <v>617</v>
      </c>
      <c r="B1545" s="512" t="s">
        <v>449</v>
      </c>
      <c r="C1545" s="605">
        <v>45851.0</v>
      </c>
      <c r="D1545" s="512">
        <v>3.8463673553E10</v>
      </c>
      <c r="E1545" s="606" t="s">
        <v>3349</v>
      </c>
      <c r="F1545" s="656" t="s">
        <v>436</v>
      </c>
      <c r="G1545" s="640"/>
      <c r="H1545" s="608" t="s">
        <v>696</v>
      </c>
    </row>
    <row r="1546">
      <c r="A1546" s="512" t="s">
        <v>823</v>
      </c>
      <c r="B1546" s="512" t="s">
        <v>433</v>
      </c>
      <c r="C1546" s="605">
        <v>45852.0</v>
      </c>
      <c r="D1546" s="512">
        <v>3.4457653587E10</v>
      </c>
      <c r="E1546" s="606" t="s">
        <v>3350</v>
      </c>
      <c r="F1546" s="656" t="s">
        <v>436</v>
      </c>
      <c r="G1546" s="606" t="s">
        <v>3351</v>
      </c>
      <c r="H1546" s="608" t="s">
        <v>699</v>
      </c>
    </row>
    <row r="1547">
      <c r="A1547" s="512" t="s">
        <v>432</v>
      </c>
      <c r="B1547" s="512" t="s">
        <v>449</v>
      </c>
      <c r="C1547" s="605">
        <v>45852.0</v>
      </c>
      <c r="D1547" s="512">
        <v>3.6667644126E10</v>
      </c>
      <c r="E1547" s="606" t="s">
        <v>3352</v>
      </c>
      <c r="F1547" s="656" t="s">
        <v>436</v>
      </c>
      <c r="G1547" s="606" t="s">
        <v>3353</v>
      </c>
      <c r="H1547" s="608" t="s">
        <v>1096</v>
      </c>
    </row>
    <row r="1548">
      <c r="A1548" s="512" t="s">
        <v>439</v>
      </c>
      <c r="B1548" s="512" t="s">
        <v>449</v>
      </c>
      <c r="C1548" s="605">
        <v>45852.0</v>
      </c>
      <c r="D1548" s="512">
        <v>2.6205020811E10</v>
      </c>
      <c r="E1548" s="646" t="s">
        <v>3354</v>
      </c>
      <c r="F1548" s="656" t="s">
        <v>436</v>
      </c>
      <c r="G1548" s="606" t="s">
        <v>3355</v>
      </c>
      <c r="H1548" s="608" t="s">
        <v>3332</v>
      </c>
    </row>
    <row r="1549">
      <c r="A1549" s="512" t="s">
        <v>432</v>
      </c>
      <c r="B1549" s="512" t="s">
        <v>449</v>
      </c>
      <c r="C1549" s="605">
        <v>45852.0</v>
      </c>
      <c r="D1549" s="512">
        <v>3.0184781259E10</v>
      </c>
      <c r="E1549" s="606" t="s">
        <v>3356</v>
      </c>
      <c r="F1549" s="656" t="s">
        <v>436</v>
      </c>
      <c r="G1549" s="606" t="s">
        <v>3357</v>
      </c>
      <c r="H1549" s="608" t="s">
        <v>1096</v>
      </c>
    </row>
    <row r="1550">
      <c r="A1550" s="512" t="s">
        <v>617</v>
      </c>
      <c r="B1550" s="512" t="s">
        <v>449</v>
      </c>
      <c r="C1550" s="605">
        <v>45852.0</v>
      </c>
      <c r="D1550" s="512">
        <v>3.5152454204E10</v>
      </c>
      <c r="E1550" s="606" t="s">
        <v>3358</v>
      </c>
      <c r="F1550" s="656" t="s">
        <v>436</v>
      </c>
      <c r="G1550" s="606" t="s">
        <v>3359</v>
      </c>
      <c r="H1550" s="608" t="s">
        <v>696</v>
      </c>
    </row>
    <row r="1551">
      <c r="A1551" s="512" t="s">
        <v>439</v>
      </c>
      <c r="B1551" s="512" t="s">
        <v>449</v>
      </c>
      <c r="C1551" s="605">
        <v>45852.0</v>
      </c>
      <c r="D1551" s="512">
        <v>3.4893328037E10</v>
      </c>
      <c r="E1551" s="646" t="s">
        <v>1312</v>
      </c>
      <c r="F1551" s="656" t="s">
        <v>436</v>
      </c>
      <c r="G1551" s="606" t="s">
        <v>3360</v>
      </c>
      <c r="H1551" s="608" t="s">
        <v>3332</v>
      </c>
    </row>
    <row r="1552">
      <c r="A1552" s="512" t="s">
        <v>690</v>
      </c>
      <c r="B1552" s="512" t="s">
        <v>449</v>
      </c>
      <c r="C1552" s="605">
        <v>45852.0</v>
      </c>
      <c r="D1552" s="512">
        <v>2.9905914009E10</v>
      </c>
      <c r="E1552" s="646" t="s">
        <v>3361</v>
      </c>
      <c r="F1552" s="656" t="s">
        <v>436</v>
      </c>
      <c r="G1552" s="606" t="s">
        <v>3101</v>
      </c>
      <c r="H1552" s="608" t="s">
        <v>2849</v>
      </c>
    </row>
    <row r="1553">
      <c r="A1553" s="512" t="s">
        <v>823</v>
      </c>
      <c r="B1553" s="512" t="s">
        <v>3362</v>
      </c>
      <c r="C1553" s="605">
        <v>45852.0</v>
      </c>
      <c r="D1553" s="512">
        <v>3.057367173E10</v>
      </c>
      <c r="E1553" s="606" t="s">
        <v>3363</v>
      </c>
      <c r="F1553" s="656" t="s">
        <v>436</v>
      </c>
      <c r="G1553" s="606" t="s">
        <v>1158</v>
      </c>
      <c r="H1553" s="608" t="s">
        <v>699</v>
      </c>
    </row>
    <row r="1554">
      <c r="A1554" s="512" t="s">
        <v>617</v>
      </c>
      <c r="B1554" s="512" t="s">
        <v>449</v>
      </c>
      <c r="C1554" s="605">
        <v>45853.0</v>
      </c>
      <c r="D1554" s="512">
        <v>3.5369094E10</v>
      </c>
      <c r="E1554" s="606" t="s">
        <v>3364</v>
      </c>
      <c r="F1554" s="656" t="s">
        <v>436</v>
      </c>
      <c r="G1554" s="606" t="s">
        <v>3365</v>
      </c>
      <c r="H1554" s="608" t="s">
        <v>696</v>
      </c>
    </row>
    <row r="1555">
      <c r="A1555" s="512" t="s">
        <v>439</v>
      </c>
      <c r="B1555" s="512" t="s">
        <v>449</v>
      </c>
      <c r="C1555" s="605">
        <v>45853.0</v>
      </c>
      <c r="D1555" s="512">
        <v>3.8300463471E10</v>
      </c>
      <c r="E1555" s="646" t="s">
        <v>3366</v>
      </c>
      <c r="F1555" s="656" t="s">
        <v>436</v>
      </c>
      <c r="G1555" s="606" t="s">
        <v>3367</v>
      </c>
      <c r="H1555" s="608" t="s">
        <v>1608</v>
      </c>
    </row>
    <row r="1556">
      <c r="A1556" s="512" t="s">
        <v>823</v>
      </c>
      <c r="B1556" s="512" t="s">
        <v>449</v>
      </c>
      <c r="C1556" s="605">
        <v>45853.0</v>
      </c>
      <c r="D1556" s="512">
        <v>3.4778151593E10</v>
      </c>
      <c r="E1556" s="606" t="s">
        <v>3368</v>
      </c>
      <c r="F1556" s="656" t="s">
        <v>436</v>
      </c>
      <c r="G1556" s="606" t="s">
        <v>3369</v>
      </c>
      <c r="H1556" s="608" t="s">
        <v>699</v>
      </c>
    </row>
    <row r="1557">
      <c r="A1557" s="512" t="s">
        <v>690</v>
      </c>
      <c r="B1557" s="512" t="s">
        <v>449</v>
      </c>
      <c r="C1557" s="605">
        <v>45853.0</v>
      </c>
      <c r="D1557" s="512">
        <v>3.3145087181E10</v>
      </c>
      <c r="E1557" s="606" t="s">
        <v>3370</v>
      </c>
      <c r="F1557" s="656" t="s">
        <v>436</v>
      </c>
      <c r="G1557" s="606" t="s">
        <v>2375</v>
      </c>
      <c r="H1557" s="608" t="s">
        <v>2676</v>
      </c>
    </row>
    <row r="1558">
      <c r="A1558" s="512" t="s">
        <v>439</v>
      </c>
      <c r="B1558" s="512" t="s">
        <v>433</v>
      </c>
      <c r="C1558" s="605">
        <v>45853.0</v>
      </c>
      <c r="D1558" s="512">
        <v>3.4320341298E10</v>
      </c>
      <c r="E1558" s="646" t="s">
        <v>2427</v>
      </c>
      <c r="F1558" s="656" t="s">
        <v>436</v>
      </c>
      <c r="G1558" s="606" t="s">
        <v>3371</v>
      </c>
      <c r="H1558" s="608" t="s">
        <v>1608</v>
      </c>
    </row>
    <row r="1559">
      <c r="A1559" s="512" t="s">
        <v>823</v>
      </c>
      <c r="B1559" s="512" t="s">
        <v>433</v>
      </c>
      <c r="C1559" s="605">
        <v>45853.0</v>
      </c>
      <c r="D1559" s="512">
        <v>3.7279844022E10</v>
      </c>
      <c r="E1559" s="606" t="s">
        <v>3372</v>
      </c>
      <c r="F1559" s="656" t="s">
        <v>436</v>
      </c>
      <c r="G1559" s="606" t="s">
        <v>3373</v>
      </c>
      <c r="H1559" s="608" t="s">
        <v>699</v>
      </c>
    </row>
    <row r="1560">
      <c r="A1560" s="512" t="s">
        <v>439</v>
      </c>
      <c r="B1560" s="512" t="s">
        <v>433</v>
      </c>
      <c r="C1560" s="605">
        <v>45853.0</v>
      </c>
      <c r="D1560" s="512">
        <v>3.4208353604E10</v>
      </c>
      <c r="E1560" s="648" t="s">
        <v>3374</v>
      </c>
      <c r="F1560" s="656" t="s">
        <v>436</v>
      </c>
      <c r="G1560" s="606" t="s">
        <v>2419</v>
      </c>
      <c r="H1560" s="608" t="s">
        <v>1608</v>
      </c>
    </row>
    <row r="1561">
      <c r="A1561" s="512" t="s">
        <v>823</v>
      </c>
      <c r="B1561" s="512" t="s">
        <v>955</v>
      </c>
      <c r="C1561" s="605">
        <v>45853.0</v>
      </c>
      <c r="D1561" s="512">
        <v>1.1258360655E10</v>
      </c>
      <c r="E1561" s="606" t="s">
        <v>3375</v>
      </c>
      <c r="F1561" s="656" t="s">
        <v>436</v>
      </c>
      <c r="G1561" s="606" t="s">
        <v>3348</v>
      </c>
      <c r="H1561" s="608" t="s">
        <v>699</v>
      </c>
    </row>
    <row r="1562">
      <c r="A1562" s="512" t="s">
        <v>823</v>
      </c>
      <c r="B1562" s="512" t="s">
        <v>449</v>
      </c>
      <c r="C1562" s="605">
        <v>45853.0</v>
      </c>
      <c r="D1562" s="512">
        <v>3.8565671698E10</v>
      </c>
      <c r="E1562" s="606" t="s">
        <v>3376</v>
      </c>
      <c r="F1562" s="656" t="s">
        <v>436</v>
      </c>
      <c r="G1562" s="640"/>
      <c r="H1562" s="608" t="s">
        <v>699</v>
      </c>
    </row>
    <row r="1563">
      <c r="A1563" s="512" t="s">
        <v>823</v>
      </c>
      <c r="B1563" s="512" t="s">
        <v>449</v>
      </c>
      <c r="C1563" s="605">
        <v>45854.0</v>
      </c>
      <c r="D1563" s="512">
        <v>2.4001972168E10</v>
      </c>
      <c r="E1563" s="606" t="s">
        <v>3377</v>
      </c>
      <c r="F1563" s="656" t="s">
        <v>436</v>
      </c>
      <c r="G1563" s="606">
        <v>619.0</v>
      </c>
      <c r="H1563" s="608" t="s">
        <v>2491</v>
      </c>
    </row>
    <row r="1564">
      <c r="A1564" s="512" t="s">
        <v>617</v>
      </c>
      <c r="B1564" s="512" t="s">
        <v>449</v>
      </c>
      <c r="C1564" s="605">
        <v>45854.0</v>
      </c>
      <c r="D1564" s="512">
        <v>3.4617690339E10</v>
      </c>
      <c r="E1564" s="646" t="s">
        <v>3378</v>
      </c>
      <c r="F1564" s="656" t="s">
        <v>436</v>
      </c>
      <c r="G1564" s="606" t="s">
        <v>3218</v>
      </c>
      <c r="H1564" s="608" t="s">
        <v>693</v>
      </c>
    </row>
    <row r="1565">
      <c r="A1565" s="512" t="s">
        <v>617</v>
      </c>
      <c r="B1565" s="512" t="s">
        <v>449</v>
      </c>
      <c r="C1565" s="605">
        <v>45854.0</v>
      </c>
      <c r="D1565" s="512">
        <v>3.0793829447E10</v>
      </c>
      <c r="E1565" s="646" t="s">
        <v>3379</v>
      </c>
      <c r="F1565" s="656" t="s">
        <v>436</v>
      </c>
      <c r="G1565" s="606" t="s">
        <v>3380</v>
      </c>
      <c r="H1565" s="608" t="s">
        <v>693</v>
      </c>
    </row>
    <row r="1566">
      <c r="A1566" s="512" t="s">
        <v>617</v>
      </c>
      <c r="B1566" s="512" t="s">
        <v>449</v>
      </c>
      <c r="C1566" s="605">
        <v>45854.0</v>
      </c>
      <c r="D1566" s="512">
        <v>3.5896041163E10</v>
      </c>
      <c r="E1566" s="646" t="s">
        <v>3381</v>
      </c>
      <c r="F1566" s="656" t="s">
        <v>436</v>
      </c>
      <c r="G1566" s="606" t="s">
        <v>3382</v>
      </c>
      <c r="H1566" s="608" t="s">
        <v>693</v>
      </c>
    </row>
    <row r="1567">
      <c r="A1567" s="512" t="s">
        <v>439</v>
      </c>
      <c r="B1567" s="512" t="s">
        <v>433</v>
      </c>
      <c r="C1567" s="605">
        <v>45854.0</v>
      </c>
      <c r="D1567" s="512">
        <v>3.5374976362E10</v>
      </c>
      <c r="E1567" s="646" t="s">
        <v>3383</v>
      </c>
      <c r="F1567" s="656" t="s">
        <v>436</v>
      </c>
      <c r="G1567" s="606" t="s">
        <v>3384</v>
      </c>
      <c r="H1567" s="608" t="s">
        <v>1608</v>
      </c>
    </row>
    <row r="1568">
      <c r="A1568" s="512" t="s">
        <v>617</v>
      </c>
      <c r="B1568" s="512" t="s">
        <v>449</v>
      </c>
      <c r="C1568" s="626">
        <v>45854.0</v>
      </c>
      <c r="D1568" s="512">
        <v>3.3592067377E10</v>
      </c>
      <c r="E1568" s="646" t="s">
        <v>3385</v>
      </c>
      <c r="F1568" s="656" t="s">
        <v>436</v>
      </c>
      <c r="G1568" s="606" t="s">
        <v>3386</v>
      </c>
      <c r="H1568" s="608" t="s">
        <v>693</v>
      </c>
    </row>
    <row r="1569">
      <c r="A1569" s="512" t="s">
        <v>439</v>
      </c>
      <c r="B1569" s="512" t="s">
        <v>449</v>
      </c>
      <c r="C1569" s="605">
        <v>45854.0</v>
      </c>
      <c r="D1569" s="512">
        <v>2.7021918951E10</v>
      </c>
      <c r="E1569" s="646" t="s">
        <v>3387</v>
      </c>
      <c r="F1569" s="656" t="s">
        <v>436</v>
      </c>
      <c r="G1569" s="606" t="s">
        <v>1357</v>
      </c>
      <c r="H1569" s="608" t="s">
        <v>1608</v>
      </c>
    </row>
    <row r="1570">
      <c r="A1570" s="512" t="s">
        <v>617</v>
      </c>
      <c r="B1570" s="512" t="s">
        <v>433</v>
      </c>
      <c r="C1570" s="626">
        <v>45854.0</v>
      </c>
      <c r="D1570" s="512">
        <v>3.2950262354E10</v>
      </c>
      <c r="E1570" s="646" t="s">
        <v>3388</v>
      </c>
      <c r="F1570" s="656" t="s">
        <v>436</v>
      </c>
      <c r="G1570" s="606" t="s">
        <v>3389</v>
      </c>
      <c r="H1570" s="608" t="s">
        <v>693</v>
      </c>
    </row>
    <row r="1571">
      <c r="A1571" s="512" t="s">
        <v>439</v>
      </c>
      <c r="B1571" s="512" t="s">
        <v>433</v>
      </c>
      <c r="C1571" s="605">
        <v>45854.0</v>
      </c>
      <c r="D1571" s="512">
        <v>2.5043250753E10</v>
      </c>
      <c r="E1571" s="646" t="s">
        <v>3390</v>
      </c>
      <c r="F1571" s="656" t="s">
        <v>436</v>
      </c>
      <c r="G1571" s="606" t="s">
        <v>1351</v>
      </c>
      <c r="H1571" s="608" t="s">
        <v>1608</v>
      </c>
    </row>
    <row r="1572">
      <c r="A1572" s="512" t="s">
        <v>823</v>
      </c>
      <c r="B1572" s="512" t="s">
        <v>449</v>
      </c>
      <c r="C1572" s="605">
        <v>45854.0</v>
      </c>
      <c r="D1572" s="512">
        <v>3.8270243041E10</v>
      </c>
      <c r="E1572" s="606" t="s">
        <v>3391</v>
      </c>
      <c r="F1572" s="656" t="s">
        <v>436</v>
      </c>
      <c r="G1572" s="606" t="s">
        <v>2189</v>
      </c>
      <c r="H1572" s="608" t="s">
        <v>2491</v>
      </c>
    </row>
    <row r="1573">
      <c r="A1573" s="512" t="s">
        <v>439</v>
      </c>
      <c r="B1573" s="512" t="s">
        <v>449</v>
      </c>
      <c r="C1573" s="605">
        <v>45855.0</v>
      </c>
      <c r="D1573" s="512">
        <v>3.5630781006E10</v>
      </c>
      <c r="E1573" s="646" t="s">
        <v>3392</v>
      </c>
      <c r="F1573" s="656" t="s">
        <v>436</v>
      </c>
      <c r="G1573" s="606" t="s">
        <v>1712</v>
      </c>
      <c r="H1573" s="608" t="s">
        <v>3332</v>
      </c>
    </row>
    <row r="1574">
      <c r="A1574" s="512" t="s">
        <v>439</v>
      </c>
      <c r="B1574" s="512" t="s">
        <v>433</v>
      </c>
      <c r="C1574" s="605">
        <v>45855.0</v>
      </c>
      <c r="D1574" s="512" t="s">
        <v>3393</v>
      </c>
      <c r="E1574" s="646" t="s">
        <v>3394</v>
      </c>
      <c r="F1574" s="656" t="s">
        <v>436</v>
      </c>
      <c r="G1574" s="606" t="s">
        <v>3256</v>
      </c>
      <c r="H1574" s="608" t="s">
        <v>3332</v>
      </c>
    </row>
    <row r="1575">
      <c r="A1575" s="512" t="s">
        <v>823</v>
      </c>
      <c r="B1575" s="512" t="s">
        <v>449</v>
      </c>
      <c r="C1575" s="605">
        <v>45855.0</v>
      </c>
      <c r="D1575" s="512">
        <v>3.6756976771E10</v>
      </c>
      <c r="E1575" s="606" t="s">
        <v>3395</v>
      </c>
      <c r="F1575" s="656" t="s">
        <v>436</v>
      </c>
      <c r="G1575" s="606" t="s">
        <v>3396</v>
      </c>
      <c r="H1575" s="608" t="s">
        <v>2491</v>
      </c>
    </row>
    <row r="1576">
      <c r="A1576" s="512" t="s">
        <v>439</v>
      </c>
      <c r="B1576" s="512" t="s">
        <v>449</v>
      </c>
      <c r="C1576" s="605">
        <v>45855.0</v>
      </c>
      <c r="D1576" s="512">
        <v>3.8300783249E10</v>
      </c>
      <c r="E1576" s="646" t="s">
        <v>3397</v>
      </c>
      <c r="F1576" s="656" t="s">
        <v>436</v>
      </c>
      <c r="G1576" s="606" t="s">
        <v>3398</v>
      </c>
      <c r="H1576" s="608" t="s">
        <v>3332</v>
      </c>
    </row>
    <row r="1577">
      <c r="A1577" s="512" t="s">
        <v>690</v>
      </c>
      <c r="B1577" s="512" t="s">
        <v>433</v>
      </c>
      <c r="C1577" s="605">
        <v>45855.0</v>
      </c>
      <c r="D1577" s="512">
        <v>3.2174753066E10</v>
      </c>
      <c r="E1577" s="646" t="s">
        <v>3399</v>
      </c>
      <c r="F1577" s="656" t="s">
        <v>436</v>
      </c>
      <c r="G1577" s="606" t="s">
        <v>589</v>
      </c>
      <c r="H1577" s="608" t="s">
        <v>2849</v>
      </c>
    </row>
    <row r="1578">
      <c r="A1578" s="512" t="s">
        <v>823</v>
      </c>
      <c r="B1578" s="512" t="s">
        <v>433</v>
      </c>
      <c r="C1578" s="605">
        <v>45855.0</v>
      </c>
      <c r="D1578" s="512">
        <v>2.9518892236E10</v>
      </c>
      <c r="E1578" s="606" t="s">
        <v>3400</v>
      </c>
      <c r="F1578" s="656" t="s">
        <v>436</v>
      </c>
      <c r="G1578" s="606" t="s">
        <v>3401</v>
      </c>
      <c r="H1578" s="608" t="s">
        <v>2491</v>
      </c>
    </row>
    <row r="1579">
      <c r="A1579" s="512" t="s">
        <v>617</v>
      </c>
      <c r="B1579" s="512" t="s">
        <v>449</v>
      </c>
      <c r="C1579" s="605">
        <v>45855.0</v>
      </c>
      <c r="D1579" s="512">
        <v>3.4831031267E10</v>
      </c>
      <c r="E1579" s="606" t="s">
        <v>3402</v>
      </c>
      <c r="F1579" s="656" t="s">
        <v>436</v>
      </c>
      <c r="G1579" s="606" t="s">
        <v>3403</v>
      </c>
      <c r="H1579" s="608" t="s">
        <v>696</v>
      </c>
    </row>
    <row r="1580">
      <c r="A1580" s="512" t="s">
        <v>432</v>
      </c>
      <c r="B1580" s="512" t="s">
        <v>449</v>
      </c>
      <c r="C1580" s="605">
        <v>45855.0</v>
      </c>
      <c r="D1580" s="512">
        <v>3.3127159948E10</v>
      </c>
      <c r="E1580" s="606" t="s">
        <v>3404</v>
      </c>
      <c r="F1580" s="656" t="s">
        <v>436</v>
      </c>
      <c r="G1580" s="606" t="s">
        <v>3405</v>
      </c>
      <c r="H1580" s="608" t="s">
        <v>1096</v>
      </c>
    </row>
    <row r="1581">
      <c r="A1581" s="512" t="s">
        <v>432</v>
      </c>
      <c r="B1581" s="512" t="s">
        <v>449</v>
      </c>
      <c r="C1581" s="605">
        <v>45855.0</v>
      </c>
      <c r="D1581" s="512">
        <v>3.0055046839E10</v>
      </c>
      <c r="E1581" s="606" t="s">
        <v>3406</v>
      </c>
      <c r="F1581" s="656" t="s">
        <v>436</v>
      </c>
      <c r="G1581" s="606" t="s">
        <v>1656</v>
      </c>
      <c r="H1581" s="608" t="s">
        <v>1096</v>
      </c>
    </row>
    <row r="1582">
      <c r="A1582" s="512" t="s">
        <v>823</v>
      </c>
      <c r="B1582" s="512" t="s">
        <v>449</v>
      </c>
      <c r="C1582" s="605">
        <v>45855.0</v>
      </c>
      <c r="D1582" s="512">
        <v>1.5377827095E10</v>
      </c>
      <c r="E1582" s="606" t="s">
        <v>3407</v>
      </c>
      <c r="F1582" s="656" t="s">
        <v>436</v>
      </c>
      <c r="G1582" s="606" t="s">
        <v>3408</v>
      </c>
      <c r="H1582" s="608" t="s">
        <v>2491</v>
      </c>
    </row>
    <row r="1583">
      <c r="A1583" s="512" t="s">
        <v>823</v>
      </c>
      <c r="B1583" s="512" t="s">
        <v>449</v>
      </c>
      <c r="C1583" s="605">
        <v>45856.0</v>
      </c>
      <c r="D1583" s="512">
        <v>3.2005900564E10</v>
      </c>
      <c r="E1583" s="606" t="s">
        <v>3409</v>
      </c>
      <c r="F1583" s="656" t="s">
        <v>436</v>
      </c>
      <c r="G1583" s="606" t="s">
        <v>3410</v>
      </c>
      <c r="H1583" s="608" t="s">
        <v>699</v>
      </c>
    </row>
    <row r="1584">
      <c r="A1584" s="512" t="s">
        <v>690</v>
      </c>
      <c r="B1584" s="512" t="s">
        <v>449</v>
      </c>
      <c r="C1584" s="605">
        <v>45856.0</v>
      </c>
      <c r="D1584" s="512">
        <v>3.8593377112E10</v>
      </c>
      <c r="E1584" s="646" t="s">
        <v>3411</v>
      </c>
      <c r="F1584" s="656" t="s">
        <v>436</v>
      </c>
      <c r="G1584" s="606" t="s">
        <v>3412</v>
      </c>
      <c r="H1584" s="608" t="s">
        <v>2849</v>
      </c>
    </row>
    <row r="1585">
      <c r="A1585" s="512" t="s">
        <v>617</v>
      </c>
      <c r="B1585" s="512" t="s">
        <v>449</v>
      </c>
      <c r="C1585" s="605">
        <v>45856.0</v>
      </c>
      <c r="D1585" s="512">
        <v>3.1543699557E10</v>
      </c>
      <c r="E1585" s="606" t="s">
        <v>3413</v>
      </c>
      <c r="F1585" s="656" t="s">
        <v>436</v>
      </c>
      <c r="G1585" s="606" t="s">
        <v>2812</v>
      </c>
      <c r="H1585" s="608" t="s">
        <v>696</v>
      </c>
    </row>
    <row r="1586">
      <c r="A1586" s="512" t="s">
        <v>617</v>
      </c>
      <c r="B1586" s="512" t="s">
        <v>449</v>
      </c>
      <c r="C1586" s="605">
        <v>45856.0</v>
      </c>
      <c r="D1586" s="512">
        <v>3.4876976701E10</v>
      </c>
      <c r="E1586" s="606" t="s">
        <v>3414</v>
      </c>
      <c r="F1586" s="656" t="s">
        <v>436</v>
      </c>
      <c r="G1586" s="606" t="s">
        <v>3415</v>
      </c>
      <c r="H1586" s="608" t="s">
        <v>696</v>
      </c>
    </row>
    <row r="1587">
      <c r="A1587" s="512" t="s">
        <v>823</v>
      </c>
      <c r="B1587" s="512" t="s">
        <v>3183</v>
      </c>
      <c r="C1587" s="605">
        <v>45857.0</v>
      </c>
      <c r="D1587" s="512">
        <v>3.771199365E10</v>
      </c>
      <c r="E1587" s="606" t="s">
        <v>3416</v>
      </c>
      <c r="F1587" s="656" t="s">
        <v>436</v>
      </c>
      <c r="G1587" s="606" t="s">
        <v>1310</v>
      </c>
      <c r="H1587" s="608" t="s">
        <v>699</v>
      </c>
    </row>
    <row r="1588">
      <c r="A1588" s="512" t="s">
        <v>690</v>
      </c>
      <c r="B1588" s="512" t="s">
        <v>449</v>
      </c>
      <c r="C1588" s="605">
        <v>45857.0</v>
      </c>
      <c r="D1588" s="512">
        <v>3.2654269966E10</v>
      </c>
      <c r="E1588" s="606" t="s">
        <v>3417</v>
      </c>
      <c r="F1588" s="656" t="s">
        <v>436</v>
      </c>
      <c r="G1588" s="606" t="s">
        <v>3418</v>
      </c>
      <c r="H1588" s="608" t="s">
        <v>2676</v>
      </c>
    </row>
    <row r="1589">
      <c r="A1589" s="512" t="s">
        <v>617</v>
      </c>
      <c r="B1589" s="512" t="s">
        <v>449</v>
      </c>
      <c r="C1589" s="605">
        <v>45857.0</v>
      </c>
      <c r="D1589" s="512">
        <v>3.5050639401E10</v>
      </c>
      <c r="E1589" s="606" t="s">
        <v>3419</v>
      </c>
      <c r="F1589" s="656" t="s">
        <v>436</v>
      </c>
      <c r="G1589" s="640"/>
      <c r="H1589" s="608" t="s">
        <v>696</v>
      </c>
    </row>
    <row r="1590">
      <c r="A1590" s="512" t="s">
        <v>823</v>
      </c>
      <c r="B1590" s="512" t="s">
        <v>3183</v>
      </c>
      <c r="C1590" s="605">
        <v>45858.0</v>
      </c>
      <c r="D1590" s="512">
        <v>3.5817522886E10</v>
      </c>
      <c r="E1590" s="606" t="s">
        <v>3420</v>
      </c>
      <c r="F1590" s="656" t="s">
        <v>436</v>
      </c>
      <c r="G1590" s="606" t="s">
        <v>3421</v>
      </c>
      <c r="H1590" s="608" t="s">
        <v>2491</v>
      </c>
    </row>
    <row r="1591">
      <c r="A1591" s="512" t="s">
        <v>823</v>
      </c>
      <c r="B1591" s="512" t="s">
        <v>3183</v>
      </c>
      <c r="C1591" s="605">
        <v>45858.0</v>
      </c>
      <c r="D1591" s="512">
        <v>3.4778169419E10</v>
      </c>
      <c r="E1591" s="606" t="s">
        <v>3422</v>
      </c>
      <c r="F1591" s="656" t="s">
        <v>436</v>
      </c>
      <c r="G1591" s="606" t="s">
        <v>3423</v>
      </c>
      <c r="H1591" s="608" t="s">
        <v>2491</v>
      </c>
    </row>
    <row r="1592">
      <c r="A1592" s="512" t="s">
        <v>439</v>
      </c>
      <c r="B1592" s="512" t="s">
        <v>433</v>
      </c>
      <c r="C1592" s="605">
        <v>45858.0</v>
      </c>
      <c r="D1592" s="512">
        <v>3.8816527071E10</v>
      </c>
      <c r="E1592" s="646" t="s">
        <v>3424</v>
      </c>
      <c r="F1592" s="656" t="s">
        <v>436</v>
      </c>
      <c r="G1592" s="606" t="s">
        <v>550</v>
      </c>
      <c r="H1592" s="608" t="s">
        <v>1608</v>
      </c>
    </row>
    <row r="1593">
      <c r="A1593" s="512" t="s">
        <v>823</v>
      </c>
      <c r="B1593" s="512" t="s">
        <v>3183</v>
      </c>
      <c r="C1593" s="605">
        <v>45858.0</v>
      </c>
      <c r="D1593" s="512">
        <v>3.4258941437E10</v>
      </c>
      <c r="E1593" s="606" t="s">
        <v>3425</v>
      </c>
      <c r="F1593" s="656" t="s">
        <v>436</v>
      </c>
      <c r="G1593" s="606" t="s">
        <v>3426</v>
      </c>
      <c r="H1593" s="608" t="s">
        <v>2491</v>
      </c>
    </row>
    <row r="1594">
      <c r="A1594" s="512" t="s">
        <v>823</v>
      </c>
      <c r="B1594" s="512" t="s">
        <v>3183</v>
      </c>
      <c r="C1594" s="605">
        <v>45859.0</v>
      </c>
      <c r="D1594" s="512">
        <v>3.0472722848E10</v>
      </c>
      <c r="E1594" s="606" t="s">
        <v>3427</v>
      </c>
      <c r="F1594" s="656" t="s">
        <v>436</v>
      </c>
      <c r="G1594" s="606">
        <v>1518.0</v>
      </c>
      <c r="H1594" s="608" t="s">
        <v>2491</v>
      </c>
    </row>
    <row r="1595">
      <c r="A1595" s="512" t="s">
        <v>432</v>
      </c>
      <c r="B1595" s="512" t="s">
        <v>3183</v>
      </c>
      <c r="C1595" s="605">
        <v>45859.0</v>
      </c>
      <c r="D1595" s="512">
        <v>3.2652437361E10</v>
      </c>
      <c r="E1595" s="606" t="s">
        <v>3428</v>
      </c>
      <c r="F1595" s="656" t="s">
        <v>436</v>
      </c>
      <c r="G1595" s="606" t="s">
        <v>3429</v>
      </c>
      <c r="H1595" s="608" t="s">
        <v>1096</v>
      </c>
    </row>
    <row r="1596">
      <c r="A1596" s="512" t="s">
        <v>432</v>
      </c>
      <c r="B1596" s="512" t="s">
        <v>3183</v>
      </c>
      <c r="C1596" s="605">
        <v>45859.0</v>
      </c>
      <c r="D1596" s="512">
        <v>3.3414899129E10</v>
      </c>
      <c r="E1596" s="606" t="s">
        <v>3430</v>
      </c>
      <c r="F1596" s="656" t="s">
        <v>436</v>
      </c>
      <c r="G1596" s="606" t="s">
        <v>3431</v>
      </c>
      <c r="H1596" s="608" t="s">
        <v>1096</v>
      </c>
    </row>
    <row r="1597">
      <c r="A1597" s="512" t="s">
        <v>690</v>
      </c>
      <c r="B1597" s="512" t="s">
        <v>3183</v>
      </c>
      <c r="C1597" s="605">
        <v>45859.0</v>
      </c>
      <c r="D1597" s="512">
        <v>3.2553112905E10</v>
      </c>
      <c r="E1597" s="648" t="s">
        <v>3432</v>
      </c>
      <c r="F1597" s="656" t="s">
        <v>436</v>
      </c>
      <c r="G1597" s="606" t="s">
        <v>3382</v>
      </c>
      <c r="H1597" s="608" t="s">
        <v>2849</v>
      </c>
    </row>
    <row r="1598">
      <c r="A1598" s="512" t="s">
        <v>432</v>
      </c>
      <c r="B1598" s="512" t="s">
        <v>3183</v>
      </c>
      <c r="C1598" s="605">
        <v>45859.0</v>
      </c>
      <c r="D1598" s="512">
        <v>3.4297464107E10</v>
      </c>
      <c r="E1598" s="606" t="s">
        <v>3433</v>
      </c>
      <c r="F1598" s="656" t="s">
        <v>436</v>
      </c>
      <c r="G1598" s="606" t="s">
        <v>3434</v>
      </c>
      <c r="H1598" s="608" t="s">
        <v>1096</v>
      </c>
    </row>
    <row r="1599">
      <c r="A1599" s="512" t="s">
        <v>617</v>
      </c>
      <c r="B1599" s="512" t="s">
        <v>449</v>
      </c>
      <c r="C1599" s="605">
        <v>45859.0</v>
      </c>
      <c r="D1599" s="512">
        <v>3.3899179766E10</v>
      </c>
      <c r="E1599" s="606" t="s">
        <v>3435</v>
      </c>
      <c r="F1599" s="656" t="s">
        <v>436</v>
      </c>
      <c r="G1599" s="606" t="s">
        <v>1527</v>
      </c>
      <c r="H1599" s="608" t="s">
        <v>3436</v>
      </c>
    </row>
    <row r="1600">
      <c r="A1600" s="512" t="s">
        <v>439</v>
      </c>
      <c r="B1600" s="512" t="s">
        <v>3183</v>
      </c>
      <c r="C1600" s="605">
        <v>45859.0</v>
      </c>
      <c r="D1600" s="512">
        <v>3.8930263483E10</v>
      </c>
      <c r="E1600" s="646" t="s">
        <v>3437</v>
      </c>
      <c r="F1600" s="656" t="s">
        <v>436</v>
      </c>
      <c r="G1600" s="606" t="s">
        <v>3438</v>
      </c>
      <c r="H1600" s="608" t="s">
        <v>3332</v>
      </c>
    </row>
    <row r="1601">
      <c r="A1601" s="512" t="s">
        <v>439</v>
      </c>
      <c r="B1601" s="512" t="s">
        <v>3183</v>
      </c>
      <c r="C1601" s="605">
        <v>45859.0</v>
      </c>
      <c r="D1601" s="512">
        <v>3.8930263475E10</v>
      </c>
      <c r="E1601" s="646" t="s">
        <v>3437</v>
      </c>
      <c r="F1601" s="656" t="s">
        <v>436</v>
      </c>
      <c r="G1601" s="606" t="s">
        <v>3438</v>
      </c>
      <c r="H1601" s="608" t="s">
        <v>3332</v>
      </c>
    </row>
    <row r="1602">
      <c r="A1602" s="512" t="s">
        <v>617</v>
      </c>
      <c r="B1602" s="512" t="s">
        <v>449</v>
      </c>
      <c r="C1602" s="605">
        <v>45859.0</v>
      </c>
      <c r="D1602" s="512">
        <v>3.9058109951E10</v>
      </c>
      <c r="E1602" s="606" t="s">
        <v>3439</v>
      </c>
      <c r="F1602" s="656" t="s">
        <v>436</v>
      </c>
      <c r="G1602" s="606" t="s">
        <v>1669</v>
      </c>
      <c r="H1602" s="608" t="s">
        <v>696</v>
      </c>
    </row>
    <row r="1603">
      <c r="A1603" s="512" t="s">
        <v>617</v>
      </c>
      <c r="B1603" s="512" t="s">
        <v>449</v>
      </c>
      <c r="C1603" s="605">
        <v>45859.0</v>
      </c>
      <c r="D1603" s="512">
        <v>3.688470176E10</v>
      </c>
      <c r="E1603" s="606" t="s">
        <v>3440</v>
      </c>
      <c r="F1603" s="656" t="s">
        <v>436</v>
      </c>
      <c r="G1603" s="606" t="s">
        <v>3441</v>
      </c>
      <c r="H1603" s="608" t="s">
        <v>3436</v>
      </c>
    </row>
    <row r="1604">
      <c r="A1604" s="512" t="s">
        <v>823</v>
      </c>
      <c r="B1604" s="512" t="s">
        <v>3183</v>
      </c>
      <c r="C1604" s="605">
        <v>45859.0</v>
      </c>
      <c r="D1604" s="512">
        <v>3.8633970868E10</v>
      </c>
      <c r="E1604" s="606" t="s">
        <v>3442</v>
      </c>
      <c r="F1604" s="656" t="s">
        <v>436</v>
      </c>
      <c r="G1604" s="606" t="s">
        <v>3443</v>
      </c>
      <c r="H1604" s="608" t="s">
        <v>2491</v>
      </c>
    </row>
    <row r="1605">
      <c r="A1605" s="512" t="s">
        <v>823</v>
      </c>
      <c r="B1605" s="512" t="s">
        <v>3183</v>
      </c>
      <c r="C1605" s="605">
        <v>45859.0</v>
      </c>
      <c r="D1605" s="512">
        <v>3.8633970865E10</v>
      </c>
      <c r="E1605" s="606" t="s">
        <v>3444</v>
      </c>
      <c r="F1605" s="656" t="s">
        <v>436</v>
      </c>
      <c r="G1605" s="606" t="s">
        <v>1695</v>
      </c>
      <c r="H1605" s="608" t="s">
        <v>2491</v>
      </c>
    </row>
    <row r="1606">
      <c r="A1606" s="512" t="s">
        <v>432</v>
      </c>
      <c r="B1606" s="512" t="s">
        <v>3445</v>
      </c>
      <c r="C1606" s="605">
        <v>45860.0</v>
      </c>
      <c r="D1606" s="512">
        <v>3.6517922913E10</v>
      </c>
      <c r="E1606" s="606" t="s">
        <v>3446</v>
      </c>
      <c r="F1606" s="656" t="s">
        <v>436</v>
      </c>
      <c r="G1606" s="606" t="s">
        <v>3447</v>
      </c>
      <c r="H1606" s="608" t="s">
        <v>1096</v>
      </c>
    </row>
    <row r="1607">
      <c r="A1607" s="512" t="s">
        <v>823</v>
      </c>
      <c r="B1607" s="512" t="s">
        <v>433</v>
      </c>
      <c r="C1607" s="605">
        <v>45860.0</v>
      </c>
      <c r="D1607" s="512">
        <v>3.2328634146E10</v>
      </c>
      <c r="E1607" s="606" t="s">
        <v>3448</v>
      </c>
      <c r="F1607" s="656" t="s">
        <v>436</v>
      </c>
      <c r="G1607" s="606" t="s">
        <v>3449</v>
      </c>
      <c r="H1607" s="608" t="s">
        <v>699</v>
      </c>
    </row>
    <row r="1608">
      <c r="A1608" s="512" t="s">
        <v>432</v>
      </c>
      <c r="B1608" s="512" t="s">
        <v>449</v>
      </c>
      <c r="C1608" s="605">
        <v>45860.0</v>
      </c>
      <c r="D1608" s="512">
        <v>3.7105489964E10</v>
      </c>
      <c r="E1608" s="606" t="s">
        <v>3450</v>
      </c>
      <c r="F1608" s="656" t="s">
        <v>436</v>
      </c>
      <c r="G1608" s="606" t="s">
        <v>3451</v>
      </c>
      <c r="H1608" s="608" t="s">
        <v>1096</v>
      </c>
    </row>
    <row r="1609">
      <c r="A1609" s="512" t="s">
        <v>432</v>
      </c>
      <c r="B1609" s="512" t="s">
        <v>449</v>
      </c>
      <c r="C1609" s="605">
        <v>45860.0</v>
      </c>
      <c r="D1609" s="512">
        <v>3.3666404434E10</v>
      </c>
      <c r="E1609" s="606" t="s">
        <v>3452</v>
      </c>
      <c r="F1609" s="656" t="s">
        <v>436</v>
      </c>
      <c r="G1609" s="606" t="s">
        <v>3453</v>
      </c>
      <c r="H1609" s="608" t="s">
        <v>1096</v>
      </c>
    </row>
    <row r="1610">
      <c r="A1610" s="512" t="s">
        <v>690</v>
      </c>
      <c r="B1610" s="512" t="s">
        <v>3445</v>
      </c>
      <c r="C1610" s="605">
        <v>45860.0</v>
      </c>
      <c r="D1610" s="512">
        <v>3.0225220476E10</v>
      </c>
      <c r="E1610" s="606" t="s">
        <v>3454</v>
      </c>
      <c r="F1610" s="656" t="s">
        <v>436</v>
      </c>
      <c r="G1610" s="606" t="s">
        <v>816</v>
      </c>
      <c r="H1610" s="608" t="s">
        <v>2676</v>
      </c>
    </row>
    <row r="1611">
      <c r="A1611" s="512" t="s">
        <v>690</v>
      </c>
      <c r="B1611" s="512" t="s">
        <v>433</v>
      </c>
      <c r="C1611" s="605">
        <v>45860.0</v>
      </c>
      <c r="D1611" s="512">
        <v>3.4481884526E10</v>
      </c>
      <c r="E1611" s="606" t="s">
        <v>3455</v>
      </c>
      <c r="F1611" s="656" t="s">
        <v>436</v>
      </c>
      <c r="G1611" s="606" t="s">
        <v>3456</v>
      </c>
      <c r="H1611" s="608" t="s">
        <v>2676</v>
      </c>
    </row>
    <row r="1612">
      <c r="A1612" s="512" t="s">
        <v>439</v>
      </c>
      <c r="B1612" s="512" t="s">
        <v>3445</v>
      </c>
      <c r="C1612" s="605">
        <v>45860.0</v>
      </c>
      <c r="D1612" s="512">
        <v>3.405177045E10</v>
      </c>
      <c r="E1612" s="646" t="s">
        <v>3457</v>
      </c>
      <c r="F1612" s="656" t="s">
        <v>436</v>
      </c>
      <c r="G1612" s="606" t="s">
        <v>2954</v>
      </c>
      <c r="H1612" s="608" t="s">
        <v>3332</v>
      </c>
    </row>
    <row r="1613">
      <c r="A1613" s="512" t="s">
        <v>439</v>
      </c>
      <c r="B1613" s="512" t="s">
        <v>3458</v>
      </c>
      <c r="C1613" s="605">
        <v>45860.0</v>
      </c>
      <c r="D1613" s="512">
        <v>3.07801181E10</v>
      </c>
      <c r="E1613" s="646" t="s">
        <v>3459</v>
      </c>
      <c r="F1613" s="656" t="s">
        <v>436</v>
      </c>
      <c r="G1613" s="606" t="s">
        <v>3211</v>
      </c>
      <c r="H1613" s="608" t="s">
        <v>3332</v>
      </c>
    </row>
    <row r="1614">
      <c r="A1614" s="512" t="s">
        <v>823</v>
      </c>
      <c r="B1614" s="512" t="s">
        <v>3445</v>
      </c>
      <c r="C1614" s="605">
        <v>45860.0</v>
      </c>
      <c r="D1614" s="512">
        <v>3.8853177283E10</v>
      </c>
      <c r="E1614" s="606" t="s">
        <v>3460</v>
      </c>
      <c r="F1614" s="656" t="s">
        <v>436</v>
      </c>
      <c r="G1614" s="606" t="s">
        <v>3461</v>
      </c>
      <c r="H1614" s="608" t="s">
        <v>699</v>
      </c>
    </row>
    <row r="1615">
      <c r="A1615" s="512" t="s">
        <v>690</v>
      </c>
      <c r="B1615" s="512" t="s">
        <v>3445</v>
      </c>
      <c r="C1615" s="605">
        <v>45860.0</v>
      </c>
      <c r="D1615" s="512">
        <v>3.1899332652E10</v>
      </c>
      <c r="E1615" s="606" t="s">
        <v>3462</v>
      </c>
      <c r="F1615" s="656" t="s">
        <v>436</v>
      </c>
      <c r="G1615" s="606" t="s">
        <v>3463</v>
      </c>
      <c r="H1615" s="608" t="s">
        <v>2676</v>
      </c>
    </row>
    <row r="1616">
      <c r="A1616" s="512" t="s">
        <v>617</v>
      </c>
      <c r="B1616" s="512" t="s">
        <v>449</v>
      </c>
      <c r="C1616" s="605">
        <v>45860.0</v>
      </c>
      <c r="D1616" s="512">
        <v>3.8103194441E10</v>
      </c>
      <c r="E1616" s="606" t="s">
        <v>3464</v>
      </c>
      <c r="F1616" s="656" t="s">
        <v>436</v>
      </c>
      <c r="G1616" s="640"/>
      <c r="H1616" s="608" t="s">
        <v>696</v>
      </c>
    </row>
    <row r="1617">
      <c r="A1617" s="512" t="s">
        <v>439</v>
      </c>
      <c r="B1617" s="512" t="s">
        <v>433</v>
      </c>
      <c r="C1617" s="605">
        <v>45861.0</v>
      </c>
      <c r="D1617" s="512">
        <v>2.9352089628E10</v>
      </c>
      <c r="E1617" s="648" t="s">
        <v>3465</v>
      </c>
      <c r="F1617" s="656" t="s">
        <v>436</v>
      </c>
      <c r="G1617" s="606" t="s">
        <v>2763</v>
      </c>
      <c r="H1617" s="608" t="s">
        <v>1608</v>
      </c>
    </row>
    <row r="1618">
      <c r="A1618" s="512" t="s">
        <v>617</v>
      </c>
      <c r="B1618" s="512" t="s">
        <v>3362</v>
      </c>
      <c r="C1618" s="605">
        <v>45861.0</v>
      </c>
      <c r="D1618" s="512">
        <v>3.9013432638E10</v>
      </c>
      <c r="E1618" s="606" t="s">
        <v>3466</v>
      </c>
      <c r="F1618" s="656" t="s">
        <v>436</v>
      </c>
      <c r="G1618" s="606" t="s">
        <v>3467</v>
      </c>
      <c r="H1618" s="608" t="s">
        <v>696</v>
      </c>
    </row>
    <row r="1619">
      <c r="A1619" s="512" t="s">
        <v>823</v>
      </c>
      <c r="B1619" s="512" t="s">
        <v>433</v>
      </c>
      <c r="C1619" s="605">
        <v>45861.0</v>
      </c>
      <c r="D1619" s="512">
        <v>3.3998344311E10</v>
      </c>
      <c r="E1619" s="606" t="s">
        <v>3468</v>
      </c>
      <c r="F1619" s="656" t="s">
        <v>436</v>
      </c>
      <c r="G1619" s="606" t="s">
        <v>3264</v>
      </c>
      <c r="H1619" s="608" t="s">
        <v>699</v>
      </c>
    </row>
    <row r="1620">
      <c r="A1620" s="512" t="s">
        <v>439</v>
      </c>
      <c r="B1620" s="512" t="s">
        <v>3445</v>
      </c>
      <c r="C1620" s="605">
        <v>45861.0</v>
      </c>
      <c r="D1620" s="512">
        <v>3.888977968E10</v>
      </c>
      <c r="E1620" s="646" t="s">
        <v>3469</v>
      </c>
      <c r="F1620" s="656" t="s">
        <v>436</v>
      </c>
      <c r="G1620" s="606" t="s">
        <v>3470</v>
      </c>
      <c r="H1620" s="608" t="s">
        <v>1608</v>
      </c>
    </row>
    <row r="1621">
      <c r="A1621" s="512" t="s">
        <v>439</v>
      </c>
      <c r="B1621" s="512" t="s">
        <v>3445</v>
      </c>
      <c r="C1621" s="605">
        <v>45861.0</v>
      </c>
      <c r="D1621" s="512">
        <v>3.8930301422E10</v>
      </c>
      <c r="E1621" s="646" t="s">
        <v>3471</v>
      </c>
      <c r="F1621" s="656" t="s">
        <v>436</v>
      </c>
      <c r="G1621" s="606" t="s">
        <v>3472</v>
      </c>
      <c r="H1621" s="608" t="s">
        <v>1608</v>
      </c>
    </row>
    <row r="1622">
      <c r="A1622" s="512" t="s">
        <v>439</v>
      </c>
      <c r="B1622" s="512" t="s">
        <v>3445</v>
      </c>
      <c r="C1622" s="605">
        <v>45861.0</v>
      </c>
      <c r="D1622" s="512">
        <v>3.8930301418E10</v>
      </c>
      <c r="E1622" s="646" t="s">
        <v>3471</v>
      </c>
      <c r="F1622" s="656" t="s">
        <v>436</v>
      </c>
      <c r="G1622" s="606" t="s">
        <v>3472</v>
      </c>
      <c r="H1622" s="608" t="s">
        <v>1608</v>
      </c>
    </row>
    <row r="1623">
      <c r="A1623" s="512" t="s">
        <v>690</v>
      </c>
      <c r="B1623" s="512" t="s">
        <v>3445</v>
      </c>
      <c r="C1623" s="605">
        <v>45861.0</v>
      </c>
      <c r="D1623" s="512">
        <v>3.686321554E10</v>
      </c>
      <c r="E1623" s="606" t="s">
        <v>3473</v>
      </c>
      <c r="F1623" s="656" t="s">
        <v>436</v>
      </c>
      <c r="G1623" s="606" t="s">
        <v>3474</v>
      </c>
      <c r="H1623" s="608" t="s">
        <v>2676</v>
      </c>
    </row>
    <row r="1624">
      <c r="A1624" s="512" t="s">
        <v>617</v>
      </c>
      <c r="B1624" s="512" t="s">
        <v>449</v>
      </c>
      <c r="C1624" s="605">
        <v>45862.0</v>
      </c>
      <c r="D1624" s="512">
        <v>3.1768862785E10</v>
      </c>
      <c r="E1624" s="646" t="s">
        <v>3475</v>
      </c>
      <c r="F1624" s="656" t="s">
        <v>436</v>
      </c>
      <c r="G1624" s="606" t="s">
        <v>3476</v>
      </c>
      <c r="H1624" s="608" t="s">
        <v>693</v>
      </c>
    </row>
    <row r="1625">
      <c r="A1625" s="512" t="s">
        <v>823</v>
      </c>
      <c r="B1625" s="512" t="s">
        <v>433</v>
      </c>
      <c r="C1625" s="605">
        <v>45862.0</v>
      </c>
      <c r="D1625" s="512">
        <v>3.4868334897E10</v>
      </c>
      <c r="E1625" s="606" t="s">
        <v>3477</v>
      </c>
      <c r="F1625" s="656" t="s">
        <v>436</v>
      </c>
      <c r="G1625" s="606" t="s">
        <v>3478</v>
      </c>
      <c r="H1625" s="608" t="s">
        <v>699</v>
      </c>
    </row>
    <row r="1626">
      <c r="A1626" s="512" t="s">
        <v>823</v>
      </c>
      <c r="B1626" s="512" t="s">
        <v>449</v>
      </c>
      <c r="C1626" s="605">
        <v>45862.0</v>
      </c>
      <c r="D1626" s="512">
        <v>3.560863883E10</v>
      </c>
      <c r="E1626" s="606" t="s">
        <v>3479</v>
      </c>
      <c r="F1626" s="656" t="s">
        <v>436</v>
      </c>
      <c r="G1626" s="606" t="s">
        <v>3480</v>
      </c>
      <c r="H1626" s="608" t="s">
        <v>699</v>
      </c>
    </row>
    <row r="1627">
      <c r="A1627" s="512" t="s">
        <v>439</v>
      </c>
      <c r="B1627" s="512" t="s">
        <v>3362</v>
      </c>
      <c r="C1627" s="605">
        <v>45862.0</v>
      </c>
      <c r="D1627" s="512">
        <v>3.6493824189E10</v>
      </c>
      <c r="E1627" s="646" t="s">
        <v>3481</v>
      </c>
      <c r="F1627" s="656" t="s">
        <v>436</v>
      </c>
      <c r="G1627" s="606" t="s">
        <v>1938</v>
      </c>
      <c r="H1627" s="608" t="s">
        <v>1608</v>
      </c>
    </row>
    <row r="1628">
      <c r="A1628" s="512" t="s">
        <v>439</v>
      </c>
      <c r="B1628" s="512" t="s">
        <v>449</v>
      </c>
      <c r="C1628" s="605">
        <v>45862.0</v>
      </c>
      <c r="D1628" s="512">
        <v>3.254673122E10</v>
      </c>
      <c r="E1628" s="646" t="s">
        <v>3482</v>
      </c>
      <c r="F1628" s="656" t="s">
        <v>436</v>
      </c>
      <c r="G1628" s="606" t="s">
        <v>3483</v>
      </c>
      <c r="H1628" s="608" t="s">
        <v>1608</v>
      </c>
    </row>
    <row r="1629">
      <c r="A1629" s="512" t="s">
        <v>823</v>
      </c>
      <c r="B1629" s="512" t="s">
        <v>433</v>
      </c>
      <c r="C1629" s="605">
        <v>45862.0</v>
      </c>
      <c r="D1629" s="512">
        <v>3.6554736238E10</v>
      </c>
      <c r="E1629" s="606" t="s">
        <v>3484</v>
      </c>
      <c r="F1629" s="656" t="s">
        <v>436</v>
      </c>
      <c r="G1629" s="606" t="s">
        <v>2097</v>
      </c>
      <c r="H1629" s="608" t="s">
        <v>699</v>
      </c>
    </row>
    <row r="1630">
      <c r="A1630" s="512" t="s">
        <v>690</v>
      </c>
      <c r="B1630" s="512" t="s">
        <v>449</v>
      </c>
      <c r="C1630" s="605">
        <v>45862.0</v>
      </c>
      <c r="D1630" s="512">
        <v>3.3559254569E10</v>
      </c>
      <c r="E1630" s="606" t="s">
        <v>3485</v>
      </c>
      <c r="F1630" s="656" t="s">
        <v>436</v>
      </c>
      <c r="G1630" s="606" t="s">
        <v>3486</v>
      </c>
      <c r="H1630" s="608" t="s">
        <v>2676</v>
      </c>
    </row>
    <row r="1631">
      <c r="A1631" s="512" t="s">
        <v>617</v>
      </c>
      <c r="B1631" s="512" t="s">
        <v>3487</v>
      </c>
      <c r="C1631" s="605">
        <v>45862.0</v>
      </c>
      <c r="D1631" s="512">
        <v>3.8112413906E10</v>
      </c>
      <c r="E1631" s="648" t="s">
        <v>3488</v>
      </c>
      <c r="F1631" s="656" t="s">
        <v>436</v>
      </c>
      <c r="G1631" s="606" t="s">
        <v>829</v>
      </c>
      <c r="H1631" s="608" t="s">
        <v>693</v>
      </c>
      <c r="I1631" s="118"/>
      <c r="J1631" s="118"/>
      <c r="K1631" s="118"/>
      <c r="L1631" s="118"/>
      <c r="M1631" s="118"/>
      <c r="N1631" s="118"/>
      <c r="O1631" s="118"/>
      <c r="P1631" s="118"/>
      <c r="Q1631" s="118"/>
      <c r="R1631" s="118"/>
      <c r="S1631" s="118"/>
      <c r="T1631" s="118"/>
      <c r="U1631" s="118"/>
      <c r="V1631" s="118"/>
      <c r="W1631" s="118"/>
      <c r="X1631" s="118"/>
      <c r="Y1631" s="118"/>
      <c r="Z1631" s="118"/>
      <c r="AA1631" s="118"/>
    </row>
    <row r="1632">
      <c r="A1632" s="512" t="s">
        <v>617</v>
      </c>
      <c r="B1632" s="512" t="s">
        <v>449</v>
      </c>
      <c r="C1632" s="605">
        <v>45862.0</v>
      </c>
      <c r="D1632" s="512">
        <v>3.9165836921E10</v>
      </c>
      <c r="E1632" s="646" t="s">
        <v>3489</v>
      </c>
      <c r="F1632" s="656" t="s">
        <v>436</v>
      </c>
      <c r="G1632" s="606" t="s">
        <v>3490</v>
      </c>
      <c r="H1632" s="608" t="s">
        <v>693</v>
      </c>
    </row>
    <row r="1633">
      <c r="A1633" s="512" t="s">
        <v>439</v>
      </c>
      <c r="B1633" s="512" t="s">
        <v>449</v>
      </c>
      <c r="C1633" s="605">
        <v>45863.0</v>
      </c>
      <c r="D1633" s="512">
        <v>3.5745597133E10</v>
      </c>
      <c r="E1633" s="646" t="s">
        <v>3491</v>
      </c>
      <c r="F1633" s="656" t="s">
        <v>436</v>
      </c>
      <c r="G1633" s="606" t="s">
        <v>3492</v>
      </c>
      <c r="H1633" s="608" t="s">
        <v>3332</v>
      </c>
    </row>
    <row r="1634">
      <c r="A1634" s="512" t="s">
        <v>432</v>
      </c>
      <c r="B1634" s="512" t="s">
        <v>449</v>
      </c>
      <c r="C1634" s="605">
        <v>45863.0</v>
      </c>
      <c r="D1634" s="512">
        <v>3.4623401084E10</v>
      </c>
      <c r="E1634" s="606" t="s">
        <v>3493</v>
      </c>
      <c r="F1634" s="656" t="s">
        <v>436</v>
      </c>
      <c r="G1634" s="606" t="s">
        <v>3494</v>
      </c>
      <c r="H1634" s="608" t="s">
        <v>1096</v>
      </c>
    </row>
    <row r="1635">
      <c r="A1635" s="512" t="s">
        <v>617</v>
      </c>
      <c r="B1635" s="512" t="s">
        <v>449</v>
      </c>
      <c r="C1635" s="605">
        <v>45864.0</v>
      </c>
      <c r="D1635" s="512">
        <v>3.6007272885E10</v>
      </c>
      <c r="E1635" s="606" t="s">
        <v>3495</v>
      </c>
      <c r="F1635" s="656" t="s">
        <v>436</v>
      </c>
      <c r="G1635" s="606" t="s">
        <v>1977</v>
      </c>
      <c r="H1635" s="608" t="s">
        <v>696</v>
      </c>
    </row>
    <row r="1636">
      <c r="A1636" s="512" t="s">
        <v>617</v>
      </c>
      <c r="B1636" s="512" t="s">
        <v>497</v>
      </c>
      <c r="C1636" s="605">
        <v>45864.0</v>
      </c>
      <c r="D1636" s="512">
        <v>3.3610515495E10</v>
      </c>
      <c r="E1636" s="606" t="s">
        <v>3496</v>
      </c>
      <c r="F1636" s="656" t="s">
        <v>436</v>
      </c>
      <c r="G1636" s="606" t="s">
        <v>3497</v>
      </c>
      <c r="H1636" s="608" t="s">
        <v>696</v>
      </c>
    </row>
    <row r="1637">
      <c r="A1637" s="512" t="s">
        <v>617</v>
      </c>
      <c r="B1637" s="512" t="s">
        <v>449</v>
      </c>
      <c r="C1637" s="626">
        <v>45864.0</v>
      </c>
      <c r="D1637" s="512">
        <v>3.8289318305E10</v>
      </c>
      <c r="E1637" s="606" t="s">
        <v>3498</v>
      </c>
      <c r="F1637" s="656" t="s">
        <v>436</v>
      </c>
      <c r="G1637" s="606" t="s">
        <v>1114</v>
      </c>
      <c r="H1637" s="608" t="s">
        <v>696</v>
      </c>
    </row>
    <row r="1638">
      <c r="A1638" s="512" t="s">
        <v>823</v>
      </c>
      <c r="B1638" s="512" t="s">
        <v>449</v>
      </c>
      <c r="C1638" s="605">
        <v>45865.0</v>
      </c>
      <c r="D1638" s="512">
        <v>3.2789647768E10</v>
      </c>
      <c r="E1638" s="646" t="s">
        <v>3499</v>
      </c>
      <c r="F1638" s="656" t="s">
        <v>436</v>
      </c>
      <c r="G1638" s="606" t="s">
        <v>3500</v>
      </c>
      <c r="H1638" s="608" t="s">
        <v>3332</v>
      </c>
    </row>
    <row r="1639">
      <c r="A1639" s="536" t="s">
        <v>690</v>
      </c>
      <c r="B1639" s="512" t="s">
        <v>449</v>
      </c>
      <c r="C1639" s="605">
        <v>45865.0</v>
      </c>
      <c r="D1639" s="512">
        <v>3.5105643343E10</v>
      </c>
      <c r="E1639" s="606" t="s">
        <v>3501</v>
      </c>
      <c r="F1639" s="656" t="s">
        <v>436</v>
      </c>
      <c r="G1639" s="606" t="s">
        <v>3502</v>
      </c>
      <c r="H1639" s="608" t="s">
        <v>2676</v>
      </c>
    </row>
    <row r="1640">
      <c r="A1640" s="512" t="s">
        <v>617</v>
      </c>
      <c r="B1640" s="512" t="s">
        <v>449</v>
      </c>
      <c r="C1640" s="605">
        <v>45865.0</v>
      </c>
      <c r="D1640" s="512">
        <v>3.2692245018E10</v>
      </c>
      <c r="E1640" s="606" t="s">
        <v>3503</v>
      </c>
      <c r="F1640" s="656" t="s">
        <v>436</v>
      </c>
      <c r="G1640" s="606" t="s">
        <v>3504</v>
      </c>
      <c r="H1640" s="608" t="s">
        <v>696</v>
      </c>
    </row>
    <row r="1641">
      <c r="A1641" s="512" t="s">
        <v>439</v>
      </c>
      <c r="B1641" s="512" t="s">
        <v>433</v>
      </c>
      <c r="C1641" s="605">
        <v>45865.0</v>
      </c>
      <c r="D1641" s="512">
        <v>3.3867694218E10</v>
      </c>
      <c r="E1641" s="646" t="s">
        <v>3505</v>
      </c>
      <c r="F1641" s="656" t="s">
        <v>436</v>
      </c>
      <c r="G1641" s="606" t="s">
        <v>3506</v>
      </c>
      <c r="H1641" s="608" t="s">
        <v>1608</v>
      </c>
    </row>
    <row r="1642">
      <c r="A1642" s="512" t="s">
        <v>439</v>
      </c>
      <c r="B1642" s="512" t="s">
        <v>433</v>
      </c>
      <c r="C1642" s="605">
        <v>45865.0</v>
      </c>
      <c r="D1642" s="512">
        <v>3.6491479903E10</v>
      </c>
      <c r="E1642" s="646" t="s">
        <v>3505</v>
      </c>
      <c r="F1642" s="656" t="s">
        <v>436</v>
      </c>
      <c r="G1642" s="606" t="s">
        <v>3506</v>
      </c>
      <c r="H1642" s="608" t="s">
        <v>1608</v>
      </c>
    </row>
    <row r="1643">
      <c r="A1643" s="512" t="s">
        <v>823</v>
      </c>
      <c r="B1643" s="512" t="s">
        <v>449</v>
      </c>
      <c r="C1643" s="605">
        <v>45865.0</v>
      </c>
      <c r="D1643" s="512">
        <v>3.1458354298E10</v>
      </c>
      <c r="E1643" s="646" t="s">
        <v>3507</v>
      </c>
      <c r="F1643" s="656" t="s">
        <v>436</v>
      </c>
      <c r="G1643" s="606" t="s">
        <v>3508</v>
      </c>
      <c r="H1643" s="608" t="s">
        <v>3332</v>
      </c>
    </row>
    <row r="1644">
      <c r="A1644" s="512" t="s">
        <v>617</v>
      </c>
      <c r="B1644" s="512" t="s">
        <v>449</v>
      </c>
      <c r="C1644" s="605">
        <v>45865.0</v>
      </c>
      <c r="D1644" s="512">
        <v>3.1784431441E10</v>
      </c>
      <c r="E1644" s="606" t="s">
        <v>3509</v>
      </c>
      <c r="F1644" s="606" t="s">
        <v>436</v>
      </c>
      <c r="G1644" s="606" t="s">
        <v>3510</v>
      </c>
      <c r="H1644" s="608" t="s">
        <v>696</v>
      </c>
    </row>
    <row r="1645">
      <c r="A1645" s="512" t="s">
        <v>617</v>
      </c>
      <c r="B1645" s="512" t="s">
        <v>449</v>
      </c>
      <c r="C1645" s="605">
        <v>45865.0</v>
      </c>
      <c r="D1645" s="512">
        <v>2.7025399607E10</v>
      </c>
      <c r="E1645" s="606" t="s">
        <v>3511</v>
      </c>
      <c r="F1645" s="656" t="s">
        <v>436</v>
      </c>
      <c r="G1645" s="640"/>
      <c r="H1645" s="608" t="s">
        <v>696</v>
      </c>
    </row>
    <row r="1646">
      <c r="A1646" s="512" t="s">
        <v>823</v>
      </c>
      <c r="B1646" s="512" t="s">
        <v>449</v>
      </c>
      <c r="C1646" s="605">
        <v>45866.0</v>
      </c>
      <c r="D1646" s="512">
        <v>2.8948727437E10</v>
      </c>
      <c r="E1646" s="646" t="s">
        <v>3512</v>
      </c>
      <c r="F1646" s="656" t="s">
        <v>436</v>
      </c>
      <c r="G1646" s="606" t="s">
        <v>1760</v>
      </c>
      <c r="H1646" s="608" t="s">
        <v>3332</v>
      </c>
    </row>
    <row r="1647">
      <c r="A1647" s="512" t="s">
        <v>690</v>
      </c>
      <c r="B1647" s="512" t="s">
        <v>449</v>
      </c>
      <c r="C1647" s="605">
        <v>45866.0</v>
      </c>
      <c r="D1647" s="512">
        <v>3.624118123E10</v>
      </c>
      <c r="E1647" s="646" t="s">
        <v>3513</v>
      </c>
      <c r="F1647" s="656" t="s">
        <v>436</v>
      </c>
      <c r="G1647" s="606" t="s">
        <v>3514</v>
      </c>
      <c r="H1647" s="608" t="s">
        <v>693</v>
      </c>
    </row>
    <row r="1648">
      <c r="A1648" s="512" t="s">
        <v>617</v>
      </c>
      <c r="B1648" s="512" t="s">
        <v>449</v>
      </c>
      <c r="C1648" s="605">
        <v>45866.0</v>
      </c>
      <c r="D1648" s="512">
        <v>3.5367894478E10</v>
      </c>
      <c r="E1648" s="646" t="s">
        <v>3515</v>
      </c>
      <c r="F1648" s="656" t="s">
        <v>436</v>
      </c>
      <c r="G1648" s="606" t="s">
        <v>3516</v>
      </c>
      <c r="H1648" s="608" t="s">
        <v>623</v>
      </c>
    </row>
    <row r="1649">
      <c r="A1649" s="512" t="s">
        <v>439</v>
      </c>
      <c r="B1649" s="512" t="s">
        <v>3517</v>
      </c>
      <c r="C1649" s="605">
        <v>45866.0</v>
      </c>
      <c r="D1649" s="646">
        <v>3.4687735159E10</v>
      </c>
      <c r="E1649" s="646" t="s">
        <v>3518</v>
      </c>
      <c r="F1649" s="656" t="s">
        <v>436</v>
      </c>
      <c r="G1649" s="606" t="s">
        <v>737</v>
      </c>
      <c r="H1649" s="608" t="s">
        <v>1608</v>
      </c>
    </row>
    <row r="1650">
      <c r="A1650" s="512" t="s">
        <v>439</v>
      </c>
      <c r="B1650" s="512" t="s">
        <v>449</v>
      </c>
      <c r="C1650" s="605">
        <v>45866.0</v>
      </c>
      <c r="D1650" s="512">
        <v>3.4017375488E10</v>
      </c>
      <c r="E1650" s="646" t="s">
        <v>3519</v>
      </c>
      <c r="F1650" s="656" t="s">
        <v>436</v>
      </c>
      <c r="G1650" s="606" t="s">
        <v>3173</v>
      </c>
      <c r="H1650" s="608" t="s">
        <v>1608</v>
      </c>
    </row>
    <row r="1651">
      <c r="A1651" s="512" t="s">
        <v>823</v>
      </c>
      <c r="B1651" s="512" t="s">
        <v>449</v>
      </c>
      <c r="C1651" s="605">
        <v>45867.0</v>
      </c>
      <c r="D1651" s="512">
        <v>3.0706301274E10</v>
      </c>
      <c r="E1651" s="646" t="s">
        <v>3520</v>
      </c>
      <c r="F1651" s="656" t="s">
        <v>436</v>
      </c>
      <c r="G1651" s="606" t="s">
        <v>3521</v>
      </c>
      <c r="H1651" s="608" t="s">
        <v>3522</v>
      </c>
    </row>
    <row r="1652">
      <c r="A1652" s="512" t="s">
        <v>617</v>
      </c>
      <c r="B1652" s="512" t="s">
        <v>1755</v>
      </c>
      <c r="C1652" s="605">
        <v>45867.0</v>
      </c>
      <c r="D1652" s="512">
        <v>3.6682362952E10</v>
      </c>
      <c r="E1652" s="606" t="s">
        <v>3523</v>
      </c>
      <c r="F1652" s="656" t="s">
        <v>436</v>
      </c>
      <c r="G1652" s="606" t="s">
        <v>3146</v>
      </c>
      <c r="H1652" s="608" t="s">
        <v>696</v>
      </c>
    </row>
    <row r="1653">
      <c r="A1653" s="512" t="s">
        <v>617</v>
      </c>
      <c r="B1653" s="512" t="s">
        <v>433</v>
      </c>
      <c r="C1653" s="605">
        <v>45867.0</v>
      </c>
      <c r="D1653" s="512">
        <v>3.2869114275E10</v>
      </c>
      <c r="E1653" s="606" t="s">
        <v>3523</v>
      </c>
      <c r="F1653" s="656" t="s">
        <v>436</v>
      </c>
      <c r="G1653" s="606" t="s">
        <v>3146</v>
      </c>
      <c r="H1653" s="608" t="s">
        <v>696</v>
      </c>
    </row>
    <row r="1654">
      <c r="A1654" s="512" t="s">
        <v>432</v>
      </c>
      <c r="B1654" s="512" t="s">
        <v>449</v>
      </c>
      <c r="C1654" s="605">
        <v>45868.0</v>
      </c>
      <c r="D1654" s="512">
        <v>3.0900477096E10</v>
      </c>
      <c r="E1654" s="606" t="s">
        <v>3524</v>
      </c>
      <c r="F1654" s="656" t="s">
        <v>436</v>
      </c>
      <c r="G1654" s="606" t="s">
        <v>3525</v>
      </c>
      <c r="H1654" s="608" t="s">
        <v>1096</v>
      </c>
    </row>
    <row r="1655">
      <c r="A1655" s="512" t="s">
        <v>617</v>
      </c>
      <c r="B1655" s="512" t="s">
        <v>449</v>
      </c>
      <c r="C1655" s="605">
        <v>45868.0</v>
      </c>
      <c r="D1655" s="512">
        <v>2.3640883404E10</v>
      </c>
      <c r="E1655" s="606" t="s">
        <v>3526</v>
      </c>
      <c r="F1655" s="656" t="s">
        <v>436</v>
      </c>
      <c r="G1655" s="606" t="s">
        <v>3527</v>
      </c>
      <c r="H1655" s="608" t="s">
        <v>696</v>
      </c>
    </row>
    <row r="1656">
      <c r="A1656" s="512" t="s">
        <v>432</v>
      </c>
      <c r="B1656" s="512" t="s">
        <v>449</v>
      </c>
      <c r="C1656" s="605">
        <v>45868.0</v>
      </c>
      <c r="D1656" s="512">
        <v>3.9139845849E10</v>
      </c>
      <c r="E1656" s="606" t="s">
        <v>3528</v>
      </c>
      <c r="F1656" s="656" t="s">
        <v>436</v>
      </c>
      <c r="G1656" s="606" t="s">
        <v>554</v>
      </c>
      <c r="H1656" s="608" t="s">
        <v>1096</v>
      </c>
    </row>
    <row r="1657">
      <c r="A1657" s="512" t="s">
        <v>690</v>
      </c>
      <c r="B1657" s="512" t="s">
        <v>433</v>
      </c>
      <c r="C1657" s="605">
        <v>45868.0</v>
      </c>
      <c r="D1657" s="512">
        <v>3.3431102683E10</v>
      </c>
      <c r="E1657" s="646" t="s">
        <v>3529</v>
      </c>
      <c r="F1657" s="656" t="s">
        <v>436</v>
      </c>
      <c r="G1657" s="606" t="s">
        <v>2777</v>
      </c>
      <c r="H1657" s="608" t="s">
        <v>2849</v>
      </c>
    </row>
    <row r="1658">
      <c r="A1658" s="512" t="s">
        <v>617</v>
      </c>
      <c r="B1658" s="512" t="s">
        <v>449</v>
      </c>
      <c r="C1658" s="605">
        <v>45868.0</v>
      </c>
      <c r="D1658" s="512">
        <v>3.1111771692E10</v>
      </c>
      <c r="E1658" s="606" t="s">
        <v>3530</v>
      </c>
      <c r="F1658" s="656" t="s">
        <v>436</v>
      </c>
      <c r="G1658" s="606" t="s">
        <v>1128</v>
      </c>
      <c r="H1658" s="608" t="s">
        <v>696</v>
      </c>
    </row>
    <row r="1659">
      <c r="A1659" s="512" t="s">
        <v>432</v>
      </c>
      <c r="B1659" s="512" t="s">
        <v>449</v>
      </c>
      <c r="C1659" s="605">
        <v>45868.0</v>
      </c>
      <c r="D1659" s="512">
        <v>3.451879609E10</v>
      </c>
      <c r="E1659" s="606" t="s">
        <v>3531</v>
      </c>
      <c r="F1659" s="656" t="s">
        <v>436</v>
      </c>
      <c r="G1659" s="606" t="s">
        <v>3532</v>
      </c>
      <c r="H1659" s="608" t="s">
        <v>1096</v>
      </c>
    </row>
    <row r="1660">
      <c r="A1660" s="512" t="s">
        <v>432</v>
      </c>
      <c r="B1660" s="512" t="s">
        <v>449</v>
      </c>
      <c r="C1660" s="605">
        <v>45868.0</v>
      </c>
      <c r="D1660" s="512">
        <v>3.9470191202E10</v>
      </c>
      <c r="E1660" s="606" t="s">
        <v>3533</v>
      </c>
      <c r="F1660" s="656" t="s">
        <v>436</v>
      </c>
      <c r="G1660" s="606" t="s">
        <v>3534</v>
      </c>
      <c r="H1660" s="608" t="s">
        <v>1096</v>
      </c>
    </row>
    <row r="1661">
      <c r="A1661" s="512" t="s">
        <v>439</v>
      </c>
      <c r="B1661" s="512" t="s">
        <v>449</v>
      </c>
      <c r="C1661" s="605">
        <v>45869.0</v>
      </c>
      <c r="D1661" s="512">
        <v>3.2659635819E10</v>
      </c>
      <c r="E1661" s="646" t="s">
        <v>3535</v>
      </c>
      <c r="F1661" s="656" t="s">
        <v>436</v>
      </c>
      <c r="G1661" s="606" t="s">
        <v>3536</v>
      </c>
      <c r="H1661" s="608" t="s">
        <v>1608</v>
      </c>
    </row>
    <row r="1662">
      <c r="A1662" s="512" t="s">
        <v>439</v>
      </c>
      <c r="B1662" s="512" t="s">
        <v>2668</v>
      </c>
      <c r="C1662" s="605">
        <v>45869.0</v>
      </c>
      <c r="D1662" s="512">
        <v>3.6874014067E10</v>
      </c>
      <c r="E1662" s="646" t="s">
        <v>3535</v>
      </c>
      <c r="F1662" s="656" t="s">
        <v>436</v>
      </c>
      <c r="G1662" s="606" t="s">
        <v>3537</v>
      </c>
      <c r="H1662" s="608" t="s">
        <v>1608</v>
      </c>
    </row>
    <row r="1663">
      <c r="A1663" s="512" t="s">
        <v>439</v>
      </c>
      <c r="B1663" s="512" t="s">
        <v>2668</v>
      </c>
      <c r="C1663" s="605">
        <v>45869.0</v>
      </c>
      <c r="D1663" s="512">
        <v>3.3579270375E10</v>
      </c>
      <c r="E1663" s="646" t="s">
        <v>3535</v>
      </c>
      <c r="F1663" s="656" t="s">
        <v>436</v>
      </c>
      <c r="G1663" s="606" t="s">
        <v>3537</v>
      </c>
      <c r="H1663" s="608" t="s">
        <v>1608</v>
      </c>
    </row>
    <row r="1664">
      <c r="A1664" s="512" t="s">
        <v>439</v>
      </c>
      <c r="B1664" s="512" t="s">
        <v>433</v>
      </c>
      <c r="C1664" s="605">
        <v>45869.0</v>
      </c>
      <c r="D1664" s="512">
        <v>3.6512656741E10</v>
      </c>
      <c r="E1664" s="646" t="s">
        <v>3538</v>
      </c>
      <c r="F1664" s="656" t="s">
        <v>436</v>
      </c>
      <c r="G1664" s="606" t="s">
        <v>2836</v>
      </c>
      <c r="H1664" s="608" t="s">
        <v>1608</v>
      </c>
    </row>
    <row r="1665">
      <c r="A1665" s="512" t="s">
        <v>617</v>
      </c>
      <c r="B1665" s="512" t="s">
        <v>449</v>
      </c>
      <c r="C1665" s="618">
        <v>45870.0</v>
      </c>
      <c r="D1665" s="546">
        <v>2.3922819189E10</v>
      </c>
      <c r="E1665" s="650" t="s">
        <v>3539</v>
      </c>
      <c r="F1665" s="655" t="s">
        <v>436</v>
      </c>
      <c r="G1665" s="619" t="s">
        <v>2928</v>
      </c>
      <c r="H1665" s="629" t="s">
        <v>693</v>
      </c>
    </row>
    <row r="1666">
      <c r="A1666" s="512" t="s">
        <v>439</v>
      </c>
      <c r="B1666" s="512" t="s">
        <v>995</v>
      </c>
      <c r="C1666" s="605">
        <v>45870.0</v>
      </c>
      <c r="D1666" s="512">
        <v>3.6856829083E10</v>
      </c>
      <c r="E1666" s="646" t="s">
        <v>3540</v>
      </c>
      <c r="F1666" s="656" t="s">
        <v>436</v>
      </c>
      <c r="G1666" s="606" t="s">
        <v>3340</v>
      </c>
      <c r="H1666" s="608" t="s">
        <v>1608</v>
      </c>
    </row>
    <row r="1667">
      <c r="A1667" s="512" t="s">
        <v>439</v>
      </c>
      <c r="B1667" s="512" t="s">
        <v>449</v>
      </c>
      <c r="C1667" s="605">
        <v>45870.0</v>
      </c>
      <c r="D1667" s="512">
        <v>2.8226311328E10</v>
      </c>
      <c r="E1667" s="646" t="s">
        <v>3541</v>
      </c>
      <c r="F1667" s="656" t="s">
        <v>436</v>
      </c>
      <c r="G1667" s="606" t="s">
        <v>3542</v>
      </c>
      <c r="H1667" s="608" t="s">
        <v>1608</v>
      </c>
    </row>
    <row r="1668">
      <c r="A1668" s="512" t="s">
        <v>432</v>
      </c>
      <c r="B1668" s="512" t="s">
        <v>433</v>
      </c>
      <c r="C1668" s="605">
        <v>45870.0</v>
      </c>
      <c r="D1668" s="512">
        <v>2.8548746873E10</v>
      </c>
      <c r="E1668" s="606" t="s">
        <v>3543</v>
      </c>
      <c r="F1668" s="656" t="s">
        <v>436</v>
      </c>
      <c r="G1668" s="606" t="s">
        <v>3544</v>
      </c>
      <c r="H1668" s="608" t="s">
        <v>623</v>
      </c>
    </row>
    <row r="1669">
      <c r="A1669" s="512" t="s">
        <v>617</v>
      </c>
      <c r="B1669" s="512" t="s">
        <v>449</v>
      </c>
      <c r="C1669" s="605">
        <v>45870.0</v>
      </c>
      <c r="D1669" s="512">
        <v>3.3132820052E10</v>
      </c>
      <c r="E1669" s="646" t="s">
        <v>3545</v>
      </c>
      <c r="F1669" s="656" t="s">
        <v>436</v>
      </c>
      <c r="G1669" s="606" t="s">
        <v>3546</v>
      </c>
      <c r="H1669" s="608" t="s">
        <v>693</v>
      </c>
    </row>
    <row r="1670">
      <c r="A1670" s="512" t="s">
        <v>823</v>
      </c>
      <c r="B1670" s="512" t="s">
        <v>449</v>
      </c>
      <c r="C1670" s="605">
        <v>45870.0</v>
      </c>
      <c r="D1670" s="512">
        <v>3.2271223123E10</v>
      </c>
      <c r="E1670" s="646" t="s">
        <v>3547</v>
      </c>
      <c r="F1670" s="656" t="s">
        <v>436</v>
      </c>
      <c r="G1670" s="606" t="s">
        <v>2023</v>
      </c>
      <c r="H1670" s="608" t="s">
        <v>3332</v>
      </c>
    </row>
    <row r="1671">
      <c r="A1671" s="512" t="s">
        <v>617</v>
      </c>
      <c r="B1671" s="512" t="s">
        <v>449</v>
      </c>
      <c r="C1671" s="605">
        <v>45870.0</v>
      </c>
      <c r="D1671" s="512">
        <v>3.4871048066E10</v>
      </c>
      <c r="E1671" s="646" t="s">
        <v>3548</v>
      </c>
      <c r="F1671" s="656" t="s">
        <v>436</v>
      </c>
      <c r="G1671" s="606" t="s">
        <v>2392</v>
      </c>
      <c r="H1671" s="608" t="s">
        <v>693</v>
      </c>
    </row>
    <row r="1672">
      <c r="A1672" s="512" t="s">
        <v>823</v>
      </c>
      <c r="B1672" s="512" t="s">
        <v>449</v>
      </c>
      <c r="C1672" s="605">
        <v>45870.0</v>
      </c>
      <c r="D1672" s="512">
        <v>3.6542753005E10</v>
      </c>
      <c r="E1672" s="646" t="s">
        <v>3549</v>
      </c>
      <c r="F1672" s="656" t="s">
        <v>436</v>
      </c>
      <c r="G1672" s="606" t="s">
        <v>2550</v>
      </c>
      <c r="H1672" s="608" t="s">
        <v>3332</v>
      </c>
    </row>
    <row r="1673">
      <c r="A1673" s="512"/>
      <c r="B1673" s="512" t="s">
        <v>449</v>
      </c>
      <c r="C1673" s="605">
        <v>45870.0</v>
      </c>
      <c r="D1673" s="512">
        <v>2.7445605119E10</v>
      </c>
      <c r="E1673" s="646" t="s">
        <v>3550</v>
      </c>
      <c r="F1673" s="656" t="s">
        <v>436</v>
      </c>
      <c r="G1673" s="606" t="s">
        <v>3551</v>
      </c>
      <c r="H1673" s="608" t="s">
        <v>3332</v>
      </c>
    </row>
    <row r="1674">
      <c r="A1674" s="512" t="s">
        <v>690</v>
      </c>
      <c r="B1674" s="512" t="s">
        <v>449</v>
      </c>
      <c r="C1674" s="605">
        <v>45871.0</v>
      </c>
      <c r="D1674" s="512">
        <v>2.6377067772E10</v>
      </c>
      <c r="E1674" s="646" t="s">
        <v>3552</v>
      </c>
      <c r="F1674" s="656" t="s">
        <v>436</v>
      </c>
      <c r="G1674" s="606" t="s">
        <v>3553</v>
      </c>
      <c r="H1674" s="608" t="s">
        <v>2849</v>
      </c>
    </row>
    <row r="1675">
      <c r="A1675" s="512" t="s">
        <v>823</v>
      </c>
      <c r="B1675" s="512" t="s">
        <v>433</v>
      </c>
      <c r="C1675" s="605">
        <v>45871.0</v>
      </c>
      <c r="D1675" s="512">
        <v>2.4279067665E10</v>
      </c>
      <c r="E1675" s="606" t="s">
        <v>3554</v>
      </c>
      <c r="F1675" s="656" t="s">
        <v>436</v>
      </c>
      <c r="G1675" s="606" t="s">
        <v>3555</v>
      </c>
      <c r="H1675" s="608" t="s">
        <v>1742</v>
      </c>
    </row>
    <row r="1676">
      <c r="A1676" s="512" t="s">
        <v>432</v>
      </c>
      <c r="B1676" s="512" t="s">
        <v>449</v>
      </c>
      <c r="C1676" s="605">
        <v>45871.0</v>
      </c>
      <c r="D1676" s="512">
        <v>3.4518796094E10</v>
      </c>
      <c r="E1676" s="606" t="s">
        <v>3531</v>
      </c>
      <c r="F1676" s="656" t="s">
        <v>436</v>
      </c>
      <c r="G1676" s="606" t="s">
        <v>3532</v>
      </c>
      <c r="H1676" s="608" t="s">
        <v>1096</v>
      </c>
    </row>
    <row r="1677">
      <c r="A1677" s="512" t="s">
        <v>432</v>
      </c>
      <c r="B1677" s="512" t="s">
        <v>449</v>
      </c>
      <c r="C1677" s="605">
        <v>45871.0</v>
      </c>
      <c r="D1677" s="512">
        <v>3.3309918758E10</v>
      </c>
      <c r="E1677" s="606" t="s">
        <v>3556</v>
      </c>
      <c r="F1677" s="656" t="s">
        <v>436</v>
      </c>
      <c r="G1677" s="606" t="s">
        <v>2298</v>
      </c>
      <c r="H1677" s="608" t="s">
        <v>1096</v>
      </c>
    </row>
    <row r="1678">
      <c r="A1678" s="512" t="s">
        <v>617</v>
      </c>
      <c r="B1678" s="512" t="s">
        <v>449</v>
      </c>
      <c r="C1678" s="605">
        <v>45872.0</v>
      </c>
      <c r="D1678" s="512">
        <v>3.9281520711E10</v>
      </c>
      <c r="E1678" s="606" t="s">
        <v>3557</v>
      </c>
      <c r="F1678" s="656" t="s">
        <v>436</v>
      </c>
      <c r="G1678" s="606" t="s">
        <v>2045</v>
      </c>
      <c r="H1678" s="608" t="s">
        <v>696</v>
      </c>
    </row>
    <row r="1679">
      <c r="A1679" s="512" t="s">
        <v>617</v>
      </c>
      <c r="B1679" s="512" t="s">
        <v>449</v>
      </c>
      <c r="C1679" s="605">
        <v>45872.0</v>
      </c>
      <c r="D1679" s="512">
        <v>3.9533760086E10</v>
      </c>
      <c r="E1679" s="606" t="s">
        <v>3558</v>
      </c>
      <c r="F1679" s="656" t="s">
        <v>436</v>
      </c>
      <c r="G1679" s="606" t="s">
        <v>3559</v>
      </c>
      <c r="H1679" s="608" t="s">
        <v>696</v>
      </c>
    </row>
    <row r="1680">
      <c r="A1680" s="512" t="s">
        <v>617</v>
      </c>
      <c r="B1680" s="512" t="s">
        <v>3183</v>
      </c>
      <c r="C1680" s="605">
        <v>45872.0</v>
      </c>
      <c r="D1680" s="512">
        <v>3.6553972347E10</v>
      </c>
      <c r="E1680" s="606" t="s">
        <v>3077</v>
      </c>
      <c r="F1680" s="656" t="s">
        <v>436</v>
      </c>
      <c r="G1680" s="606" t="s">
        <v>3560</v>
      </c>
      <c r="H1680" s="608" t="s">
        <v>696</v>
      </c>
    </row>
    <row r="1681">
      <c r="A1681" s="512" t="s">
        <v>617</v>
      </c>
      <c r="B1681" s="512" t="s">
        <v>449</v>
      </c>
      <c r="C1681" s="605">
        <v>45872.0</v>
      </c>
      <c r="D1681" s="512">
        <v>3.9702084018E10</v>
      </c>
      <c r="E1681" s="606" t="s">
        <v>3561</v>
      </c>
      <c r="F1681" s="656" t="s">
        <v>436</v>
      </c>
      <c r="G1681" s="606" t="s">
        <v>1484</v>
      </c>
      <c r="H1681" s="608" t="s">
        <v>696</v>
      </c>
    </row>
    <row r="1682">
      <c r="A1682" s="512" t="s">
        <v>617</v>
      </c>
      <c r="B1682" s="512" t="s">
        <v>449</v>
      </c>
      <c r="C1682" s="605">
        <v>45872.0</v>
      </c>
      <c r="D1682" s="512">
        <v>3.7151841193E10</v>
      </c>
      <c r="E1682" s="606" t="s">
        <v>3562</v>
      </c>
      <c r="F1682" s="656" t="s">
        <v>436</v>
      </c>
      <c r="G1682" s="606" t="s">
        <v>3563</v>
      </c>
      <c r="H1682" s="608" t="s">
        <v>696</v>
      </c>
    </row>
    <row r="1683">
      <c r="A1683" s="512" t="s">
        <v>823</v>
      </c>
      <c r="B1683" s="512" t="s">
        <v>449</v>
      </c>
      <c r="C1683" s="605">
        <v>45872.0</v>
      </c>
      <c r="D1683" s="512">
        <v>3.0571908918E10</v>
      </c>
      <c r="E1683" s="646" t="s">
        <v>3564</v>
      </c>
      <c r="F1683" s="656" t="s">
        <v>436</v>
      </c>
      <c r="G1683" s="606" t="s">
        <v>3565</v>
      </c>
      <c r="H1683" s="608" t="s">
        <v>1742</v>
      </c>
    </row>
    <row r="1684">
      <c r="A1684" s="512" t="s">
        <v>432</v>
      </c>
      <c r="B1684" s="512" t="s">
        <v>449</v>
      </c>
      <c r="C1684" s="605">
        <v>45873.0</v>
      </c>
      <c r="D1684" s="512">
        <v>3.4128848434E10</v>
      </c>
      <c r="E1684" s="606" t="s">
        <v>3566</v>
      </c>
      <c r="F1684" s="656" t="s">
        <v>436</v>
      </c>
      <c r="G1684" s="606" t="s">
        <v>3130</v>
      </c>
      <c r="H1684" s="608" t="s">
        <v>1096</v>
      </c>
    </row>
    <row r="1685">
      <c r="A1685" s="512" t="s">
        <v>617</v>
      </c>
      <c r="B1685" s="512" t="s">
        <v>433</v>
      </c>
      <c r="C1685" s="605">
        <v>45873.0</v>
      </c>
      <c r="D1685" s="512">
        <v>3.6117452541E10</v>
      </c>
      <c r="E1685" s="606" t="s">
        <v>3567</v>
      </c>
      <c r="F1685" s="656" t="s">
        <v>436</v>
      </c>
      <c r="G1685" s="606" t="s">
        <v>3568</v>
      </c>
      <c r="H1685" s="608" t="s">
        <v>696</v>
      </c>
    </row>
    <row r="1686">
      <c r="A1686" s="512" t="s">
        <v>823</v>
      </c>
      <c r="B1686" s="512" t="s">
        <v>449</v>
      </c>
      <c r="C1686" s="605">
        <v>45873.0</v>
      </c>
      <c r="D1686" s="512">
        <v>3.5763498041E10</v>
      </c>
      <c r="E1686" s="646" t="s">
        <v>3569</v>
      </c>
      <c r="F1686" s="656" t="s">
        <v>436</v>
      </c>
      <c r="G1686" s="606" t="s">
        <v>3570</v>
      </c>
      <c r="H1686" s="608" t="s">
        <v>3332</v>
      </c>
    </row>
    <row r="1687">
      <c r="A1687" s="512" t="s">
        <v>432</v>
      </c>
      <c r="B1687" s="512" t="s">
        <v>449</v>
      </c>
      <c r="C1687" s="605">
        <v>45873.0</v>
      </c>
      <c r="D1687" s="512">
        <v>3.5894267919E10</v>
      </c>
      <c r="E1687" s="606" t="s">
        <v>3571</v>
      </c>
      <c r="F1687" s="656" t="s">
        <v>436</v>
      </c>
      <c r="G1687" s="606" t="s">
        <v>695</v>
      </c>
      <c r="H1687" s="608" t="s">
        <v>1096</v>
      </c>
    </row>
    <row r="1688">
      <c r="A1688" s="512" t="s">
        <v>617</v>
      </c>
      <c r="B1688" s="512" t="s">
        <v>3572</v>
      </c>
      <c r="C1688" s="605">
        <v>45873.0</v>
      </c>
      <c r="D1688" s="512">
        <v>3.7384388844E10</v>
      </c>
      <c r="E1688" s="606" t="s">
        <v>3573</v>
      </c>
      <c r="F1688" s="656" t="s">
        <v>436</v>
      </c>
      <c r="G1688" s="640"/>
      <c r="H1688" s="608" t="s">
        <v>696</v>
      </c>
    </row>
    <row r="1689">
      <c r="A1689" s="512" t="s">
        <v>617</v>
      </c>
      <c r="B1689" s="512" t="s">
        <v>449</v>
      </c>
      <c r="C1689" s="605">
        <v>45874.0</v>
      </c>
      <c r="D1689" s="512">
        <v>3.0706285895E10</v>
      </c>
      <c r="E1689" s="646" t="s">
        <v>3574</v>
      </c>
      <c r="F1689" s="656" t="s">
        <v>436</v>
      </c>
      <c r="G1689" s="606" t="s">
        <v>1521</v>
      </c>
      <c r="H1689" s="608" t="s">
        <v>693</v>
      </c>
    </row>
    <row r="1690">
      <c r="A1690" s="512" t="s">
        <v>439</v>
      </c>
      <c r="B1690" s="512" t="s">
        <v>449</v>
      </c>
      <c r="C1690" s="605">
        <v>45874.0</v>
      </c>
      <c r="D1690" s="512">
        <v>3.7445020051E10</v>
      </c>
      <c r="E1690" s="646" t="s">
        <v>3575</v>
      </c>
      <c r="F1690" s="656" t="s">
        <v>436</v>
      </c>
      <c r="G1690" s="606" t="s">
        <v>3384</v>
      </c>
      <c r="H1690" s="608" t="s">
        <v>1608</v>
      </c>
    </row>
    <row r="1691">
      <c r="A1691" s="512" t="s">
        <v>690</v>
      </c>
      <c r="B1691" s="512" t="s">
        <v>449</v>
      </c>
      <c r="C1691" s="605">
        <v>45874.0</v>
      </c>
      <c r="D1691" s="512">
        <v>3.178817314E10</v>
      </c>
      <c r="E1691" s="606" t="s">
        <v>3576</v>
      </c>
      <c r="F1691" s="656" t="s">
        <v>436</v>
      </c>
      <c r="G1691" s="606" t="s">
        <v>2658</v>
      </c>
      <c r="H1691" s="608" t="s">
        <v>2676</v>
      </c>
    </row>
    <row r="1692">
      <c r="A1692" s="512" t="s">
        <v>617</v>
      </c>
      <c r="B1692" s="512" t="s">
        <v>449</v>
      </c>
      <c r="C1692" s="605">
        <v>45874.0</v>
      </c>
      <c r="D1692" s="512">
        <v>3.3792575328E10</v>
      </c>
      <c r="E1692" s="646" t="s">
        <v>3577</v>
      </c>
      <c r="F1692" s="656" t="s">
        <v>436</v>
      </c>
      <c r="G1692" s="606" t="s">
        <v>3578</v>
      </c>
      <c r="H1692" s="608" t="s">
        <v>693</v>
      </c>
    </row>
    <row r="1693">
      <c r="A1693" s="512" t="s">
        <v>617</v>
      </c>
      <c r="B1693" s="512" t="s">
        <v>449</v>
      </c>
      <c r="C1693" s="605">
        <v>45874.0</v>
      </c>
      <c r="D1693" s="512">
        <v>3.4517692416E10</v>
      </c>
      <c r="E1693" s="646" t="s">
        <v>3579</v>
      </c>
      <c r="F1693" s="656" t="s">
        <v>436</v>
      </c>
      <c r="G1693" s="606" t="s">
        <v>3580</v>
      </c>
      <c r="H1693" s="608" t="s">
        <v>693</v>
      </c>
    </row>
    <row r="1694">
      <c r="A1694" s="512" t="s">
        <v>432</v>
      </c>
      <c r="B1694" s="512" t="s">
        <v>449</v>
      </c>
      <c r="C1694" s="605">
        <v>45874.0</v>
      </c>
      <c r="D1694" s="512">
        <v>3.2773486136E10</v>
      </c>
      <c r="E1694" s="606" t="s">
        <v>3581</v>
      </c>
      <c r="F1694" s="656" t="s">
        <v>436</v>
      </c>
      <c r="G1694" s="606" t="s">
        <v>3582</v>
      </c>
      <c r="H1694" s="608" t="s">
        <v>1096</v>
      </c>
    </row>
    <row r="1695">
      <c r="A1695" s="512" t="s">
        <v>617</v>
      </c>
      <c r="B1695" s="512" t="s">
        <v>3583</v>
      </c>
      <c r="C1695" s="605">
        <v>45875.0</v>
      </c>
      <c r="D1695" s="512">
        <v>2.7935842776E10</v>
      </c>
      <c r="E1695" s="606" t="s">
        <v>3584</v>
      </c>
      <c r="F1695" s="656" t="s">
        <v>436</v>
      </c>
      <c r="G1695" s="606" t="s">
        <v>2112</v>
      </c>
      <c r="H1695" s="608" t="s">
        <v>696</v>
      </c>
    </row>
    <row r="1696">
      <c r="A1696" s="512" t="s">
        <v>617</v>
      </c>
      <c r="B1696" s="512" t="s">
        <v>449</v>
      </c>
      <c r="C1696" s="605">
        <v>45875.0</v>
      </c>
      <c r="D1696" s="512">
        <v>3.2339472928E10</v>
      </c>
      <c r="E1696" s="606" t="s">
        <v>3585</v>
      </c>
      <c r="F1696" s="656" t="s">
        <v>436</v>
      </c>
      <c r="G1696" s="606" t="s">
        <v>3586</v>
      </c>
      <c r="H1696" s="608" t="s">
        <v>696</v>
      </c>
    </row>
    <row r="1697">
      <c r="A1697" s="512" t="s">
        <v>617</v>
      </c>
      <c r="B1697" s="512" t="s">
        <v>3587</v>
      </c>
      <c r="C1697" s="605">
        <v>45875.0</v>
      </c>
      <c r="D1697" s="512">
        <v>3.2643947079E10</v>
      </c>
      <c r="E1697" s="606" t="s">
        <v>3588</v>
      </c>
      <c r="F1697" s="656" t="s">
        <v>436</v>
      </c>
      <c r="G1697" s="606" t="s">
        <v>3589</v>
      </c>
      <c r="H1697" s="608" t="s">
        <v>696</v>
      </c>
    </row>
    <row r="1698">
      <c r="A1698" s="512" t="s">
        <v>617</v>
      </c>
      <c r="B1698" s="512" t="s">
        <v>449</v>
      </c>
      <c r="C1698" s="605">
        <v>45875.0</v>
      </c>
      <c r="D1698" s="512">
        <v>3.9481005759E10</v>
      </c>
      <c r="E1698" s="606" t="s">
        <v>3590</v>
      </c>
      <c r="F1698" s="656" t="s">
        <v>436</v>
      </c>
      <c r="G1698" s="640"/>
      <c r="H1698" s="608" t="s">
        <v>696</v>
      </c>
    </row>
    <row r="1699">
      <c r="A1699" s="512" t="s">
        <v>823</v>
      </c>
      <c r="B1699" s="512" t="s">
        <v>449</v>
      </c>
      <c r="C1699" s="605">
        <v>45876.0</v>
      </c>
      <c r="D1699" s="512">
        <v>2.7171841081E10</v>
      </c>
      <c r="E1699" s="606" t="s">
        <v>3591</v>
      </c>
      <c r="F1699" s="656" t="s">
        <v>436</v>
      </c>
      <c r="G1699" s="606" t="s">
        <v>3592</v>
      </c>
      <c r="H1699" s="608" t="s">
        <v>3593</v>
      </c>
    </row>
    <row r="1700">
      <c r="A1700" s="512" t="s">
        <v>617</v>
      </c>
      <c r="B1700" s="512" t="s">
        <v>449</v>
      </c>
      <c r="C1700" s="605">
        <v>45876.0</v>
      </c>
      <c r="D1700" s="512">
        <v>3.9731108369E10</v>
      </c>
      <c r="E1700" s="606" t="s">
        <v>3594</v>
      </c>
      <c r="F1700" s="656" t="s">
        <v>436</v>
      </c>
      <c r="G1700" s="606" t="s">
        <v>3595</v>
      </c>
      <c r="H1700" s="608" t="s">
        <v>696</v>
      </c>
    </row>
    <row r="1701">
      <c r="A1701" s="512" t="s">
        <v>617</v>
      </c>
      <c r="B1701" s="512" t="s">
        <v>3583</v>
      </c>
      <c r="C1701" s="605">
        <v>45876.0</v>
      </c>
      <c r="D1701" s="512">
        <v>3.3996592086E10</v>
      </c>
      <c r="E1701" s="606" t="s">
        <v>3596</v>
      </c>
      <c r="F1701" s="656" t="s">
        <v>436</v>
      </c>
      <c r="G1701" s="606" t="s">
        <v>3597</v>
      </c>
      <c r="H1701" s="608" t="s">
        <v>696</v>
      </c>
    </row>
    <row r="1702">
      <c r="A1702" s="512" t="s">
        <v>690</v>
      </c>
      <c r="B1702" s="512" t="s">
        <v>433</v>
      </c>
      <c r="C1702" s="605">
        <v>45877.0</v>
      </c>
      <c r="D1702" s="512">
        <v>2.8520033065E10</v>
      </c>
      <c r="E1702" s="646" t="s">
        <v>3598</v>
      </c>
      <c r="F1702" s="656" t="s">
        <v>436</v>
      </c>
      <c r="G1702" s="606" t="s">
        <v>3599</v>
      </c>
      <c r="H1702" s="608" t="s">
        <v>693</v>
      </c>
    </row>
    <row r="1703">
      <c r="A1703" s="512" t="s">
        <v>439</v>
      </c>
      <c r="B1703" s="512" t="s">
        <v>449</v>
      </c>
      <c r="C1703" s="605">
        <v>45877.0</v>
      </c>
      <c r="D1703" s="512">
        <v>3.0138612312E10</v>
      </c>
      <c r="E1703" s="646" t="s">
        <v>3600</v>
      </c>
      <c r="F1703" s="656" t="s">
        <v>436</v>
      </c>
      <c r="G1703" s="606" t="s">
        <v>1196</v>
      </c>
      <c r="H1703" s="608" t="s">
        <v>1608</v>
      </c>
    </row>
    <row r="1704">
      <c r="A1704" s="512" t="s">
        <v>432</v>
      </c>
      <c r="B1704" s="512" t="s">
        <v>433</v>
      </c>
      <c r="C1704" s="605">
        <v>45877.0</v>
      </c>
      <c r="D1704" s="512">
        <v>3.6224085169E10</v>
      </c>
      <c r="E1704" s="606" t="s">
        <v>3601</v>
      </c>
      <c r="F1704" s="656" t="s">
        <v>436</v>
      </c>
      <c r="G1704" s="606" t="s">
        <v>3602</v>
      </c>
      <c r="H1704" s="608" t="s">
        <v>1742</v>
      </c>
    </row>
    <row r="1705">
      <c r="A1705" s="512" t="s">
        <v>432</v>
      </c>
      <c r="B1705" s="512" t="s">
        <v>433</v>
      </c>
      <c r="C1705" s="605">
        <v>45877.0</v>
      </c>
      <c r="D1705" s="512">
        <v>3.8019773482E10</v>
      </c>
      <c r="E1705" s="646" t="s">
        <v>3603</v>
      </c>
      <c r="F1705" s="656" t="s">
        <v>436</v>
      </c>
      <c r="G1705" s="606" t="s">
        <v>3582</v>
      </c>
      <c r="H1705" s="608" t="s">
        <v>1742</v>
      </c>
    </row>
    <row r="1706">
      <c r="A1706" s="512" t="s">
        <v>617</v>
      </c>
      <c r="B1706" s="512" t="s">
        <v>449</v>
      </c>
      <c r="C1706" s="626">
        <v>45878.0</v>
      </c>
      <c r="D1706" s="512">
        <v>3.0785402704E10</v>
      </c>
      <c r="E1706" s="606" t="s">
        <v>3604</v>
      </c>
      <c r="F1706" s="656" t="s">
        <v>436</v>
      </c>
      <c r="G1706" s="606" t="s">
        <v>3605</v>
      </c>
      <c r="H1706" s="608" t="s">
        <v>623</v>
      </c>
    </row>
    <row r="1707">
      <c r="A1707" s="512" t="s">
        <v>432</v>
      </c>
      <c r="B1707" s="512" t="s">
        <v>433</v>
      </c>
      <c r="C1707" s="626">
        <v>45878.0</v>
      </c>
      <c r="D1707" s="512">
        <v>3.4458164057E10</v>
      </c>
      <c r="E1707" s="646" t="s">
        <v>3606</v>
      </c>
      <c r="F1707" s="656" t="s">
        <v>436</v>
      </c>
      <c r="G1707" s="606" t="s">
        <v>3607</v>
      </c>
      <c r="H1707" s="608" t="s">
        <v>1742</v>
      </c>
    </row>
    <row r="1708">
      <c r="A1708" s="512" t="s">
        <v>690</v>
      </c>
      <c r="B1708" s="512" t="s">
        <v>449</v>
      </c>
      <c r="C1708" s="605">
        <v>45878.0</v>
      </c>
      <c r="D1708" s="512">
        <v>3.7194445114E10</v>
      </c>
      <c r="E1708" s="646" t="s">
        <v>3608</v>
      </c>
      <c r="F1708" s="656" t="s">
        <v>436</v>
      </c>
      <c r="G1708" s="606" t="s">
        <v>3609</v>
      </c>
      <c r="H1708" s="608" t="s">
        <v>2849</v>
      </c>
    </row>
    <row r="1709">
      <c r="A1709" s="512" t="s">
        <v>432</v>
      </c>
      <c r="B1709" s="512" t="s">
        <v>433</v>
      </c>
      <c r="C1709" s="605">
        <v>45878.0</v>
      </c>
      <c r="D1709" s="512">
        <v>3.3169868093E10</v>
      </c>
      <c r="E1709" s="646" t="s">
        <v>3603</v>
      </c>
      <c r="F1709" s="656" t="s">
        <v>436</v>
      </c>
      <c r="G1709" s="606" t="s">
        <v>3610</v>
      </c>
      <c r="H1709" s="608" t="s">
        <v>1742</v>
      </c>
    </row>
    <row r="1710">
      <c r="A1710" s="512" t="s">
        <v>617</v>
      </c>
      <c r="B1710" s="512" t="s">
        <v>449</v>
      </c>
      <c r="C1710" s="605">
        <v>45879.0</v>
      </c>
      <c r="D1710" s="512">
        <v>3.073101061E10</v>
      </c>
      <c r="E1710" s="606" t="s">
        <v>3611</v>
      </c>
      <c r="F1710" s="656" t="s">
        <v>436</v>
      </c>
      <c r="G1710" s="606" t="s">
        <v>1306</v>
      </c>
      <c r="H1710" s="608" t="s">
        <v>696</v>
      </c>
    </row>
    <row r="1711">
      <c r="A1711" s="512" t="s">
        <v>617</v>
      </c>
      <c r="B1711" s="512" t="s">
        <v>449</v>
      </c>
      <c r="C1711" s="605">
        <v>45880.0</v>
      </c>
      <c r="D1711" s="512">
        <v>3.5108072801E10</v>
      </c>
      <c r="E1711" s="606" t="s">
        <v>3612</v>
      </c>
      <c r="F1711" s="656" t="s">
        <v>436</v>
      </c>
      <c r="G1711" s="606" t="s">
        <v>1881</v>
      </c>
      <c r="H1711" s="608" t="s">
        <v>696</v>
      </c>
    </row>
    <row r="1712">
      <c r="A1712" s="512" t="s">
        <v>432</v>
      </c>
      <c r="B1712" s="512" t="s">
        <v>449</v>
      </c>
      <c r="C1712" s="605">
        <v>45880.0</v>
      </c>
      <c r="D1712" s="512">
        <v>3.1810913906E10</v>
      </c>
      <c r="E1712" s="646" t="s">
        <v>3613</v>
      </c>
      <c r="F1712" s="656" t="s">
        <v>436</v>
      </c>
      <c r="G1712" s="606" t="s">
        <v>3614</v>
      </c>
      <c r="H1712" s="608" t="s">
        <v>1742</v>
      </c>
    </row>
    <row r="1713">
      <c r="A1713" s="512" t="s">
        <v>617</v>
      </c>
      <c r="B1713" s="512" t="s">
        <v>449</v>
      </c>
      <c r="C1713" s="605">
        <v>45880.0</v>
      </c>
      <c r="D1713" s="512">
        <v>3.3232577663E10</v>
      </c>
      <c r="E1713" s="606" t="s">
        <v>3615</v>
      </c>
      <c r="F1713" s="656" t="s">
        <v>436</v>
      </c>
      <c r="G1713" s="606" t="s">
        <v>3616</v>
      </c>
      <c r="H1713" s="608" t="s">
        <v>696</v>
      </c>
    </row>
    <row r="1714">
      <c r="A1714" s="512" t="s">
        <v>432</v>
      </c>
      <c r="B1714" s="512" t="s">
        <v>449</v>
      </c>
      <c r="C1714" s="605">
        <v>45880.0</v>
      </c>
      <c r="D1714" s="512">
        <v>3.5234748958E10</v>
      </c>
      <c r="E1714" s="646" t="s">
        <v>3617</v>
      </c>
      <c r="F1714" s="656" t="s">
        <v>436</v>
      </c>
      <c r="G1714" s="606" t="s">
        <v>3618</v>
      </c>
      <c r="H1714" s="608" t="s">
        <v>1175</v>
      </c>
    </row>
    <row r="1715">
      <c r="A1715" s="512" t="s">
        <v>823</v>
      </c>
      <c r="B1715" s="512" t="s">
        <v>449</v>
      </c>
      <c r="C1715" s="626">
        <v>45881.0</v>
      </c>
      <c r="D1715" s="512">
        <v>3.9186559711E10</v>
      </c>
      <c r="E1715" s="606" t="s">
        <v>3619</v>
      </c>
      <c r="F1715" s="656" t="s">
        <v>436</v>
      </c>
      <c r="G1715" s="606">
        <v>1073.0</v>
      </c>
      <c r="H1715" s="608" t="s">
        <v>3593</v>
      </c>
    </row>
    <row r="1716">
      <c r="A1716" s="512" t="s">
        <v>617</v>
      </c>
      <c r="B1716" s="512" t="s">
        <v>433</v>
      </c>
      <c r="C1716" s="605">
        <v>45881.0</v>
      </c>
      <c r="D1716" s="512">
        <v>3.6219113994E10</v>
      </c>
      <c r="E1716" s="606" t="s">
        <v>3620</v>
      </c>
      <c r="F1716" s="656" t="s">
        <v>436</v>
      </c>
      <c r="G1716" s="606" t="s">
        <v>3621</v>
      </c>
      <c r="H1716" s="608" t="s">
        <v>696</v>
      </c>
    </row>
    <row r="1717">
      <c r="A1717" s="512" t="s">
        <v>439</v>
      </c>
      <c r="B1717" s="512" t="s">
        <v>449</v>
      </c>
      <c r="C1717" s="605">
        <v>45881.0</v>
      </c>
      <c r="D1717" s="512">
        <v>2.7759500135E10</v>
      </c>
      <c r="E1717" s="646" t="s">
        <v>1784</v>
      </c>
      <c r="F1717" s="656" t="s">
        <v>436</v>
      </c>
      <c r="G1717" s="606" t="s">
        <v>3622</v>
      </c>
      <c r="H1717" s="608" t="s">
        <v>1608</v>
      </c>
    </row>
    <row r="1718">
      <c r="A1718" s="512" t="s">
        <v>439</v>
      </c>
      <c r="B1718" s="512" t="s">
        <v>449</v>
      </c>
      <c r="C1718" s="605">
        <v>45881.0</v>
      </c>
      <c r="D1718" s="512">
        <v>2.7759500133E10</v>
      </c>
      <c r="E1718" s="646" t="s">
        <v>1784</v>
      </c>
      <c r="F1718" s="656" t="s">
        <v>436</v>
      </c>
      <c r="G1718" s="606" t="s">
        <v>3622</v>
      </c>
      <c r="H1718" s="608" t="s">
        <v>1608</v>
      </c>
    </row>
    <row r="1719">
      <c r="A1719" s="512" t="s">
        <v>432</v>
      </c>
      <c r="B1719" s="512" t="s">
        <v>449</v>
      </c>
      <c r="C1719" s="605">
        <v>45881.0</v>
      </c>
      <c r="D1719" s="512">
        <v>3.1952392903E10</v>
      </c>
      <c r="E1719" s="646" t="s">
        <v>3623</v>
      </c>
      <c r="F1719" s="656" t="s">
        <v>436</v>
      </c>
      <c r="G1719" s="606" t="s">
        <v>3624</v>
      </c>
      <c r="H1719" s="608" t="s">
        <v>1175</v>
      </c>
    </row>
    <row r="1720">
      <c r="A1720" s="512" t="s">
        <v>617</v>
      </c>
      <c r="B1720" s="512" t="s">
        <v>3583</v>
      </c>
      <c r="C1720" s="605">
        <v>45881.0</v>
      </c>
      <c r="D1720" s="512">
        <v>3.5896706254E10</v>
      </c>
      <c r="E1720" s="606" t="s">
        <v>3625</v>
      </c>
      <c r="F1720" s="656" t="s">
        <v>436</v>
      </c>
      <c r="G1720" s="606" t="s">
        <v>1240</v>
      </c>
      <c r="H1720" s="608" t="s">
        <v>696</v>
      </c>
    </row>
    <row r="1721">
      <c r="A1721" s="512" t="s">
        <v>432</v>
      </c>
      <c r="B1721" s="512" t="s">
        <v>449</v>
      </c>
      <c r="C1721" s="605">
        <v>45881.0</v>
      </c>
      <c r="D1721" s="512">
        <v>2.7686471439E10</v>
      </c>
      <c r="E1721" s="646" t="s">
        <v>3626</v>
      </c>
      <c r="F1721" s="656" t="s">
        <v>436</v>
      </c>
      <c r="G1721" s="606" t="s">
        <v>3627</v>
      </c>
      <c r="H1721" s="608" t="s">
        <v>1175</v>
      </c>
    </row>
    <row r="1722">
      <c r="A1722" s="512" t="s">
        <v>432</v>
      </c>
      <c r="B1722" s="512" t="s">
        <v>449</v>
      </c>
      <c r="C1722" s="626">
        <v>45881.0</v>
      </c>
      <c r="D1722" s="512">
        <v>2.7686471447E10</v>
      </c>
      <c r="E1722" s="646" t="s">
        <v>3626</v>
      </c>
      <c r="F1722" s="656" t="s">
        <v>436</v>
      </c>
      <c r="G1722" s="606" t="s">
        <v>3627</v>
      </c>
      <c r="H1722" s="608" t="s">
        <v>1175</v>
      </c>
    </row>
    <row r="1723">
      <c r="A1723" s="512" t="s">
        <v>439</v>
      </c>
      <c r="B1723" s="512" t="s">
        <v>449</v>
      </c>
      <c r="C1723" s="605">
        <v>45881.0</v>
      </c>
      <c r="D1723" s="512">
        <v>3.3185262372E10</v>
      </c>
      <c r="E1723" s="646" t="s">
        <v>3628</v>
      </c>
      <c r="F1723" s="656" t="s">
        <v>436</v>
      </c>
      <c r="G1723" s="606" t="s">
        <v>1844</v>
      </c>
      <c r="H1723" s="608" t="s">
        <v>1608</v>
      </c>
    </row>
    <row r="1724">
      <c r="A1724" s="512" t="s">
        <v>432</v>
      </c>
      <c r="B1724" s="512" t="s">
        <v>449</v>
      </c>
      <c r="C1724" s="605">
        <v>45881.0</v>
      </c>
      <c r="D1724" s="512">
        <v>3.5932730643E10</v>
      </c>
      <c r="E1724" s="646" t="s">
        <v>3629</v>
      </c>
      <c r="F1724" s="656" t="s">
        <v>436</v>
      </c>
      <c r="G1724" s="606" t="s">
        <v>3630</v>
      </c>
      <c r="H1724" s="608" t="s">
        <v>1175</v>
      </c>
    </row>
    <row r="1725">
      <c r="A1725" s="512" t="s">
        <v>823</v>
      </c>
      <c r="B1725" s="512" t="s">
        <v>449</v>
      </c>
      <c r="C1725" s="605">
        <v>45882.0</v>
      </c>
      <c r="D1725" s="512">
        <v>2.9779826363E10</v>
      </c>
      <c r="E1725" s="646" t="s">
        <v>3631</v>
      </c>
      <c r="F1725" s="656" t="s">
        <v>436</v>
      </c>
      <c r="G1725" s="606" t="s">
        <v>2108</v>
      </c>
      <c r="H1725" s="608" t="s">
        <v>3332</v>
      </c>
    </row>
    <row r="1726">
      <c r="A1726" s="512" t="s">
        <v>617</v>
      </c>
      <c r="B1726" s="512" t="s">
        <v>449</v>
      </c>
      <c r="C1726" s="605">
        <v>45882.0</v>
      </c>
      <c r="D1726" s="512">
        <v>3.0130538658E10</v>
      </c>
      <c r="E1726" s="646" t="s">
        <v>2127</v>
      </c>
      <c r="F1726" s="656" t="s">
        <v>436</v>
      </c>
      <c r="G1726" s="606" t="s">
        <v>961</v>
      </c>
      <c r="H1726" s="608" t="s">
        <v>693</v>
      </c>
    </row>
    <row r="1727">
      <c r="A1727" s="512" t="s">
        <v>432</v>
      </c>
      <c r="B1727" s="512" t="s">
        <v>449</v>
      </c>
      <c r="C1727" s="605">
        <v>45882.0</v>
      </c>
      <c r="D1727" s="512">
        <v>3.7713243173E10</v>
      </c>
      <c r="E1727" s="648" t="s">
        <v>3632</v>
      </c>
      <c r="F1727" s="656" t="s">
        <v>436</v>
      </c>
      <c r="G1727" s="606" t="s">
        <v>3633</v>
      </c>
      <c r="H1727" s="608" t="s">
        <v>686</v>
      </c>
    </row>
    <row r="1728">
      <c r="A1728" s="512" t="s">
        <v>823</v>
      </c>
      <c r="B1728" s="512" t="s">
        <v>449</v>
      </c>
      <c r="C1728" s="605">
        <v>45882.0</v>
      </c>
      <c r="D1728" s="512">
        <v>3.5925553202E10</v>
      </c>
      <c r="E1728" s="646" t="s">
        <v>3634</v>
      </c>
      <c r="F1728" s="656" t="s">
        <v>436</v>
      </c>
      <c r="G1728" s="606" t="s">
        <v>1965</v>
      </c>
      <c r="H1728" s="608" t="s">
        <v>3332</v>
      </c>
    </row>
    <row r="1729">
      <c r="A1729" s="512" t="s">
        <v>439</v>
      </c>
      <c r="B1729" s="512" t="s">
        <v>433</v>
      </c>
      <c r="C1729" s="605">
        <v>45882.0</v>
      </c>
      <c r="D1729" s="512">
        <v>3.25750494E10</v>
      </c>
      <c r="E1729" s="646" t="s">
        <v>3635</v>
      </c>
      <c r="F1729" s="656" t="s">
        <v>436</v>
      </c>
      <c r="G1729" s="606" t="s">
        <v>3636</v>
      </c>
      <c r="H1729" s="608" t="s">
        <v>1608</v>
      </c>
    </row>
    <row r="1730">
      <c r="A1730" s="512" t="s">
        <v>432</v>
      </c>
      <c r="B1730" s="512" t="s">
        <v>449</v>
      </c>
      <c r="C1730" s="605">
        <v>45882.0</v>
      </c>
      <c r="D1730" s="512">
        <v>3.72678474E10</v>
      </c>
      <c r="E1730" s="651" t="s">
        <v>3637</v>
      </c>
      <c r="F1730" s="656" t="s">
        <v>436</v>
      </c>
      <c r="G1730" s="606" t="s">
        <v>3638</v>
      </c>
      <c r="H1730" s="608" t="s">
        <v>686</v>
      </c>
    </row>
    <row r="1731">
      <c r="A1731" s="512" t="s">
        <v>617</v>
      </c>
      <c r="B1731" s="512" t="s">
        <v>449</v>
      </c>
      <c r="C1731" s="605">
        <v>45882.0</v>
      </c>
      <c r="D1731" s="512">
        <v>2.2826322717E10</v>
      </c>
      <c r="E1731" s="646" t="s">
        <v>3639</v>
      </c>
      <c r="F1731" s="656" t="s">
        <v>436</v>
      </c>
      <c r="G1731" s="606" t="s">
        <v>3150</v>
      </c>
      <c r="H1731" s="608" t="s">
        <v>693</v>
      </c>
    </row>
    <row r="1732">
      <c r="A1732" s="512" t="s">
        <v>617</v>
      </c>
      <c r="B1732" s="512" t="s">
        <v>449</v>
      </c>
      <c r="C1732" s="605">
        <v>45882.0</v>
      </c>
      <c r="D1732" s="512">
        <v>2.1448420756E10</v>
      </c>
      <c r="E1732" s="646" t="s">
        <v>3639</v>
      </c>
      <c r="F1732" s="656" t="s">
        <v>436</v>
      </c>
      <c r="G1732" s="606" t="s">
        <v>3150</v>
      </c>
      <c r="H1732" s="608" t="s">
        <v>693</v>
      </c>
    </row>
    <row r="1733">
      <c r="A1733" s="512" t="s">
        <v>690</v>
      </c>
      <c r="B1733" s="512" t="s">
        <v>433</v>
      </c>
      <c r="C1733" s="605">
        <v>45882.0</v>
      </c>
      <c r="D1733" s="512">
        <v>3.4276629215E10</v>
      </c>
      <c r="E1733" s="606" t="s">
        <v>3640</v>
      </c>
      <c r="F1733" s="656" t="s">
        <v>436</v>
      </c>
      <c r="G1733" s="606" t="s">
        <v>3641</v>
      </c>
      <c r="H1733" s="608" t="s">
        <v>2676</v>
      </c>
    </row>
    <row r="1734">
      <c r="A1734" s="512"/>
      <c r="B1734" s="512" t="s">
        <v>449</v>
      </c>
      <c r="C1734" s="605">
        <v>45882.0</v>
      </c>
      <c r="D1734" s="512">
        <v>3.5824698717E10</v>
      </c>
      <c r="E1734" s="640"/>
      <c r="F1734" s="656" t="s">
        <v>436</v>
      </c>
      <c r="G1734" s="606" t="s">
        <v>3642</v>
      </c>
      <c r="H1734" s="608" t="s">
        <v>2676</v>
      </c>
    </row>
    <row r="1735">
      <c r="A1735" s="512" t="s">
        <v>617</v>
      </c>
      <c r="B1735" s="512" t="s">
        <v>433</v>
      </c>
      <c r="C1735" s="605">
        <v>45883.0</v>
      </c>
      <c r="D1735" s="512">
        <v>2.7641296642E10</v>
      </c>
      <c r="E1735" s="606" t="s">
        <v>3643</v>
      </c>
      <c r="F1735" s="656" t="s">
        <v>436</v>
      </c>
      <c r="G1735" s="606" t="s">
        <v>3644</v>
      </c>
      <c r="H1735" s="608" t="s">
        <v>696</v>
      </c>
    </row>
    <row r="1736">
      <c r="A1736" s="512" t="s">
        <v>432</v>
      </c>
      <c r="B1736" s="512" t="s">
        <v>3645</v>
      </c>
      <c r="C1736" s="605">
        <v>45883.0</v>
      </c>
      <c r="D1736" s="512">
        <v>3.0831543754E10</v>
      </c>
      <c r="E1736" s="643" t="s">
        <v>3646</v>
      </c>
      <c r="F1736" s="656" t="s">
        <v>436</v>
      </c>
      <c r="G1736" s="606" t="s">
        <v>3647</v>
      </c>
      <c r="H1736" s="608" t="s">
        <v>686</v>
      </c>
    </row>
    <row r="1737">
      <c r="A1737" s="512" t="s">
        <v>617</v>
      </c>
      <c r="B1737" s="512" t="s">
        <v>449</v>
      </c>
      <c r="C1737" s="605">
        <v>45883.0</v>
      </c>
      <c r="D1737" s="512">
        <v>3.5607730514E10</v>
      </c>
      <c r="E1737" s="606" t="s">
        <v>3648</v>
      </c>
      <c r="F1737" s="656" t="s">
        <v>436</v>
      </c>
      <c r="G1737" s="606" t="s">
        <v>3649</v>
      </c>
      <c r="H1737" s="608" t="s">
        <v>696</v>
      </c>
    </row>
    <row r="1738">
      <c r="A1738" s="512" t="s">
        <v>617</v>
      </c>
      <c r="B1738" s="512" t="s">
        <v>1755</v>
      </c>
      <c r="C1738" s="605">
        <v>45883.0</v>
      </c>
      <c r="D1738" s="512">
        <v>3.1811030102E10</v>
      </c>
      <c r="E1738" s="606" t="s">
        <v>3650</v>
      </c>
      <c r="F1738" s="656" t="s">
        <v>436</v>
      </c>
      <c r="G1738" s="606" t="s">
        <v>3651</v>
      </c>
      <c r="H1738" s="608" t="s">
        <v>696</v>
      </c>
    </row>
    <row r="1739">
      <c r="A1739" s="512" t="s">
        <v>432</v>
      </c>
      <c r="B1739" s="512" t="s">
        <v>449</v>
      </c>
      <c r="C1739" s="605">
        <v>45883.0</v>
      </c>
      <c r="D1739" s="512">
        <v>3.2238601723E10</v>
      </c>
      <c r="E1739" s="651" t="s">
        <v>3652</v>
      </c>
      <c r="F1739" s="656" t="s">
        <v>436</v>
      </c>
      <c r="G1739" s="606" t="s">
        <v>3653</v>
      </c>
      <c r="H1739" s="608" t="s">
        <v>686</v>
      </c>
    </row>
    <row r="1740">
      <c r="A1740" s="512" t="s">
        <v>617</v>
      </c>
      <c r="B1740" s="512" t="s">
        <v>433</v>
      </c>
      <c r="C1740" s="605">
        <v>45883.0</v>
      </c>
      <c r="D1740" s="512">
        <v>2.2392609621E10</v>
      </c>
      <c r="E1740" s="606" t="s">
        <v>3654</v>
      </c>
      <c r="F1740" s="656" t="s">
        <v>436</v>
      </c>
      <c r="G1740" s="606" t="s">
        <v>3655</v>
      </c>
      <c r="H1740" s="608" t="s">
        <v>696</v>
      </c>
    </row>
    <row r="1741">
      <c r="A1741" s="512" t="s">
        <v>617</v>
      </c>
      <c r="B1741" s="512" t="s">
        <v>449</v>
      </c>
      <c r="C1741" s="605">
        <v>45884.0</v>
      </c>
      <c r="D1741" s="512">
        <v>3.0172832365E10</v>
      </c>
      <c r="E1741" s="606" t="s">
        <v>3656</v>
      </c>
      <c r="F1741" s="656" t="s">
        <v>436</v>
      </c>
      <c r="G1741" s="606" t="s">
        <v>3657</v>
      </c>
      <c r="H1741" s="608" t="s">
        <v>696</v>
      </c>
    </row>
    <row r="1742">
      <c r="A1742" s="512" t="s">
        <v>617</v>
      </c>
      <c r="B1742" s="512" t="s">
        <v>449</v>
      </c>
      <c r="C1742" s="605">
        <v>45884.0</v>
      </c>
      <c r="D1742" s="512">
        <v>3.9525154759E10</v>
      </c>
      <c r="E1742" s="606" t="s">
        <v>3658</v>
      </c>
      <c r="F1742" s="656" t="s">
        <v>436</v>
      </c>
      <c r="G1742" s="606" t="s">
        <v>3659</v>
      </c>
      <c r="H1742" s="608" t="s">
        <v>696</v>
      </c>
    </row>
    <row r="1743">
      <c r="A1743" s="512" t="s">
        <v>432</v>
      </c>
      <c r="B1743" s="512" t="s">
        <v>449</v>
      </c>
      <c r="C1743" s="605">
        <v>45884.0</v>
      </c>
      <c r="D1743" s="512">
        <v>4.0129700821E10</v>
      </c>
      <c r="E1743" s="646" t="s">
        <v>3660</v>
      </c>
      <c r="F1743" s="656" t="s">
        <v>436</v>
      </c>
      <c r="G1743" s="606" t="s">
        <v>3661</v>
      </c>
      <c r="H1743" s="608" t="s">
        <v>1175</v>
      </c>
    </row>
    <row r="1744">
      <c r="A1744" s="512" t="s">
        <v>439</v>
      </c>
      <c r="B1744" s="512" t="s">
        <v>3662</v>
      </c>
      <c r="C1744" s="605">
        <v>45886.0</v>
      </c>
      <c r="D1744" s="512">
        <v>3.2995260694E10</v>
      </c>
      <c r="E1744" s="646" t="s">
        <v>3663</v>
      </c>
      <c r="F1744" s="656" t="s">
        <v>436</v>
      </c>
      <c r="G1744" s="606" t="s">
        <v>3664</v>
      </c>
      <c r="H1744" s="608" t="s">
        <v>1608</v>
      </c>
    </row>
    <row r="1745">
      <c r="A1745" s="512" t="s">
        <v>432</v>
      </c>
      <c r="B1745" s="512" t="s">
        <v>449</v>
      </c>
      <c r="C1745" s="605">
        <v>45886.0</v>
      </c>
      <c r="D1745" s="512">
        <v>3.0968685455E10</v>
      </c>
      <c r="E1745" s="606" t="s">
        <v>3665</v>
      </c>
      <c r="F1745" s="656" t="s">
        <v>436</v>
      </c>
      <c r="G1745" s="606" t="s">
        <v>3666</v>
      </c>
      <c r="H1745" s="608" t="s">
        <v>686</v>
      </c>
    </row>
    <row r="1746">
      <c r="A1746" s="512" t="s">
        <v>439</v>
      </c>
      <c r="B1746" s="512" t="s">
        <v>3662</v>
      </c>
      <c r="C1746" s="605">
        <v>45886.0</v>
      </c>
      <c r="D1746" s="512">
        <v>3.4703919523E10</v>
      </c>
      <c r="E1746" s="646" t="s">
        <v>3667</v>
      </c>
      <c r="F1746" s="656" t="s">
        <v>436</v>
      </c>
      <c r="G1746" s="606" t="s">
        <v>3668</v>
      </c>
      <c r="H1746" s="608" t="s">
        <v>1608</v>
      </c>
    </row>
    <row r="1747">
      <c r="A1747" s="512" t="s">
        <v>617</v>
      </c>
      <c r="B1747" s="512" t="s">
        <v>449</v>
      </c>
      <c r="C1747" s="605">
        <v>45886.0</v>
      </c>
      <c r="D1747" s="512">
        <v>3.6123948299E10</v>
      </c>
      <c r="E1747" s="646" t="s">
        <v>3669</v>
      </c>
      <c r="F1747" s="656" t="s">
        <v>436</v>
      </c>
      <c r="G1747" s="606" t="s">
        <v>3670</v>
      </c>
      <c r="H1747" s="608" t="s">
        <v>693</v>
      </c>
    </row>
    <row r="1748">
      <c r="A1748" s="512" t="s">
        <v>823</v>
      </c>
      <c r="B1748" s="512" t="s">
        <v>449</v>
      </c>
      <c r="C1748" s="605">
        <v>45886.0</v>
      </c>
      <c r="D1748" s="512">
        <v>2.6107825828E10</v>
      </c>
      <c r="E1748" s="646" t="s">
        <v>3671</v>
      </c>
      <c r="F1748" s="656" t="s">
        <v>436</v>
      </c>
      <c r="G1748" s="606" t="s">
        <v>3672</v>
      </c>
      <c r="H1748" s="608" t="s">
        <v>3332</v>
      </c>
    </row>
    <row r="1749">
      <c r="A1749" s="512" t="s">
        <v>432</v>
      </c>
      <c r="B1749" s="512" t="s">
        <v>449</v>
      </c>
      <c r="C1749" s="605">
        <v>45886.0</v>
      </c>
      <c r="D1749" s="512">
        <v>3.3603713452E10</v>
      </c>
      <c r="E1749" s="606" t="s">
        <v>3673</v>
      </c>
      <c r="F1749" s="656" t="s">
        <v>436</v>
      </c>
      <c r="G1749" s="606" t="s">
        <v>3674</v>
      </c>
      <c r="H1749" s="608" t="s">
        <v>686</v>
      </c>
    </row>
    <row r="1750">
      <c r="A1750" s="512" t="s">
        <v>617</v>
      </c>
      <c r="B1750" s="512" t="s">
        <v>449</v>
      </c>
      <c r="C1750" s="605">
        <v>45886.0</v>
      </c>
      <c r="D1750" s="512">
        <v>3.6503157043E10</v>
      </c>
      <c r="E1750" s="646" t="s">
        <v>3675</v>
      </c>
      <c r="F1750" s="656" t="s">
        <v>436</v>
      </c>
      <c r="G1750" s="606" t="s">
        <v>1720</v>
      </c>
      <c r="H1750" s="608" t="s">
        <v>693</v>
      </c>
    </row>
    <row r="1751">
      <c r="A1751" s="512" t="s">
        <v>432</v>
      </c>
      <c r="B1751" s="512" t="s">
        <v>449</v>
      </c>
      <c r="C1751" s="605">
        <v>45886.0</v>
      </c>
      <c r="D1751" s="512">
        <v>2.7661060303E10</v>
      </c>
      <c r="E1751" s="606" t="s">
        <v>3676</v>
      </c>
      <c r="F1751" s="656" t="s">
        <v>436</v>
      </c>
      <c r="G1751" s="606" t="s">
        <v>3677</v>
      </c>
      <c r="H1751" s="608" t="s">
        <v>686</v>
      </c>
    </row>
    <row r="1752">
      <c r="A1752" s="512" t="s">
        <v>432</v>
      </c>
      <c r="B1752" s="512" t="s">
        <v>449</v>
      </c>
      <c r="C1752" s="605">
        <v>45887.0</v>
      </c>
      <c r="D1752" s="512">
        <v>3.3278790104E10</v>
      </c>
      <c r="E1752" s="606" t="s">
        <v>3678</v>
      </c>
      <c r="F1752" s="656" t="s">
        <v>436</v>
      </c>
      <c r="G1752" s="606" t="s">
        <v>2766</v>
      </c>
      <c r="H1752" s="608" t="s">
        <v>686</v>
      </c>
    </row>
    <row r="1753">
      <c r="A1753" s="512" t="s">
        <v>432</v>
      </c>
      <c r="B1753" s="512" t="s">
        <v>449</v>
      </c>
      <c r="C1753" s="605">
        <v>45887.0</v>
      </c>
      <c r="D1753" s="512">
        <v>3.829402927E10</v>
      </c>
      <c r="E1753" s="606" t="s">
        <v>3679</v>
      </c>
      <c r="F1753" s="656" t="s">
        <v>436</v>
      </c>
      <c r="G1753" s="606" t="s">
        <v>3680</v>
      </c>
      <c r="H1753" s="608" t="s">
        <v>686</v>
      </c>
    </row>
    <row r="1754">
      <c r="A1754" s="512" t="s">
        <v>432</v>
      </c>
      <c r="B1754" s="512" t="s">
        <v>449</v>
      </c>
      <c r="C1754" s="605">
        <v>45887.0</v>
      </c>
      <c r="D1754" s="512">
        <v>3.667740005E10</v>
      </c>
      <c r="E1754" s="606" t="s">
        <v>3681</v>
      </c>
      <c r="F1754" s="656" t="s">
        <v>436</v>
      </c>
      <c r="G1754" s="606" t="s">
        <v>3682</v>
      </c>
      <c r="H1754" s="608" t="s">
        <v>686</v>
      </c>
    </row>
    <row r="1755">
      <c r="A1755" s="512" t="s">
        <v>823</v>
      </c>
      <c r="B1755" s="512" t="s">
        <v>449</v>
      </c>
      <c r="C1755" s="605">
        <v>45887.0</v>
      </c>
      <c r="D1755" s="512">
        <v>3.322814919E10</v>
      </c>
      <c r="E1755" s="646" t="s">
        <v>3683</v>
      </c>
      <c r="F1755" s="656" t="s">
        <v>436</v>
      </c>
      <c r="G1755" s="606" t="s">
        <v>3684</v>
      </c>
      <c r="H1755" s="608" t="s">
        <v>3332</v>
      </c>
    </row>
    <row r="1756">
      <c r="A1756" s="512" t="s">
        <v>432</v>
      </c>
      <c r="B1756" s="512" t="s">
        <v>449</v>
      </c>
      <c r="C1756" s="605">
        <v>45887.0</v>
      </c>
      <c r="D1756" s="512">
        <v>3.3537086956E10</v>
      </c>
      <c r="E1756" s="606" t="s">
        <v>3685</v>
      </c>
      <c r="F1756" s="656" t="s">
        <v>436</v>
      </c>
      <c r="G1756" s="606" t="s">
        <v>3686</v>
      </c>
      <c r="H1756" s="608" t="s">
        <v>686</v>
      </c>
    </row>
    <row r="1757">
      <c r="A1757" s="512" t="s">
        <v>823</v>
      </c>
      <c r="B1757" s="512" t="s">
        <v>449</v>
      </c>
      <c r="C1757" s="605">
        <v>45887.0</v>
      </c>
      <c r="D1757" s="512">
        <v>3.8017852797E10</v>
      </c>
      <c r="E1757" s="646" t="s">
        <v>3687</v>
      </c>
      <c r="F1757" s="656" t="s">
        <v>436</v>
      </c>
      <c r="G1757" s="606" t="s">
        <v>2392</v>
      </c>
      <c r="H1757" s="608" t="s">
        <v>3332</v>
      </c>
    </row>
    <row r="1758">
      <c r="A1758" s="512" t="s">
        <v>823</v>
      </c>
      <c r="B1758" s="512" t="s">
        <v>449</v>
      </c>
      <c r="C1758" s="605">
        <v>45887.0</v>
      </c>
      <c r="D1758" s="512">
        <v>4.0199353392E10</v>
      </c>
      <c r="E1758" s="646" t="s">
        <v>3688</v>
      </c>
      <c r="F1758" s="656" t="s">
        <v>436</v>
      </c>
      <c r="G1758" s="606" t="s">
        <v>3689</v>
      </c>
      <c r="H1758" s="608" t="s">
        <v>3332</v>
      </c>
    </row>
    <row r="1759">
      <c r="A1759" s="512" t="s">
        <v>617</v>
      </c>
      <c r="B1759" s="512" t="s">
        <v>1755</v>
      </c>
      <c r="C1759" s="605">
        <v>45887.0</v>
      </c>
      <c r="D1759" s="512">
        <v>3.5101517107E10</v>
      </c>
      <c r="E1759" s="606" t="s">
        <v>3690</v>
      </c>
      <c r="F1759" s="656" t="s">
        <v>436</v>
      </c>
      <c r="G1759" s="606" t="s">
        <v>3691</v>
      </c>
      <c r="H1759" s="608" t="s">
        <v>696</v>
      </c>
    </row>
    <row r="1760">
      <c r="A1760" s="512" t="s">
        <v>432</v>
      </c>
      <c r="B1760" s="512" t="s">
        <v>3692</v>
      </c>
      <c r="C1760" s="605">
        <v>45887.0</v>
      </c>
      <c r="D1760" s="512">
        <v>2.7676190227E10</v>
      </c>
      <c r="E1760" s="606" t="s">
        <v>3693</v>
      </c>
      <c r="F1760" s="656" t="s">
        <v>436</v>
      </c>
      <c r="G1760" s="606" t="s">
        <v>3694</v>
      </c>
      <c r="H1760" s="608" t="s">
        <v>686</v>
      </c>
    </row>
    <row r="1761">
      <c r="A1761" s="512" t="s">
        <v>617</v>
      </c>
      <c r="B1761" s="512" t="s">
        <v>449</v>
      </c>
      <c r="C1761" s="605">
        <v>45887.0</v>
      </c>
      <c r="D1761" s="512">
        <v>3.3036752356E10</v>
      </c>
      <c r="E1761" s="606" t="s">
        <v>3695</v>
      </c>
      <c r="F1761" s="656" t="s">
        <v>436</v>
      </c>
      <c r="G1761" s="640"/>
      <c r="H1761" s="608" t="s">
        <v>696</v>
      </c>
    </row>
    <row r="1762">
      <c r="A1762" s="512" t="s">
        <v>617</v>
      </c>
      <c r="B1762" s="512" t="s">
        <v>449</v>
      </c>
      <c r="C1762" s="605">
        <v>45887.0</v>
      </c>
      <c r="D1762" s="512">
        <v>3.1176562245E10</v>
      </c>
      <c r="E1762" s="606" t="s">
        <v>3696</v>
      </c>
      <c r="F1762" s="656" t="s">
        <v>436</v>
      </c>
      <c r="G1762" s="640"/>
      <c r="H1762" s="608" t="s">
        <v>696</v>
      </c>
    </row>
    <row r="1763">
      <c r="A1763" s="512" t="s">
        <v>617</v>
      </c>
      <c r="B1763" s="512" t="s">
        <v>3587</v>
      </c>
      <c r="C1763" s="605">
        <v>45888.0</v>
      </c>
      <c r="D1763" s="512">
        <v>3.5601278104E10</v>
      </c>
      <c r="E1763" s="606" t="s">
        <v>3697</v>
      </c>
      <c r="F1763" s="656" t="s">
        <v>436</v>
      </c>
      <c r="G1763" s="606" t="s">
        <v>2463</v>
      </c>
      <c r="H1763" s="608" t="s">
        <v>696</v>
      </c>
    </row>
    <row r="1764">
      <c r="A1764" s="512" t="s">
        <v>617</v>
      </c>
      <c r="B1764" s="512" t="s">
        <v>449</v>
      </c>
      <c r="C1764" s="605">
        <v>45888.0</v>
      </c>
      <c r="D1764" s="512">
        <v>3.6702751937E10</v>
      </c>
      <c r="E1764" s="606" t="s">
        <v>3623</v>
      </c>
      <c r="F1764" s="656" t="s">
        <v>436</v>
      </c>
      <c r="G1764" s="606" t="s">
        <v>1003</v>
      </c>
      <c r="H1764" s="608" t="s">
        <v>696</v>
      </c>
    </row>
    <row r="1765">
      <c r="A1765" s="512" t="s">
        <v>432</v>
      </c>
      <c r="B1765" s="512" t="s">
        <v>3698</v>
      </c>
      <c r="C1765" s="605">
        <v>45888.0</v>
      </c>
      <c r="D1765" s="512">
        <v>3.7455527474E10</v>
      </c>
      <c r="E1765" s="646" t="s">
        <v>3699</v>
      </c>
      <c r="F1765" s="656" t="s">
        <v>436</v>
      </c>
      <c r="G1765" s="606" t="s">
        <v>3700</v>
      </c>
      <c r="H1765" s="608" t="s">
        <v>1175</v>
      </c>
    </row>
    <row r="1766">
      <c r="A1766" s="512" t="s">
        <v>617</v>
      </c>
      <c r="B1766" s="512" t="s">
        <v>3698</v>
      </c>
      <c r="C1766" s="605">
        <v>45888.0</v>
      </c>
      <c r="D1766" s="512">
        <v>4.0248002847E10</v>
      </c>
      <c r="E1766" s="606" t="s">
        <v>3701</v>
      </c>
      <c r="F1766" s="656" t="s">
        <v>436</v>
      </c>
      <c r="G1766" s="606" t="s">
        <v>3702</v>
      </c>
      <c r="H1766" s="608" t="s">
        <v>696</v>
      </c>
    </row>
    <row r="1767">
      <c r="A1767" s="512" t="s">
        <v>432</v>
      </c>
      <c r="B1767" s="512" t="s">
        <v>449</v>
      </c>
      <c r="C1767" s="605">
        <v>45888.0</v>
      </c>
      <c r="D1767" s="512">
        <v>3.3266171322E10</v>
      </c>
      <c r="E1767" s="606" t="s">
        <v>3703</v>
      </c>
      <c r="F1767" s="656" t="s">
        <v>436</v>
      </c>
      <c r="G1767" s="606" t="s">
        <v>3704</v>
      </c>
      <c r="H1767" s="608" t="s">
        <v>1175</v>
      </c>
    </row>
    <row r="1768">
      <c r="A1768" s="512" t="s">
        <v>432</v>
      </c>
      <c r="B1768" s="512" t="s">
        <v>449</v>
      </c>
      <c r="C1768" s="605">
        <v>45889.0</v>
      </c>
      <c r="D1768" s="512">
        <v>3.1472706598E10</v>
      </c>
      <c r="E1768" s="646" t="s">
        <v>3705</v>
      </c>
      <c r="F1768" s="656" t="s">
        <v>436</v>
      </c>
      <c r="G1768" s="606" t="s">
        <v>3706</v>
      </c>
      <c r="H1768" s="608" t="s">
        <v>1175</v>
      </c>
    </row>
    <row r="1769">
      <c r="A1769" s="512" t="s">
        <v>432</v>
      </c>
      <c r="B1769" s="512" t="s">
        <v>449</v>
      </c>
      <c r="C1769" s="605">
        <v>45889.0</v>
      </c>
      <c r="D1769" s="512">
        <v>1.6378481317E10</v>
      </c>
      <c r="E1769" s="646" t="s">
        <v>3707</v>
      </c>
      <c r="F1769" s="656" t="s">
        <v>436</v>
      </c>
      <c r="G1769" s="606" t="s">
        <v>3708</v>
      </c>
      <c r="H1769" s="608" t="s">
        <v>1175</v>
      </c>
    </row>
    <row r="1770">
      <c r="A1770" s="512" t="s">
        <v>617</v>
      </c>
      <c r="B1770" s="512" t="s">
        <v>433</v>
      </c>
      <c r="C1770" s="605">
        <v>45889.0</v>
      </c>
      <c r="D1770" s="512">
        <v>3.4515014316E10</v>
      </c>
      <c r="E1770" s="606" t="s">
        <v>3709</v>
      </c>
      <c r="F1770" s="656" t="s">
        <v>436</v>
      </c>
      <c r="G1770" s="606" t="s">
        <v>1445</v>
      </c>
      <c r="H1770" s="608" t="s">
        <v>696</v>
      </c>
    </row>
    <row r="1771">
      <c r="A1771" s="512" t="s">
        <v>617</v>
      </c>
      <c r="B1771" s="512" t="s">
        <v>3587</v>
      </c>
      <c r="C1771" s="605">
        <v>45889.0</v>
      </c>
      <c r="D1771" s="512">
        <v>2.1837981237E10</v>
      </c>
      <c r="E1771" s="606" t="s">
        <v>3710</v>
      </c>
      <c r="F1771" s="656" t="s">
        <v>436</v>
      </c>
      <c r="G1771" s="606" t="s">
        <v>2949</v>
      </c>
      <c r="H1771" s="608" t="s">
        <v>696</v>
      </c>
    </row>
    <row r="1772">
      <c r="A1772" s="512" t="s">
        <v>439</v>
      </c>
      <c r="B1772" s="512" t="s">
        <v>449</v>
      </c>
      <c r="C1772" s="605">
        <v>45889.0</v>
      </c>
      <c r="D1772" s="512">
        <v>3.5337060555E10</v>
      </c>
      <c r="E1772" s="646" t="s">
        <v>3711</v>
      </c>
      <c r="F1772" s="656" t="s">
        <v>436</v>
      </c>
      <c r="G1772" s="606" t="s">
        <v>1597</v>
      </c>
      <c r="H1772" s="608" t="s">
        <v>1608</v>
      </c>
    </row>
    <row r="1773">
      <c r="A1773" s="512" t="s">
        <v>432</v>
      </c>
      <c r="B1773" s="512" t="s">
        <v>449</v>
      </c>
      <c r="C1773" s="605">
        <v>45889.0</v>
      </c>
      <c r="D1773" s="512">
        <v>4.0495706168E10</v>
      </c>
      <c r="E1773" s="646" t="s">
        <v>3712</v>
      </c>
      <c r="F1773" s="656" t="s">
        <v>436</v>
      </c>
      <c r="G1773" s="606" t="s">
        <v>3713</v>
      </c>
      <c r="H1773" s="608" t="s">
        <v>1175</v>
      </c>
    </row>
    <row r="1774">
      <c r="A1774" s="512" t="s">
        <v>617</v>
      </c>
      <c r="B1774" s="512" t="s">
        <v>449</v>
      </c>
      <c r="C1774" s="605">
        <v>45889.0</v>
      </c>
      <c r="D1774" s="512">
        <v>2.9421978155E10</v>
      </c>
      <c r="E1774" s="606" t="s">
        <v>3714</v>
      </c>
      <c r="F1774" s="656" t="s">
        <v>436</v>
      </c>
      <c r="G1774" s="640"/>
      <c r="H1774" s="608" t="s">
        <v>696</v>
      </c>
    </row>
    <row r="1775">
      <c r="A1775" s="512" t="s">
        <v>617</v>
      </c>
      <c r="B1775" s="512" t="s">
        <v>449</v>
      </c>
      <c r="C1775" s="605">
        <v>45889.0</v>
      </c>
      <c r="D1775" s="512">
        <v>4.0430381372E10</v>
      </c>
      <c r="E1775" s="606" t="s">
        <v>3715</v>
      </c>
      <c r="F1775" s="656" t="s">
        <v>436</v>
      </c>
      <c r="G1775" s="640"/>
      <c r="H1775" s="608" t="s">
        <v>696</v>
      </c>
    </row>
    <row r="1776">
      <c r="A1776" s="512" t="s">
        <v>432</v>
      </c>
      <c r="B1776" s="512" t="s">
        <v>449</v>
      </c>
      <c r="C1776" s="605">
        <v>45890.0</v>
      </c>
      <c r="D1776" s="512">
        <v>3.6324914358E10</v>
      </c>
      <c r="E1776" s="606" t="s">
        <v>3716</v>
      </c>
      <c r="F1776" s="656" t="s">
        <v>436</v>
      </c>
      <c r="G1776" s="606" t="s">
        <v>3717</v>
      </c>
      <c r="H1776" s="608" t="s">
        <v>686</v>
      </c>
    </row>
    <row r="1777">
      <c r="A1777" s="512" t="s">
        <v>432</v>
      </c>
      <c r="B1777" s="512" t="s">
        <v>3718</v>
      </c>
      <c r="C1777" s="639">
        <v>45890.0</v>
      </c>
      <c r="D1777" s="512">
        <v>2.9449068874E10</v>
      </c>
      <c r="E1777" s="606" t="s">
        <v>3719</v>
      </c>
      <c r="F1777" s="656" t="s">
        <v>436</v>
      </c>
      <c r="G1777" s="606" t="s">
        <v>3720</v>
      </c>
      <c r="H1777" s="608" t="s">
        <v>686</v>
      </c>
    </row>
    <row r="1778">
      <c r="A1778" s="512" t="s">
        <v>432</v>
      </c>
      <c r="B1778" s="512" t="s">
        <v>3721</v>
      </c>
      <c r="C1778" s="605">
        <v>45890.0</v>
      </c>
      <c r="D1778" s="512">
        <v>3.993817732E10</v>
      </c>
      <c r="E1778" s="648" t="s">
        <v>3722</v>
      </c>
      <c r="F1778" s="656" t="s">
        <v>436</v>
      </c>
      <c r="G1778" s="606" t="s">
        <v>3723</v>
      </c>
      <c r="H1778" s="608" t="s">
        <v>686</v>
      </c>
    </row>
    <row r="1779">
      <c r="A1779" s="512" t="s">
        <v>432</v>
      </c>
      <c r="B1779" s="512" t="s">
        <v>3721</v>
      </c>
      <c r="C1779" s="605">
        <v>45890.0</v>
      </c>
      <c r="D1779" s="512">
        <v>3.2667532767E10</v>
      </c>
      <c r="E1779" s="606" t="s">
        <v>3724</v>
      </c>
      <c r="F1779" s="656" t="s">
        <v>436</v>
      </c>
      <c r="G1779" s="606" t="s">
        <v>3725</v>
      </c>
      <c r="H1779" s="608" t="s">
        <v>686</v>
      </c>
    </row>
    <row r="1780">
      <c r="A1780" s="512" t="s">
        <v>432</v>
      </c>
      <c r="B1780" s="512" t="s">
        <v>3726</v>
      </c>
      <c r="C1780" s="605">
        <v>45890.0</v>
      </c>
      <c r="D1780" s="512">
        <v>3.7178456885E10</v>
      </c>
      <c r="E1780" s="606" t="s">
        <v>3727</v>
      </c>
      <c r="F1780" s="656" t="s">
        <v>436</v>
      </c>
      <c r="G1780" s="606" t="s">
        <v>3728</v>
      </c>
      <c r="H1780" s="608" t="s">
        <v>686</v>
      </c>
    </row>
    <row r="1781">
      <c r="A1781" s="512" t="s">
        <v>432</v>
      </c>
      <c r="B1781" s="512" t="s">
        <v>3729</v>
      </c>
      <c r="C1781" s="605">
        <v>45890.0</v>
      </c>
      <c r="D1781" s="512">
        <v>4.0429084108E10</v>
      </c>
      <c r="E1781" s="606" t="s">
        <v>3730</v>
      </c>
      <c r="F1781" s="656" t="s">
        <v>436</v>
      </c>
      <c r="G1781" s="606" t="s">
        <v>3731</v>
      </c>
      <c r="H1781" s="608" t="s">
        <v>686</v>
      </c>
    </row>
    <row r="1782">
      <c r="A1782" s="512" t="s">
        <v>432</v>
      </c>
      <c r="B1782" s="512" t="s">
        <v>497</v>
      </c>
      <c r="C1782" s="605">
        <v>45890.0</v>
      </c>
      <c r="D1782" s="512">
        <v>2.7370982527E10</v>
      </c>
      <c r="E1782" s="606" t="s">
        <v>3732</v>
      </c>
      <c r="F1782" s="656" t="s">
        <v>436</v>
      </c>
      <c r="G1782" s="606" t="s">
        <v>3733</v>
      </c>
      <c r="H1782" s="608" t="s">
        <v>686</v>
      </c>
    </row>
    <row r="1783">
      <c r="A1783" s="512" t="s">
        <v>439</v>
      </c>
      <c r="B1783" s="512" t="s">
        <v>497</v>
      </c>
      <c r="C1783" s="605">
        <v>45891.0</v>
      </c>
      <c r="D1783" s="512">
        <v>4.0297666174E10</v>
      </c>
      <c r="E1783" s="606" t="s">
        <v>3734</v>
      </c>
      <c r="F1783" s="656" t="s">
        <v>436</v>
      </c>
      <c r="G1783" s="606" t="s">
        <v>3735</v>
      </c>
      <c r="H1783" s="608" t="s">
        <v>623</v>
      </c>
    </row>
    <row r="1784">
      <c r="A1784" s="512" t="s">
        <v>617</v>
      </c>
      <c r="B1784" s="512" t="s">
        <v>449</v>
      </c>
      <c r="C1784" s="605">
        <v>45891.0</v>
      </c>
      <c r="D1784" s="512">
        <v>3.1419952641E10</v>
      </c>
      <c r="E1784" s="606" t="s">
        <v>1231</v>
      </c>
      <c r="F1784" s="656" t="s">
        <v>436</v>
      </c>
      <c r="G1784" s="606" t="s">
        <v>3736</v>
      </c>
      <c r="H1784" s="608" t="s">
        <v>696</v>
      </c>
    </row>
    <row r="1785">
      <c r="A1785" s="512" t="s">
        <v>617</v>
      </c>
      <c r="B1785" s="512" t="s">
        <v>449</v>
      </c>
      <c r="C1785" s="605">
        <v>45891.0</v>
      </c>
      <c r="D1785" s="512">
        <v>3.9519275518E10</v>
      </c>
      <c r="E1785" s="606" t="s">
        <v>1231</v>
      </c>
      <c r="F1785" s="656" t="s">
        <v>436</v>
      </c>
      <c r="G1785" s="606" t="s">
        <v>3736</v>
      </c>
      <c r="H1785" s="608" t="s">
        <v>696</v>
      </c>
    </row>
    <row r="1786">
      <c r="A1786" s="512" t="s">
        <v>617</v>
      </c>
      <c r="B1786" s="512" t="s">
        <v>449</v>
      </c>
      <c r="C1786" s="605">
        <v>45891.0</v>
      </c>
      <c r="D1786" s="512">
        <v>3.6507971115E10</v>
      </c>
      <c r="E1786" s="606" t="s">
        <v>3737</v>
      </c>
      <c r="F1786" s="656" t="s">
        <v>436</v>
      </c>
      <c r="G1786" s="606" t="s">
        <v>1773</v>
      </c>
      <c r="H1786" s="608" t="s">
        <v>696</v>
      </c>
    </row>
    <row r="1787">
      <c r="A1787" s="512" t="s">
        <v>432</v>
      </c>
      <c r="B1787" s="512" t="s">
        <v>449</v>
      </c>
      <c r="C1787" s="605">
        <v>45891.0</v>
      </c>
      <c r="D1787" s="512">
        <v>3.7371771944E10</v>
      </c>
      <c r="E1787" s="606" t="s">
        <v>3738</v>
      </c>
      <c r="F1787" s="656" t="s">
        <v>436</v>
      </c>
      <c r="G1787" s="606" t="s">
        <v>3739</v>
      </c>
      <c r="H1787" s="608" t="s">
        <v>686</v>
      </c>
    </row>
    <row r="1788">
      <c r="A1788" s="512" t="s">
        <v>823</v>
      </c>
      <c r="B1788" s="512" t="s">
        <v>449</v>
      </c>
      <c r="C1788" s="605">
        <v>45891.0</v>
      </c>
      <c r="D1788" s="512">
        <v>3.6841293484E10</v>
      </c>
      <c r="E1788" s="646" t="s">
        <v>3740</v>
      </c>
      <c r="F1788" s="656" t="s">
        <v>436</v>
      </c>
      <c r="G1788" s="606" t="s">
        <v>3741</v>
      </c>
      <c r="H1788" s="608" t="s">
        <v>3332</v>
      </c>
    </row>
    <row r="1789">
      <c r="A1789" s="512" t="s">
        <v>432</v>
      </c>
      <c r="B1789" s="512" t="s">
        <v>449</v>
      </c>
      <c r="C1789" s="605">
        <v>45891.0</v>
      </c>
      <c r="D1789" s="512">
        <v>2.7060818994E10</v>
      </c>
      <c r="E1789" s="606" t="s">
        <v>3742</v>
      </c>
      <c r="F1789" s="656" t="s">
        <v>436</v>
      </c>
      <c r="G1789" s="606" t="s">
        <v>3743</v>
      </c>
      <c r="H1789" s="608" t="s">
        <v>686</v>
      </c>
    </row>
    <row r="1790">
      <c r="A1790" s="512" t="s">
        <v>823</v>
      </c>
      <c r="B1790" s="512" t="s">
        <v>449</v>
      </c>
      <c r="C1790" s="605">
        <v>45891.0</v>
      </c>
      <c r="D1790" s="512">
        <v>3.3503521515E10</v>
      </c>
      <c r="E1790" s="646" t="s">
        <v>3744</v>
      </c>
      <c r="F1790" s="656" t="s">
        <v>436</v>
      </c>
      <c r="G1790" s="606" t="s">
        <v>1259</v>
      </c>
      <c r="H1790" s="608" t="s">
        <v>3332</v>
      </c>
    </row>
    <row r="1791">
      <c r="A1791" s="512" t="s">
        <v>617</v>
      </c>
      <c r="B1791" s="512" t="s">
        <v>449</v>
      </c>
      <c r="C1791" s="605">
        <v>45892.0</v>
      </c>
      <c r="D1791" s="512">
        <v>3.7471558257E10</v>
      </c>
      <c r="E1791" s="606" t="s">
        <v>3745</v>
      </c>
      <c r="F1791" s="656" t="s">
        <v>436</v>
      </c>
      <c r="G1791" s="606" t="s">
        <v>3746</v>
      </c>
      <c r="H1791" s="608" t="s">
        <v>696</v>
      </c>
    </row>
    <row r="1792">
      <c r="A1792" s="512" t="s">
        <v>432</v>
      </c>
      <c r="B1792" s="512" t="s">
        <v>449</v>
      </c>
      <c r="C1792" s="605">
        <v>45892.0</v>
      </c>
      <c r="D1792" s="512">
        <v>2.4581488204E10</v>
      </c>
      <c r="E1792" s="606" t="s">
        <v>3747</v>
      </c>
      <c r="F1792" s="656" t="s">
        <v>436</v>
      </c>
      <c r="G1792" s="606" t="s">
        <v>3748</v>
      </c>
      <c r="H1792" s="608" t="s">
        <v>1175</v>
      </c>
    </row>
    <row r="1793">
      <c r="A1793" s="512" t="s">
        <v>432</v>
      </c>
      <c r="B1793" s="512" t="s">
        <v>449</v>
      </c>
      <c r="C1793" s="605">
        <v>45892.0</v>
      </c>
      <c r="D1793" s="512">
        <v>3.4258540324E10</v>
      </c>
      <c r="E1793" s="646" t="s">
        <v>3749</v>
      </c>
      <c r="F1793" s="656" t="s">
        <v>436</v>
      </c>
      <c r="G1793" s="606" t="s">
        <v>3750</v>
      </c>
      <c r="H1793" s="608" t="s">
        <v>1175</v>
      </c>
    </row>
    <row r="1794">
      <c r="A1794" s="512" t="s">
        <v>432</v>
      </c>
      <c r="B1794" s="512" t="s">
        <v>449</v>
      </c>
      <c r="C1794" s="605">
        <v>45893.0</v>
      </c>
      <c r="D1794" s="512">
        <v>4.0361949935E10</v>
      </c>
      <c r="E1794" s="606" t="s">
        <v>3751</v>
      </c>
      <c r="F1794" s="656" t="s">
        <v>436</v>
      </c>
      <c r="G1794" s="606">
        <v>279.0</v>
      </c>
      <c r="H1794" s="608" t="s">
        <v>1175</v>
      </c>
    </row>
    <row r="1795">
      <c r="A1795" s="512" t="s">
        <v>617</v>
      </c>
      <c r="B1795" s="512" t="s">
        <v>449</v>
      </c>
      <c r="C1795" s="605">
        <v>45893.0</v>
      </c>
      <c r="D1795" s="512">
        <v>2.0304919561E10</v>
      </c>
      <c r="E1795" s="606" t="s">
        <v>3752</v>
      </c>
      <c r="F1795" s="656" t="s">
        <v>436</v>
      </c>
      <c r="G1795" s="606" t="s">
        <v>3753</v>
      </c>
      <c r="H1795" s="608" t="s">
        <v>696</v>
      </c>
    </row>
    <row r="1796">
      <c r="A1796" s="512" t="s">
        <v>432</v>
      </c>
      <c r="B1796" s="512" t="s">
        <v>449</v>
      </c>
      <c r="C1796" s="605">
        <v>45893.0</v>
      </c>
      <c r="D1796" s="512">
        <v>2.0480519773E10</v>
      </c>
      <c r="E1796" s="606" t="s">
        <v>3754</v>
      </c>
      <c r="F1796" s="656" t="s">
        <v>436</v>
      </c>
      <c r="G1796" s="606" t="s">
        <v>3755</v>
      </c>
      <c r="H1796" s="608" t="s">
        <v>1175</v>
      </c>
    </row>
    <row r="1797">
      <c r="A1797" s="512" t="s">
        <v>617</v>
      </c>
      <c r="B1797" s="512" t="s">
        <v>3583</v>
      </c>
      <c r="C1797" s="605">
        <v>45893.0</v>
      </c>
      <c r="D1797" s="512">
        <v>3.361274902E10</v>
      </c>
      <c r="E1797" s="606" t="s">
        <v>3756</v>
      </c>
      <c r="F1797" s="656" t="s">
        <v>436</v>
      </c>
      <c r="G1797" s="606" t="s">
        <v>3757</v>
      </c>
      <c r="H1797" s="608" t="s">
        <v>696</v>
      </c>
    </row>
    <row r="1798">
      <c r="A1798" s="512" t="s">
        <v>617</v>
      </c>
      <c r="B1798" s="512" t="s">
        <v>1755</v>
      </c>
      <c r="C1798" s="605">
        <v>45893.0</v>
      </c>
      <c r="D1798" s="512">
        <v>3.216087447E10</v>
      </c>
      <c r="E1798" s="606" t="s">
        <v>3758</v>
      </c>
      <c r="F1798" s="656" t="s">
        <v>436</v>
      </c>
      <c r="G1798" s="606" t="s">
        <v>3759</v>
      </c>
      <c r="H1798" s="608" t="s">
        <v>696</v>
      </c>
    </row>
    <row r="1799">
      <c r="A1799" s="512" t="s">
        <v>617</v>
      </c>
      <c r="B1799" s="512" t="s">
        <v>449</v>
      </c>
      <c r="C1799" s="605">
        <v>45893.0</v>
      </c>
      <c r="D1799" s="512">
        <v>3.2027177606E10</v>
      </c>
      <c r="E1799" s="606" t="s">
        <v>3760</v>
      </c>
      <c r="F1799" s="656" t="s">
        <v>436</v>
      </c>
      <c r="G1799" s="606" t="s">
        <v>3761</v>
      </c>
      <c r="H1799" s="608" t="s">
        <v>696</v>
      </c>
    </row>
    <row r="1800">
      <c r="A1800" s="512" t="s">
        <v>617</v>
      </c>
      <c r="B1800" s="512" t="s">
        <v>449</v>
      </c>
      <c r="C1800" s="605">
        <v>45893.0</v>
      </c>
      <c r="D1800" s="512">
        <v>3.2547297336E10</v>
      </c>
      <c r="E1800" s="606" t="s">
        <v>3762</v>
      </c>
      <c r="F1800" s="656" t="s">
        <v>436</v>
      </c>
      <c r="G1800" s="606" t="s">
        <v>2196</v>
      </c>
      <c r="H1800" s="608" t="s">
        <v>696</v>
      </c>
    </row>
    <row r="1801">
      <c r="A1801" s="512" t="s">
        <v>690</v>
      </c>
      <c r="B1801" s="512" t="s">
        <v>449</v>
      </c>
      <c r="C1801" s="605">
        <v>45894.0</v>
      </c>
      <c r="D1801" s="512">
        <v>3.8481098001E10</v>
      </c>
      <c r="E1801" s="646" t="s">
        <v>1061</v>
      </c>
      <c r="F1801" s="656" t="s">
        <v>436</v>
      </c>
      <c r="G1801" s="606">
        <v>2083.0</v>
      </c>
      <c r="H1801" s="608" t="s">
        <v>3763</v>
      </c>
    </row>
    <row r="1802">
      <c r="A1802" s="512" t="s">
        <v>617</v>
      </c>
      <c r="B1802" s="512" t="s">
        <v>449</v>
      </c>
      <c r="C1802" s="605">
        <v>45894.0</v>
      </c>
      <c r="D1802" s="512">
        <v>3.2889384367E10</v>
      </c>
      <c r="E1802" s="606" t="s">
        <v>3764</v>
      </c>
      <c r="F1802" s="656" t="s">
        <v>436</v>
      </c>
      <c r="G1802" s="606">
        <v>13113.0</v>
      </c>
      <c r="H1802" s="608" t="s">
        <v>623</v>
      </c>
    </row>
    <row r="1803">
      <c r="A1803" s="512" t="s">
        <v>823</v>
      </c>
      <c r="B1803" s="512" t="s">
        <v>449</v>
      </c>
      <c r="C1803" s="605">
        <v>45894.0</v>
      </c>
      <c r="D1803" s="512">
        <v>3.3413530733E10</v>
      </c>
      <c r="E1803" s="646" t="s">
        <v>3765</v>
      </c>
      <c r="F1803" s="656" t="s">
        <v>436</v>
      </c>
      <c r="G1803" s="606" t="s">
        <v>1851</v>
      </c>
      <c r="H1803" s="608" t="s">
        <v>3332</v>
      </c>
    </row>
    <row r="1804">
      <c r="A1804" s="512" t="s">
        <v>432</v>
      </c>
      <c r="B1804" s="512" t="s">
        <v>1755</v>
      </c>
      <c r="C1804" s="605">
        <v>45894.0</v>
      </c>
      <c r="D1804" s="512">
        <v>3.4967810592E10</v>
      </c>
      <c r="E1804" s="606" t="s">
        <v>3766</v>
      </c>
      <c r="F1804" s="656" t="s">
        <v>436</v>
      </c>
      <c r="G1804" s="606" t="s">
        <v>3767</v>
      </c>
      <c r="H1804" s="608" t="s">
        <v>686</v>
      </c>
    </row>
    <row r="1805">
      <c r="A1805" s="512" t="s">
        <v>432</v>
      </c>
      <c r="B1805" s="512" t="s">
        <v>449</v>
      </c>
      <c r="C1805" s="605">
        <v>45894.0</v>
      </c>
      <c r="D1805" s="512">
        <v>3.6229669793E10</v>
      </c>
      <c r="E1805" s="606" t="s">
        <v>3722</v>
      </c>
      <c r="F1805" s="656" t="s">
        <v>436</v>
      </c>
      <c r="G1805" s="606" t="s">
        <v>3768</v>
      </c>
      <c r="H1805" s="608" t="s">
        <v>686</v>
      </c>
    </row>
    <row r="1806">
      <c r="A1806" s="512" t="s">
        <v>432</v>
      </c>
      <c r="B1806" s="512" t="s">
        <v>449</v>
      </c>
      <c r="C1806" s="605">
        <v>45894.0</v>
      </c>
      <c r="D1806" s="512">
        <v>4.0700255885E10</v>
      </c>
      <c r="E1806" s="606" t="s">
        <v>3769</v>
      </c>
      <c r="F1806" s="656" t="s">
        <v>436</v>
      </c>
      <c r="G1806" s="606" t="s">
        <v>3770</v>
      </c>
      <c r="H1806" s="608" t="s">
        <v>686</v>
      </c>
    </row>
    <row r="1807">
      <c r="A1807" s="512" t="s">
        <v>439</v>
      </c>
      <c r="B1807" s="512" t="s">
        <v>449</v>
      </c>
      <c r="C1807" s="605">
        <v>45894.0</v>
      </c>
      <c r="D1807" s="512">
        <v>3.4885946401E10</v>
      </c>
      <c r="E1807" s="646" t="s">
        <v>3771</v>
      </c>
      <c r="F1807" s="656" t="s">
        <v>436</v>
      </c>
      <c r="G1807" s="606" t="s">
        <v>3772</v>
      </c>
      <c r="H1807" s="608" t="s">
        <v>1608</v>
      </c>
    </row>
    <row r="1808">
      <c r="A1808" s="512" t="s">
        <v>439</v>
      </c>
      <c r="B1808" s="512" t="s">
        <v>449</v>
      </c>
      <c r="C1808" s="605">
        <v>45894.0</v>
      </c>
      <c r="D1808" s="512">
        <v>2.8038462447E10</v>
      </c>
      <c r="E1808" s="646" t="s">
        <v>3773</v>
      </c>
      <c r="F1808" s="656" t="s">
        <v>436</v>
      </c>
      <c r="G1808" s="606" t="s">
        <v>3774</v>
      </c>
      <c r="H1808" s="608" t="s">
        <v>1608</v>
      </c>
    </row>
    <row r="1809">
      <c r="A1809" s="512" t="s">
        <v>823</v>
      </c>
      <c r="B1809" s="512" t="s">
        <v>449</v>
      </c>
      <c r="C1809" s="605">
        <v>45894.0</v>
      </c>
      <c r="D1809" s="512">
        <v>2.9881143522E10</v>
      </c>
      <c r="E1809" s="646" t="s">
        <v>3775</v>
      </c>
      <c r="F1809" s="656" t="s">
        <v>436</v>
      </c>
      <c r="G1809" s="606" t="s">
        <v>3527</v>
      </c>
      <c r="H1809" s="608" t="s">
        <v>3332</v>
      </c>
    </row>
    <row r="1810">
      <c r="A1810" s="512" t="s">
        <v>432</v>
      </c>
      <c r="B1810" s="512" t="s">
        <v>1755</v>
      </c>
      <c r="C1810" s="605">
        <v>45894.0</v>
      </c>
      <c r="D1810" s="512">
        <v>3.717160307E10</v>
      </c>
      <c r="E1810" s="606" t="s">
        <v>3776</v>
      </c>
      <c r="F1810" s="656" t="s">
        <v>436</v>
      </c>
      <c r="G1810" s="606" t="s">
        <v>1122</v>
      </c>
      <c r="H1810" s="608" t="s">
        <v>686</v>
      </c>
    </row>
    <row r="1811">
      <c r="A1811" s="512" t="s">
        <v>439</v>
      </c>
      <c r="B1811" s="512" t="s">
        <v>449</v>
      </c>
      <c r="C1811" s="605">
        <v>45894.0</v>
      </c>
      <c r="D1811" s="512">
        <v>3.2661874799E10</v>
      </c>
      <c r="E1811" s="646" t="s">
        <v>3777</v>
      </c>
      <c r="F1811" s="656" t="s">
        <v>436</v>
      </c>
      <c r="G1811" s="606" t="s">
        <v>3778</v>
      </c>
      <c r="H1811" s="608" t="s">
        <v>1608</v>
      </c>
    </row>
    <row r="1812">
      <c r="A1812" s="512" t="s">
        <v>432</v>
      </c>
      <c r="B1812" s="512" t="s">
        <v>1755</v>
      </c>
      <c r="C1812" s="605">
        <v>45894.0</v>
      </c>
      <c r="D1812" s="512">
        <v>2.0281665927E10</v>
      </c>
      <c r="E1812" s="606" t="s">
        <v>3779</v>
      </c>
      <c r="F1812" s="656" t="s">
        <v>436</v>
      </c>
      <c r="G1812" s="606" t="s">
        <v>3780</v>
      </c>
      <c r="H1812" s="608" t="s">
        <v>686</v>
      </c>
    </row>
    <row r="1813">
      <c r="A1813" s="512" t="s">
        <v>432</v>
      </c>
      <c r="B1813" s="512" t="s">
        <v>449</v>
      </c>
      <c r="C1813" s="605">
        <v>45894.0</v>
      </c>
      <c r="D1813" s="512">
        <v>2.9941171452E10</v>
      </c>
      <c r="E1813" s="606" t="s">
        <v>3781</v>
      </c>
      <c r="F1813" s="656" t="s">
        <v>436</v>
      </c>
      <c r="G1813" s="606" t="s">
        <v>3782</v>
      </c>
      <c r="H1813" s="608" t="s">
        <v>686</v>
      </c>
    </row>
    <row r="1814">
      <c r="A1814" s="512" t="s">
        <v>617</v>
      </c>
      <c r="B1814" s="512" t="s">
        <v>449</v>
      </c>
      <c r="C1814" s="605">
        <v>45894.0</v>
      </c>
      <c r="D1814" s="512">
        <v>4.0626288573E10</v>
      </c>
      <c r="E1814" s="606" t="s">
        <v>3783</v>
      </c>
      <c r="F1814" s="656" t="s">
        <v>436</v>
      </c>
      <c r="G1814" s="606" t="s">
        <v>3784</v>
      </c>
      <c r="H1814" s="608" t="s">
        <v>623</v>
      </c>
    </row>
    <row r="1815">
      <c r="A1815" s="512" t="s">
        <v>617</v>
      </c>
      <c r="B1815" s="512" t="s">
        <v>449</v>
      </c>
      <c r="C1815" s="605">
        <v>45894.0</v>
      </c>
      <c r="D1815" s="512">
        <v>3.897924345E10</v>
      </c>
      <c r="E1815" s="606" t="s">
        <v>3785</v>
      </c>
      <c r="F1815" s="656" t="s">
        <v>436</v>
      </c>
      <c r="G1815" s="606" t="s">
        <v>3786</v>
      </c>
      <c r="H1815" s="608" t="s">
        <v>623</v>
      </c>
    </row>
    <row r="1816">
      <c r="A1816" s="512" t="s">
        <v>432</v>
      </c>
      <c r="B1816" s="512" t="s">
        <v>449</v>
      </c>
      <c r="C1816" s="605">
        <v>45894.0</v>
      </c>
      <c r="D1816" s="512">
        <v>3.6890533488E10</v>
      </c>
      <c r="E1816" s="606" t="s">
        <v>3787</v>
      </c>
      <c r="F1816" s="656" t="s">
        <v>436</v>
      </c>
      <c r="G1816" s="606" t="s">
        <v>3788</v>
      </c>
      <c r="H1816" s="608" t="s">
        <v>686</v>
      </c>
    </row>
    <row r="1817">
      <c r="A1817" s="512" t="s">
        <v>617</v>
      </c>
      <c r="B1817" s="512" t="s">
        <v>433</v>
      </c>
      <c r="C1817" s="605">
        <v>45895.0</v>
      </c>
      <c r="D1817" s="512">
        <v>2.8101259917E10</v>
      </c>
      <c r="E1817" s="648" t="s">
        <v>3789</v>
      </c>
      <c r="F1817" s="656" t="s">
        <v>436</v>
      </c>
      <c r="G1817" s="606" t="s">
        <v>3790</v>
      </c>
      <c r="H1817" s="608" t="s">
        <v>696</v>
      </c>
    </row>
    <row r="1818">
      <c r="A1818" s="512" t="s">
        <v>617</v>
      </c>
      <c r="B1818" s="512" t="s">
        <v>449</v>
      </c>
      <c r="C1818" s="605">
        <v>45895.0</v>
      </c>
      <c r="D1818" s="512">
        <v>2.2745448723E10</v>
      </c>
      <c r="E1818" s="606" t="s">
        <v>3791</v>
      </c>
      <c r="F1818" s="656" t="s">
        <v>436</v>
      </c>
      <c r="G1818" s="606" t="s">
        <v>3792</v>
      </c>
      <c r="H1818" s="608" t="s">
        <v>696</v>
      </c>
    </row>
    <row r="1819">
      <c r="A1819" s="512" t="s">
        <v>617</v>
      </c>
      <c r="B1819" s="512" t="s">
        <v>3583</v>
      </c>
      <c r="C1819" s="605">
        <v>45895.0</v>
      </c>
      <c r="D1819" s="512">
        <v>3.4307628005E10</v>
      </c>
      <c r="E1819" s="606" t="s">
        <v>3793</v>
      </c>
      <c r="F1819" s="656" t="s">
        <v>436</v>
      </c>
      <c r="G1819" s="606" t="s">
        <v>3794</v>
      </c>
      <c r="H1819" s="608" t="s">
        <v>696</v>
      </c>
    </row>
    <row r="1820">
      <c r="A1820" s="512" t="s">
        <v>617</v>
      </c>
      <c r="B1820" s="512" t="s">
        <v>449</v>
      </c>
      <c r="C1820" s="605">
        <v>45895.0</v>
      </c>
      <c r="D1820" s="512">
        <v>3.7703745515E10</v>
      </c>
      <c r="E1820" s="606" t="s">
        <v>3669</v>
      </c>
      <c r="F1820" s="656" t="s">
        <v>436</v>
      </c>
      <c r="G1820" s="606" t="s">
        <v>3084</v>
      </c>
      <c r="H1820" s="608" t="s">
        <v>696</v>
      </c>
    </row>
    <row r="1821">
      <c r="A1821" s="512" t="s">
        <v>432</v>
      </c>
      <c r="B1821" s="512" t="s">
        <v>433</v>
      </c>
      <c r="C1821" s="605">
        <v>45895.0</v>
      </c>
      <c r="D1821" s="512">
        <v>3.4381718886E10</v>
      </c>
      <c r="E1821" s="648" t="s">
        <v>3795</v>
      </c>
      <c r="F1821" s="656" t="s">
        <v>436</v>
      </c>
      <c r="G1821" s="606" t="s">
        <v>3796</v>
      </c>
      <c r="H1821" s="608" t="s">
        <v>686</v>
      </c>
    </row>
    <row r="1822">
      <c r="A1822" s="512" t="s">
        <v>432</v>
      </c>
      <c r="B1822" s="512" t="s">
        <v>433</v>
      </c>
      <c r="C1822" s="605">
        <v>45895.0</v>
      </c>
      <c r="D1822" s="512">
        <v>3.423356339E10</v>
      </c>
      <c r="E1822" s="648" t="s">
        <v>3795</v>
      </c>
      <c r="F1822" s="656" t="s">
        <v>436</v>
      </c>
      <c r="G1822" s="606" t="s">
        <v>3796</v>
      </c>
      <c r="H1822" s="608" t="s">
        <v>686</v>
      </c>
    </row>
    <row r="1823">
      <c r="A1823" s="512" t="s">
        <v>432</v>
      </c>
      <c r="B1823" s="512" t="s">
        <v>449</v>
      </c>
      <c r="C1823" s="605">
        <v>45896.0</v>
      </c>
      <c r="D1823" s="512">
        <v>3.0451299202E10</v>
      </c>
      <c r="E1823" s="648" t="s">
        <v>3797</v>
      </c>
      <c r="F1823" s="656" t="s">
        <v>436</v>
      </c>
      <c r="G1823" s="606" t="s">
        <v>3798</v>
      </c>
      <c r="H1823" s="608" t="s">
        <v>1175</v>
      </c>
    </row>
    <row r="1824">
      <c r="A1824" s="512" t="s">
        <v>432</v>
      </c>
      <c r="B1824" s="512" t="s">
        <v>449</v>
      </c>
      <c r="C1824" s="605">
        <v>45896.0</v>
      </c>
      <c r="D1824" s="512">
        <v>3.5147528126E10</v>
      </c>
      <c r="E1824" s="606" t="s">
        <v>3799</v>
      </c>
      <c r="F1824" s="656" t="s">
        <v>436</v>
      </c>
      <c r="G1824" s="606" t="s">
        <v>3800</v>
      </c>
      <c r="H1824" s="608" t="s">
        <v>1175</v>
      </c>
    </row>
    <row r="1825">
      <c r="A1825" s="512" t="s">
        <v>432</v>
      </c>
      <c r="B1825" s="512" t="s">
        <v>449</v>
      </c>
      <c r="C1825" s="605">
        <v>45896.0</v>
      </c>
      <c r="D1825" s="512">
        <v>4.0627613491E10</v>
      </c>
      <c r="E1825" s="646" t="s">
        <v>3801</v>
      </c>
      <c r="F1825" s="656" t="s">
        <v>436</v>
      </c>
      <c r="G1825" s="606" t="s">
        <v>3802</v>
      </c>
      <c r="H1825" s="608" t="s">
        <v>1175</v>
      </c>
    </row>
    <row r="1826">
      <c r="A1826" s="512" t="s">
        <v>617</v>
      </c>
      <c r="B1826" s="512" t="s">
        <v>449</v>
      </c>
      <c r="C1826" s="605">
        <v>45896.0</v>
      </c>
      <c r="D1826" s="512">
        <v>3.1830061959E10</v>
      </c>
      <c r="E1826" s="606" t="s">
        <v>3803</v>
      </c>
      <c r="F1826" s="656" t="s">
        <v>436</v>
      </c>
      <c r="G1826" s="606" t="s">
        <v>3804</v>
      </c>
      <c r="H1826" s="608" t="s">
        <v>696</v>
      </c>
    </row>
    <row r="1827">
      <c r="A1827" s="512" t="s">
        <v>432</v>
      </c>
      <c r="B1827" s="512" t="s">
        <v>449</v>
      </c>
      <c r="C1827" s="605">
        <v>45896.0</v>
      </c>
      <c r="D1827" s="512">
        <v>3.4564772042E10</v>
      </c>
      <c r="E1827" s="646" t="s">
        <v>3805</v>
      </c>
      <c r="F1827" s="656" t="s">
        <v>436</v>
      </c>
      <c r="G1827" s="606" t="s">
        <v>3806</v>
      </c>
      <c r="H1827" s="608" t="s">
        <v>1175</v>
      </c>
    </row>
    <row r="1828">
      <c r="A1828" s="512" t="s">
        <v>432</v>
      </c>
      <c r="B1828" s="512" t="s">
        <v>449</v>
      </c>
      <c r="C1828" s="605">
        <v>45896.0</v>
      </c>
      <c r="D1828" s="512">
        <v>3.7979265914E10</v>
      </c>
      <c r="E1828" s="646" t="s">
        <v>3807</v>
      </c>
      <c r="F1828" s="656" t="s">
        <v>436</v>
      </c>
      <c r="G1828" s="606" t="s">
        <v>3808</v>
      </c>
      <c r="H1828" s="608" t="s">
        <v>1175</v>
      </c>
    </row>
    <row r="1829">
      <c r="A1829" s="512" t="s">
        <v>432</v>
      </c>
      <c r="B1829" s="512" t="s">
        <v>449</v>
      </c>
      <c r="C1829" s="605">
        <v>45896.0</v>
      </c>
      <c r="D1829" s="512">
        <v>4.0783394389E10</v>
      </c>
      <c r="E1829" s="646" t="s">
        <v>3809</v>
      </c>
      <c r="F1829" s="656" t="s">
        <v>436</v>
      </c>
      <c r="G1829" s="606" t="s">
        <v>1343</v>
      </c>
      <c r="H1829" s="608" t="s">
        <v>1175</v>
      </c>
    </row>
    <row r="1830">
      <c r="A1830" s="512" t="s">
        <v>617</v>
      </c>
      <c r="B1830" s="512" t="s">
        <v>3583</v>
      </c>
      <c r="C1830" s="605">
        <v>45896.0</v>
      </c>
      <c r="D1830" s="512">
        <v>3.2054939001E10</v>
      </c>
      <c r="E1830" s="606" t="s">
        <v>3810</v>
      </c>
      <c r="F1830" s="656" t="s">
        <v>436</v>
      </c>
      <c r="G1830" s="606" t="s">
        <v>3811</v>
      </c>
      <c r="H1830" s="608" t="s">
        <v>696</v>
      </c>
    </row>
    <row r="1831">
      <c r="A1831" s="512" t="s">
        <v>439</v>
      </c>
      <c r="B1831" s="512" t="s">
        <v>449</v>
      </c>
      <c r="C1831" s="605">
        <v>45897.0</v>
      </c>
      <c r="D1831" s="512">
        <v>3.7850281708E10</v>
      </c>
      <c r="E1831" s="646" t="s">
        <v>3812</v>
      </c>
      <c r="F1831" s="656" t="s">
        <v>436</v>
      </c>
      <c r="G1831" s="606" t="s">
        <v>3813</v>
      </c>
      <c r="H1831" s="608" t="s">
        <v>1608</v>
      </c>
    </row>
    <row r="1832">
      <c r="A1832" s="512" t="s">
        <v>432</v>
      </c>
      <c r="B1832" s="512" t="s">
        <v>3583</v>
      </c>
      <c r="C1832" s="605">
        <v>45897.0</v>
      </c>
      <c r="D1832" s="512">
        <v>3.4995927999E10</v>
      </c>
      <c r="E1832" s="646" t="s">
        <v>3814</v>
      </c>
      <c r="F1832" s="656" t="s">
        <v>436</v>
      </c>
      <c r="G1832" s="606" t="s">
        <v>3815</v>
      </c>
      <c r="H1832" s="608" t="s">
        <v>1742</v>
      </c>
    </row>
    <row r="1833">
      <c r="A1833" s="512" t="s">
        <v>439</v>
      </c>
      <c r="B1833" s="512" t="s">
        <v>449</v>
      </c>
      <c r="C1833" s="605">
        <v>45897.0</v>
      </c>
      <c r="D1833" s="512">
        <v>3.4993251825E10</v>
      </c>
      <c r="E1833" s="646" t="s">
        <v>3816</v>
      </c>
      <c r="F1833" s="656" t="s">
        <v>436</v>
      </c>
      <c r="G1833" s="606" t="s">
        <v>3817</v>
      </c>
      <c r="H1833" s="608" t="s">
        <v>1608</v>
      </c>
    </row>
    <row r="1834">
      <c r="A1834" s="512" t="s">
        <v>439</v>
      </c>
      <c r="B1834" s="512" t="s">
        <v>449</v>
      </c>
      <c r="C1834" s="605">
        <v>45897.0</v>
      </c>
      <c r="D1834" s="512">
        <v>3.7164772374E10</v>
      </c>
      <c r="E1834" s="646" t="s">
        <v>1847</v>
      </c>
      <c r="F1834" s="656" t="s">
        <v>436</v>
      </c>
      <c r="G1834" s="606" t="s">
        <v>2253</v>
      </c>
      <c r="H1834" s="608" t="s">
        <v>1608</v>
      </c>
    </row>
    <row r="1835">
      <c r="A1835" s="512" t="s">
        <v>690</v>
      </c>
      <c r="B1835" s="512" t="s">
        <v>449</v>
      </c>
      <c r="C1835" s="605">
        <v>45897.0</v>
      </c>
      <c r="D1835" s="512">
        <v>3.1828560528E10</v>
      </c>
      <c r="E1835" s="648" t="s">
        <v>3818</v>
      </c>
      <c r="F1835" s="656" t="s">
        <v>436</v>
      </c>
      <c r="G1835" s="606" t="s">
        <v>1677</v>
      </c>
      <c r="H1835" s="608" t="s">
        <v>3763</v>
      </c>
    </row>
    <row r="1836">
      <c r="A1836" s="512" t="s">
        <v>439</v>
      </c>
      <c r="B1836" s="512" t="s">
        <v>449</v>
      </c>
      <c r="C1836" s="605">
        <v>45897.0</v>
      </c>
      <c r="D1836" s="512">
        <v>3.6701767289E10</v>
      </c>
      <c r="E1836" s="646" t="s">
        <v>3819</v>
      </c>
      <c r="F1836" s="656" t="s">
        <v>436</v>
      </c>
      <c r="G1836" s="619" t="s">
        <v>1975</v>
      </c>
      <c r="H1836" s="608" t="s">
        <v>1608</v>
      </c>
    </row>
    <row r="1837">
      <c r="A1837" s="512" t="s">
        <v>439</v>
      </c>
      <c r="B1837" s="512" t="s">
        <v>449</v>
      </c>
      <c r="C1837" s="605">
        <v>45897.0</v>
      </c>
      <c r="D1837" s="512">
        <v>3.393087128E10</v>
      </c>
      <c r="E1837" s="646" t="s">
        <v>3820</v>
      </c>
      <c r="F1837" s="656" t="s">
        <v>436</v>
      </c>
      <c r="G1837" s="606" t="s">
        <v>3129</v>
      </c>
      <c r="H1837" s="608" t="s">
        <v>1608</v>
      </c>
    </row>
    <row r="1838">
      <c r="A1838" s="512" t="s">
        <v>432</v>
      </c>
      <c r="B1838" s="512" t="s">
        <v>449</v>
      </c>
      <c r="C1838" s="605">
        <v>45897.0</v>
      </c>
      <c r="D1838" s="512">
        <v>3.0915615025E10</v>
      </c>
      <c r="E1838" s="646" t="s">
        <v>3399</v>
      </c>
      <c r="F1838" s="656" t="s">
        <v>436</v>
      </c>
      <c r="G1838" s="606" t="s">
        <v>3821</v>
      </c>
      <c r="H1838" s="608" t="s">
        <v>1742</v>
      </c>
    </row>
    <row r="1839">
      <c r="A1839" s="512" t="s">
        <v>439</v>
      </c>
      <c r="B1839" s="512" t="s">
        <v>449</v>
      </c>
      <c r="C1839" s="605">
        <v>45897.0</v>
      </c>
      <c r="D1839" s="512">
        <v>3.5788159052E10</v>
      </c>
      <c r="E1839" s="646" t="s">
        <v>3822</v>
      </c>
      <c r="F1839" s="656" t="s">
        <v>436</v>
      </c>
      <c r="G1839" s="606" t="s">
        <v>3823</v>
      </c>
      <c r="H1839" s="608" t="s">
        <v>1608</v>
      </c>
    </row>
    <row r="1840">
      <c r="A1840" s="512" t="s">
        <v>432</v>
      </c>
      <c r="B1840" s="512" t="s">
        <v>449</v>
      </c>
      <c r="C1840" s="605">
        <v>45897.0</v>
      </c>
      <c r="D1840" s="512">
        <v>2.2790765577E10</v>
      </c>
      <c r="E1840" s="646" t="s">
        <v>3824</v>
      </c>
      <c r="F1840" s="656" t="s">
        <v>436</v>
      </c>
      <c r="G1840" s="606" t="s">
        <v>3825</v>
      </c>
      <c r="H1840" s="608" t="s">
        <v>1742</v>
      </c>
    </row>
    <row r="1841">
      <c r="A1841" s="512" t="s">
        <v>690</v>
      </c>
      <c r="B1841" s="512" t="s">
        <v>449</v>
      </c>
      <c r="C1841" s="605">
        <v>45897.0</v>
      </c>
      <c r="D1841" s="512">
        <v>2.0309697974E10</v>
      </c>
      <c r="E1841" s="646" t="s">
        <v>3826</v>
      </c>
      <c r="F1841" s="656" t="s">
        <v>436</v>
      </c>
      <c r="G1841" s="658" t="s">
        <v>3827</v>
      </c>
      <c r="H1841" s="608" t="s">
        <v>3763</v>
      </c>
    </row>
    <row r="1842">
      <c r="A1842" s="512" t="s">
        <v>439</v>
      </c>
      <c r="B1842" s="512" t="s">
        <v>449</v>
      </c>
      <c r="C1842" s="605">
        <v>45897.0</v>
      </c>
      <c r="D1842" s="512">
        <v>3.40714282E10</v>
      </c>
      <c r="E1842" s="646" t="s">
        <v>3828</v>
      </c>
      <c r="F1842" s="656" t="s">
        <v>436</v>
      </c>
      <c r="G1842" s="606" t="s">
        <v>3829</v>
      </c>
      <c r="H1842" s="608" t="s">
        <v>1608</v>
      </c>
    </row>
    <row r="1843">
      <c r="A1843" s="512" t="s">
        <v>617</v>
      </c>
      <c r="B1843" s="512" t="s">
        <v>449</v>
      </c>
      <c r="C1843" s="605">
        <v>45898.0</v>
      </c>
      <c r="D1843" s="512">
        <v>3.7412707332E10</v>
      </c>
      <c r="E1843" s="606" t="s">
        <v>3830</v>
      </c>
      <c r="F1843" s="656" t="s">
        <v>436</v>
      </c>
      <c r="G1843" s="606" t="s">
        <v>3831</v>
      </c>
      <c r="H1843" s="608" t="s">
        <v>623</v>
      </c>
    </row>
    <row r="1844">
      <c r="A1844" s="512" t="s">
        <v>432</v>
      </c>
      <c r="B1844" s="512" t="s">
        <v>449</v>
      </c>
      <c r="C1844" s="605">
        <v>45898.0</v>
      </c>
      <c r="D1844" s="512">
        <v>3.9155851236E10</v>
      </c>
      <c r="E1844" s="606" t="s">
        <v>3832</v>
      </c>
      <c r="F1844" s="656" t="s">
        <v>436</v>
      </c>
      <c r="G1844" s="606" t="s">
        <v>3833</v>
      </c>
      <c r="H1844" s="608" t="s">
        <v>686</v>
      </c>
    </row>
    <row r="1845">
      <c r="A1845" s="512" t="s">
        <v>432</v>
      </c>
      <c r="B1845" s="512" t="s">
        <v>449</v>
      </c>
      <c r="C1845" s="605">
        <v>45898.0</v>
      </c>
      <c r="D1845" s="512">
        <v>3.401338646E10</v>
      </c>
      <c r="E1845" s="606" t="s">
        <v>3832</v>
      </c>
      <c r="F1845" s="656" t="s">
        <v>436</v>
      </c>
      <c r="G1845" s="606" t="s">
        <v>3833</v>
      </c>
      <c r="H1845" s="608" t="s">
        <v>686</v>
      </c>
    </row>
    <row r="1846">
      <c r="A1846" s="512" t="s">
        <v>432</v>
      </c>
      <c r="B1846" s="512" t="s">
        <v>449</v>
      </c>
      <c r="C1846" s="605">
        <v>45898.0</v>
      </c>
      <c r="D1846" s="512">
        <v>4.0701173828E10</v>
      </c>
      <c r="E1846" s="606" t="s">
        <v>3834</v>
      </c>
      <c r="F1846" s="656" t="s">
        <v>436</v>
      </c>
      <c r="G1846" s="606" t="s">
        <v>3835</v>
      </c>
      <c r="H1846" s="608" t="s">
        <v>686</v>
      </c>
    </row>
    <row r="1847">
      <c r="A1847" s="512" t="s">
        <v>432</v>
      </c>
      <c r="B1847" s="512" t="s">
        <v>449</v>
      </c>
      <c r="C1847" s="605">
        <v>45898.0</v>
      </c>
      <c r="D1847" s="512">
        <v>3.3475158302E10</v>
      </c>
      <c r="E1847" s="606" t="s">
        <v>3836</v>
      </c>
      <c r="F1847" s="656" t="s">
        <v>436</v>
      </c>
      <c r="G1847" s="606" t="s">
        <v>3837</v>
      </c>
      <c r="H1847" s="608" t="s">
        <v>686</v>
      </c>
    </row>
    <row r="1848">
      <c r="A1848" s="512" t="s">
        <v>439</v>
      </c>
      <c r="B1848" s="512" t="s">
        <v>433</v>
      </c>
      <c r="C1848" s="605">
        <v>45898.0</v>
      </c>
      <c r="D1848" s="512">
        <v>3.3090985051E10</v>
      </c>
      <c r="E1848" s="646" t="s">
        <v>3838</v>
      </c>
      <c r="F1848" s="656" t="s">
        <v>436</v>
      </c>
      <c r="G1848" s="606" t="s">
        <v>3839</v>
      </c>
      <c r="H1848" s="608" t="s">
        <v>1608</v>
      </c>
    </row>
    <row r="1849">
      <c r="A1849" s="512" t="s">
        <v>432</v>
      </c>
      <c r="B1849" s="512" t="s">
        <v>449</v>
      </c>
      <c r="C1849" s="605">
        <v>45898.0</v>
      </c>
      <c r="D1849" s="512">
        <v>3.4557570571E10</v>
      </c>
      <c r="E1849" s="606" t="s">
        <v>3840</v>
      </c>
      <c r="F1849" s="656" t="s">
        <v>436</v>
      </c>
      <c r="G1849" s="606" t="s">
        <v>3841</v>
      </c>
      <c r="H1849" s="608" t="s">
        <v>686</v>
      </c>
    </row>
    <row r="1850">
      <c r="A1850" s="512" t="s">
        <v>439</v>
      </c>
      <c r="B1850" s="512" t="s">
        <v>449</v>
      </c>
      <c r="C1850" s="605">
        <v>45898.0</v>
      </c>
      <c r="D1850" s="512">
        <v>3.0949358198E10</v>
      </c>
      <c r="E1850" s="646" t="s">
        <v>3842</v>
      </c>
      <c r="F1850" s="656" t="s">
        <v>436</v>
      </c>
      <c r="G1850" s="606" t="s">
        <v>3843</v>
      </c>
      <c r="H1850" s="608" t="s">
        <v>1608</v>
      </c>
    </row>
    <row r="1851">
      <c r="A1851" s="512" t="s">
        <v>439</v>
      </c>
      <c r="B1851" s="512" t="s">
        <v>433</v>
      </c>
      <c r="C1851" s="605">
        <v>45898.0</v>
      </c>
      <c r="D1851" s="512">
        <v>3.6304895478E10</v>
      </c>
      <c r="E1851" s="646" t="s">
        <v>3844</v>
      </c>
      <c r="F1851" s="656" t="s">
        <v>436</v>
      </c>
      <c r="G1851" s="606" t="s">
        <v>3845</v>
      </c>
      <c r="H1851" s="608" t="s">
        <v>1608</v>
      </c>
    </row>
    <row r="1852">
      <c r="A1852" s="512" t="s">
        <v>432</v>
      </c>
      <c r="B1852" s="512" t="s">
        <v>449</v>
      </c>
      <c r="C1852" s="605">
        <v>45898.0</v>
      </c>
      <c r="D1852" s="512">
        <v>3.2915644225E10</v>
      </c>
      <c r="E1852" s="606" t="s">
        <v>3681</v>
      </c>
      <c r="F1852" s="656" t="s">
        <v>436</v>
      </c>
      <c r="G1852" s="606" t="s">
        <v>612</v>
      </c>
      <c r="H1852" s="608" t="s">
        <v>686</v>
      </c>
    </row>
    <row r="1853">
      <c r="A1853" s="512" t="s">
        <v>432</v>
      </c>
      <c r="B1853" s="512" t="s">
        <v>433</v>
      </c>
      <c r="C1853" s="605">
        <v>45898.0</v>
      </c>
      <c r="D1853" s="512">
        <v>2.6855840532E10</v>
      </c>
      <c r="E1853" s="606" t="s">
        <v>3846</v>
      </c>
      <c r="F1853" s="656" t="s">
        <v>436</v>
      </c>
      <c r="G1853" s="606" t="s">
        <v>3847</v>
      </c>
      <c r="H1853" s="608" t="s">
        <v>686</v>
      </c>
    </row>
    <row r="1854">
      <c r="A1854" s="512" t="s">
        <v>432</v>
      </c>
      <c r="B1854" s="512" t="s">
        <v>449</v>
      </c>
      <c r="C1854" s="605">
        <v>45898.0</v>
      </c>
      <c r="D1854" s="512">
        <v>3.4102800532E10</v>
      </c>
      <c r="E1854" s="606" t="s">
        <v>3848</v>
      </c>
      <c r="F1854" s="656" t="s">
        <v>436</v>
      </c>
      <c r="G1854" s="606" t="s">
        <v>3849</v>
      </c>
      <c r="H1854" s="608" t="s">
        <v>686</v>
      </c>
    </row>
    <row r="1855">
      <c r="A1855" s="512" t="s">
        <v>432</v>
      </c>
      <c r="B1855" s="512" t="s">
        <v>449</v>
      </c>
      <c r="C1855" s="605">
        <v>45898.0</v>
      </c>
      <c r="D1855" s="512">
        <v>3.4102800542E10</v>
      </c>
      <c r="E1855" s="606" t="s">
        <v>3848</v>
      </c>
      <c r="F1855" s="656" t="s">
        <v>436</v>
      </c>
      <c r="G1855" s="606" t="s">
        <v>3849</v>
      </c>
      <c r="H1855" s="608" t="s">
        <v>686</v>
      </c>
    </row>
    <row r="1856">
      <c r="A1856" s="512" t="s">
        <v>439</v>
      </c>
      <c r="B1856" s="512" t="s">
        <v>433</v>
      </c>
      <c r="C1856" s="605">
        <v>45898.0</v>
      </c>
      <c r="D1856" s="512">
        <v>3.3180054262E10</v>
      </c>
      <c r="E1856" s="646" t="s">
        <v>3850</v>
      </c>
      <c r="F1856" s="656" t="s">
        <v>436</v>
      </c>
      <c r="G1856" s="606" t="s">
        <v>3851</v>
      </c>
      <c r="H1856" s="608" t="s">
        <v>1608</v>
      </c>
    </row>
    <row r="1857">
      <c r="A1857" s="512" t="s">
        <v>439</v>
      </c>
      <c r="B1857" s="512" t="s">
        <v>433</v>
      </c>
      <c r="C1857" s="605">
        <v>45898.0</v>
      </c>
      <c r="D1857" s="512">
        <v>3.8594811354E10</v>
      </c>
      <c r="E1857" s="646" t="s">
        <v>3852</v>
      </c>
      <c r="F1857" s="656" t="s">
        <v>436</v>
      </c>
      <c r="G1857" s="606" t="s">
        <v>3853</v>
      </c>
      <c r="H1857" s="608" t="s">
        <v>1608</v>
      </c>
    </row>
    <row r="1858">
      <c r="A1858" s="512" t="s">
        <v>617</v>
      </c>
      <c r="B1858" s="512" t="s">
        <v>449</v>
      </c>
      <c r="C1858" s="605">
        <v>45898.0</v>
      </c>
      <c r="D1858" s="512">
        <v>4.0783146913E10</v>
      </c>
      <c r="E1858" s="606" t="s">
        <v>3854</v>
      </c>
      <c r="F1858" s="656" t="s">
        <v>436</v>
      </c>
      <c r="G1858" s="606" t="s">
        <v>2643</v>
      </c>
      <c r="H1858" s="608" t="s">
        <v>623</v>
      </c>
    </row>
    <row r="1859">
      <c r="A1859" s="512" t="s">
        <v>439</v>
      </c>
      <c r="B1859" s="512" t="s">
        <v>433</v>
      </c>
      <c r="C1859" s="605">
        <v>45898.0</v>
      </c>
      <c r="D1859" s="512">
        <v>3.3903203475E10</v>
      </c>
      <c r="E1859" s="646" t="s">
        <v>3855</v>
      </c>
      <c r="F1859" s="656" t="s">
        <v>436</v>
      </c>
      <c r="G1859" s="606" t="s">
        <v>906</v>
      </c>
      <c r="H1859" s="608" t="s">
        <v>1608</v>
      </c>
    </row>
    <row r="1860">
      <c r="A1860" s="512" t="s">
        <v>432</v>
      </c>
      <c r="B1860" s="512" t="s">
        <v>433</v>
      </c>
      <c r="C1860" s="605">
        <v>45899.0</v>
      </c>
      <c r="D1860" s="512">
        <v>3.7151162968E10</v>
      </c>
      <c r="E1860" s="606" t="s">
        <v>942</v>
      </c>
      <c r="F1860" s="656" t="s">
        <v>436</v>
      </c>
      <c r="G1860" s="606" t="s">
        <v>3856</v>
      </c>
      <c r="H1860" s="608" t="s">
        <v>686</v>
      </c>
    </row>
    <row r="1861">
      <c r="A1861" s="512" t="s">
        <v>432</v>
      </c>
      <c r="B1861" s="512" t="s">
        <v>449</v>
      </c>
      <c r="C1861" s="605">
        <v>45899.0</v>
      </c>
      <c r="D1861" s="512">
        <v>3.4372238172E10</v>
      </c>
      <c r="E1861" s="606" t="s">
        <v>3857</v>
      </c>
      <c r="F1861" s="656" t="s">
        <v>436</v>
      </c>
      <c r="G1861" s="606" t="s">
        <v>3858</v>
      </c>
      <c r="H1861" s="608" t="s">
        <v>686</v>
      </c>
    </row>
    <row r="1862">
      <c r="A1862" s="512" t="s">
        <v>432</v>
      </c>
      <c r="B1862" s="512" t="s">
        <v>449</v>
      </c>
      <c r="C1862" s="605">
        <v>45899.0</v>
      </c>
      <c r="D1862" s="512">
        <v>2.3022929705E10</v>
      </c>
      <c r="E1862" s="606" t="s">
        <v>3859</v>
      </c>
      <c r="F1862" s="656" t="s">
        <v>436</v>
      </c>
      <c r="G1862" s="606" t="s">
        <v>3860</v>
      </c>
      <c r="H1862" s="608" t="s">
        <v>686</v>
      </c>
    </row>
    <row r="1863">
      <c r="A1863" s="512" t="s">
        <v>432</v>
      </c>
      <c r="B1863" s="512" t="s">
        <v>449</v>
      </c>
      <c r="C1863" s="605">
        <v>45899.0</v>
      </c>
      <c r="D1863" s="512">
        <v>3.880838435E10</v>
      </c>
      <c r="E1863" s="606" t="s">
        <v>3861</v>
      </c>
      <c r="F1863" s="656" t="s">
        <v>436</v>
      </c>
      <c r="G1863" s="606" t="s">
        <v>3862</v>
      </c>
      <c r="H1863" s="608" t="s">
        <v>686</v>
      </c>
    </row>
    <row r="1864">
      <c r="A1864" s="512" t="s">
        <v>432</v>
      </c>
      <c r="B1864" s="512" t="s">
        <v>449</v>
      </c>
      <c r="C1864" s="605">
        <v>45899.0</v>
      </c>
      <c r="D1864" s="512">
        <v>3.4230228374E10</v>
      </c>
      <c r="E1864" s="606" t="s">
        <v>3863</v>
      </c>
      <c r="F1864" s="656" t="s">
        <v>436</v>
      </c>
      <c r="G1864" s="606" t="s">
        <v>3864</v>
      </c>
      <c r="H1864" s="608" t="s">
        <v>686</v>
      </c>
    </row>
    <row r="1865">
      <c r="A1865" s="512" t="s">
        <v>823</v>
      </c>
      <c r="B1865" s="512" t="s">
        <v>433</v>
      </c>
      <c r="C1865" s="605">
        <v>45899.0</v>
      </c>
      <c r="D1865" s="512">
        <v>3.2859361214E10</v>
      </c>
      <c r="E1865" s="646" t="s">
        <v>1850</v>
      </c>
      <c r="F1865" s="656" t="s">
        <v>436</v>
      </c>
      <c r="G1865" s="606" t="s">
        <v>1283</v>
      </c>
      <c r="H1865" s="608" t="s">
        <v>3332</v>
      </c>
    </row>
    <row r="1866">
      <c r="A1866" s="512" t="s">
        <v>432</v>
      </c>
      <c r="B1866" s="512" t="s">
        <v>449</v>
      </c>
      <c r="C1866" s="605">
        <v>45899.0</v>
      </c>
      <c r="D1866" s="512">
        <v>3.7452457531E10</v>
      </c>
      <c r="E1866" s="606" t="s">
        <v>3865</v>
      </c>
      <c r="F1866" s="656" t="s">
        <v>436</v>
      </c>
      <c r="G1866" s="606" t="s">
        <v>870</v>
      </c>
      <c r="H1866" s="608" t="s">
        <v>686</v>
      </c>
    </row>
    <row r="1867">
      <c r="A1867" s="512" t="s">
        <v>823</v>
      </c>
      <c r="B1867" s="659" t="s">
        <v>449</v>
      </c>
      <c r="C1867" s="605">
        <v>45900.0</v>
      </c>
      <c r="D1867" s="512">
        <v>3.6550175699E10</v>
      </c>
      <c r="E1867" s="606" t="s">
        <v>3866</v>
      </c>
      <c r="F1867" s="656" t="s">
        <v>436</v>
      </c>
      <c r="G1867" s="606" t="s">
        <v>3867</v>
      </c>
      <c r="H1867" s="608" t="s">
        <v>3868</v>
      </c>
    </row>
    <row r="1868">
      <c r="A1868" s="512" t="s">
        <v>617</v>
      </c>
      <c r="B1868" s="512" t="s">
        <v>3583</v>
      </c>
      <c r="C1868" s="605">
        <v>45900.0</v>
      </c>
      <c r="D1868" s="512">
        <v>3.2377091325E10</v>
      </c>
      <c r="E1868" s="606" t="s">
        <v>3869</v>
      </c>
      <c r="F1868" s="656" t="s">
        <v>436</v>
      </c>
      <c r="G1868" s="606" t="s">
        <v>3870</v>
      </c>
      <c r="H1868" s="608" t="s">
        <v>696</v>
      </c>
    </row>
    <row r="1869">
      <c r="A1869" s="512" t="s">
        <v>823</v>
      </c>
      <c r="B1869" s="512" t="s">
        <v>3871</v>
      </c>
      <c r="C1869" s="605">
        <v>45900.0</v>
      </c>
      <c r="D1869" s="512">
        <v>3.5749084875E10</v>
      </c>
      <c r="E1869" s="606" t="s">
        <v>3872</v>
      </c>
      <c r="F1869" s="656" t="s">
        <v>436</v>
      </c>
      <c r="G1869" s="606" t="s">
        <v>3873</v>
      </c>
      <c r="H1869" s="608" t="s">
        <v>3868</v>
      </c>
    </row>
    <row r="1870">
      <c r="A1870" s="512" t="s">
        <v>823</v>
      </c>
      <c r="B1870" s="512" t="s">
        <v>449</v>
      </c>
      <c r="C1870" s="605">
        <v>45900.0</v>
      </c>
      <c r="D1870" s="512">
        <v>3.5749084843E10</v>
      </c>
      <c r="E1870" s="606" t="s">
        <v>3874</v>
      </c>
      <c r="F1870" s="656" t="s">
        <v>436</v>
      </c>
      <c r="G1870" s="606" t="s">
        <v>3873</v>
      </c>
      <c r="H1870" s="608" t="s">
        <v>3868</v>
      </c>
    </row>
    <row r="1871">
      <c r="A1871" s="512" t="s">
        <v>617</v>
      </c>
      <c r="B1871" s="512" t="s">
        <v>3583</v>
      </c>
      <c r="C1871" s="605">
        <v>45900.0</v>
      </c>
      <c r="D1871" s="512">
        <v>3.2677147682E10</v>
      </c>
      <c r="E1871" s="606" t="s">
        <v>3875</v>
      </c>
      <c r="F1871" s="656" t="s">
        <v>436</v>
      </c>
      <c r="G1871" s="606" t="s">
        <v>3876</v>
      </c>
      <c r="H1871" s="608" t="s">
        <v>696</v>
      </c>
    </row>
    <row r="1872">
      <c r="A1872" s="512" t="s">
        <v>690</v>
      </c>
      <c r="B1872" s="512" t="s">
        <v>449</v>
      </c>
      <c r="C1872" s="605">
        <v>45900.0</v>
      </c>
      <c r="D1872" s="512">
        <v>4.0996761933E10</v>
      </c>
      <c r="E1872" s="646" t="s">
        <v>3877</v>
      </c>
      <c r="F1872" s="656" t="s">
        <v>436</v>
      </c>
      <c r="G1872" s="606" t="s">
        <v>3878</v>
      </c>
      <c r="H1872" s="608" t="s">
        <v>3763</v>
      </c>
    </row>
    <row r="1873">
      <c r="A1873" s="512" t="s">
        <v>439</v>
      </c>
      <c r="B1873" s="512" t="s">
        <v>449</v>
      </c>
      <c r="C1873" s="605">
        <v>45901.0</v>
      </c>
      <c r="D1873" s="512">
        <v>3.8670226087E10</v>
      </c>
      <c r="E1873" s="646" t="s">
        <v>3879</v>
      </c>
      <c r="F1873" s="656" t="s">
        <v>436</v>
      </c>
      <c r="G1873" s="606" t="s">
        <v>3429</v>
      </c>
      <c r="H1873" s="608" t="s">
        <v>1608</v>
      </c>
    </row>
    <row r="1874">
      <c r="A1874" s="512" t="s">
        <v>823</v>
      </c>
      <c r="B1874" s="512" t="s">
        <v>449</v>
      </c>
      <c r="C1874" s="605">
        <v>45901.0</v>
      </c>
      <c r="D1874" s="512">
        <v>4.0836571461E10</v>
      </c>
      <c r="E1874" s="606" t="s">
        <v>3880</v>
      </c>
      <c r="F1874" s="656" t="s">
        <v>436</v>
      </c>
      <c r="G1874" s="606" t="s">
        <v>3881</v>
      </c>
      <c r="H1874" s="608" t="s">
        <v>3868</v>
      </c>
    </row>
    <row r="1875">
      <c r="A1875" s="512" t="s">
        <v>432</v>
      </c>
      <c r="B1875" s="512" t="s">
        <v>744</v>
      </c>
      <c r="C1875" s="618">
        <v>45901.0</v>
      </c>
      <c r="D1875" s="546">
        <v>4.0655088537E10</v>
      </c>
      <c r="E1875" s="619" t="s">
        <v>3882</v>
      </c>
      <c r="F1875" s="655" t="s">
        <v>436</v>
      </c>
      <c r="G1875" s="619" t="s">
        <v>3883</v>
      </c>
      <c r="H1875" s="629" t="s">
        <v>1175</v>
      </c>
    </row>
    <row r="1876">
      <c r="A1876" s="512" t="s">
        <v>823</v>
      </c>
      <c r="B1876" s="512" t="s">
        <v>3871</v>
      </c>
      <c r="C1876" s="605">
        <v>45901.0</v>
      </c>
      <c r="D1876" s="512">
        <v>3.1636967254E10</v>
      </c>
      <c r="E1876" s="606" t="s">
        <v>3884</v>
      </c>
      <c r="F1876" s="656" t="s">
        <v>436</v>
      </c>
      <c r="G1876" s="606" t="s">
        <v>2949</v>
      </c>
      <c r="H1876" s="608" t="s">
        <v>3868</v>
      </c>
    </row>
    <row r="1877">
      <c r="A1877" s="512" t="s">
        <v>432</v>
      </c>
      <c r="B1877" s="512" t="s">
        <v>449</v>
      </c>
      <c r="C1877" s="605">
        <v>45901.0</v>
      </c>
      <c r="D1877" s="512">
        <v>3.625079118E10</v>
      </c>
      <c r="E1877" s="646" t="s">
        <v>3885</v>
      </c>
      <c r="F1877" s="656" t="s">
        <v>436</v>
      </c>
      <c r="G1877" s="606" t="s">
        <v>3886</v>
      </c>
      <c r="H1877" s="608" t="s">
        <v>1742</v>
      </c>
    </row>
    <row r="1878">
      <c r="A1878" s="512" t="s">
        <v>432</v>
      </c>
      <c r="B1878" s="512" t="s">
        <v>449</v>
      </c>
      <c r="C1878" s="605">
        <v>45901.0</v>
      </c>
      <c r="D1878" s="512">
        <v>4.0612874873E10</v>
      </c>
      <c r="E1878" s="646" t="s">
        <v>3887</v>
      </c>
      <c r="F1878" s="656" t="s">
        <v>436</v>
      </c>
      <c r="G1878" s="606" t="s">
        <v>3888</v>
      </c>
      <c r="H1878" s="608" t="s">
        <v>1175</v>
      </c>
    </row>
    <row r="1879">
      <c r="A1879" s="512" t="s">
        <v>432</v>
      </c>
      <c r="B1879" s="512" t="s">
        <v>449</v>
      </c>
      <c r="C1879" s="605">
        <v>45901.0</v>
      </c>
      <c r="D1879" s="512">
        <v>3.2929326305E10</v>
      </c>
      <c r="E1879" s="646" t="s">
        <v>3889</v>
      </c>
      <c r="F1879" s="656" t="s">
        <v>436</v>
      </c>
      <c r="G1879" s="606" t="s">
        <v>3890</v>
      </c>
      <c r="H1879" s="608" t="s">
        <v>1742</v>
      </c>
    </row>
    <row r="1880">
      <c r="A1880" s="512" t="s">
        <v>439</v>
      </c>
      <c r="B1880" s="512" t="s">
        <v>449</v>
      </c>
      <c r="C1880" s="605">
        <v>45901.0</v>
      </c>
      <c r="D1880" s="512">
        <v>3.5888784118E10</v>
      </c>
      <c r="E1880" s="646" t="s">
        <v>3891</v>
      </c>
      <c r="F1880" s="656" t="s">
        <v>436</v>
      </c>
      <c r="G1880" s="606" t="s">
        <v>1638</v>
      </c>
      <c r="H1880" s="608" t="s">
        <v>1608</v>
      </c>
    </row>
    <row r="1881">
      <c r="A1881" s="512" t="s">
        <v>432</v>
      </c>
      <c r="B1881" s="512" t="s">
        <v>449</v>
      </c>
      <c r="C1881" s="605">
        <v>45902.0</v>
      </c>
      <c r="D1881" s="512">
        <v>4.1025105467E10</v>
      </c>
      <c r="E1881" s="646" t="s">
        <v>3892</v>
      </c>
      <c r="F1881" s="656" t="s">
        <v>436</v>
      </c>
      <c r="G1881" s="606" t="s">
        <v>3893</v>
      </c>
      <c r="H1881" s="608" t="s">
        <v>686</v>
      </c>
    </row>
    <row r="1882">
      <c r="A1882" s="512" t="s">
        <v>432</v>
      </c>
      <c r="B1882" s="512" t="s">
        <v>449</v>
      </c>
      <c r="C1882" s="605">
        <v>45902.0</v>
      </c>
      <c r="D1882" s="512">
        <v>4.1025105466E10</v>
      </c>
      <c r="E1882" s="646" t="s">
        <v>3892</v>
      </c>
      <c r="F1882" s="656" t="s">
        <v>436</v>
      </c>
      <c r="G1882" s="606" t="s">
        <v>3893</v>
      </c>
      <c r="H1882" s="608" t="s">
        <v>686</v>
      </c>
    </row>
    <row r="1883">
      <c r="A1883" s="512" t="s">
        <v>439</v>
      </c>
      <c r="B1883" s="512" t="s">
        <v>3583</v>
      </c>
      <c r="C1883" s="605">
        <v>45902.0</v>
      </c>
      <c r="D1883" s="512">
        <v>3.5059000883E10</v>
      </c>
      <c r="E1883" s="646" t="s">
        <v>3894</v>
      </c>
      <c r="F1883" s="656" t="s">
        <v>436</v>
      </c>
      <c r="G1883" s="606" t="s">
        <v>3835</v>
      </c>
      <c r="H1883" s="608" t="s">
        <v>1608</v>
      </c>
    </row>
    <row r="1884">
      <c r="A1884" s="512" t="s">
        <v>823</v>
      </c>
      <c r="B1884" s="512" t="s">
        <v>449</v>
      </c>
      <c r="C1884" s="605">
        <v>45902.0</v>
      </c>
      <c r="D1884" s="512">
        <v>4.0976386854E10</v>
      </c>
      <c r="E1884" s="648" t="s">
        <v>3895</v>
      </c>
      <c r="F1884" s="656" t="s">
        <v>436</v>
      </c>
      <c r="G1884" s="606" t="s">
        <v>3896</v>
      </c>
      <c r="H1884" s="608" t="s">
        <v>3332</v>
      </c>
    </row>
    <row r="1885">
      <c r="A1885" s="512" t="s">
        <v>432</v>
      </c>
      <c r="B1885" s="512" t="s">
        <v>449</v>
      </c>
      <c r="C1885" s="605">
        <v>45902.0</v>
      </c>
      <c r="D1885" s="512">
        <v>3.5885260404E10</v>
      </c>
      <c r="E1885" s="606" t="s">
        <v>3897</v>
      </c>
      <c r="F1885" s="656" t="s">
        <v>436</v>
      </c>
      <c r="G1885" s="606" t="s">
        <v>3898</v>
      </c>
      <c r="H1885" s="608" t="s">
        <v>686</v>
      </c>
    </row>
    <row r="1886">
      <c r="A1886" s="512" t="s">
        <v>823</v>
      </c>
      <c r="B1886" s="512" t="s">
        <v>449</v>
      </c>
      <c r="C1886" s="605">
        <v>45902.0</v>
      </c>
      <c r="D1886" s="512">
        <v>4.0995601604E10</v>
      </c>
      <c r="E1886" s="646" t="s">
        <v>1085</v>
      </c>
      <c r="F1886" s="656" t="s">
        <v>436</v>
      </c>
      <c r="G1886" s="606" t="s">
        <v>3899</v>
      </c>
      <c r="H1886" s="608" t="s">
        <v>3332</v>
      </c>
    </row>
    <row r="1887">
      <c r="A1887" s="512" t="s">
        <v>432</v>
      </c>
      <c r="B1887" s="512" t="s">
        <v>433</v>
      </c>
      <c r="C1887" s="605">
        <v>45902.0</v>
      </c>
      <c r="D1887" s="512">
        <v>3.8670522628E10</v>
      </c>
      <c r="E1887" s="646" t="s">
        <v>3900</v>
      </c>
      <c r="F1887" s="656" t="s">
        <v>436</v>
      </c>
      <c r="G1887" s="606" t="s">
        <v>3901</v>
      </c>
      <c r="H1887" s="608" t="s">
        <v>686</v>
      </c>
    </row>
    <row r="1888">
      <c r="A1888" s="512" t="s">
        <v>432</v>
      </c>
      <c r="B1888" s="512" t="s">
        <v>3902</v>
      </c>
      <c r="C1888" s="605">
        <v>45902.0</v>
      </c>
      <c r="D1888" s="512">
        <v>3.2868355584E10</v>
      </c>
      <c r="E1888" s="606" t="s">
        <v>3903</v>
      </c>
      <c r="F1888" s="656" t="s">
        <v>436</v>
      </c>
      <c r="G1888" s="606" t="s">
        <v>3904</v>
      </c>
      <c r="H1888" s="608" t="s">
        <v>686</v>
      </c>
    </row>
    <row r="1889">
      <c r="A1889" s="512" t="s">
        <v>617</v>
      </c>
      <c r="B1889" s="512" t="s">
        <v>449</v>
      </c>
      <c r="C1889" s="605">
        <v>45902.0</v>
      </c>
      <c r="D1889" s="512">
        <v>4.0996903954E10</v>
      </c>
      <c r="E1889" s="646" t="s">
        <v>3905</v>
      </c>
      <c r="F1889" s="656" t="s">
        <v>436</v>
      </c>
      <c r="G1889" s="606" t="s">
        <v>3906</v>
      </c>
      <c r="H1889" s="608" t="s">
        <v>3763</v>
      </c>
    </row>
    <row r="1890">
      <c r="A1890" s="512" t="s">
        <v>432</v>
      </c>
      <c r="B1890" s="512" t="s">
        <v>433</v>
      </c>
      <c r="C1890" s="605">
        <v>45902.0</v>
      </c>
      <c r="D1890" s="512">
        <v>3.8130506921E10</v>
      </c>
      <c r="E1890" s="606" t="s">
        <v>3907</v>
      </c>
      <c r="F1890" s="656" t="s">
        <v>436</v>
      </c>
      <c r="G1890" s="606" t="s">
        <v>3908</v>
      </c>
      <c r="H1890" s="608" t="s">
        <v>686</v>
      </c>
    </row>
    <row r="1891">
      <c r="A1891" s="512" t="s">
        <v>432</v>
      </c>
      <c r="B1891" s="512" t="s">
        <v>449</v>
      </c>
      <c r="C1891" s="605">
        <v>45903.0</v>
      </c>
      <c r="D1891" s="512">
        <v>3.8195738842E10</v>
      </c>
      <c r="E1891" s="651" t="s">
        <v>3909</v>
      </c>
      <c r="F1891" s="656" t="s">
        <v>436</v>
      </c>
      <c r="G1891" s="606" t="s">
        <v>3910</v>
      </c>
      <c r="H1891" s="608" t="s">
        <v>686</v>
      </c>
    </row>
    <row r="1892">
      <c r="A1892" s="512" t="s">
        <v>432</v>
      </c>
      <c r="B1892" s="512" t="s">
        <v>449</v>
      </c>
      <c r="C1892" s="605">
        <v>45903.0</v>
      </c>
      <c r="D1892" s="512">
        <v>3.8130181732E10</v>
      </c>
      <c r="E1892" s="606" t="s">
        <v>3911</v>
      </c>
      <c r="F1892" s="656" t="s">
        <v>436</v>
      </c>
      <c r="G1892" s="606" t="s">
        <v>3912</v>
      </c>
      <c r="H1892" s="608" t="s">
        <v>686</v>
      </c>
    </row>
    <row r="1893">
      <c r="A1893" s="512" t="s">
        <v>432</v>
      </c>
      <c r="B1893" s="512" t="s">
        <v>449</v>
      </c>
      <c r="C1893" s="605">
        <v>45903.0</v>
      </c>
      <c r="D1893" s="512">
        <v>3.1008025164E10</v>
      </c>
      <c r="E1893" s="606" t="s">
        <v>3913</v>
      </c>
      <c r="F1893" s="656" t="s">
        <v>436</v>
      </c>
      <c r="G1893" s="606" t="s">
        <v>3914</v>
      </c>
      <c r="H1893" s="608" t="s">
        <v>686</v>
      </c>
    </row>
    <row r="1894">
      <c r="A1894" s="512" t="s">
        <v>432</v>
      </c>
      <c r="B1894" s="512" t="s">
        <v>449</v>
      </c>
      <c r="C1894" s="605">
        <v>45903.0</v>
      </c>
      <c r="D1894" s="512">
        <v>2.1506298109E10</v>
      </c>
      <c r="E1894" s="651" t="s">
        <v>3915</v>
      </c>
      <c r="F1894" s="656" t="s">
        <v>436</v>
      </c>
      <c r="G1894" s="606" t="s">
        <v>3916</v>
      </c>
      <c r="H1894" s="608" t="s">
        <v>686</v>
      </c>
    </row>
    <row r="1895">
      <c r="A1895" s="512" t="s">
        <v>432</v>
      </c>
      <c r="B1895" s="512" t="s">
        <v>433</v>
      </c>
      <c r="C1895" s="605">
        <v>45903.0</v>
      </c>
      <c r="D1895" s="512">
        <v>3.4655169252E10</v>
      </c>
      <c r="E1895" s="646" t="s">
        <v>3917</v>
      </c>
      <c r="F1895" s="656" t="s">
        <v>436</v>
      </c>
      <c r="G1895" s="606" t="s">
        <v>3918</v>
      </c>
      <c r="H1895" s="608" t="s">
        <v>686</v>
      </c>
    </row>
    <row r="1896">
      <c r="A1896" s="512" t="s">
        <v>432</v>
      </c>
      <c r="B1896" s="512" t="s">
        <v>449</v>
      </c>
      <c r="C1896" s="605">
        <v>45903.0</v>
      </c>
      <c r="D1896" s="512">
        <v>3.2953781721E10</v>
      </c>
      <c r="E1896" s="651" t="s">
        <v>3919</v>
      </c>
      <c r="F1896" s="656" t="s">
        <v>436</v>
      </c>
      <c r="G1896" s="606" t="s">
        <v>3920</v>
      </c>
      <c r="H1896" s="608" t="s">
        <v>686</v>
      </c>
    </row>
    <row r="1897">
      <c r="A1897" s="512" t="s">
        <v>432</v>
      </c>
      <c r="B1897" s="512" t="s">
        <v>433</v>
      </c>
      <c r="C1897" s="605">
        <v>45903.0</v>
      </c>
      <c r="D1897" s="512">
        <v>3.031012502E10</v>
      </c>
      <c r="E1897" s="646" t="s">
        <v>3921</v>
      </c>
      <c r="F1897" s="656" t="s">
        <v>436</v>
      </c>
      <c r="G1897" s="606" t="s">
        <v>3472</v>
      </c>
      <c r="H1897" s="608" t="s">
        <v>686</v>
      </c>
    </row>
    <row r="1898">
      <c r="A1898" s="512" t="s">
        <v>617</v>
      </c>
      <c r="B1898" s="512" t="s">
        <v>449</v>
      </c>
      <c r="C1898" s="605">
        <v>45903.0</v>
      </c>
      <c r="D1898" s="512">
        <v>3.0369780067E10</v>
      </c>
      <c r="E1898" s="606" t="s">
        <v>3922</v>
      </c>
      <c r="F1898" s="656" t="s">
        <v>436</v>
      </c>
      <c r="G1898" s="640"/>
      <c r="H1898" s="608" t="s">
        <v>696</v>
      </c>
    </row>
    <row r="1899">
      <c r="A1899" s="512" t="s">
        <v>432</v>
      </c>
      <c r="B1899" s="512" t="s">
        <v>449</v>
      </c>
      <c r="C1899" s="605">
        <v>45904.0</v>
      </c>
      <c r="D1899" s="512">
        <v>3.8193102431E10</v>
      </c>
      <c r="E1899" s="651" t="s">
        <v>3923</v>
      </c>
      <c r="F1899" s="656" t="s">
        <v>436</v>
      </c>
      <c r="G1899" s="606" t="s">
        <v>3924</v>
      </c>
      <c r="H1899" s="608" t="s">
        <v>1175</v>
      </c>
    </row>
    <row r="1900">
      <c r="A1900" s="512" t="s">
        <v>617</v>
      </c>
      <c r="B1900" s="512" t="s">
        <v>449</v>
      </c>
      <c r="C1900" s="605">
        <v>45904.0</v>
      </c>
      <c r="D1900" s="525"/>
      <c r="E1900" s="606" t="s">
        <v>3925</v>
      </c>
      <c r="F1900" s="656" t="s">
        <v>436</v>
      </c>
      <c r="G1900" s="606" t="s">
        <v>959</v>
      </c>
      <c r="H1900" s="608" t="s">
        <v>696</v>
      </c>
    </row>
    <row r="1901">
      <c r="A1901" s="512" t="s">
        <v>823</v>
      </c>
      <c r="B1901" s="512" t="s">
        <v>449</v>
      </c>
      <c r="C1901" s="639">
        <v>45904.0</v>
      </c>
      <c r="D1901" s="512">
        <v>3.3410208041E10</v>
      </c>
      <c r="E1901" s="606" t="s">
        <v>3926</v>
      </c>
      <c r="F1901" s="656" t="s">
        <v>436</v>
      </c>
      <c r="G1901" s="606" t="s">
        <v>3927</v>
      </c>
      <c r="H1901" s="608" t="s">
        <v>3868</v>
      </c>
    </row>
    <row r="1902">
      <c r="A1902" s="512" t="s">
        <v>690</v>
      </c>
      <c r="B1902" s="512" t="s">
        <v>433</v>
      </c>
      <c r="C1902" s="605">
        <v>45905.0</v>
      </c>
      <c r="D1902" s="512">
        <v>3.6488457869E10</v>
      </c>
      <c r="E1902" s="646" t="s">
        <v>3928</v>
      </c>
      <c r="F1902" s="656" t="s">
        <v>436</v>
      </c>
      <c r="G1902" s="606" t="s">
        <v>3929</v>
      </c>
      <c r="H1902" s="608" t="s">
        <v>3763</v>
      </c>
    </row>
    <row r="1903">
      <c r="A1903" s="512" t="s">
        <v>439</v>
      </c>
      <c r="B1903" s="512" t="s">
        <v>433</v>
      </c>
      <c r="C1903" s="605">
        <v>45905.0</v>
      </c>
      <c r="D1903" s="512">
        <v>3.7685807828E10</v>
      </c>
      <c r="E1903" s="646" t="s">
        <v>3930</v>
      </c>
      <c r="F1903" s="656" t="s">
        <v>436</v>
      </c>
      <c r="G1903" s="606" t="s">
        <v>3931</v>
      </c>
      <c r="H1903" s="608" t="s">
        <v>1608</v>
      </c>
    </row>
    <row r="1904">
      <c r="A1904" s="512" t="s">
        <v>690</v>
      </c>
      <c r="B1904" s="512" t="s">
        <v>449</v>
      </c>
      <c r="C1904" s="605">
        <v>45905.0</v>
      </c>
      <c r="D1904" s="512">
        <v>3.8017807065E10</v>
      </c>
      <c r="E1904" s="648" t="s">
        <v>3932</v>
      </c>
      <c r="F1904" s="656" t="s">
        <v>436</v>
      </c>
      <c r="G1904" s="658" t="s">
        <v>3933</v>
      </c>
      <c r="H1904" s="608" t="s">
        <v>3763</v>
      </c>
    </row>
    <row r="1905">
      <c r="A1905" s="512" t="s">
        <v>439</v>
      </c>
      <c r="B1905" s="512" t="s">
        <v>433</v>
      </c>
      <c r="C1905" s="605">
        <v>45905.0</v>
      </c>
      <c r="D1905" s="512">
        <v>4.111388192E10</v>
      </c>
      <c r="E1905" s="606" t="s">
        <v>3934</v>
      </c>
      <c r="F1905" s="656" t="s">
        <v>436</v>
      </c>
      <c r="G1905" s="619" t="s">
        <v>3935</v>
      </c>
      <c r="H1905" s="608" t="s">
        <v>1608</v>
      </c>
    </row>
    <row r="1906">
      <c r="A1906" s="512" t="s">
        <v>439</v>
      </c>
      <c r="B1906" s="512" t="s">
        <v>433</v>
      </c>
      <c r="C1906" s="605">
        <v>45905.0</v>
      </c>
      <c r="D1906" s="512">
        <v>3.5404136737E10</v>
      </c>
      <c r="E1906" s="646" t="s">
        <v>3936</v>
      </c>
      <c r="F1906" s="656" t="s">
        <v>436</v>
      </c>
      <c r="G1906" s="606" t="s">
        <v>3937</v>
      </c>
      <c r="H1906" s="608" t="s">
        <v>1608</v>
      </c>
    </row>
    <row r="1907">
      <c r="A1907" s="512" t="s">
        <v>823</v>
      </c>
      <c r="B1907" s="512" t="s">
        <v>3871</v>
      </c>
      <c r="C1907" s="639">
        <v>45905.0</v>
      </c>
      <c r="D1907" s="512">
        <v>2.8027533598E10</v>
      </c>
      <c r="E1907" s="606" t="s">
        <v>3938</v>
      </c>
      <c r="F1907" s="656" t="s">
        <v>436</v>
      </c>
      <c r="G1907" s="606" t="s">
        <v>3589</v>
      </c>
      <c r="H1907" s="608" t="s">
        <v>3868</v>
      </c>
    </row>
    <row r="1908">
      <c r="A1908" s="512" t="s">
        <v>823</v>
      </c>
      <c r="B1908" s="512" t="s">
        <v>449</v>
      </c>
      <c r="C1908" s="639">
        <v>45906.0</v>
      </c>
      <c r="D1908" s="512">
        <v>3.4185246239E10</v>
      </c>
      <c r="E1908" s="646" t="s">
        <v>3939</v>
      </c>
      <c r="F1908" s="656" t="s">
        <v>436</v>
      </c>
      <c r="G1908" s="606" t="s">
        <v>3940</v>
      </c>
      <c r="H1908" s="608" t="s">
        <v>3941</v>
      </c>
    </row>
    <row r="1909">
      <c r="A1909" s="512" t="s">
        <v>432</v>
      </c>
      <c r="B1909" s="512" t="s">
        <v>449</v>
      </c>
      <c r="C1909" s="639">
        <v>45906.0</v>
      </c>
      <c r="D1909" s="512">
        <v>3.7476129821E10</v>
      </c>
      <c r="E1909" s="606" t="s">
        <v>3942</v>
      </c>
      <c r="F1909" s="656" t="s">
        <v>436</v>
      </c>
      <c r="G1909" s="606" t="s">
        <v>3943</v>
      </c>
      <c r="H1909" s="608" t="s">
        <v>686</v>
      </c>
    </row>
    <row r="1910">
      <c r="A1910" s="512" t="s">
        <v>432</v>
      </c>
      <c r="B1910" s="512" t="s">
        <v>3721</v>
      </c>
      <c r="C1910" s="639">
        <v>45906.0</v>
      </c>
      <c r="D1910" s="512">
        <v>3.295209068E10</v>
      </c>
      <c r="E1910" s="606" t="s">
        <v>3944</v>
      </c>
      <c r="F1910" s="656" t="s">
        <v>436</v>
      </c>
      <c r="G1910" s="606" t="s">
        <v>3945</v>
      </c>
      <c r="H1910" s="608" t="s">
        <v>686</v>
      </c>
    </row>
    <row r="1911">
      <c r="A1911" s="512" t="s">
        <v>617</v>
      </c>
      <c r="B1911" s="512" t="s">
        <v>449</v>
      </c>
      <c r="C1911" s="639">
        <v>45906.0</v>
      </c>
      <c r="D1911" s="512">
        <v>4.0955767949E10</v>
      </c>
      <c r="E1911" s="606" t="s">
        <v>3946</v>
      </c>
      <c r="F1911" s="656" t="s">
        <v>436</v>
      </c>
      <c r="G1911" s="606" t="s">
        <v>3947</v>
      </c>
      <c r="H1911" s="608" t="s">
        <v>623</v>
      </c>
    </row>
    <row r="1912">
      <c r="A1912" s="512" t="s">
        <v>439</v>
      </c>
      <c r="B1912" s="512" t="s">
        <v>3662</v>
      </c>
      <c r="C1912" s="639">
        <v>45906.0</v>
      </c>
      <c r="D1912" s="512">
        <v>3.4751586158E10</v>
      </c>
      <c r="E1912" s="646" t="s">
        <v>3948</v>
      </c>
      <c r="F1912" s="656" t="s">
        <v>436</v>
      </c>
      <c r="G1912" s="606" t="s">
        <v>3949</v>
      </c>
      <c r="H1912" s="608" t="s">
        <v>1608</v>
      </c>
    </row>
    <row r="1913">
      <c r="A1913" s="512" t="s">
        <v>432</v>
      </c>
      <c r="B1913" s="512" t="s">
        <v>449</v>
      </c>
      <c r="C1913" s="639">
        <v>45906.0</v>
      </c>
      <c r="D1913" s="512">
        <v>2.5737821154E10</v>
      </c>
      <c r="E1913" s="646" t="s">
        <v>3950</v>
      </c>
      <c r="F1913" s="656" t="s">
        <v>436</v>
      </c>
      <c r="G1913" s="606" t="s">
        <v>3951</v>
      </c>
      <c r="H1913" s="608" t="s">
        <v>686</v>
      </c>
    </row>
    <row r="1914">
      <c r="A1914" s="512" t="s">
        <v>432</v>
      </c>
      <c r="B1914" s="512" t="s">
        <v>433</v>
      </c>
      <c r="C1914" s="639">
        <v>45906.0</v>
      </c>
      <c r="D1914" s="512">
        <v>2.752780274E10</v>
      </c>
      <c r="E1914" s="606" t="s">
        <v>3952</v>
      </c>
      <c r="F1914" s="656" t="s">
        <v>436</v>
      </c>
      <c r="G1914" s="606" t="s">
        <v>3953</v>
      </c>
      <c r="H1914" s="608" t="s">
        <v>686</v>
      </c>
    </row>
    <row r="1915">
      <c r="A1915" s="512" t="s">
        <v>823</v>
      </c>
      <c r="B1915" s="512" t="s">
        <v>449</v>
      </c>
      <c r="C1915" s="639">
        <v>45906.0</v>
      </c>
      <c r="D1915" s="512">
        <v>2.047070241E10</v>
      </c>
      <c r="E1915" s="646" t="s">
        <v>3954</v>
      </c>
      <c r="F1915" s="656" t="s">
        <v>436</v>
      </c>
      <c r="G1915" s="606" t="s">
        <v>2478</v>
      </c>
      <c r="H1915" s="608" t="s">
        <v>3941</v>
      </c>
    </row>
    <row r="1916">
      <c r="A1916" s="512" t="s">
        <v>823</v>
      </c>
      <c r="B1916" s="512" t="s">
        <v>449</v>
      </c>
      <c r="C1916" s="639">
        <v>45906.0</v>
      </c>
      <c r="D1916" s="512">
        <v>4.1177683505E10</v>
      </c>
      <c r="E1916" s="646" t="s">
        <v>3955</v>
      </c>
      <c r="F1916" s="656" t="s">
        <v>436</v>
      </c>
      <c r="G1916" s="606" t="s">
        <v>3956</v>
      </c>
      <c r="H1916" s="608" t="s">
        <v>3941</v>
      </c>
    </row>
    <row r="1917">
      <c r="A1917" s="512" t="s">
        <v>617</v>
      </c>
      <c r="B1917" s="512" t="s">
        <v>449</v>
      </c>
      <c r="C1917" s="639">
        <v>45906.0</v>
      </c>
      <c r="D1917" s="512">
        <v>3.1675197859E10</v>
      </c>
      <c r="E1917" s="606" t="s">
        <v>3957</v>
      </c>
      <c r="F1917" s="656" t="s">
        <v>436</v>
      </c>
      <c r="G1917" s="606" t="s">
        <v>3958</v>
      </c>
      <c r="H1917" s="608" t="s">
        <v>623</v>
      </c>
    </row>
    <row r="1918">
      <c r="A1918" s="512" t="s">
        <v>432</v>
      </c>
      <c r="B1918" s="512" t="s">
        <v>449</v>
      </c>
      <c r="C1918" s="639">
        <v>45906.0</v>
      </c>
      <c r="D1918" s="512">
        <v>1.7461685251E10</v>
      </c>
      <c r="E1918" s="606" t="s">
        <v>3959</v>
      </c>
      <c r="F1918" s="656" t="s">
        <v>436</v>
      </c>
      <c r="G1918" s="606" t="s">
        <v>3960</v>
      </c>
      <c r="H1918" s="608" t="s">
        <v>686</v>
      </c>
    </row>
    <row r="1919">
      <c r="A1919" s="512" t="s">
        <v>617</v>
      </c>
      <c r="B1919" s="512" t="s">
        <v>449</v>
      </c>
      <c r="C1919" s="639">
        <v>45906.0</v>
      </c>
      <c r="D1919" s="512">
        <v>3.7373060803E10</v>
      </c>
      <c r="E1919" s="606" t="s">
        <v>3961</v>
      </c>
      <c r="F1919" s="656" t="s">
        <v>436</v>
      </c>
      <c r="G1919" s="606" t="s">
        <v>3962</v>
      </c>
      <c r="H1919" s="608" t="s">
        <v>623</v>
      </c>
    </row>
    <row r="1920">
      <c r="A1920" s="512" t="s">
        <v>432</v>
      </c>
      <c r="B1920" s="512" t="s">
        <v>3963</v>
      </c>
      <c r="C1920" s="639">
        <v>45906.0</v>
      </c>
      <c r="D1920" s="512">
        <v>2.2174158739E10</v>
      </c>
      <c r="E1920" s="648" t="s">
        <v>3964</v>
      </c>
      <c r="F1920" s="656" t="s">
        <v>436</v>
      </c>
      <c r="G1920" s="606" t="s">
        <v>3134</v>
      </c>
      <c r="H1920" s="608" t="s">
        <v>686</v>
      </c>
    </row>
    <row r="1921">
      <c r="A1921" s="512" t="s">
        <v>432</v>
      </c>
      <c r="B1921" s="512" t="s">
        <v>449</v>
      </c>
      <c r="C1921" s="605">
        <v>45907.0</v>
      </c>
      <c r="D1921" s="512">
        <v>3.649979698E10</v>
      </c>
      <c r="E1921" s="606" t="s">
        <v>3965</v>
      </c>
      <c r="F1921" s="656" t="s">
        <v>436</v>
      </c>
      <c r="G1921" s="606" t="s">
        <v>3966</v>
      </c>
      <c r="H1921" s="608" t="s">
        <v>686</v>
      </c>
    </row>
    <row r="1922">
      <c r="A1922" s="512" t="s">
        <v>617</v>
      </c>
      <c r="B1922" s="512" t="s">
        <v>433</v>
      </c>
      <c r="C1922" s="605">
        <v>45907.0</v>
      </c>
      <c r="D1922" s="512">
        <v>3.4339861214E10</v>
      </c>
      <c r="E1922" s="606" t="s">
        <v>3967</v>
      </c>
      <c r="F1922" s="656" t="s">
        <v>436</v>
      </c>
      <c r="G1922" s="606" t="s">
        <v>3968</v>
      </c>
      <c r="H1922" s="608" t="s">
        <v>696</v>
      </c>
    </row>
    <row r="1923">
      <c r="A1923" s="512" t="s">
        <v>823</v>
      </c>
      <c r="B1923" s="512" t="s">
        <v>449</v>
      </c>
      <c r="C1923" s="639">
        <v>45907.0</v>
      </c>
      <c r="D1923" s="512">
        <v>3.4283783592E10</v>
      </c>
      <c r="E1923" s="648" t="s">
        <v>3969</v>
      </c>
      <c r="F1923" s="656" t="s">
        <v>436</v>
      </c>
      <c r="G1923" s="606" t="s">
        <v>2437</v>
      </c>
      <c r="H1923" s="608" t="s">
        <v>3332</v>
      </c>
    </row>
    <row r="1924">
      <c r="A1924" s="512" t="s">
        <v>432</v>
      </c>
      <c r="B1924" s="512" t="s">
        <v>433</v>
      </c>
      <c r="C1924" s="639">
        <v>45907.0</v>
      </c>
      <c r="D1924" s="512">
        <v>2.0162357202E10</v>
      </c>
      <c r="E1924" s="648" t="s">
        <v>3970</v>
      </c>
      <c r="F1924" s="656" t="s">
        <v>436</v>
      </c>
      <c r="G1924" s="606" t="s">
        <v>3971</v>
      </c>
      <c r="H1924" s="608" t="s">
        <v>686</v>
      </c>
    </row>
    <row r="1925">
      <c r="A1925" s="512" t="s">
        <v>432</v>
      </c>
      <c r="B1925" s="512" t="s">
        <v>433</v>
      </c>
      <c r="C1925" s="605">
        <v>45907.0</v>
      </c>
      <c r="D1925" s="512">
        <v>3.7138047272E10</v>
      </c>
      <c r="E1925" s="606" t="s">
        <v>3972</v>
      </c>
      <c r="F1925" s="656" t="s">
        <v>436</v>
      </c>
      <c r="G1925" s="606" t="s">
        <v>819</v>
      </c>
      <c r="H1925" s="608" t="s">
        <v>686</v>
      </c>
    </row>
    <row r="1926">
      <c r="A1926" s="512" t="s">
        <v>432</v>
      </c>
      <c r="B1926" s="512" t="s">
        <v>449</v>
      </c>
      <c r="C1926" s="605">
        <v>45907.0</v>
      </c>
      <c r="D1926" s="512">
        <v>3.455759604E10</v>
      </c>
      <c r="E1926" s="648" t="s">
        <v>3973</v>
      </c>
      <c r="F1926" s="656" t="s">
        <v>436</v>
      </c>
      <c r="G1926" s="606" t="s">
        <v>1204</v>
      </c>
      <c r="H1926" s="608" t="s">
        <v>686</v>
      </c>
    </row>
    <row r="1927">
      <c r="A1927" s="512" t="s">
        <v>617</v>
      </c>
      <c r="B1927" s="512" t="s">
        <v>449</v>
      </c>
      <c r="C1927" s="605">
        <v>45907.0</v>
      </c>
      <c r="D1927" s="512">
        <v>3.065143927E10</v>
      </c>
      <c r="E1927" s="606" t="s">
        <v>3974</v>
      </c>
      <c r="F1927" s="656" t="s">
        <v>436</v>
      </c>
      <c r="G1927" s="606" t="s">
        <v>3975</v>
      </c>
      <c r="H1927" s="608" t="s">
        <v>696</v>
      </c>
    </row>
    <row r="1928">
      <c r="A1928" s="512" t="s">
        <v>617</v>
      </c>
      <c r="B1928" s="512" t="s">
        <v>449</v>
      </c>
      <c r="C1928" s="605">
        <v>45908.0</v>
      </c>
      <c r="D1928" s="512">
        <v>1.4840745542E10</v>
      </c>
      <c r="E1928" s="606" t="s">
        <v>3976</v>
      </c>
      <c r="F1928" s="656" t="s">
        <v>436</v>
      </c>
      <c r="G1928" s="606" t="s">
        <v>3977</v>
      </c>
      <c r="H1928" s="608" t="s">
        <v>696</v>
      </c>
    </row>
    <row r="1929">
      <c r="A1929" s="512" t="s">
        <v>617</v>
      </c>
      <c r="B1929" s="512" t="s">
        <v>433</v>
      </c>
      <c r="C1929" s="605">
        <v>45908.0</v>
      </c>
      <c r="D1929" s="512">
        <v>2.6177448931E10</v>
      </c>
      <c r="E1929" s="606" t="s">
        <v>3978</v>
      </c>
      <c r="F1929" s="656" t="s">
        <v>436</v>
      </c>
      <c r="G1929" s="606" t="s">
        <v>3979</v>
      </c>
      <c r="H1929" s="608" t="s">
        <v>696</v>
      </c>
    </row>
    <row r="1930">
      <c r="A1930" s="512" t="s">
        <v>823</v>
      </c>
      <c r="B1930" s="512" t="s">
        <v>449</v>
      </c>
      <c r="C1930" s="605">
        <v>45908.0</v>
      </c>
      <c r="D1930" s="512">
        <v>3.7873121316E10</v>
      </c>
      <c r="E1930" s="606" t="s">
        <v>3980</v>
      </c>
      <c r="F1930" s="656" t="s">
        <v>436</v>
      </c>
      <c r="G1930" s="606" t="s">
        <v>1447</v>
      </c>
      <c r="H1930" s="608" t="s">
        <v>3868</v>
      </c>
    </row>
    <row r="1931">
      <c r="A1931" s="512" t="s">
        <v>690</v>
      </c>
      <c r="B1931" s="512" t="s">
        <v>449</v>
      </c>
      <c r="C1931" s="605">
        <v>45908.0</v>
      </c>
      <c r="D1931" s="512">
        <v>4.1178148568E10</v>
      </c>
      <c r="E1931" s="646" t="s">
        <v>3981</v>
      </c>
      <c r="F1931" s="656" t="s">
        <v>436</v>
      </c>
      <c r="G1931" s="606" t="s">
        <v>3982</v>
      </c>
      <c r="H1931" s="608" t="s">
        <v>3763</v>
      </c>
    </row>
    <row r="1932">
      <c r="A1932" s="512" t="s">
        <v>432</v>
      </c>
      <c r="B1932" s="512" t="s">
        <v>449</v>
      </c>
      <c r="C1932" s="605">
        <v>45908.0</v>
      </c>
      <c r="D1932" s="512">
        <v>3.9745958791E10</v>
      </c>
      <c r="E1932" s="651" t="s">
        <v>3983</v>
      </c>
      <c r="F1932" s="656" t="s">
        <v>436</v>
      </c>
      <c r="G1932" s="606" t="s">
        <v>3984</v>
      </c>
      <c r="H1932" s="608" t="s">
        <v>1175</v>
      </c>
    </row>
    <row r="1933">
      <c r="A1933" s="512" t="s">
        <v>823</v>
      </c>
      <c r="B1933" s="512" t="s">
        <v>449</v>
      </c>
      <c r="C1933" s="605">
        <v>45908.0</v>
      </c>
      <c r="D1933" s="512">
        <v>2.9672236314E10</v>
      </c>
      <c r="E1933" s="606" t="s">
        <v>3985</v>
      </c>
      <c r="F1933" s="656" t="s">
        <v>436</v>
      </c>
      <c r="G1933" s="606" t="s">
        <v>2062</v>
      </c>
      <c r="H1933" s="608" t="s">
        <v>3868</v>
      </c>
    </row>
    <row r="1934">
      <c r="A1934" s="512" t="s">
        <v>617</v>
      </c>
      <c r="B1934" s="512" t="s">
        <v>449</v>
      </c>
      <c r="C1934" s="605">
        <v>45909.0</v>
      </c>
      <c r="D1934" s="512">
        <v>4.1362226689E10</v>
      </c>
      <c r="E1934" s="606" t="s">
        <v>3986</v>
      </c>
      <c r="F1934" s="656" t="s">
        <v>436</v>
      </c>
      <c r="G1934" s="606" t="s">
        <v>3987</v>
      </c>
      <c r="H1934" s="608" t="s">
        <v>696</v>
      </c>
    </row>
    <row r="1935">
      <c r="A1935" s="512" t="s">
        <v>823</v>
      </c>
      <c r="B1935" s="512" t="s">
        <v>449</v>
      </c>
      <c r="C1935" s="605">
        <v>45909.0</v>
      </c>
      <c r="D1935" s="512">
        <v>3.8291924794E10</v>
      </c>
      <c r="E1935" s="606" t="s">
        <v>3988</v>
      </c>
      <c r="F1935" s="656" t="s">
        <v>436</v>
      </c>
      <c r="G1935" s="606" t="s">
        <v>3989</v>
      </c>
      <c r="H1935" s="608" t="s">
        <v>3868</v>
      </c>
    </row>
    <row r="1936">
      <c r="A1936" s="512" t="s">
        <v>439</v>
      </c>
      <c r="B1936" s="512" t="s">
        <v>449</v>
      </c>
      <c r="C1936" s="605">
        <v>45909.0</v>
      </c>
      <c r="D1936" s="512">
        <v>4.1178660661E10</v>
      </c>
      <c r="E1936" s="648" t="s">
        <v>3990</v>
      </c>
      <c r="F1936" s="656" t="s">
        <v>436</v>
      </c>
      <c r="G1936" s="606" t="s">
        <v>1079</v>
      </c>
      <c r="H1936" s="608" t="s">
        <v>1608</v>
      </c>
    </row>
    <row r="1937">
      <c r="A1937" s="512" t="s">
        <v>617</v>
      </c>
      <c r="B1937" s="512" t="s">
        <v>449</v>
      </c>
      <c r="C1937" s="605">
        <v>45909.0</v>
      </c>
      <c r="D1937" s="512">
        <v>3.2883105541E10</v>
      </c>
      <c r="E1937" s="606" t="s">
        <v>3991</v>
      </c>
      <c r="F1937" s="656" t="s">
        <v>436</v>
      </c>
      <c r="G1937" s="606" t="s">
        <v>3992</v>
      </c>
      <c r="H1937" s="608" t="s">
        <v>696</v>
      </c>
    </row>
    <row r="1938">
      <c r="A1938" s="512" t="s">
        <v>823</v>
      </c>
      <c r="B1938" s="512" t="s">
        <v>449</v>
      </c>
      <c r="C1938" s="605">
        <v>45909.0</v>
      </c>
      <c r="D1938" s="512">
        <v>3.4881141511E10</v>
      </c>
      <c r="E1938" s="606" t="s">
        <v>3993</v>
      </c>
      <c r="F1938" s="656" t="s">
        <v>436</v>
      </c>
      <c r="G1938" s="606" t="s">
        <v>3994</v>
      </c>
      <c r="H1938" s="608" t="s">
        <v>3868</v>
      </c>
    </row>
    <row r="1939">
      <c r="A1939" s="512" t="s">
        <v>432</v>
      </c>
      <c r="B1939" s="512" t="s">
        <v>449</v>
      </c>
      <c r="C1939" s="605">
        <v>45909.0</v>
      </c>
      <c r="D1939" s="512">
        <v>2.8700889852E10</v>
      </c>
      <c r="E1939" s="648" t="s">
        <v>3995</v>
      </c>
      <c r="F1939" s="656" t="s">
        <v>436</v>
      </c>
      <c r="G1939" s="606" t="s">
        <v>3996</v>
      </c>
      <c r="H1939" s="608" t="s">
        <v>1175</v>
      </c>
    </row>
    <row r="1940">
      <c r="A1940" s="512" t="s">
        <v>432</v>
      </c>
      <c r="B1940" s="512" t="s">
        <v>433</v>
      </c>
      <c r="C1940" s="605">
        <v>45910.0</v>
      </c>
      <c r="D1940" s="512">
        <v>3.6223078628E10</v>
      </c>
      <c r="E1940" s="606" t="s">
        <v>3997</v>
      </c>
      <c r="F1940" s="656" t="s">
        <v>436</v>
      </c>
      <c r="G1940" s="606" t="s">
        <v>3998</v>
      </c>
      <c r="H1940" s="608" t="s">
        <v>686</v>
      </c>
    </row>
    <row r="1941">
      <c r="A1941" s="512" t="s">
        <v>439</v>
      </c>
      <c r="B1941" s="512" t="s">
        <v>3999</v>
      </c>
      <c r="C1941" s="605">
        <v>45910.0</v>
      </c>
      <c r="D1941" s="512">
        <v>2.8890171528E10</v>
      </c>
      <c r="E1941" s="606" t="s">
        <v>4000</v>
      </c>
      <c r="F1941" s="656" t="s">
        <v>436</v>
      </c>
      <c r="G1941" s="606" t="s">
        <v>4001</v>
      </c>
      <c r="H1941" s="608" t="s">
        <v>1608</v>
      </c>
    </row>
    <row r="1942">
      <c r="A1942" s="512" t="s">
        <v>432</v>
      </c>
      <c r="B1942" s="512" t="s">
        <v>433</v>
      </c>
      <c r="C1942" s="605">
        <v>45910.0</v>
      </c>
      <c r="D1942" s="512">
        <v>3.846601305E10</v>
      </c>
      <c r="E1942" s="606" t="s">
        <v>4002</v>
      </c>
      <c r="F1942" s="656" t="s">
        <v>436</v>
      </c>
      <c r="G1942" s="606" t="s">
        <v>4003</v>
      </c>
      <c r="H1942" s="608" t="s">
        <v>686</v>
      </c>
    </row>
    <row r="1943">
      <c r="A1943" s="512" t="s">
        <v>439</v>
      </c>
      <c r="B1943" s="512" t="s">
        <v>449</v>
      </c>
      <c r="C1943" s="605">
        <v>45910.0</v>
      </c>
      <c r="D1943" s="512">
        <v>3.7105399616E10</v>
      </c>
      <c r="E1943" s="606" t="s">
        <v>4004</v>
      </c>
      <c r="F1943" s="656" t="s">
        <v>436</v>
      </c>
      <c r="G1943" s="606" t="s">
        <v>4005</v>
      </c>
      <c r="H1943" s="608" t="s">
        <v>1608</v>
      </c>
    </row>
    <row r="1944">
      <c r="A1944" s="512" t="s">
        <v>432</v>
      </c>
      <c r="B1944" s="512" t="s">
        <v>433</v>
      </c>
      <c r="C1944" s="605">
        <v>45910.0</v>
      </c>
      <c r="D1944" s="512">
        <v>3.4189695944E10</v>
      </c>
      <c r="E1944" s="648" t="s">
        <v>4006</v>
      </c>
      <c r="F1944" s="656" t="s">
        <v>436</v>
      </c>
      <c r="G1944" s="606" t="s">
        <v>4007</v>
      </c>
      <c r="H1944" s="608" t="s">
        <v>686</v>
      </c>
    </row>
    <row r="1945">
      <c r="A1945" s="512" t="s">
        <v>432</v>
      </c>
      <c r="B1945" s="512" t="s">
        <v>449</v>
      </c>
      <c r="C1945" s="605">
        <v>45910.0</v>
      </c>
      <c r="D1945" s="512">
        <v>3.8196128231E10</v>
      </c>
      <c r="E1945" s="606" t="s">
        <v>4008</v>
      </c>
      <c r="F1945" s="656" t="s">
        <v>436</v>
      </c>
      <c r="G1945" s="606" t="s">
        <v>4009</v>
      </c>
      <c r="H1945" s="608" t="s">
        <v>686</v>
      </c>
    </row>
    <row r="1946">
      <c r="A1946" s="512" t="s">
        <v>432</v>
      </c>
      <c r="B1946" s="512" t="s">
        <v>449</v>
      </c>
      <c r="C1946" s="605">
        <v>45910.0</v>
      </c>
      <c r="D1946" s="512">
        <v>3.2844406247E10</v>
      </c>
      <c r="E1946" s="606" t="s">
        <v>4010</v>
      </c>
      <c r="F1946" s="656" t="s">
        <v>436</v>
      </c>
      <c r="G1946" s="606" t="s">
        <v>3470</v>
      </c>
      <c r="H1946" s="608" t="s">
        <v>686</v>
      </c>
    </row>
    <row r="1947">
      <c r="A1947" s="512" t="s">
        <v>439</v>
      </c>
      <c r="B1947" s="512" t="s">
        <v>449</v>
      </c>
      <c r="C1947" s="605">
        <v>45910.0</v>
      </c>
      <c r="D1947" s="512">
        <v>4.149546122E10</v>
      </c>
      <c r="E1947" s="606" t="s">
        <v>4011</v>
      </c>
      <c r="F1947" s="656" t="s">
        <v>436</v>
      </c>
      <c r="G1947" s="606" t="s">
        <v>4012</v>
      </c>
      <c r="H1947" s="608" t="s">
        <v>1608</v>
      </c>
    </row>
    <row r="1948">
      <c r="A1948" s="512" t="s">
        <v>617</v>
      </c>
      <c r="B1948" s="512" t="s">
        <v>4013</v>
      </c>
      <c r="C1948" s="605">
        <v>45910.0</v>
      </c>
      <c r="D1948" s="525"/>
      <c r="E1948" s="606" t="s">
        <v>4014</v>
      </c>
      <c r="F1948" s="656" t="s">
        <v>436</v>
      </c>
      <c r="G1948" s="640"/>
      <c r="H1948" s="608" t="s">
        <v>3868</v>
      </c>
    </row>
    <row r="1949">
      <c r="A1949" s="512" t="s">
        <v>617</v>
      </c>
      <c r="B1949" s="512" t="s">
        <v>449</v>
      </c>
      <c r="C1949" s="605">
        <v>45911.0</v>
      </c>
      <c r="D1949" s="512">
        <v>3.5610509519E10</v>
      </c>
      <c r="E1949" s="606" t="s">
        <v>4015</v>
      </c>
      <c r="F1949" s="656" t="s">
        <v>436</v>
      </c>
      <c r="G1949" s="606" t="s">
        <v>4016</v>
      </c>
      <c r="H1949" s="608" t="s">
        <v>696</v>
      </c>
    </row>
    <row r="1950">
      <c r="A1950" s="512" t="s">
        <v>432</v>
      </c>
      <c r="B1950" s="512" t="s">
        <v>4013</v>
      </c>
      <c r="C1950" s="605">
        <v>45911.0</v>
      </c>
      <c r="D1950" s="512">
        <v>3.0983882995E10</v>
      </c>
      <c r="E1950" s="606" t="s">
        <v>4017</v>
      </c>
      <c r="F1950" s="656" t="s">
        <v>436</v>
      </c>
      <c r="G1950" s="606" t="s">
        <v>1359</v>
      </c>
      <c r="H1950" s="608" t="s">
        <v>686</v>
      </c>
    </row>
    <row r="1951">
      <c r="A1951" s="512" t="s">
        <v>823</v>
      </c>
      <c r="B1951" s="512" t="s">
        <v>4013</v>
      </c>
      <c r="C1951" s="605">
        <v>45911.0</v>
      </c>
      <c r="D1951" s="512">
        <v>4.0051746337E10</v>
      </c>
      <c r="E1951" s="648" t="s">
        <v>4018</v>
      </c>
      <c r="F1951" s="656" t="s">
        <v>436</v>
      </c>
      <c r="G1951" s="606" t="s">
        <v>4019</v>
      </c>
      <c r="H1951" s="608" t="s">
        <v>3332</v>
      </c>
    </row>
    <row r="1952">
      <c r="A1952" s="512" t="s">
        <v>432</v>
      </c>
      <c r="B1952" s="512" t="s">
        <v>433</v>
      </c>
      <c r="C1952" s="605">
        <v>45911.0</v>
      </c>
      <c r="D1952" s="512">
        <v>3.6124691299E10</v>
      </c>
      <c r="E1952" s="606" t="s">
        <v>4020</v>
      </c>
      <c r="F1952" s="656" t="s">
        <v>436</v>
      </c>
      <c r="G1952" s="606" t="s">
        <v>4021</v>
      </c>
      <c r="H1952" s="608" t="s">
        <v>686</v>
      </c>
    </row>
    <row r="1953">
      <c r="A1953" s="512" t="s">
        <v>823</v>
      </c>
      <c r="B1953" s="512" t="s">
        <v>4013</v>
      </c>
      <c r="C1953" s="605">
        <v>45911.0</v>
      </c>
      <c r="D1953" s="512" t="s">
        <v>4022</v>
      </c>
      <c r="E1953" s="648" t="s">
        <v>4023</v>
      </c>
      <c r="F1953" s="656" t="s">
        <v>436</v>
      </c>
      <c r="G1953" s="606" t="s">
        <v>3340</v>
      </c>
      <c r="H1953" s="608" t="s">
        <v>3332</v>
      </c>
    </row>
    <row r="1954">
      <c r="A1954" s="512" t="s">
        <v>617</v>
      </c>
      <c r="B1954" s="512" t="s">
        <v>449</v>
      </c>
      <c r="C1954" s="605">
        <v>45911.0</v>
      </c>
      <c r="D1954" s="512">
        <v>4.1228702616E10</v>
      </c>
      <c r="E1954" s="606" t="s">
        <v>4024</v>
      </c>
      <c r="F1954" s="656" t="s">
        <v>436</v>
      </c>
      <c r="G1954" s="606" t="s">
        <v>4025</v>
      </c>
      <c r="H1954" s="608" t="s">
        <v>696</v>
      </c>
    </row>
    <row r="1955">
      <c r="A1955" s="512" t="s">
        <v>432</v>
      </c>
      <c r="B1955" s="512" t="s">
        <v>4013</v>
      </c>
      <c r="C1955" s="605">
        <v>45911.0</v>
      </c>
      <c r="D1955" s="512">
        <v>3.4967438416E10</v>
      </c>
      <c r="E1955" s="606" t="s">
        <v>4026</v>
      </c>
      <c r="F1955" s="656" t="s">
        <v>436</v>
      </c>
      <c r="G1955" s="606" t="s">
        <v>4027</v>
      </c>
      <c r="H1955" s="608" t="s">
        <v>686</v>
      </c>
    </row>
    <row r="1956">
      <c r="A1956" s="512" t="s">
        <v>432</v>
      </c>
      <c r="B1956" s="512" t="s">
        <v>4013</v>
      </c>
      <c r="C1956" s="605">
        <v>45911.0</v>
      </c>
      <c r="D1956" s="512">
        <v>3.7446005349E10</v>
      </c>
      <c r="E1956" s="606" t="s">
        <v>4028</v>
      </c>
      <c r="F1956" s="656" t="s">
        <v>436</v>
      </c>
      <c r="G1956" s="606" t="s">
        <v>4029</v>
      </c>
      <c r="H1956" s="608" t="s">
        <v>686</v>
      </c>
    </row>
    <row r="1957">
      <c r="A1957" s="512" t="s">
        <v>432</v>
      </c>
      <c r="B1957" s="512" t="s">
        <v>433</v>
      </c>
      <c r="C1957" s="605">
        <v>45911.0</v>
      </c>
      <c r="D1957" s="512">
        <v>4.1177876137E10</v>
      </c>
      <c r="E1957" s="606" t="s">
        <v>4030</v>
      </c>
      <c r="F1957" s="656" t="s">
        <v>436</v>
      </c>
      <c r="G1957" s="606" t="s">
        <v>4031</v>
      </c>
      <c r="H1957" s="608" t="s">
        <v>686</v>
      </c>
    </row>
    <row r="1958">
      <c r="A1958" s="512" t="s">
        <v>617</v>
      </c>
      <c r="B1958" s="512" t="s">
        <v>449</v>
      </c>
      <c r="C1958" s="605">
        <v>45911.0</v>
      </c>
      <c r="D1958" s="512">
        <v>3.7718504094E10</v>
      </c>
      <c r="E1958" s="606" t="s">
        <v>4032</v>
      </c>
      <c r="F1958" s="656" t="s">
        <v>436</v>
      </c>
      <c r="G1958" s="606" t="s">
        <v>2831</v>
      </c>
      <c r="H1958" s="608" t="s">
        <v>696</v>
      </c>
    </row>
    <row r="1959">
      <c r="A1959" s="512" t="s">
        <v>432</v>
      </c>
      <c r="B1959" s="512" t="s">
        <v>4013</v>
      </c>
      <c r="C1959" s="605">
        <v>45911.0</v>
      </c>
      <c r="D1959" s="512">
        <v>3.7274636959E10</v>
      </c>
      <c r="E1959" s="606" t="s">
        <v>4033</v>
      </c>
      <c r="F1959" s="656" t="s">
        <v>436</v>
      </c>
      <c r="G1959" s="606" t="s">
        <v>4034</v>
      </c>
      <c r="H1959" s="608" t="s">
        <v>686</v>
      </c>
    </row>
    <row r="1960">
      <c r="A1960" s="512" t="s">
        <v>432</v>
      </c>
      <c r="B1960" s="512" t="s">
        <v>4013</v>
      </c>
      <c r="C1960" s="605">
        <v>45911.0</v>
      </c>
      <c r="D1960" s="512">
        <v>3.2815832833E10</v>
      </c>
      <c r="E1960" s="606" t="s">
        <v>4035</v>
      </c>
      <c r="F1960" s="656" t="s">
        <v>436</v>
      </c>
      <c r="G1960" s="606" t="s">
        <v>4036</v>
      </c>
      <c r="H1960" s="608" t="s">
        <v>686</v>
      </c>
    </row>
    <row r="1961">
      <c r="A1961" s="512" t="s">
        <v>432</v>
      </c>
      <c r="B1961" s="512" t="s">
        <v>3721</v>
      </c>
      <c r="C1961" s="605">
        <v>45911.0</v>
      </c>
      <c r="D1961" s="512">
        <v>3.974778687E10</v>
      </c>
      <c r="E1961" s="606" t="s">
        <v>4037</v>
      </c>
      <c r="F1961" s="656" t="s">
        <v>436</v>
      </c>
      <c r="G1961" s="606" t="s">
        <v>1807</v>
      </c>
      <c r="H1961" s="608" t="s">
        <v>686</v>
      </c>
    </row>
    <row r="1962">
      <c r="A1962" s="512" t="s">
        <v>432</v>
      </c>
      <c r="B1962" s="512" t="s">
        <v>4013</v>
      </c>
      <c r="C1962" s="605">
        <v>45911.0</v>
      </c>
      <c r="D1962" s="512">
        <v>1.5156781663E10</v>
      </c>
      <c r="E1962" s="606" t="s">
        <v>4038</v>
      </c>
      <c r="F1962" s="656" t="s">
        <v>436</v>
      </c>
      <c r="G1962" s="606" t="s">
        <v>4039</v>
      </c>
      <c r="H1962" s="608" t="s">
        <v>686</v>
      </c>
    </row>
    <row r="1963">
      <c r="A1963" s="512" t="s">
        <v>432</v>
      </c>
      <c r="B1963" s="512" t="s">
        <v>3963</v>
      </c>
      <c r="C1963" s="605">
        <v>45911.0</v>
      </c>
      <c r="D1963" s="512">
        <v>3.6227985257E10</v>
      </c>
      <c r="E1963" s="606" t="s">
        <v>4040</v>
      </c>
      <c r="F1963" s="656" t="s">
        <v>436</v>
      </c>
      <c r="G1963" s="606" t="s">
        <v>2782</v>
      </c>
      <c r="H1963" s="608" t="s">
        <v>686</v>
      </c>
    </row>
    <row r="1964">
      <c r="A1964" s="512" t="s">
        <v>432</v>
      </c>
      <c r="B1964" s="512" t="s">
        <v>4041</v>
      </c>
      <c r="C1964" s="605">
        <v>45912.0</v>
      </c>
      <c r="D1964" s="512">
        <v>3.621549675E10</v>
      </c>
      <c r="E1964" s="648" t="s">
        <v>4042</v>
      </c>
      <c r="F1964" s="656" t="s">
        <v>436</v>
      </c>
      <c r="G1964" s="606" t="s">
        <v>4043</v>
      </c>
      <c r="H1964" s="608" t="s">
        <v>1175</v>
      </c>
    </row>
    <row r="1965">
      <c r="A1965" s="512" t="s">
        <v>432</v>
      </c>
      <c r="B1965" s="512" t="s">
        <v>449</v>
      </c>
      <c r="C1965" s="605">
        <v>45912.0</v>
      </c>
      <c r="D1965" s="512">
        <v>3.7798782102E10</v>
      </c>
      <c r="E1965" s="648" t="s">
        <v>4044</v>
      </c>
      <c r="F1965" s="656" t="s">
        <v>436</v>
      </c>
      <c r="G1965" s="606" t="s">
        <v>3638</v>
      </c>
      <c r="H1965" s="608" t="s">
        <v>1175</v>
      </c>
    </row>
    <row r="1966">
      <c r="A1966" s="512" t="s">
        <v>432</v>
      </c>
      <c r="B1966" s="512" t="s">
        <v>449</v>
      </c>
      <c r="C1966" s="605">
        <v>45912.0</v>
      </c>
      <c r="D1966" s="512">
        <v>3.4052539316E10</v>
      </c>
      <c r="E1966" s="648" t="s">
        <v>4045</v>
      </c>
      <c r="F1966" s="656" t="s">
        <v>436</v>
      </c>
      <c r="G1966" s="606" t="s">
        <v>4046</v>
      </c>
      <c r="H1966" s="608" t="s">
        <v>1175</v>
      </c>
    </row>
    <row r="1967">
      <c r="A1967" s="512" t="s">
        <v>432</v>
      </c>
      <c r="B1967" s="512" t="s">
        <v>449</v>
      </c>
      <c r="C1967" s="605">
        <v>45912.0</v>
      </c>
      <c r="D1967" s="512">
        <v>4.1480193034E10</v>
      </c>
      <c r="E1967" s="648" t="s">
        <v>4047</v>
      </c>
      <c r="F1967" s="656" t="s">
        <v>436</v>
      </c>
      <c r="G1967" s="606" t="s">
        <v>4048</v>
      </c>
      <c r="H1967" s="608" t="s">
        <v>1175</v>
      </c>
    </row>
    <row r="1968">
      <c r="A1968" s="512" t="s">
        <v>432</v>
      </c>
      <c r="B1968" s="512" t="s">
        <v>4041</v>
      </c>
      <c r="C1968" s="605">
        <v>45912.0</v>
      </c>
      <c r="D1968" s="512">
        <v>3.8063513332E10</v>
      </c>
      <c r="E1968" s="648" t="s">
        <v>4049</v>
      </c>
      <c r="F1968" s="656" t="s">
        <v>436</v>
      </c>
      <c r="G1968" s="606" t="s">
        <v>4050</v>
      </c>
      <c r="H1968" s="608" t="s">
        <v>1175</v>
      </c>
    </row>
    <row r="1969">
      <c r="A1969" s="512" t="s">
        <v>432</v>
      </c>
      <c r="B1969" s="512" t="s">
        <v>1270</v>
      </c>
      <c r="C1969" s="605">
        <v>45912.0</v>
      </c>
      <c r="D1969" s="512">
        <v>4.1277037933E10</v>
      </c>
      <c r="E1969" s="606" t="s">
        <v>4051</v>
      </c>
      <c r="F1969" s="656" t="s">
        <v>436</v>
      </c>
      <c r="G1969" s="606" t="s">
        <v>4052</v>
      </c>
      <c r="H1969" s="608" t="s">
        <v>1175</v>
      </c>
    </row>
    <row r="1970">
      <c r="A1970" s="512" t="s">
        <v>432</v>
      </c>
      <c r="B1970" s="512" t="s">
        <v>4053</v>
      </c>
      <c r="C1970" s="605">
        <v>45912.0</v>
      </c>
      <c r="D1970" s="512">
        <v>3.5595002119E10</v>
      </c>
      <c r="E1970" s="648" t="s">
        <v>4054</v>
      </c>
      <c r="F1970" s="656" t="s">
        <v>436</v>
      </c>
      <c r="G1970" s="606" t="s">
        <v>4055</v>
      </c>
      <c r="H1970" s="608" t="s">
        <v>1175</v>
      </c>
    </row>
    <row r="1971">
      <c r="A1971" s="512" t="s">
        <v>823</v>
      </c>
      <c r="B1971" s="512" t="s">
        <v>4053</v>
      </c>
      <c r="C1971" s="605">
        <v>45912.0</v>
      </c>
      <c r="D1971" s="512">
        <v>4.0469727571E10</v>
      </c>
      <c r="E1971" s="606" t="s">
        <v>4056</v>
      </c>
      <c r="F1971" s="656" t="s">
        <v>436</v>
      </c>
      <c r="G1971" s="606" t="s">
        <v>4057</v>
      </c>
      <c r="H1971" s="608" t="s">
        <v>3868</v>
      </c>
    </row>
    <row r="1972">
      <c r="A1972" s="512" t="s">
        <v>823</v>
      </c>
      <c r="B1972" s="512" t="s">
        <v>449</v>
      </c>
      <c r="C1972" s="605">
        <v>45912.0</v>
      </c>
      <c r="D1972" s="512">
        <v>3.7797093225E10</v>
      </c>
      <c r="E1972" s="606" t="s">
        <v>4058</v>
      </c>
      <c r="F1972" s="656" t="s">
        <v>436</v>
      </c>
      <c r="G1972" s="606" t="s">
        <v>2840</v>
      </c>
      <c r="H1972" s="608" t="s">
        <v>3868</v>
      </c>
    </row>
    <row r="1973">
      <c r="A1973" s="512" t="s">
        <v>690</v>
      </c>
      <c r="B1973" s="512" t="s">
        <v>4053</v>
      </c>
      <c r="C1973" s="605">
        <v>45912.0</v>
      </c>
      <c r="D1973" s="512">
        <v>3.434124019E10</v>
      </c>
      <c r="E1973" s="606" t="s">
        <v>4059</v>
      </c>
      <c r="F1973" s="656" t="s">
        <v>436</v>
      </c>
      <c r="G1973" s="606" t="s">
        <v>4060</v>
      </c>
      <c r="H1973" s="608" t="s">
        <v>1608</v>
      </c>
    </row>
    <row r="1974">
      <c r="A1974" s="512" t="s">
        <v>690</v>
      </c>
      <c r="B1974" s="512" t="s">
        <v>449</v>
      </c>
      <c r="C1974" s="605">
        <v>45913.0</v>
      </c>
      <c r="D1974" s="512">
        <v>4.1401034446E10</v>
      </c>
      <c r="E1974" s="606" t="s">
        <v>4061</v>
      </c>
      <c r="F1974" s="656" t="s">
        <v>436</v>
      </c>
      <c r="G1974" s="606" t="s">
        <v>4062</v>
      </c>
      <c r="H1974" s="608" t="s">
        <v>3763</v>
      </c>
    </row>
    <row r="1975">
      <c r="A1975" s="512" t="s">
        <v>617</v>
      </c>
      <c r="B1975" s="512" t="s">
        <v>3583</v>
      </c>
      <c r="C1975" s="605">
        <v>45913.0</v>
      </c>
      <c r="D1975" s="512">
        <v>4.015645403E10</v>
      </c>
      <c r="E1975" s="606" t="s">
        <v>4063</v>
      </c>
      <c r="F1975" s="656" t="s">
        <v>436</v>
      </c>
      <c r="G1975" s="606" t="s">
        <v>1834</v>
      </c>
      <c r="H1975" s="608" t="s">
        <v>696</v>
      </c>
    </row>
    <row r="1976">
      <c r="A1976" s="512" t="s">
        <v>432</v>
      </c>
      <c r="B1976" s="512" t="s">
        <v>433</v>
      </c>
      <c r="C1976" s="605">
        <v>45913.0</v>
      </c>
      <c r="D1976" s="512">
        <v>4.142825413E10</v>
      </c>
      <c r="E1976" s="648" t="s">
        <v>4064</v>
      </c>
      <c r="F1976" s="656" t="s">
        <v>436</v>
      </c>
      <c r="G1976" s="606" t="s">
        <v>4065</v>
      </c>
      <c r="H1976" s="608" t="s">
        <v>1175</v>
      </c>
    </row>
    <row r="1977">
      <c r="A1977" s="512" t="s">
        <v>432</v>
      </c>
      <c r="B1977" s="512" t="s">
        <v>449</v>
      </c>
      <c r="C1977" s="605">
        <v>45913.0</v>
      </c>
      <c r="D1977" s="512">
        <v>3.8289334203E10</v>
      </c>
      <c r="E1977" s="606" t="s">
        <v>4066</v>
      </c>
      <c r="F1977" s="656" t="s">
        <v>436</v>
      </c>
      <c r="G1977" s="606" t="s">
        <v>4067</v>
      </c>
      <c r="H1977" s="608" t="s">
        <v>1175</v>
      </c>
    </row>
    <row r="1978">
      <c r="A1978" s="512" t="s">
        <v>432</v>
      </c>
      <c r="B1978" s="512" t="s">
        <v>449</v>
      </c>
      <c r="C1978" s="605">
        <v>45913.0</v>
      </c>
      <c r="D1978" s="512">
        <v>3.2651097001E10</v>
      </c>
      <c r="E1978" s="648" t="s">
        <v>4068</v>
      </c>
      <c r="F1978" s="656" t="s">
        <v>436</v>
      </c>
      <c r="G1978" s="606" t="s">
        <v>4069</v>
      </c>
      <c r="H1978" s="608" t="s">
        <v>1175</v>
      </c>
    </row>
    <row r="1979">
      <c r="A1979" s="512" t="s">
        <v>823</v>
      </c>
      <c r="B1979" s="512" t="s">
        <v>449</v>
      </c>
      <c r="C1979" s="605">
        <v>45913.0</v>
      </c>
      <c r="D1979" s="512">
        <v>4.1577231482E10</v>
      </c>
      <c r="E1979" s="606" t="s">
        <v>4070</v>
      </c>
      <c r="F1979" s="656" t="s">
        <v>436</v>
      </c>
      <c r="G1979" s="606" t="s">
        <v>1437</v>
      </c>
      <c r="H1979" s="608" t="s">
        <v>3868</v>
      </c>
    </row>
    <row r="1980">
      <c r="A1980" s="512" t="s">
        <v>439</v>
      </c>
      <c r="B1980" s="512" t="s">
        <v>449</v>
      </c>
      <c r="C1980" s="605">
        <v>45913.0</v>
      </c>
      <c r="D1980" s="512">
        <v>3.7583295657E10</v>
      </c>
      <c r="E1980" s="606" t="s">
        <v>4071</v>
      </c>
      <c r="F1980" s="656" t="s">
        <v>436</v>
      </c>
      <c r="G1980" s="606" t="s">
        <v>908</v>
      </c>
      <c r="H1980" s="608" t="s">
        <v>1608</v>
      </c>
    </row>
    <row r="1981">
      <c r="A1981" s="512" t="s">
        <v>617</v>
      </c>
      <c r="B1981" s="512" t="s">
        <v>449</v>
      </c>
      <c r="C1981" s="605">
        <v>45913.0</v>
      </c>
      <c r="D1981" s="512">
        <v>3.8195736218E10</v>
      </c>
      <c r="E1981" s="606" t="s">
        <v>4072</v>
      </c>
      <c r="F1981" s="656" t="s">
        <v>436</v>
      </c>
      <c r="G1981" s="606" t="s">
        <v>1283</v>
      </c>
      <c r="H1981" s="608" t="s">
        <v>696</v>
      </c>
    </row>
    <row r="1982">
      <c r="A1982" s="512" t="s">
        <v>823</v>
      </c>
      <c r="B1982" s="512" t="s">
        <v>449</v>
      </c>
      <c r="C1982" s="605">
        <v>45913.0</v>
      </c>
      <c r="D1982" s="512">
        <v>3.0409159826E10</v>
      </c>
      <c r="E1982" s="606" t="s">
        <v>4073</v>
      </c>
      <c r="F1982" s="653" t="s">
        <v>436</v>
      </c>
      <c r="G1982" s="606" t="s">
        <v>1331</v>
      </c>
      <c r="H1982" s="608" t="s">
        <v>3868</v>
      </c>
    </row>
    <row r="1983">
      <c r="A1983" s="512" t="s">
        <v>823</v>
      </c>
      <c r="B1983" s="512" t="s">
        <v>4013</v>
      </c>
      <c r="C1983" s="605">
        <v>45913.0</v>
      </c>
      <c r="D1983" s="512">
        <v>3.817346506E10</v>
      </c>
      <c r="E1983" s="606" t="s">
        <v>4074</v>
      </c>
      <c r="F1983" s="656" t="s">
        <v>436</v>
      </c>
      <c r="G1983" s="640"/>
      <c r="H1983" s="608" t="s">
        <v>3868</v>
      </c>
    </row>
    <row r="1984">
      <c r="A1984" s="512" t="s">
        <v>432</v>
      </c>
      <c r="B1984" s="512" t="s">
        <v>433</v>
      </c>
      <c r="C1984" s="605">
        <v>45914.0</v>
      </c>
      <c r="D1984" s="512">
        <v>3.4879895401E10</v>
      </c>
      <c r="E1984" s="606" t="s">
        <v>4075</v>
      </c>
      <c r="F1984" s="656" t="s">
        <v>436</v>
      </c>
      <c r="G1984" s="606" t="s">
        <v>3334</v>
      </c>
      <c r="H1984" s="608" t="s">
        <v>686</v>
      </c>
    </row>
    <row r="1985">
      <c r="A1985" s="512" t="s">
        <v>439</v>
      </c>
      <c r="B1985" s="512" t="s">
        <v>449</v>
      </c>
      <c r="C1985" s="605">
        <v>45914.0</v>
      </c>
      <c r="D1985" s="512">
        <v>4.1227426653E10</v>
      </c>
      <c r="E1985" s="606" t="s">
        <v>4076</v>
      </c>
      <c r="F1985" s="656" t="s">
        <v>436</v>
      </c>
      <c r="G1985" s="606" t="s">
        <v>4077</v>
      </c>
      <c r="H1985" s="608" t="s">
        <v>4078</v>
      </c>
    </row>
    <row r="1986">
      <c r="A1986" s="512" t="s">
        <v>439</v>
      </c>
      <c r="B1986" s="512" t="s">
        <v>449</v>
      </c>
      <c r="C1986" s="605">
        <v>45914.0</v>
      </c>
      <c r="D1986" s="512">
        <v>3.1621286782E10</v>
      </c>
      <c r="E1986" s="606" t="s">
        <v>4079</v>
      </c>
      <c r="F1986" s="656" t="s">
        <v>436</v>
      </c>
      <c r="G1986" s="606" t="s">
        <v>2120</v>
      </c>
      <c r="H1986" s="608" t="s">
        <v>4078</v>
      </c>
    </row>
    <row r="1987">
      <c r="A1987" s="512" t="s">
        <v>432</v>
      </c>
      <c r="B1987" s="512" t="s">
        <v>3721</v>
      </c>
      <c r="C1987" s="605">
        <v>45914.0</v>
      </c>
      <c r="D1987" s="512">
        <v>4.1282248207E10</v>
      </c>
      <c r="E1987" s="606" t="s">
        <v>4080</v>
      </c>
      <c r="F1987" s="656" t="s">
        <v>436</v>
      </c>
      <c r="G1987" s="606" t="s">
        <v>4081</v>
      </c>
      <c r="H1987" s="608" t="s">
        <v>686</v>
      </c>
    </row>
    <row r="1988">
      <c r="A1988" s="512" t="s">
        <v>432</v>
      </c>
      <c r="B1988" s="512" t="s">
        <v>449</v>
      </c>
      <c r="C1988" s="605">
        <v>45914.0</v>
      </c>
      <c r="D1988" s="512">
        <v>2.3110354063E10</v>
      </c>
      <c r="E1988" s="606" t="s">
        <v>4082</v>
      </c>
      <c r="F1988" s="656" t="s">
        <v>436</v>
      </c>
      <c r="G1988" s="606" t="s">
        <v>1665</v>
      </c>
      <c r="H1988" s="608" t="s">
        <v>686</v>
      </c>
    </row>
    <row r="1989">
      <c r="A1989" s="512" t="s">
        <v>439</v>
      </c>
      <c r="B1989" s="512" t="s">
        <v>433</v>
      </c>
      <c r="C1989" s="605">
        <v>45914.0</v>
      </c>
      <c r="D1989" s="512">
        <v>4.1365292812E10</v>
      </c>
      <c r="E1989" s="606" t="s">
        <v>4083</v>
      </c>
      <c r="F1989" s="656" t="s">
        <v>436</v>
      </c>
      <c r="G1989" s="606" t="s">
        <v>1841</v>
      </c>
      <c r="H1989" s="608" t="s">
        <v>1608</v>
      </c>
    </row>
    <row r="1990">
      <c r="A1990" s="512" t="s">
        <v>432</v>
      </c>
      <c r="B1990" s="512" t="s">
        <v>449</v>
      </c>
      <c r="C1990" s="605">
        <v>45914.0</v>
      </c>
      <c r="D1990" s="512">
        <v>3.3945186118E10</v>
      </c>
      <c r="E1990" s="606" t="s">
        <v>4084</v>
      </c>
      <c r="F1990" s="656" t="s">
        <v>436</v>
      </c>
      <c r="G1990" s="606" t="s">
        <v>3527</v>
      </c>
      <c r="H1990" s="608" t="s">
        <v>686</v>
      </c>
    </row>
    <row r="1991">
      <c r="A1991" s="512" t="s">
        <v>432</v>
      </c>
      <c r="B1991" s="512" t="s">
        <v>449</v>
      </c>
      <c r="C1991" s="605">
        <v>45914.0</v>
      </c>
      <c r="D1991" s="512" t="s">
        <v>4085</v>
      </c>
      <c r="E1991" s="606" t="s">
        <v>4086</v>
      </c>
      <c r="F1991" s="656" t="s">
        <v>436</v>
      </c>
      <c r="G1991" s="606" t="s">
        <v>4087</v>
      </c>
      <c r="H1991" s="608" t="s">
        <v>686</v>
      </c>
    </row>
    <row r="1992">
      <c r="A1992" s="512" t="s">
        <v>432</v>
      </c>
      <c r="B1992" s="512" t="s">
        <v>449</v>
      </c>
      <c r="C1992" s="605">
        <v>45914.0</v>
      </c>
      <c r="D1992" s="512">
        <v>3.7275066857E10</v>
      </c>
      <c r="E1992" s="606" t="s">
        <v>4088</v>
      </c>
      <c r="F1992" s="656" t="s">
        <v>436</v>
      </c>
      <c r="G1992" s="606" t="s">
        <v>4089</v>
      </c>
      <c r="H1992" s="608" t="s">
        <v>686</v>
      </c>
    </row>
    <row r="1993">
      <c r="A1993" s="512" t="s">
        <v>432</v>
      </c>
      <c r="B1993" s="512" t="s">
        <v>433</v>
      </c>
      <c r="C1993" s="605">
        <v>45915.0</v>
      </c>
      <c r="D1993" s="512">
        <v>2.9787019902E10</v>
      </c>
      <c r="E1993" s="606" t="s">
        <v>4090</v>
      </c>
      <c r="F1993" s="656" t="s">
        <v>436</v>
      </c>
      <c r="G1993" s="606" t="s">
        <v>4091</v>
      </c>
      <c r="H1993" s="608" t="s">
        <v>686</v>
      </c>
    </row>
    <row r="1994">
      <c r="A1994" s="512" t="s">
        <v>432</v>
      </c>
      <c r="B1994" s="512" t="s">
        <v>449</v>
      </c>
      <c r="C1994" s="605">
        <v>45915.0</v>
      </c>
      <c r="D1994" s="512">
        <v>3.4322286288E10</v>
      </c>
      <c r="E1994" s="606" t="s">
        <v>4092</v>
      </c>
      <c r="F1994" s="656" t="s">
        <v>436</v>
      </c>
      <c r="G1994" s="606" t="s">
        <v>4093</v>
      </c>
      <c r="H1994" s="608" t="s">
        <v>686</v>
      </c>
    </row>
    <row r="1995">
      <c r="A1995" s="512" t="s">
        <v>617</v>
      </c>
      <c r="B1995" s="512" t="s">
        <v>449</v>
      </c>
      <c r="C1995" s="605">
        <v>45915.0</v>
      </c>
      <c r="D1995" s="512">
        <v>3.1903061018E10</v>
      </c>
      <c r="E1995" s="606" t="s">
        <v>4094</v>
      </c>
      <c r="F1995" s="656" t="s">
        <v>436</v>
      </c>
      <c r="G1995" s="606" t="s">
        <v>4095</v>
      </c>
      <c r="H1995" s="608" t="s">
        <v>3868</v>
      </c>
    </row>
    <row r="1996">
      <c r="A1996" s="512" t="s">
        <v>823</v>
      </c>
      <c r="B1996" s="512" t="s">
        <v>449</v>
      </c>
      <c r="C1996" s="605">
        <v>45915.0</v>
      </c>
      <c r="D1996" s="512">
        <v>3.801400858E10</v>
      </c>
      <c r="E1996" s="648" t="s">
        <v>4096</v>
      </c>
      <c r="F1996" s="656" t="s">
        <v>436</v>
      </c>
      <c r="G1996" s="606" t="s">
        <v>4097</v>
      </c>
      <c r="H1996" s="608" t="s">
        <v>3941</v>
      </c>
    </row>
    <row r="1997">
      <c r="A1997" s="512" t="s">
        <v>432</v>
      </c>
      <c r="B1997" s="512" t="s">
        <v>449</v>
      </c>
      <c r="C1997" s="605">
        <v>45915.0</v>
      </c>
      <c r="D1997" s="512">
        <v>2.5406828362E10</v>
      </c>
      <c r="E1997" s="606" t="s">
        <v>4098</v>
      </c>
      <c r="F1997" s="656" t="s">
        <v>436</v>
      </c>
      <c r="G1997" s="606" t="s">
        <v>4099</v>
      </c>
      <c r="H1997" s="608" t="s">
        <v>686</v>
      </c>
    </row>
    <row r="1998">
      <c r="A1998" s="512" t="s">
        <v>432</v>
      </c>
      <c r="B1998" s="512" t="s">
        <v>433</v>
      </c>
      <c r="C1998" s="605">
        <v>45915.0</v>
      </c>
      <c r="D1998" s="512">
        <v>2.0496077396E10</v>
      </c>
      <c r="E1998" s="606" t="s">
        <v>4100</v>
      </c>
      <c r="F1998" s="656" t="s">
        <v>436</v>
      </c>
      <c r="G1998" s="606" t="s">
        <v>4101</v>
      </c>
      <c r="H1998" s="608" t="s">
        <v>686</v>
      </c>
    </row>
    <row r="1999">
      <c r="A1999" s="512" t="s">
        <v>432</v>
      </c>
      <c r="B1999" s="512" t="s">
        <v>449</v>
      </c>
      <c r="C1999" s="605">
        <v>45915.0</v>
      </c>
      <c r="D1999" s="512">
        <v>3.7872896164E10</v>
      </c>
      <c r="E1999" s="606" t="s">
        <v>4102</v>
      </c>
      <c r="F1999" s="656" t="s">
        <v>436</v>
      </c>
      <c r="G1999" s="606" t="s">
        <v>4103</v>
      </c>
      <c r="H1999" s="608" t="s">
        <v>686</v>
      </c>
    </row>
    <row r="2000">
      <c r="A2000" s="512" t="s">
        <v>432</v>
      </c>
      <c r="B2000" s="512" t="s">
        <v>433</v>
      </c>
      <c r="C2000" s="605">
        <v>45915.0</v>
      </c>
      <c r="D2000" s="512">
        <v>3.4425511885E10</v>
      </c>
      <c r="E2000" s="606" t="s">
        <v>4104</v>
      </c>
      <c r="F2000" s="656" t="s">
        <v>436</v>
      </c>
      <c r="G2000" s="606" t="s">
        <v>2739</v>
      </c>
      <c r="H2000" s="608" t="s">
        <v>686</v>
      </c>
    </row>
    <row r="2001">
      <c r="A2001" s="512" t="s">
        <v>432</v>
      </c>
      <c r="B2001" s="512" t="s">
        <v>433</v>
      </c>
      <c r="C2001" s="605">
        <v>45915.0</v>
      </c>
      <c r="D2001" s="512">
        <v>3.8306599914E10</v>
      </c>
      <c r="E2001" s="606" t="s">
        <v>4105</v>
      </c>
      <c r="F2001" s="656" t="s">
        <v>436</v>
      </c>
      <c r="G2001" s="606" t="s">
        <v>4106</v>
      </c>
      <c r="H2001" s="608" t="s">
        <v>686</v>
      </c>
    </row>
    <row r="2002">
      <c r="A2002" s="512" t="s">
        <v>432</v>
      </c>
      <c r="B2002" s="512" t="s">
        <v>3721</v>
      </c>
      <c r="C2002" s="605">
        <v>45915.0</v>
      </c>
      <c r="D2002" s="512">
        <v>3.5995851569E10</v>
      </c>
      <c r="E2002" s="606" t="s">
        <v>4107</v>
      </c>
      <c r="F2002" s="656" t="s">
        <v>436</v>
      </c>
      <c r="G2002" s="606" t="s">
        <v>1242</v>
      </c>
      <c r="H2002" s="608" t="s">
        <v>686</v>
      </c>
    </row>
    <row r="2003">
      <c r="A2003" s="512" t="s">
        <v>432</v>
      </c>
      <c r="B2003" s="512" t="s">
        <v>449</v>
      </c>
      <c r="C2003" s="605">
        <v>45915.0</v>
      </c>
      <c r="D2003" s="512">
        <v>3.5465391846E10</v>
      </c>
      <c r="E2003" s="606" t="s">
        <v>4108</v>
      </c>
      <c r="F2003" s="656" t="s">
        <v>436</v>
      </c>
      <c r="G2003" s="606" t="s">
        <v>4109</v>
      </c>
      <c r="H2003" s="608" t="s">
        <v>686</v>
      </c>
    </row>
    <row r="2004">
      <c r="A2004" s="512" t="s">
        <v>823</v>
      </c>
      <c r="B2004" s="512" t="s">
        <v>449</v>
      </c>
      <c r="C2004" s="605">
        <v>45915.0</v>
      </c>
      <c r="D2004" s="512">
        <v>4.1650001418E10</v>
      </c>
      <c r="E2004" s="648" t="s">
        <v>4110</v>
      </c>
      <c r="F2004" s="656" t="s">
        <v>436</v>
      </c>
      <c r="G2004" s="606" t="s">
        <v>1486</v>
      </c>
      <c r="H2004" s="608" t="s">
        <v>3332</v>
      </c>
    </row>
    <row r="2005">
      <c r="A2005" s="512" t="s">
        <v>823</v>
      </c>
      <c r="B2005" s="512" t="s">
        <v>3721</v>
      </c>
      <c r="C2005" s="605">
        <v>45915.0</v>
      </c>
      <c r="D2005" s="512">
        <v>3.0896859372E10</v>
      </c>
      <c r="E2005" s="648" t="s">
        <v>4111</v>
      </c>
      <c r="F2005" s="656" t="s">
        <v>436</v>
      </c>
      <c r="G2005" s="606" t="s">
        <v>4112</v>
      </c>
      <c r="H2005" s="608" t="s">
        <v>3332</v>
      </c>
    </row>
    <row r="2006">
      <c r="A2006" s="512" t="s">
        <v>432</v>
      </c>
      <c r="B2006" s="512" t="s">
        <v>433</v>
      </c>
      <c r="C2006" s="639">
        <v>45916.0</v>
      </c>
      <c r="D2006" s="512">
        <v>3.4986366805E10</v>
      </c>
      <c r="E2006" s="648" t="s">
        <v>4113</v>
      </c>
      <c r="F2006" s="656" t="s">
        <v>436</v>
      </c>
      <c r="G2006" s="606" t="s">
        <v>4114</v>
      </c>
      <c r="H2006" s="608" t="s">
        <v>1175</v>
      </c>
    </row>
    <row r="2007">
      <c r="A2007" s="512" t="s">
        <v>690</v>
      </c>
      <c r="B2007" s="512" t="s">
        <v>449</v>
      </c>
      <c r="C2007" s="605">
        <v>45916.0</v>
      </c>
      <c r="D2007" s="512">
        <v>3.9463455981E10</v>
      </c>
      <c r="E2007" s="606" t="s">
        <v>4115</v>
      </c>
      <c r="F2007" s="656" t="s">
        <v>436</v>
      </c>
      <c r="G2007" s="606" t="s">
        <v>4116</v>
      </c>
      <c r="H2007" s="608" t="s">
        <v>1647</v>
      </c>
    </row>
    <row r="2008">
      <c r="A2008" s="512" t="s">
        <v>432</v>
      </c>
      <c r="B2008" s="512" t="s">
        <v>449</v>
      </c>
      <c r="C2008" s="639">
        <v>45916.0</v>
      </c>
      <c r="D2008" s="512">
        <v>1.6602398121E10</v>
      </c>
      <c r="E2008" s="648" t="s">
        <v>4117</v>
      </c>
      <c r="F2008" s="656" t="s">
        <v>436</v>
      </c>
      <c r="G2008" s="606" t="s">
        <v>4118</v>
      </c>
      <c r="H2008" s="608" t="s">
        <v>1175</v>
      </c>
    </row>
    <row r="2009">
      <c r="A2009" s="512" t="s">
        <v>690</v>
      </c>
      <c r="B2009" s="512" t="s">
        <v>449</v>
      </c>
      <c r="C2009" s="605">
        <v>45917.0</v>
      </c>
      <c r="D2009" s="512">
        <v>3.6037891598E10</v>
      </c>
      <c r="E2009" s="648" t="s">
        <v>4119</v>
      </c>
      <c r="F2009" s="656" t="s">
        <v>436</v>
      </c>
      <c r="G2009" s="606" t="s">
        <v>4120</v>
      </c>
      <c r="H2009" s="608" t="s">
        <v>3763</v>
      </c>
    </row>
    <row r="2010">
      <c r="A2010" s="512" t="s">
        <v>690</v>
      </c>
      <c r="B2010" s="512" t="s">
        <v>449</v>
      </c>
      <c r="C2010" s="605">
        <v>45917.0</v>
      </c>
      <c r="D2010" s="512">
        <v>3.5992162063E10</v>
      </c>
      <c r="E2010" s="648" t="s">
        <v>4121</v>
      </c>
      <c r="F2010" s="656" t="s">
        <v>436</v>
      </c>
      <c r="G2010" s="606" t="s">
        <v>4122</v>
      </c>
      <c r="H2010" s="608" t="s">
        <v>3763</v>
      </c>
    </row>
    <row r="2011">
      <c r="A2011" s="512" t="s">
        <v>432</v>
      </c>
      <c r="B2011" s="512" t="s">
        <v>449</v>
      </c>
      <c r="C2011" s="639">
        <v>45917.0</v>
      </c>
      <c r="D2011" s="512">
        <v>4.1543220683E10</v>
      </c>
      <c r="E2011" s="606" t="s">
        <v>4123</v>
      </c>
      <c r="F2011" s="656" t="s">
        <v>436</v>
      </c>
      <c r="G2011" s="606" t="s">
        <v>4124</v>
      </c>
      <c r="H2011" s="608" t="s">
        <v>1175</v>
      </c>
    </row>
    <row r="2012">
      <c r="A2012" s="512" t="s">
        <v>690</v>
      </c>
      <c r="B2012" s="512" t="s">
        <v>449</v>
      </c>
      <c r="C2012" s="605">
        <v>45917.0</v>
      </c>
      <c r="D2012" s="512">
        <v>3.0949913144E10</v>
      </c>
      <c r="E2012" s="648" t="s">
        <v>4125</v>
      </c>
      <c r="F2012" s="656" t="s">
        <v>436</v>
      </c>
      <c r="G2012" s="606" t="s">
        <v>4126</v>
      </c>
      <c r="H2012" s="608" t="s">
        <v>3763</v>
      </c>
    </row>
    <row r="2013">
      <c r="A2013" s="512" t="s">
        <v>432</v>
      </c>
      <c r="B2013" s="512" t="s">
        <v>449</v>
      </c>
      <c r="C2013" s="605">
        <v>45917.0</v>
      </c>
      <c r="D2013" s="512">
        <v>3.7872866021E10</v>
      </c>
      <c r="E2013" s="648" t="s">
        <v>4127</v>
      </c>
      <c r="F2013" s="656" t="s">
        <v>436</v>
      </c>
      <c r="G2013" s="606" t="s">
        <v>4128</v>
      </c>
      <c r="H2013" s="608" t="s">
        <v>1175</v>
      </c>
    </row>
    <row r="2014">
      <c r="A2014" s="512" t="s">
        <v>439</v>
      </c>
      <c r="B2014" s="512" t="s">
        <v>449</v>
      </c>
      <c r="C2014" s="605">
        <v>45917.0</v>
      </c>
      <c r="D2014" s="512">
        <v>4.0146406193E10</v>
      </c>
      <c r="E2014" s="606" t="s">
        <v>4129</v>
      </c>
      <c r="F2014" s="656" t="s">
        <v>436</v>
      </c>
      <c r="G2014" s="606" t="s">
        <v>4130</v>
      </c>
      <c r="H2014" s="608" t="s">
        <v>4078</v>
      </c>
    </row>
    <row r="2015">
      <c r="A2015" s="512" t="s">
        <v>432</v>
      </c>
      <c r="B2015" s="512" t="s">
        <v>449</v>
      </c>
      <c r="C2015" s="605">
        <v>45917.0</v>
      </c>
      <c r="D2015" s="512">
        <v>4.1748818079E10</v>
      </c>
      <c r="E2015" s="606" t="s">
        <v>4131</v>
      </c>
      <c r="F2015" s="656" t="s">
        <v>436</v>
      </c>
      <c r="G2015" s="606" t="s">
        <v>4132</v>
      </c>
      <c r="H2015" s="608" t="s">
        <v>1175</v>
      </c>
    </row>
    <row r="2016">
      <c r="A2016" s="512" t="s">
        <v>617</v>
      </c>
      <c r="B2016" s="512" t="s">
        <v>449</v>
      </c>
      <c r="C2016" s="639">
        <v>45917.0</v>
      </c>
      <c r="D2016" s="512">
        <v>3.7792846921E10</v>
      </c>
      <c r="E2016" s="648" t="s">
        <v>4133</v>
      </c>
      <c r="F2016" s="656" t="s">
        <v>436</v>
      </c>
      <c r="G2016" s="606" t="s">
        <v>4134</v>
      </c>
      <c r="H2016" s="608" t="s">
        <v>623</v>
      </c>
    </row>
    <row r="2017">
      <c r="A2017" s="512" t="s">
        <v>432</v>
      </c>
      <c r="B2017" s="512" t="s">
        <v>449</v>
      </c>
      <c r="C2017" s="605">
        <v>45917.0</v>
      </c>
      <c r="D2017" s="512">
        <v>3.3932020394E10</v>
      </c>
      <c r="E2017" s="606" t="s">
        <v>4135</v>
      </c>
      <c r="F2017" s="656" t="s">
        <v>436</v>
      </c>
      <c r="G2017" s="606" t="s">
        <v>4136</v>
      </c>
      <c r="H2017" s="608" t="s">
        <v>1175</v>
      </c>
    </row>
    <row r="2018">
      <c r="A2018" s="512" t="s">
        <v>432</v>
      </c>
      <c r="B2018" s="512" t="s">
        <v>4041</v>
      </c>
      <c r="C2018" s="605">
        <v>45917.0</v>
      </c>
      <c r="D2018" s="512">
        <v>3.3011805951E10</v>
      </c>
      <c r="E2018" s="648" t="s">
        <v>4137</v>
      </c>
      <c r="F2018" s="656" t="s">
        <v>436</v>
      </c>
      <c r="G2018" s="606" t="s">
        <v>3655</v>
      </c>
      <c r="H2018" s="608" t="s">
        <v>1175</v>
      </c>
    </row>
    <row r="2019">
      <c r="A2019" s="512" t="s">
        <v>432</v>
      </c>
      <c r="B2019" s="512" t="s">
        <v>3721</v>
      </c>
      <c r="C2019" s="605">
        <v>45918.0</v>
      </c>
      <c r="D2019" s="512">
        <v>3.6250072093E10</v>
      </c>
      <c r="E2019" s="619" t="s">
        <v>4138</v>
      </c>
      <c r="F2019" s="656" t="s">
        <v>436</v>
      </c>
      <c r="G2019" s="606" t="s">
        <v>2500</v>
      </c>
      <c r="H2019" s="608" t="s">
        <v>686</v>
      </c>
    </row>
    <row r="2020">
      <c r="A2020" s="512" t="s">
        <v>432</v>
      </c>
      <c r="B2020" s="512" t="s">
        <v>449</v>
      </c>
      <c r="C2020" s="605">
        <v>45918.0</v>
      </c>
      <c r="D2020" s="512">
        <v>3.6057394521E10</v>
      </c>
      <c r="E2020" s="606" t="s">
        <v>4139</v>
      </c>
      <c r="F2020" s="656" t="s">
        <v>436</v>
      </c>
      <c r="G2020" s="606" t="s">
        <v>3431</v>
      </c>
      <c r="H2020" s="608" t="s">
        <v>686</v>
      </c>
    </row>
    <row r="2021">
      <c r="A2021" s="512" t="s">
        <v>432</v>
      </c>
      <c r="B2021" s="512" t="s">
        <v>433</v>
      </c>
      <c r="C2021" s="605">
        <v>45918.0</v>
      </c>
      <c r="D2021" s="512">
        <v>3.7741345774E10</v>
      </c>
      <c r="E2021" s="606" t="s">
        <v>4140</v>
      </c>
      <c r="F2021" s="656" t="s">
        <v>436</v>
      </c>
      <c r="G2021" s="606" t="s">
        <v>4141</v>
      </c>
      <c r="H2021" s="608" t="s">
        <v>686</v>
      </c>
    </row>
    <row r="2022">
      <c r="A2022" s="512" t="s">
        <v>439</v>
      </c>
      <c r="B2022" s="512" t="s">
        <v>433</v>
      </c>
      <c r="C2022" s="605">
        <v>45918.0</v>
      </c>
      <c r="D2022" s="512">
        <v>3.5845351852E10</v>
      </c>
      <c r="E2022" s="606" t="s">
        <v>4142</v>
      </c>
      <c r="F2022" s="656" t="s">
        <v>436</v>
      </c>
      <c r="G2022" s="606" t="s">
        <v>4143</v>
      </c>
      <c r="H2022" s="608" t="s">
        <v>1608</v>
      </c>
    </row>
    <row r="2023">
      <c r="A2023" s="512" t="s">
        <v>432</v>
      </c>
      <c r="B2023" s="512" t="s">
        <v>449</v>
      </c>
      <c r="C2023" s="605">
        <v>45918.0</v>
      </c>
      <c r="D2023" s="512">
        <v>3.9929568264E10</v>
      </c>
      <c r="E2023" s="606" t="s">
        <v>4144</v>
      </c>
      <c r="F2023" s="656" t="s">
        <v>436</v>
      </c>
      <c r="G2023" s="606" t="s">
        <v>4145</v>
      </c>
      <c r="H2023" s="608" t="s">
        <v>686</v>
      </c>
    </row>
    <row r="2024">
      <c r="A2024" s="512" t="s">
        <v>823</v>
      </c>
      <c r="B2024" s="512" t="s">
        <v>449</v>
      </c>
      <c r="C2024" s="605">
        <v>45918.0</v>
      </c>
      <c r="D2024" s="512">
        <v>4.1747640595E10</v>
      </c>
      <c r="E2024" s="648" t="s">
        <v>4146</v>
      </c>
      <c r="F2024" s="656" t="s">
        <v>436</v>
      </c>
      <c r="G2024" s="606" t="s">
        <v>4147</v>
      </c>
      <c r="H2024" s="608" t="s">
        <v>3332</v>
      </c>
    </row>
    <row r="2025">
      <c r="A2025" s="512" t="s">
        <v>432</v>
      </c>
      <c r="B2025" s="512" t="s">
        <v>449</v>
      </c>
      <c r="C2025" s="605">
        <v>45918.0</v>
      </c>
      <c r="D2025" s="512">
        <v>3.717099395E10</v>
      </c>
      <c r="E2025" s="606" t="s">
        <v>4148</v>
      </c>
      <c r="F2025" s="656" t="s">
        <v>436</v>
      </c>
      <c r="G2025" s="606" t="s">
        <v>4149</v>
      </c>
      <c r="H2025" s="608" t="s">
        <v>686</v>
      </c>
    </row>
    <row r="2026">
      <c r="A2026" s="512" t="s">
        <v>439</v>
      </c>
      <c r="B2026" s="512" t="s">
        <v>433</v>
      </c>
      <c r="C2026" s="605">
        <v>45918.0</v>
      </c>
      <c r="D2026" s="512">
        <v>3.9667881839E10</v>
      </c>
      <c r="E2026" s="606" t="s">
        <v>4150</v>
      </c>
      <c r="F2026" s="656" t="s">
        <v>436</v>
      </c>
      <c r="G2026" s="606" t="s">
        <v>4151</v>
      </c>
      <c r="H2026" s="608" t="s">
        <v>1608</v>
      </c>
    </row>
    <row r="2027">
      <c r="A2027" s="512" t="s">
        <v>439</v>
      </c>
      <c r="B2027" s="512" t="s">
        <v>433</v>
      </c>
      <c r="C2027" s="605">
        <v>45918.0</v>
      </c>
      <c r="D2027" s="512">
        <v>2.3120397826E10</v>
      </c>
      <c r="E2027" s="606" t="s">
        <v>4152</v>
      </c>
      <c r="F2027" s="656" t="s">
        <v>436</v>
      </c>
      <c r="G2027" s="606" t="s">
        <v>4153</v>
      </c>
      <c r="H2027" s="608" t="s">
        <v>1608</v>
      </c>
    </row>
    <row r="2028">
      <c r="A2028" s="512" t="s">
        <v>690</v>
      </c>
      <c r="B2028" s="512" t="s">
        <v>449</v>
      </c>
      <c r="C2028" s="605">
        <v>45918.0</v>
      </c>
      <c r="D2028" s="512">
        <v>4.1674586545E10</v>
      </c>
      <c r="E2028" s="660" t="s">
        <v>4154</v>
      </c>
      <c r="F2028" s="656" t="s">
        <v>436</v>
      </c>
      <c r="G2028" s="606" t="s">
        <v>4155</v>
      </c>
      <c r="H2028" s="608" t="s">
        <v>4156</v>
      </c>
    </row>
    <row r="2029">
      <c r="A2029" s="512" t="s">
        <v>823</v>
      </c>
      <c r="B2029" s="512" t="s">
        <v>3721</v>
      </c>
      <c r="C2029" s="605">
        <v>45918.0</v>
      </c>
      <c r="D2029" s="512">
        <v>3.4153314985E10</v>
      </c>
      <c r="E2029" s="646" t="s">
        <v>4157</v>
      </c>
      <c r="F2029" s="656" t="s">
        <v>436</v>
      </c>
      <c r="G2029" s="606" t="s">
        <v>4158</v>
      </c>
      <c r="H2029" s="608" t="s">
        <v>3332</v>
      </c>
    </row>
    <row r="2030">
      <c r="A2030" s="512" t="s">
        <v>432</v>
      </c>
      <c r="B2030" s="512" t="s">
        <v>449</v>
      </c>
      <c r="C2030" s="605">
        <v>45918.0</v>
      </c>
      <c r="D2030" s="512">
        <v>3.1037810374E10</v>
      </c>
      <c r="E2030" s="619" t="s">
        <v>4159</v>
      </c>
      <c r="F2030" s="656" t="s">
        <v>436</v>
      </c>
      <c r="G2030" s="606" t="s">
        <v>2392</v>
      </c>
      <c r="H2030" s="608" t="s">
        <v>686</v>
      </c>
    </row>
    <row r="2031">
      <c r="A2031" s="512" t="s">
        <v>432</v>
      </c>
      <c r="B2031" s="512" t="s">
        <v>449</v>
      </c>
      <c r="C2031" s="605">
        <v>45918.0</v>
      </c>
      <c r="D2031" s="512">
        <v>2.288484046E10</v>
      </c>
      <c r="E2031" s="606" t="s">
        <v>4160</v>
      </c>
      <c r="F2031" s="656" t="s">
        <v>436</v>
      </c>
      <c r="G2031" s="606" t="s">
        <v>4161</v>
      </c>
      <c r="H2031" s="608" t="s">
        <v>686</v>
      </c>
    </row>
    <row r="2032">
      <c r="A2032" s="512" t="s">
        <v>432</v>
      </c>
      <c r="B2032" s="512" t="s">
        <v>449</v>
      </c>
      <c r="C2032" s="605">
        <v>45919.0</v>
      </c>
      <c r="D2032" s="512">
        <v>3.5480264078E10</v>
      </c>
      <c r="E2032" s="606" t="s">
        <v>4162</v>
      </c>
      <c r="F2032" s="656" t="s">
        <v>436</v>
      </c>
      <c r="G2032" s="606" t="s">
        <v>4163</v>
      </c>
      <c r="H2032" s="608" t="s">
        <v>696</v>
      </c>
    </row>
    <row r="2033">
      <c r="A2033" s="512" t="s">
        <v>432</v>
      </c>
      <c r="B2033" s="512" t="s">
        <v>449</v>
      </c>
      <c r="C2033" s="605">
        <v>45919.0</v>
      </c>
      <c r="D2033" s="512">
        <v>3.5480264084E10</v>
      </c>
      <c r="E2033" s="606" t="s">
        <v>4164</v>
      </c>
      <c r="F2033" s="656" t="s">
        <v>436</v>
      </c>
      <c r="G2033" s="606" t="s">
        <v>4163</v>
      </c>
      <c r="H2033" s="608" t="s">
        <v>696</v>
      </c>
    </row>
    <row r="2034">
      <c r="A2034" s="512" t="s">
        <v>617</v>
      </c>
      <c r="B2034" s="512" t="s">
        <v>433</v>
      </c>
      <c r="C2034" s="605">
        <v>45919.0</v>
      </c>
      <c r="D2034" s="512">
        <v>2.5388110898E10</v>
      </c>
      <c r="E2034" s="619" t="s">
        <v>4165</v>
      </c>
      <c r="F2034" s="656" t="s">
        <v>436</v>
      </c>
      <c r="G2034" s="606" t="s">
        <v>4166</v>
      </c>
      <c r="H2034" s="608" t="s">
        <v>1608</v>
      </c>
    </row>
    <row r="2035">
      <c r="A2035" s="512" t="s">
        <v>432</v>
      </c>
      <c r="B2035" s="512" t="s">
        <v>3583</v>
      </c>
      <c r="C2035" s="605">
        <v>45919.0</v>
      </c>
      <c r="D2035" s="512">
        <v>3.8245635238E10</v>
      </c>
      <c r="E2035" s="606" t="s">
        <v>4167</v>
      </c>
      <c r="F2035" s="656" t="s">
        <v>436</v>
      </c>
      <c r="G2035" s="606" t="s">
        <v>4168</v>
      </c>
      <c r="H2035" s="608" t="s">
        <v>696</v>
      </c>
    </row>
    <row r="2036">
      <c r="A2036" s="512" t="s">
        <v>432</v>
      </c>
      <c r="B2036" s="512" t="s">
        <v>449</v>
      </c>
      <c r="C2036" s="605">
        <v>45919.0</v>
      </c>
      <c r="D2036" s="512">
        <v>3.4292530618E10</v>
      </c>
      <c r="E2036" s="606" t="s">
        <v>4169</v>
      </c>
      <c r="F2036" s="656" t="s">
        <v>436</v>
      </c>
      <c r="G2036" s="606" t="s">
        <v>4170</v>
      </c>
      <c r="H2036" s="608" t="s">
        <v>696</v>
      </c>
    </row>
    <row r="2037">
      <c r="A2037" s="512" t="s">
        <v>823</v>
      </c>
      <c r="B2037" s="512" t="s">
        <v>449</v>
      </c>
      <c r="C2037" s="605">
        <v>45920.0</v>
      </c>
      <c r="D2037" s="512">
        <v>3.848786949E10</v>
      </c>
      <c r="E2037" s="606" t="s">
        <v>4171</v>
      </c>
      <c r="F2037" s="656" t="s">
        <v>436</v>
      </c>
      <c r="G2037" s="606" t="s">
        <v>2943</v>
      </c>
      <c r="H2037" s="608" t="s">
        <v>3868</v>
      </c>
    </row>
    <row r="2038">
      <c r="A2038" s="512" t="s">
        <v>690</v>
      </c>
      <c r="B2038" s="512" t="s">
        <v>1270</v>
      </c>
      <c r="C2038" s="605">
        <v>45920.0</v>
      </c>
      <c r="D2038" s="512">
        <v>4.0080460159E10</v>
      </c>
      <c r="E2038" s="606" t="s">
        <v>4172</v>
      </c>
      <c r="F2038" s="656" t="s">
        <v>436</v>
      </c>
      <c r="G2038" s="606" t="s">
        <v>4173</v>
      </c>
      <c r="H2038" s="608" t="s">
        <v>1647</v>
      </c>
    </row>
    <row r="2039">
      <c r="A2039" s="512" t="s">
        <v>432</v>
      </c>
      <c r="B2039" s="512" t="s">
        <v>449</v>
      </c>
      <c r="C2039" s="605">
        <v>45920.0</v>
      </c>
      <c r="D2039" s="512">
        <v>3.2908945186E10</v>
      </c>
      <c r="E2039" s="648" t="s">
        <v>4174</v>
      </c>
      <c r="F2039" s="656" t="s">
        <v>436</v>
      </c>
      <c r="G2039" s="606" t="s">
        <v>4175</v>
      </c>
      <c r="H2039" s="608" t="s">
        <v>1175</v>
      </c>
    </row>
    <row r="2040">
      <c r="A2040" s="512" t="s">
        <v>823</v>
      </c>
      <c r="B2040" s="512" t="s">
        <v>4013</v>
      </c>
      <c r="C2040" s="605">
        <v>45920.0</v>
      </c>
      <c r="D2040" s="512">
        <v>3.4115876502E10</v>
      </c>
      <c r="E2040" s="606" t="s">
        <v>4176</v>
      </c>
      <c r="F2040" s="656" t="s">
        <v>436</v>
      </c>
      <c r="G2040" s="640"/>
      <c r="H2040" s="608" t="s">
        <v>3868</v>
      </c>
    </row>
    <row r="2041">
      <c r="A2041" s="512" t="s">
        <v>823</v>
      </c>
      <c r="B2041" s="512" t="s">
        <v>4013</v>
      </c>
      <c r="C2041" s="605">
        <v>45920.0</v>
      </c>
      <c r="D2041" s="512">
        <v>3.4974987383E10</v>
      </c>
      <c r="E2041" s="619" t="s">
        <v>4177</v>
      </c>
      <c r="F2041" s="656" t="s">
        <v>436</v>
      </c>
      <c r="G2041" s="640"/>
      <c r="H2041" s="608" t="s">
        <v>3868</v>
      </c>
    </row>
    <row r="2042">
      <c r="A2042" s="512" t="s">
        <v>432</v>
      </c>
      <c r="B2042" s="512" t="s">
        <v>3721</v>
      </c>
      <c r="C2042" s="605">
        <v>45921.0</v>
      </c>
      <c r="D2042" s="512">
        <v>3.8196076253E10</v>
      </c>
      <c r="E2042" s="606" t="s">
        <v>4178</v>
      </c>
      <c r="F2042" s="656" t="s">
        <v>436</v>
      </c>
      <c r="G2042" s="606" t="s">
        <v>4179</v>
      </c>
      <c r="H2042" s="608" t="s">
        <v>686</v>
      </c>
    </row>
    <row r="2043">
      <c r="A2043" s="512" t="s">
        <v>439</v>
      </c>
      <c r="B2043" s="512" t="s">
        <v>4013</v>
      </c>
      <c r="C2043" s="605">
        <v>45921.0</v>
      </c>
      <c r="D2043" s="512">
        <v>4.1750005541E10</v>
      </c>
      <c r="E2043" s="606" t="s">
        <v>4180</v>
      </c>
      <c r="F2043" s="656" t="s">
        <v>436</v>
      </c>
      <c r="G2043" s="606" t="s">
        <v>3870</v>
      </c>
      <c r="H2043" s="608" t="s">
        <v>1096</v>
      </c>
    </row>
    <row r="2044">
      <c r="A2044" s="512" t="s">
        <v>439</v>
      </c>
      <c r="B2044" s="512" t="s">
        <v>4013</v>
      </c>
      <c r="C2044" s="605">
        <v>45921.0</v>
      </c>
      <c r="D2044" s="512">
        <v>4.1784474947E10</v>
      </c>
      <c r="E2044" s="606" t="s">
        <v>4181</v>
      </c>
      <c r="F2044" s="656" t="s">
        <v>436</v>
      </c>
      <c r="G2044" s="606" t="s">
        <v>4182</v>
      </c>
      <c r="H2044" s="608" t="s">
        <v>1096</v>
      </c>
    </row>
    <row r="2045">
      <c r="A2045" s="512" t="s">
        <v>439</v>
      </c>
      <c r="B2045" s="512" t="s">
        <v>4013</v>
      </c>
      <c r="C2045" s="605">
        <v>45921.0</v>
      </c>
      <c r="D2045" s="512">
        <v>4.1702906956E10</v>
      </c>
      <c r="E2045" s="606" t="s">
        <v>4183</v>
      </c>
      <c r="F2045" s="656" t="s">
        <v>436</v>
      </c>
      <c r="G2045" s="606" t="s">
        <v>4184</v>
      </c>
      <c r="H2045" s="608" t="s">
        <v>1096</v>
      </c>
    </row>
    <row r="2046">
      <c r="A2046" s="512" t="s">
        <v>432</v>
      </c>
      <c r="B2046" s="512" t="s">
        <v>4013</v>
      </c>
      <c r="C2046" s="605">
        <v>45921.0</v>
      </c>
      <c r="D2046" s="512">
        <v>3.7763202215E10</v>
      </c>
      <c r="E2046" s="606" t="s">
        <v>4185</v>
      </c>
      <c r="F2046" s="656" t="s">
        <v>436</v>
      </c>
      <c r="G2046" s="606" t="s">
        <v>4186</v>
      </c>
      <c r="H2046" s="608" t="s">
        <v>686</v>
      </c>
    </row>
    <row r="2047">
      <c r="A2047" s="512" t="s">
        <v>439</v>
      </c>
      <c r="B2047" s="512" t="s">
        <v>4013</v>
      </c>
      <c r="C2047" s="605">
        <v>45921.0</v>
      </c>
      <c r="D2047" s="512">
        <v>3.2878866855E10</v>
      </c>
      <c r="E2047" s="606" t="s">
        <v>4187</v>
      </c>
      <c r="F2047" s="656" t="s">
        <v>436</v>
      </c>
      <c r="G2047" s="606" t="s">
        <v>4188</v>
      </c>
      <c r="H2047" s="608" t="s">
        <v>1096</v>
      </c>
    </row>
    <row r="2048">
      <c r="A2048" s="512" t="s">
        <v>823</v>
      </c>
      <c r="B2048" s="512" t="s">
        <v>4013</v>
      </c>
      <c r="C2048" s="605">
        <v>45921.0</v>
      </c>
      <c r="D2048" s="512">
        <v>3.3311826267E10</v>
      </c>
      <c r="E2048" s="606" t="s">
        <v>4189</v>
      </c>
      <c r="F2048" s="656" t="s">
        <v>436</v>
      </c>
      <c r="G2048" s="606" t="s">
        <v>1804</v>
      </c>
      <c r="H2048" s="608" t="s">
        <v>3868</v>
      </c>
    </row>
    <row r="2049">
      <c r="A2049" s="512" t="s">
        <v>439</v>
      </c>
      <c r="B2049" s="512" t="s">
        <v>433</v>
      </c>
      <c r="C2049" s="605">
        <v>45921.0</v>
      </c>
      <c r="D2049" s="512">
        <v>3.6232924919E10</v>
      </c>
      <c r="E2049" s="606" t="s">
        <v>4190</v>
      </c>
      <c r="F2049" s="656" t="s">
        <v>436</v>
      </c>
      <c r="G2049" s="606" t="s">
        <v>4191</v>
      </c>
      <c r="H2049" s="608" t="s">
        <v>1096</v>
      </c>
    </row>
    <row r="2050">
      <c r="A2050" s="512" t="s">
        <v>432</v>
      </c>
      <c r="B2050" s="512" t="s">
        <v>4013</v>
      </c>
      <c r="C2050" s="605">
        <v>45921.0</v>
      </c>
      <c r="D2050" s="512">
        <v>2.6372511406E10</v>
      </c>
      <c r="E2050" s="648" t="s">
        <v>4192</v>
      </c>
      <c r="F2050" s="656" t="s">
        <v>436</v>
      </c>
      <c r="G2050" s="606" t="s">
        <v>4193</v>
      </c>
      <c r="H2050" s="608" t="s">
        <v>1175</v>
      </c>
    </row>
    <row r="2051">
      <c r="A2051" s="512" t="s">
        <v>432</v>
      </c>
      <c r="B2051" s="512" t="s">
        <v>4013</v>
      </c>
      <c r="C2051" s="605">
        <v>45921.0</v>
      </c>
      <c r="D2051" s="512">
        <v>3.6334230398E10</v>
      </c>
      <c r="E2051" s="648" t="s">
        <v>4194</v>
      </c>
      <c r="F2051" s="656" t="s">
        <v>436</v>
      </c>
      <c r="G2051" s="606" t="s">
        <v>4195</v>
      </c>
      <c r="H2051" s="608" t="s">
        <v>1175</v>
      </c>
    </row>
    <row r="2052">
      <c r="A2052" s="512" t="s">
        <v>823</v>
      </c>
      <c r="B2052" s="512" t="s">
        <v>4013</v>
      </c>
      <c r="C2052" s="605">
        <v>45921.0</v>
      </c>
      <c r="D2052" s="512">
        <v>3.3123463712E10</v>
      </c>
      <c r="E2052" s="606" t="s">
        <v>4196</v>
      </c>
      <c r="F2052" s="656" t="s">
        <v>436</v>
      </c>
      <c r="G2052" s="640"/>
      <c r="H2052" s="608" t="s">
        <v>3868</v>
      </c>
    </row>
    <row r="2053">
      <c r="A2053" s="512" t="s">
        <v>823</v>
      </c>
      <c r="B2053" s="512" t="s">
        <v>4013</v>
      </c>
      <c r="C2053" s="605">
        <v>45921.0</v>
      </c>
      <c r="D2053" s="512">
        <v>3.8469278991E10</v>
      </c>
      <c r="E2053" s="606" t="s">
        <v>4197</v>
      </c>
      <c r="F2053" s="656" t="s">
        <v>436</v>
      </c>
      <c r="G2053" s="640"/>
      <c r="H2053" s="608" t="s">
        <v>3868</v>
      </c>
    </row>
    <row r="2054">
      <c r="A2054" s="512" t="s">
        <v>439</v>
      </c>
      <c r="B2054" s="512" t="s">
        <v>433</v>
      </c>
      <c r="C2054" s="605">
        <v>45922.0</v>
      </c>
      <c r="D2054" s="512">
        <v>3.8168165482E10</v>
      </c>
      <c r="E2054" s="606" t="s">
        <v>4198</v>
      </c>
      <c r="F2054" s="656" t="s">
        <v>436</v>
      </c>
      <c r="G2054" s="606" t="s">
        <v>4199</v>
      </c>
      <c r="H2054" s="608" t="s">
        <v>1608</v>
      </c>
    </row>
    <row r="2055">
      <c r="A2055" s="512" t="s">
        <v>439</v>
      </c>
      <c r="B2055" s="512" t="s">
        <v>433</v>
      </c>
      <c r="C2055" s="605">
        <v>45922.0</v>
      </c>
      <c r="D2055" s="512">
        <v>3.6504264722E10</v>
      </c>
      <c r="E2055" s="606" t="s">
        <v>4200</v>
      </c>
      <c r="F2055" s="656" t="s">
        <v>436</v>
      </c>
      <c r="G2055" s="606" t="s">
        <v>3195</v>
      </c>
      <c r="H2055" s="608" t="s">
        <v>1608</v>
      </c>
    </row>
    <row r="2056">
      <c r="A2056" s="512" t="s">
        <v>432</v>
      </c>
      <c r="B2056" s="512" t="s">
        <v>4201</v>
      </c>
      <c r="C2056" s="605">
        <v>45922.0</v>
      </c>
      <c r="D2056" s="512">
        <v>3.4964601913E10</v>
      </c>
      <c r="E2056" s="606" t="s">
        <v>4202</v>
      </c>
      <c r="F2056" s="656" t="s">
        <v>436</v>
      </c>
      <c r="G2056" s="606" t="s">
        <v>4203</v>
      </c>
      <c r="H2056" s="608" t="s">
        <v>686</v>
      </c>
    </row>
    <row r="2057">
      <c r="A2057" s="512" t="s">
        <v>823</v>
      </c>
      <c r="B2057" s="512" t="s">
        <v>4013</v>
      </c>
      <c r="C2057" s="605">
        <v>45922.0</v>
      </c>
      <c r="D2057" s="512">
        <v>4.1870941378E10</v>
      </c>
      <c r="E2057" s="661" t="s">
        <v>4204</v>
      </c>
      <c r="F2057" s="656" t="s">
        <v>436</v>
      </c>
      <c r="G2057" s="606" t="s">
        <v>4205</v>
      </c>
      <c r="H2057" s="608" t="s">
        <v>3332</v>
      </c>
    </row>
    <row r="2058">
      <c r="A2058" s="512" t="s">
        <v>823</v>
      </c>
      <c r="B2058" s="512" t="s">
        <v>3721</v>
      </c>
      <c r="C2058" s="605">
        <v>45922.0</v>
      </c>
      <c r="D2058" s="512" t="s">
        <v>4206</v>
      </c>
      <c r="E2058" s="648" t="s">
        <v>4207</v>
      </c>
      <c r="F2058" s="656" t="s">
        <v>436</v>
      </c>
      <c r="G2058" s="606" t="s">
        <v>4208</v>
      </c>
      <c r="H2058" s="608" t="s">
        <v>3332</v>
      </c>
    </row>
    <row r="2059">
      <c r="A2059" s="512" t="s">
        <v>432</v>
      </c>
      <c r="B2059" s="512" t="s">
        <v>4013</v>
      </c>
      <c r="C2059" s="605">
        <v>45922.0</v>
      </c>
      <c r="D2059" s="512">
        <v>4.1945135902E10</v>
      </c>
      <c r="E2059" s="606" t="s">
        <v>4209</v>
      </c>
      <c r="F2059" s="656" t="s">
        <v>436</v>
      </c>
      <c r="G2059" s="606" t="s">
        <v>4210</v>
      </c>
      <c r="H2059" s="608" t="s">
        <v>686</v>
      </c>
    </row>
    <row r="2060">
      <c r="A2060" s="512" t="s">
        <v>823</v>
      </c>
      <c r="B2060" s="512" t="s">
        <v>4013</v>
      </c>
      <c r="C2060" s="605">
        <v>45922.0</v>
      </c>
      <c r="D2060" s="512">
        <v>3.7759382182E10</v>
      </c>
      <c r="E2060" s="648" t="s">
        <v>4211</v>
      </c>
      <c r="F2060" s="656" t="s">
        <v>436</v>
      </c>
      <c r="G2060" s="606" t="s">
        <v>4212</v>
      </c>
      <c r="H2060" s="608" t="s">
        <v>3332</v>
      </c>
    </row>
    <row r="2061">
      <c r="A2061" s="512" t="s">
        <v>432</v>
      </c>
      <c r="B2061" s="512" t="s">
        <v>4013</v>
      </c>
      <c r="C2061" s="605">
        <v>45922.0</v>
      </c>
      <c r="D2061" s="512">
        <v>4.1967350409E10</v>
      </c>
      <c r="E2061" s="606" t="s">
        <v>4213</v>
      </c>
      <c r="F2061" s="656" t="s">
        <v>436</v>
      </c>
      <c r="G2061" s="606" t="s">
        <v>1447</v>
      </c>
      <c r="H2061" s="608" t="s">
        <v>686</v>
      </c>
    </row>
    <row r="2062">
      <c r="A2062" s="512" t="s">
        <v>439</v>
      </c>
      <c r="B2062" s="512" t="s">
        <v>4013</v>
      </c>
      <c r="C2062" s="605">
        <v>45922.0</v>
      </c>
      <c r="D2062" s="512">
        <v>3.9549458075E10</v>
      </c>
      <c r="E2062" s="606" t="s">
        <v>4214</v>
      </c>
      <c r="F2062" s="656" t="s">
        <v>436</v>
      </c>
      <c r="G2062" s="606" t="s">
        <v>799</v>
      </c>
      <c r="H2062" s="608" t="s">
        <v>1608</v>
      </c>
    </row>
    <row r="2063">
      <c r="A2063" s="512" t="s">
        <v>432</v>
      </c>
      <c r="B2063" s="512" t="s">
        <v>4013</v>
      </c>
      <c r="C2063" s="605">
        <v>45922.0</v>
      </c>
      <c r="D2063" s="512">
        <v>4.1481458565E10</v>
      </c>
      <c r="E2063" s="606" t="s">
        <v>4215</v>
      </c>
      <c r="F2063" s="656" t="s">
        <v>436</v>
      </c>
      <c r="G2063" s="606" t="s">
        <v>4216</v>
      </c>
      <c r="H2063" s="608" t="s">
        <v>686</v>
      </c>
    </row>
    <row r="2064">
      <c r="A2064" s="512" t="s">
        <v>432</v>
      </c>
      <c r="B2064" s="512" t="s">
        <v>433</v>
      </c>
      <c r="C2064" s="605">
        <v>45922.0</v>
      </c>
      <c r="D2064" s="512">
        <v>3.7587713069E10</v>
      </c>
      <c r="E2064" s="606" t="s">
        <v>4217</v>
      </c>
      <c r="F2064" s="656" t="s">
        <v>436</v>
      </c>
      <c r="G2064" s="606" t="s">
        <v>4218</v>
      </c>
      <c r="H2064" s="608" t="s">
        <v>686</v>
      </c>
    </row>
    <row r="2065">
      <c r="A2065" s="512" t="s">
        <v>439</v>
      </c>
      <c r="B2065" s="512" t="s">
        <v>433</v>
      </c>
      <c r="C2065" s="605">
        <v>45922.0</v>
      </c>
      <c r="D2065" s="512">
        <v>3.8207641072E10</v>
      </c>
      <c r="E2065" s="606" t="s">
        <v>4219</v>
      </c>
      <c r="F2065" s="656" t="s">
        <v>436</v>
      </c>
      <c r="G2065" s="606" t="s">
        <v>4220</v>
      </c>
      <c r="H2065" s="608" t="s">
        <v>1608</v>
      </c>
    </row>
    <row r="2066">
      <c r="A2066" s="512" t="s">
        <v>432</v>
      </c>
      <c r="B2066" s="512" t="s">
        <v>4013</v>
      </c>
      <c r="C2066" s="605">
        <v>45922.0</v>
      </c>
      <c r="D2066" s="512">
        <v>3.4341111181E10</v>
      </c>
      <c r="E2066" s="606" t="s">
        <v>4221</v>
      </c>
      <c r="F2066" s="656" t="s">
        <v>436</v>
      </c>
      <c r="G2066" s="606" t="s">
        <v>1093</v>
      </c>
      <c r="H2066" s="608" t="s">
        <v>686</v>
      </c>
    </row>
    <row r="2067">
      <c r="A2067" s="512" t="s">
        <v>439</v>
      </c>
      <c r="B2067" s="512" t="s">
        <v>433</v>
      </c>
      <c r="C2067" s="605">
        <v>45922.0</v>
      </c>
      <c r="D2067" s="512">
        <v>2.9307030961E10</v>
      </c>
      <c r="E2067" s="606" t="s">
        <v>4222</v>
      </c>
      <c r="F2067" s="656" t="s">
        <v>436</v>
      </c>
      <c r="G2067" s="606" t="s">
        <v>4223</v>
      </c>
      <c r="H2067" s="608" t="s">
        <v>1608</v>
      </c>
    </row>
    <row r="2068">
      <c r="A2068" s="512" t="s">
        <v>690</v>
      </c>
      <c r="B2068" s="512" t="s">
        <v>4013</v>
      </c>
      <c r="C2068" s="605">
        <v>45923.0</v>
      </c>
      <c r="D2068" s="512">
        <v>4.1911705588E10</v>
      </c>
      <c r="E2068" s="606" t="s">
        <v>4224</v>
      </c>
      <c r="F2068" s="656" t="s">
        <v>436</v>
      </c>
      <c r="G2068" s="606">
        <v>382.0</v>
      </c>
      <c r="H2068" s="608" t="s">
        <v>4156</v>
      </c>
    </row>
    <row r="2069">
      <c r="A2069" s="512" t="s">
        <v>690</v>
      </c>
      <c r="B2069" s="512" t="s">
        <v>4013</v>
      </c>
      <c r="C2069" s="605">
        <v>45923.0</v>
      </c>
      <c r="D2069" s="512">
        <v>3.8324849198E10</v>
      </c>
      <c r="E2069" s="619" t="s">
        <v>4225</v>
      </c>
      <c r="F2069" s="656" t="s">
        <v>436</v>
      </c>
      <c r="G2069" s="606">
        <v>1600.0</v>
      </c>
      <c r="H2069" s="608" t="s">
        <v>4156</v>
      </c>
    </row>
    <row r="2070">
      <c r="A2070" s="512" t="s">
        <v>432</v>
      </c>
      <c r="B2070" s="512" t="s">
        <v>4013</v>
      </c>
      <c r="C2070" s="605">
        <v>45923.0</v>
      </c>
      <c r="D2070" s="512">
        <v>3.6104258007E10</v>
      </c>
      <c r="E2070" s="619" t="s">
        <v>4226</v>
      </c>
      <c r="F2070" s="656" t="s">
        <v>436</v>
      </c>
      <c r="G2070" s="606" t="s">
        <v>4227</v>
      </c>
      <c r="H2070" s="608" t="s">
        <v>686</v>
      </c>
    </row>
    <row r="2071">
      <c r="A2071" s="512" t="s">
        <v>432</v>
      </c>
      <c r="B2071" s="512" t="s">
        <v>3963</v>
      </c>
      <c r="C2071" s="605">
        <v>45923.0</v>
      </c>
      <c r="D2071" s="512">
        <v>6.130776121E9</v>
      </c>
      <c r="E2071" s="606" t="s">
        <v>4228</v>
      </c>
      <c r="F2071" s="656" t="s">
        <v>436</v>
      </c>
      <c r="G2071" s="606" t="s">
        <v>4229</v>
      </c>
      <c r="H2071" s="608" t="s">
        <v>686</v>
      </c>
    </row>
    <row r="2072">
      <c r="A2072" s="512" t="s">
        <v>432</v>
      </c>
      <c r="B2072" s="512" t="s">
        <v>4013</v>
      </c>
      <c r="C2072" s="605">
        <v>45923.0</v>
      </c>
      <c r="D2072" s="512">
        <v>3.8195556408E10</v>
      </c>
      <c r="E2072" s="606" t="s">
        <v>4230</v>
      </c>
      <c r="F2072" s="656" t="s">
        <v>436</v>
      </c>
      <c r="G2072" s="606" t="s">
        <v>4231</v>
      </c>
      <c r="H2072" s="608" t="s">
        <v>686</v>
      </c>
    </row>
    <row r="2073">
      <c r="A2073" s="512" t="s">
        <v>432</v>
      </c>
      <c r="B2073" s="512" t="s">
        <v>433</v>
      </c>
      <c r="C2073" s="605">
        <v>45923.0</v>
      </c>
      <c r="D2073" s="512">
        <v>3.6242197483E10</v>
      </c>
      <c r="E2073" s="606" t="s">
        <v>4232</v>
      </c>
      <c r="F2073" s="656" t="s">
        <v>436</v>
      </c>
      <c r="G2073" s="606" t="s">
        <v>4233</v>
      </c>
      <c r="H2073" s="608" t="s">
        <v>686</v>
      </c>
    </row>
    <row r="2074">
      <c r="A2074" s="512" t="s">
        <v>432</v>
      </c>
      <c r="B2074" s="512" t="s">
        <v>433</v>
      </c>
      <c r="C2074" s="605">
        <v>45923.0</v>
      </c>
      <c r="D2074" s="512">
        <v>3.807773464E10</v>
      </c>
      <c r="E2074" s="606" t="s">
        <v>4234</v>
      </c>
      <c r="F2074" s="656" t="s">
        <v>436</v>
      </c>
      <c r="G2074" s="606" t="s">
        <v>4235</v>
      </c>
      <c r="H2074" s="608" t="s">
        <v>686</v>
      </c>
    </row>
    <row r="2075">
      <c r="A2075" s="512" t="s">
        <v>432</v>
      </c>
      <c r="B2075" s="512" t="s">
        <v>433</v>
      </c>
      <c r="C2075" s="605">
        <v>45923.0</v>
      </c>
      <c r="D2075" s="512">
        <v>3.2752328074E10</v>
      </c>
      <c r="E2075" s="606" t="s">
        <v>4236</v>
      </c>
      <c r="F2075" s="656" t="s">
        <v>436</v>
      </c>
      <c r="G2075" s="606" t="s">
        <v>4237</v>
      </c>
      <c r="H2075" s="608" t="s">
        <v>686</v>
      </c>
    </row>
    <row r="2076">
      <c r="A2076" s="512" t="s">
        <v>617</v>
      </c>
      <c r="B2076" s="512" t="s">
        <v>449</v>
      </c>
      <c r="C2076" s="605">
        <v>45923.0</v>
      </c>
      <c r="D2076" s="512">
        <v>4.2084352658E10</v>
      </c>
      <c r="E2076" s="606" t="s">
        <v>4238</v>
      </c>
      <c r="F2076" s="656" t="s">
        <v>436</v>
      </c>
      <c r="G2076" s="606" t="s">
        <v>1200</v>
      </c>
      <c r="H2076" s="608" t="s">
        <v>696</v>
      </c>
    </row>
    <row r="2077">
      <c r="A2077" s="512" t="s">
        <v>617</v>
      </c>
      <c r="B2077" s="512" t="s">
        <v>449</v>
      </c>
      <c r="C2077" s="605">
        <v>45923.0</v>
      </c>
      <c r="D2077" s="512">
        <v>2.8909773524E10</v>
      </c>
      <c r="E2077" s="606" t="s">
        <v>4239</v>
      </c>
      <c r="F2077" s="656" t="s">
        <v>436</v>
      </c>
      <c r="G2077" s="606" t="s">
        <v>2883</v>
      </c>
      <c r="H2077" s="608" t="s">
        <v>696</v>
      </c>
    </row>
    <row r="2078">
      <c r="A2078" s="512" t="s">
        <v>432</v>
      </c>
      <c r="B2078" s="512" t="s">
        <v>449</v>
      </c>
      <c r="C2078" s="605">
        <v>45924.0</v>
      </c>
      <c r="D2078" s="512">
        <v>3.6869049907E10</v>
      </c>
      <c r="E2078" s="648" t="s">
        <v>4240</v>
      </c>
      <c r="F2078" s="656" t="s">
        <v>436</v>
      </c>
      <c r="G2078" s="606" t="s">
        <v>1441</v>
      </c>
      <c r="H2078" s="608" t="s">
        <v>1175</v>
      </c>
    </row>
    <row r="2079">
      <c r="A2079" s="512" t="s">
        <v>432</v>
      </c>
      <c r="B2079" s="512" t="s">
        <v>449</v>
      </c>
      <c r="C2079" s="605">
        <v>45924.0</v>
      </c>
      <c r="D2079" s="512">
        <v>4.0326611413E10</v>
      </c>
      <c r="E2079" s="648" t="s">
        <v>4241</v>
      </c>
      <c r="F2079" s="656" t="s">
        <v>436</v>
      </c>
      <c r="G2079" s="606" t="s">
        <v>4242</v>
      </c>
      <c r="H2079" s="608" t="s">
        <v>1175</v>
      </c>
    </row>
    <row r="2080">
      <c r="A2080" s="512" t="s">
        <v>432</v>
      </c>
      <c r="B2080" s="512" t="s">
        <v>4243</v>
      </c>
      <c r="C2080" s="605">
        <v>45924.0</v>
      </c>
      <c r="D2080" s="512">
        <v>4.0075258806E10</v>
      </c>
      <c r="E2080" s="648" t="s">
        <v>4244</v>
      </c>
      <c r="F2080" s="656" t="s">
        <v>436</v>
      </c>
      <c r="G2080" s="606" t="s">
        <v>4245</v>
      </c>
      <c r="H2080" s="608" t="s">
        <v>1175</v>
      </c>
    </row>
    <row r="2081">
      <c r="A2081" s="512" t="s">
        <v>823</v>
      </c>
      <c r="B2081" s="512" t="s">
        <v>449</v>
      </c>
      <c r="C2081" s="605">
        <v>45924.0</v>
      </c>
      <c r="D2081" s="512">
        <v>3.7732689585E10</v>
      </c>
      <c r="E2081" s="619" t="s">
        <v>4246</v>
      </c>
      <c r="F2081" s="656" t="s">
        <v>436</v>
      </c>
      <c r="G2081" s="606" t="s">
        <v>4220</v>
      </c>
      <c r="H2081" s="608" t="s">
        <v>3868</v>
      </c>
    </row>
    <row r="2082">
      <c r="A2082" s="512" t="s">
        <v>432</v>
      </c>
      <c r="B2082" s="512" t="s">
        <v>449</v>
      </c>
      <c r="C2082" s="605">
        <v>45924.0</v>
      </c>
      <c r="D2082" s="512">
        <v>3.6005350441E10</v>
      </c>
      <c r="E2082" s="648" t="s">
        <v>4247</v>
      </c>
      <c r="F2082" s="656" t="s">
        <v>436</v>
      </c>
      <c r="G2082" s="606" t="s">
        <v>4248</v>
      </c>
      <c r="H2082" s="608" t="s">
        <v>1175</v>
      </c>
    </row>
    <row r="2083">
      <c r="A2083" s="512" t="s">
        <v>617</v>
      </c>
      <c r="B2083" s="512" t="s">
        <v>449</v>
      </c>
      <c r="C2083" s="605">
        <v>45925.0</v>
      </c>
      <c r="D2083" s="512">
        <v>3.8670745875E10</v>
      </c>
      <c r="E2083" s="662" t="s">
        <v>4249</v>
      </c>
      <c r="F2083" s="656" t="s">
        <v>436</v>
      </c>
      <c r="G2083" s="606">
        <v>531.0</v>
      </c>
      <c r="H2083" s="608" t="s">
        <v>4250</v>
      </c>
    </row>
    <row r="2084">
      <c r="A2084" s="512" t="s">
        <v>617</v>
      </c>
      <c r="B2084" s="512" t="s">
        <v>449</v>
      </c>
      <c r="C2084" s="605">
        <v>45925.0</v>
      </c>
      <c r="D2084" s="512">
        <v>3.4973058175E10</v>
      </c>
      <c r="E2084" s="606" t="s">
        <v>4251</v>
      </c>
      <c r="F2084" s="656" t="s">
        <v>436</v>
      </c>
      <c r="G2084" s="606">
        <v>1084.0</v>
      </c>
      <c r="H2084" s="608" t="s">
        <v>4252</v>
      </c>
    </row>
    <row r="2085">
      <c r="A2085" s="512" t="s">
        <v>617</v>
      </c>
      <c r="B2085" s="512" t="s">
        <v>449</v>
      </c>
      <c r="C2085" s="605">
        <v>45925.0</v>
      </c>
      <c r="D2085" s="512">
        <v>3.2213443347E10</v>
      </c>
      <c r="E2085" s="619" t="s">
        <v>4253</v>
      </c>
      <c r="F2085" s="656" t="s">
        <v>436</v>
      </c>
      <c r="G2085" s="606">
        <v>1902.0</v>
      </c>
      <c r="H2085" s="608" t="s">
        <v>4250</v>
      </c>
    </row>
    <row r="2086">
      <c r="A2086" s="512" t="s">
        <v>823</v>
      </c>
      <c r="B2086" s="512" t="s">
        <v>449</v>
      </c>
      <c r="C2086" s="605">
        <v>45925.0</v>
      </c>
      <c r="D2086" s="512">
        <v>3.5760957982E10</v>
      </c>
      <c r="E2086" s="606" t="s">
        <v>4254</v>
      </c>
      <c r="F2086" s="656" t="s">
        <v>436</v>
      </c>
      <c r="G2086" s="606" t="s">
        <v>797</v>
      </c>
      <c r="H2086" s="608" t="s">
        <v>3868</v>
      </c>
    </row>
    <row r="2087">
      <c r="A2087" s="512" t="s">
        <v>823</v>
      </c>
      <c r="B2087" s="512" t="s">
        <v>4013</v>
      </c>
      <c r="C2087" s="605">
        <v>45925.0</v>
      </c>
      <c r="D2087" s="512">
        <v>2.1986732314E10</v>
      </c>
      <c r="E2087" s="606" t="s">
        <v>4255</v>
      </c>
      <c r="F2087" s="656" t="s">
        <v>436</v>
      </c>
      <c r="G2087" s="606" t="s">
        <v>4256</v>
      </c>
      <c r="H2087" s="608" t="s">
        <v>3868</v>
      </c>
    </row>
    <row r="2088">
      <c r="A2088" s="512" t="s">
        <v>432</v>
      </c>
      <c r="B2088" s="512" t="s">
        <v>4013</v>
      </c>
      <c r="C2088" s="605">
        <v>45925.0</v>
      </c>
      <c r="D2088" s="512">
        <v>3.6501006907E10</v>
      </c>
      <c r="E2088" s="512" t="s">
        <v>4257</v>
      </c>
      <c r="F2088" s="656" t="s">
        <v>436</v>
      </c>
      <c r="G2088" s="606" t="s">
        <v>4258</v>
      </c>
      <c r="H2088" s="608" t="s">
        <v>1175</v>
      </c>
    </row>
    <row r="2089">
      <c r="A2089" s="512" t="s">
        <v>432</v>
      </c>
      <c r="B2089" s="512" t="s">
        <v>433</v>
      </c>
      <c r="C2089" s="605">
        <v>45925.0</v>
      </c>
      <c r="D2089" s="512">
        <v>3.7155682008E10</v>
      </c>
      <c r="E2089" s="606" t="s">
        <v>4259</v>
      </c>
      <c r="F2089" s="656" t="s">
        <v>436</v>
      </c>
      <c r="G2089" s="606" t="s">
        <v>4260</v>
      </c>
      <c r="H2089" s="608" t="s">
        <v>1175</v>
      </c>
    </row>
    <row r="2090">
      <c r="A2090" s="512" t="s">
        <v>823</v>
      </c>
      <c r="B2090" s="512" t="s">
        <v>449</v>
      </c>
      <c r="C2090" s="605">
        <v>45925.0</v>
      </c>
      <c r="D2090" s="512">
        <v>3.9834689406E10</v>
      </c>
      <c r="E2090" s="606" t="s">
        <v>4261</v>
      </c>
      <c r="F2090" s="656" t="s">
        <v>436</v>
      </c>
      <c r="G2090" s="606" t="s">
        <v>4262</v>
      </c>
      <c r="H2090" s="608" t="s">
        <v>3868</v>
      </c>
    </row>
    <row r="2091">
      <c r="A2091" s="512" t="s">
        <v>432</v>
      </c>
      <c r="B2091" s="512" t="s">
        <v>4013</v>
      </c>
      <c r="C2091" s="605">
        <v>45925.0</v>
      </c>
      <c r="D2091" s="512">
        <v>3.7331986431E10</v>
      </c>
      <c r="E2091" s="648" t="s">
        <v>4263</v>
      </c>
      <c r="F2091" s="656" t="s">
        <v>436</v>
      </c>
      <c r="G2091" s="606" t="s">
        <v>4048</v>
      </c>
      <c r="H2091" s="608" t="s">
        <v>1175</v>
      </c>
    </row>
    <row r="2092">
      <c r="A2092" s="512" t="s">
        <v>432</v>
      </c>
      <c r="B2092" s="512" t="s">
        <v>4013</v>
      </c>
      <c r="C2092" s="605">
        <v>45925.0</v>
      </c>
      <c r="D2092" s="512">
        <v>3.7388480489E10</v>
      </c>
      <c r="E2092" s="648" t="s">
        <v>4264</v>
      </c>
      <c r="F2092" s="656" t="s">
        <v>436</v>
      </c>
      <c r="G2092" s="606" t="s">
        <v>4265</v>
      </c>
      <c r="H2092" s="608" t="s">
        <v>1175</v>
      </c>
    </row>
    <row r="2093">
      <c r="A2093" s="512" t="s">
        <v>823</v>
      </c>
      <c r="B2093" s="512" t="s">
        <v>4266</v>
      </c>
      <c r="C2093" s="605">
        <v>45925.0</v>
      </c>
      <c r="D2093" s="512">
        <v>3.8487249073E10</v>
      </c>
      <c r="E2093" s="606" t="s">
        <v>4267</v>
      </c>
      <c r="F2093" s="656" t="s">
        <v>436</v>
      </c>
      <c r="G2093" s="606" t="s">
        <v>4268</v>
      </c>
      <c r="H2093" s="608" t="s">
        <v>3868</v>
      </c>
    </row>
    <row r="2094">
      <c r="A2094" s="512" t="s">
        <v>432</v>
      </c>
      <c r="B2094" s="512" t="s">
        <v>4013</v>
      </c>
      <c r="C2094" s="605">
        <v>45925.0</v>
      </c>
      <c r="D2094" s="512">
        <v>3.2805656795E10</v>
      </c>
      <c r="E2094" s="661" t="s">
        <v>4269</v>
      </c>
      <c r="F2094" s="656" t="s">
        <v>436</v>
      </c>
      <c r="G2094" s="606" t="s">
        <v>4270</v>
      </c>
      <c r="H2094" s="608" t="s">
        <v>1175</v>
      </c>
    </row>
    <row r="2095">
      <c r="A2095" s="512" t="s">
        <v>432</v>
      </c>
      <c r="B2095" s="512" t="s">
        <v>4013</v>
      </c>
      <c r="C2095" s="605">
        <v>45925.0</v>
      </c>
      <c r="D2095" s="512">
        <v>3.4493173063E10</v>
      </c>
      <c r="E2095" s="648" t="s">
        <v>4271</v>
      </c>
      <c r="F2095" s="656" t="s">
        <v>436</v>
      </c>
      <c r="G2095" s="606" t="s">
        <v>4272</v>
      </c>
      <c r="H2095" s="608" t="s">
        <v>1175</v>
      </c>
    </row>
    <row r="2096">
      <c r="A2096" s="512" t="s">
        <v>823</v>
      </c>
      <c r="B2096" s="512" t="s">
        <v>449</v>
      </c>
      <c r="C2096" s="605">
        <v>45925.0</v>
      </c>
      <c r="D2096" s="512">
        <v>3.6045454581E10</v>
      </c>
      <c r="E2096" s="606" t="s">
        <v>4273</v>
      </c>
      <c r="F2096" s="656" t="s">
        <v>436</v>
      </c>
      <c r="G2096" s="606" t="s">
        <v>4274</v>
      </c>
      <c r="H2096" s="608" t="s">
        <v>3868</v>
      </c>
    </row>
    <row r="2097">
      <c r="A2097" s="512" t="s">
        <v>823</v>
      </c>
      <c r="B2097" s="512" t="s">
        <v>4275</v>
      </c>
      <c r="C2097" s="605">
        <v>45925.0</v>
      </c>
      <c r="D2097" s="512">
        <v>3.2202832761E10</v>
      </c>
      <c r="E2097" s="619" t="s">
        <v>4276</v>
      </c>
      <c r="F2097" s="656" t="s">
        <v>436</v>
      </c>
      <c r="G2097" s="606" t="s">
        <v>4277</v>
      </c>
      <c r="H2097" s="608" t="s">
        <v>3868</v>
      </c>
    </row>
    <row r="2098">
      <c r="A2098" s="512" t="s">
        <v>432</v>
      </c>
      <c r="B2098" s="512" t="s">
        <v>4013</v>
      </c>
      <c r="C2098" s="605">
        <v>45925.0</v>
      </c>
      <c r="D2098" s="512">
        <v>3.7750049169E10</v>
      </c>
      <c r="E2098" s="648" t="s">
        <v>4278</v>
      </c>
      <c r="F2098" s="656" t="s">
        <v>436</v>
      </c>
      <c r="G2098" s="606" t="s">
        <v>4279</v>
      </c>
      <c r="H2098" s="608" t="s">
        <v>1175</v>
      </c>
    </row>
    <row r="2099">
      <c r="A2099" s="512" t="s">
        <v>823</v>
      </c>
      <c r="B2099" s="512" t="s">
        <v>4280</v>
      </c>
      <c r="C2099" s="605">
        <v>45925.0</v>
      </c>
      <c r="D2099" s="512">
        <v>3.7928738045E10</v>
      </c>
      <c r="E2099" s="606" t="s">
        <v>4281</v>
      </c>
      <c r="F2099" s="656" t="s">
        <v>436</v>
      </c>
      <c r="G2099" s="640"/>
      <c r="H2099" s="608" t="s">
        <v>3868</v>
      </c>
    </row>
    <row r="2100">
      <c r="A2100" s="512" t="s">
        <v>439</v>
      </c>
      <c r="B2100" s="512" t="s">
        <v>433</v>
      </c>
      <c r="C2100" s="605">
        <v>45926.0</v>
      </c>
      <c r="D2100" s="512">
        <v>1.7442338802E10</v>
      </c>
      <c r="E2100" s="606" t="s">
        <v>4282</v>
      </c>
      <c r="F2100" s="656" t="s">
        <v>436</v>
      </c>
      <c r="G2100" s="606" t="s">
        <v>4283</v>
      </c>
      <c r="H2100" s="608" t="s">
        <v>1608</v>
      </c>
    </row>
    <row r="2101">
      <c r="A2101" s="512" t="s">
        <v>432</v>
      </c>
      <c r="B2101" s="512" t="s">
        <v>3721</v>
      </c>
      <c r="C2101" s="605">
        <v>45926.0</v>
      </c>
      <c r="D2101" s="512">
        <v>4.0052277822E10</v>
      </c>
      <c r="E2101" s="606" t="s">
        <v>4284</v>
      </c>
      <c r="F2101" s="656" t="s">
        <v>436</v>
      </c>
      <c r="G2101" s="606" t="s">
        <v>2968</v>
      </c>
      <c r="H2101" s="608" t="s">
        <v>686</v>
      </c>
    </row>
    <row r="2102">
      <c r="A2102" s="512" t="s">
        <v>432</v>
      </c>
      <c r="B2102" s="512" t="s">
        <v>4013</v>
      </c>
      <c r="C2102" s="605">
        <v>45926.0</v>
      </c>
      <c r="D2102" s="512">
        <v>4.0860748908E10</v>
      </c>
      <c r="E2102" s="619" t="s">
        <v>4285</v>
      </c>
      <c r="F2102" s="656" t="s">
        <v>436</v>
      </c>
      <c r="G2102" s="606" t="s">
        <v>4286</v>
      </c>
      <c r="H2102" s="608" t="s">
        <v>686</v>
      </c>
    </row>
    <row r="2103">
      <c r="A2103" s="512" t="s">
        <v>439</v>
      </c>
      <c r="B2103" s="512" t="s">
        <v>433</v>
      </c>
      <c r="C2103" s="605">
        <v>45926.0</v>
      </c>
      <c r="D2103" s="512">
        <v>3.3335217921E10</v>
      </c>
      <c r="E2103" s="606" t="s">
        <v>4287</v>
      </c>
      <c r="F2103" s="656" t="s">
        <v>436</v>
      </c>
      <c r="G2103" s="606" t="s">
        <v>4288</v>
      </c>
      <c r="H2103" s="608" t="s">
        <v>1608</v>
      </c>
    </row>
    <row r="2104">
      <c r="A2104" s="512" t="s">
        <v>432</v>
      </c>
      <c r="B2104" s="512" t="s">
        <v>433</v>
      </c>
      <c r="C2104" s="605">
        <v>45926.0</v>
      </c>
      <c r="D2104" s="512">
        <v>3.4986902004E10</v>
      </c>
      <c r="E2104" s="606" t="s">
        <v>4289</v>
      </c>
      <c r="F2104" s="656" t="s">
        <v>436</v>
      </c>
      <c r="G2104" s="606" t="s">
        <v>4290</v>
      </c>
      <c r="H2104" s="608" t="s">
        <v>686</v>
      </c>
    </row>
    <row r="2105">
      <c r="A2105" s="512" t="s">
        <v>439</v>
      </c>
      <c r="B2105" s="512" t="s">
        <v>433</v>
      </c>
      <c r="C2105" s="605">
        <v>45926.0</v>
      </c>
      <c r="D2105" s="512">
        <v>3.5302778584E10</v>
      </c>
      <c r="E2105" s="606" t="s">
        <v>4291</v>
      </c>
      <c r="F2105" s="656" t="s">
        <v>436</v>
      </c>
      <c r="G2105" s="606" t="s">
        <v>4292</v>
      </c>
      <c r="H2105" s="608" t="s">
        <v>1608</v>
      </c>
    </row>
    <row r="2106">
      <c r="A2106" s="512" t="s">
        <v>617</v>
      </c>
      <c r="B2106" s="512" t="s">
        <v>4293</v>
      </c>
      <c r="C2106" s="605">
        <v>45926.0</v>
      </c>
      <c r="D2106" s="512">
        <v>3.5198512077E10</v>
      </c>
      <c r="E2106" s="606" t="s">
        <v>4294</v>
      </c>
      <c r="F2106" s="656" t="s">
        <v>436</v>
      </c>
      <c r="G2106" s="606" t="s">
        <v>4295</v>
      </c>
      <c r="H2106" s="608" t="s">
        <v>696</v>
      </c>
    </row>
    <row r="2107">
      <c r="A2107" s="512" t="s">
        <v>432</v>
      </c>
      <c r="B2107" s="512" t="s">
        <v>4013</v>
      </c>
      <c r="C2107" s="605">
        <v>45926.0</v>
      </c>
      <c r="D2107" s="512">
        <v>3.847167072E10</v>
      </c>
      <c r="E2107" s="606" t="s">
        <v>4296</v>
      </c>
      <c r="F2107" s="656" t="s">
        <v>436</v>
      </c>
      <c r="G2107" s="606" t="s">
        <v>4297</v>
      </c>
      <c r="H2107" s="608" t="s">
        <v>686</v>
      </c>
    </row>
    <row r="2108">
      <c r="A2108" s="512" t="s">
        <v>439</v>
      </c>
      <c r="B2108" s="512" t="s">
        <v>4013</v>
      </c>
      <c r="C2108" s="605">
        <v>45926.0</v>
      </c>
      <c r="D2108" s="512">
        <v>3.8490139891E10</v>
      </c>
      <c r="E2108" s="606" t="s">
        <v>4298</v>
      </c>
      <c r="F2108" s="656" t="s">
        <v>436</v>
      </c>
      <c r="G2108" s="606" t="s">
        <v>4299</v>
      </c>
      <c r="H2108" s="608" t="s">
        <v>1608</v>
      </c>
    </row>
    <row r="2109">
      <c r="A2109" s="512" t="s">
        <v>432</v>
      </c>
      <c r="B2109" s="512" t="s">
        <v>3963</v>
      </c>
      <c r="C2109" s="605">
        <v>45926.0</v>
      </c>
      <c r="D2109" s="512">
        <v>3.5299635672E10</v>
      </c>
      <c r="E2109" s="619" t="s">
        <v>4300</v>
      </c>
      <c r="F2109" s="656" t="s">
        <v>436</v>
      </c>
      <c r="G2109" s="606" t="s">
        <v>4301</v>
      </c>
      <c r="H2109" s="608" t="s">
        <v>1175</v>
      </c>
    </row>
    <row r="2110">
      <c r="A2110" s="512" t="s">
        <v>690</v>
      </c>
      <c r="B2110" s="512" t="s">
        <v>4013</v>
      </c>
      <c r="C2110" s="605">
        <v>45926.0</v>
      </c>
      <c r="D2110" s="512">
        <v>3.8694264357E10</v>
      </c>
      <c r="E2110" s="606" t="s">
        <v>4302</v>
      </c>
      <c r="F2110" s="656" t="s">
        <v>436</v>
      </c>
      <c r="G2110" s="606" t="s">
        <v>4303</v>
      </c>
      <c r="H2110" s="608" t="s">
        <v>4156</v>
      </c>
    </row>
    <row r="2111">
      <c r="A2111" s="512" t="s">
        <v>823</v>
      </c>
      <c r="B2111" s="512" t="s">
        <v>4013</v>
      </c>
      <c r="C2111" s="605">
        <v>45926.0</v>
      </c>
      <c r="D2111" s="512" t="s">
        <v>4304</v>
      </c>
      <c r="E2111" s="663" t="s">
        <v>4305</v>
      </c>
      <c r="F2111" s="656" t="s">
        <v>436</v>
      </c>
      <c r="G2111" s="606" t="s">
        <v>3348</v>
      </c>
      <c r="H2111" s="608" t="s">
        <v>3332</v>
      </c>
    </row>
    <row r="2112">
      <c r="A2112" s="512" t="s">
        <v>432</v>
      </c>
      <c r="B2112" s="512" t="s">
        <v>4013</v>
      </c>
      <c r="C2112" s="605">
        <v>45926.0</v>
      </c>
      <c r="D2112" s="512">
        <v>3.9570196136E10</v>
      </c>
      <c r="E2112" s="606" t="s">
        <v>4306</v>
      </c>
      <c r="F2112" s="656" t="s">
        <v>436</v>
      </c>
      <c r="G2112" s="606" t="s">
        <v>4307</v>
      </c>
      <c r="H2112" s="608" t="s">
        <v>686</v>
      </c>
    </row>
    <row r="2113">
      <c r="A2113" s="512" t="s">
        <v>439</v>
      </c>
      <c r="B2113" s="512" t="s">
        <v>4013</v>
      </c>
      <c r="C2113" s="605">
        <v>45926.0</v>
      </c>
      <c r="D2113" s="512">
        <v>3.7147614416E10</v>
      </c>
      <c r="E2113" s="606" t="s">
        <v>4308</v>
      </c>
      <c r="F2113" s="656" t="s">
        <v>436</v>
      </c>
      <c r="G2113" s="606" t="s">
        <v>4309</v>
      </c>
      <c r="H2113" s="608" t="s">
        <v>1608</v>
      </c>
    </row>
    <row r="2114">
      <c r="A2114" s="512" t="s">
        <v>617</v>
      </c>
      <c r="B2114" s="512" t="s">
        <v>3583</v>
      </c>
      <c r="C2114" s="605">
        <v>45927.0</v>
      </c>
      <c r="D2114" s="512">
        <v>3.6141482941E10</v>
      </c>
      <c r="E2114" s="606" t="s">
        <v>4310</v>
      </c>
      <c r="F2114" s="656" t="s">
        <v>436</v>
      </c>
      <c r="G2114" s="606" t="s">
        <v>4311</v>
      </c>
      <c r="H2114" s="608" t="s">
        <v>696</v>
      </c>
    </row>
    <row r="2115">
      <c r="A2115" s="512" t="s">
        <v>617</v>
      </c>
      <c r="B2115" s="512" t="s">
        <v>3583</v>
      </c>
      <c r="C2115" s="605">
        <v>45927.0</v>
      </c>
      <c r="D2115" s="512">
        <v>3.8256846987E10</v>
      </c>
      <c r="E2115" s="606" t="s">
        <v>4310</v>
      </c>
      <c r="F2115" s="656" t="s">
        <v>436</v>
      </c>
      <c r="G2115" s="606" t="s">
        <v>4312</v>
      </c>
      <c r="H2115" s="608" t="s">
        <v>696</v>
      </c>
    </row>
    <row r="2116">
      <c r="A2116" s="512" t="s">
        <v>617</v>
      </c>
      <c r="B2116" s="512" t="s">
        <v>3583</v>
      </c>
      <c r="C2116" s="605">
        <v>45927.0</v>
      </c>
      <c r="D2116" s="512">
        <v>3.462239068E10</v>
      </c>
      <c r="E2116" s="606" t="s">
        <v>4310</v>
      </c>
      <c r="F2116" s="656" t="s">
        <v>436</v>
      </c>
      <c r="G2116" s="606" t="s">
        <v>4312</v>
      </c>
      <c r="H2116" s="608" t="s">
        <v>696</v>
      </c>
    </row>
    <row r="2117">
      <c r="A2117" s="512" t="s">
        <v>617</v>
      </c>
      <c r="B2117" s="512" t="s">
        <v>3583</v>
      </c>
      <c r="C2117" s="605">
        <v>45927.0</v>
      </c>
      <c r="D2117" s="512">
        <v>3.4330455436E10</v>
      </c>
      <c r="E2117" s="606" t="s">
        <v>4310</v>
      </c>
      <c r="F2117" s="656" t="s">
        <v>436</v>
      </c>
      <c r="G2117" s="606" t="s">
        <v>4313</v>
      </c>
      <c r="H2117" s="608" t="s">
        <v>696</v>
      </c>
    </row>
    <row r="2118">
      <c r="A2118" s="512" t="s">
        <v>690</v>
      </c>
      <c r="B2118" s="512" t="s">
        <v>4013</v>
      </c>
      <c r="C2118" s="605">
        <v>45927.0</v>
      </c>
      <c r="D2118" s="512">
        <v>4.1930944024E10</v>
      </c>
      <c r="E2118" s="606" t="s">
        <v>4314</v>
      </c>
      <c r="F2118" s="656" t="s">
        <v>436</v>
      </c>
      <c r="G2118" s="606" t="s">
        <v>4315</v>
      </c>
      <c r="H2118" s="608" t="s">
        <v>4156</v>
      </c>
    </row>
    <row r="2119">
      <c r="A2119" s="512" t="s">
        <v>690</v>
      </c>
      <c r="B2119" s="512" t="s">
        <v>4013</v>
      </c>
      <c r="C2119" s="605">
        <v>45927.0</v>
      </c>
      <c r="D2119" s="512">
        <v>3.612297868E10</v>
      </c>
      <c r="E2119" s="606" t="s">
        <v>4316</v>
      </c>
      <c r="F2119" s="656" t="s">
        <v>436</v>
      </c>
      <c r="G2119" s="606" t="s">
        <v>4317</v>
      </c>
      <c r="H2119" s="608" t="s">
        <v>4156</v>
      </c>
    </row>
    <row r="2120">
      <c r="A2120" s="512" t="s">
        <v>432</v>
      </c>
      <c r="B2120" s="512" t="s">
        <v>449</v>
      </c>
      <c r="C2120" s="605">
        <v>45928.0</v>
      </c>
      <c r="D2120" s="512">
        <v>4.2313379281E10</v>
      </c>
      <c r="E2120" s="648" t="s">
        <v>4318</v>
      </c>
      <c r="F2120" s="656" t="s">
        <v>436</v>
      </c>
      <c r="G2120" s="606" t="s">
        <v>4319</v>
      </c>
      <c r="H2120" s="608" t="s">
        <v>1175</v>
      </c>
    </row>
    <row r="2121">
      <c r="A2121" s="512" t="s">
        <v>432</v>
      </c>
      <c r="B2121" s="512" t="s">
        <v>433</v>
      </c>
      <c r="C2121" s="605">
        <v>45928.0</v>
      </c>
      <c r="D2121" s="512">
        <v>3.8293522308E10</v>
      </c>
      <c r="E2121" s="643" t="s">
        <v>4320</v>
      </c>
      <c r="F2121" s="656" t="s">
        <v>436</v>
      </c>
      <c r="G2121" s="606" t="s">
        <v>4321</v>
      </c>
      <c r="H2121" s="608" t="s">
        <v>1175</v>
      </c>
    </row>
    <row r="2122">
      <c r="A2122" s="512" t="s">
        <v>432</v>
      </c>
      <c r="B2122" s="512" t="s">
        <v>449</v>
      </c>
      <c r="C2122" s="605">
        <v>45928.0</v>
      </c>
      <c r="D2122" s="512">
        <v>4.2313422889E10</v>
      </c>
      <c r="E2122" s="648" t="s">
        <v>4322</v>
      </c>
      <c r="F2122" s="656" t="s">
        <v>436</v>
      </c>
      <c r="G2122" s="606" t="s">
        <v>4323</v>
      </c>
      <c r="H2122" s="608" t="s">
        <v>1175</v>
      </c>
    </row>
    <row r="2123">
      <c r="A2123" s="512" t="s">
        <v>432</v>
      </c>
      <c r="B2123" s="512" t="s">
        <v>449</v>
      </c>
      <c r="C2123" s="605">
        <v>45928.0</v>
      </c>
      <c r="D2123" s="512">
        <v>4.2313415157E10</v>
      </c>
      <c r="E2123" s="661" t="s">
        <v>4324</v>
      </c>
      <c r="F2123" s="656" t="s">
        <v>436</v>
      </c>
      <c r="G2123" s="606" t="s">
        <v>4325</v>
      </c>
      <c r="H2123" s="608" t="s">
        <v>1175</v>
      </c>
    </row>
    <row r="2124">
      <c r="A2124" s="512" t="s">
        <v>690</v>
      </c>
      <c r="B2124" s="512" t="s">
        <v>449</v>
      </c>
      <c r="C2124" s="605">
        <v>45928.0</v>
      </c>
      <c r="D2124" s="512">
        <v>4.2073010343E10</v>
      </c>
      <c r="E2124" s="606" t="s">
        <v>4326</v>
      </c>
      <c r="F2124" s="656" t="s">
        <v>436</v>
      </c>
      <c r="G2124" s="606" t="s">
        <v>2379</v>
      </c>
      <c r="H2124" s="608" t="s">
        <v>4156</v>
      </c>
    </row>
    <row r="2125">
      <c r="A2125" s="512" t="s">
        <v>690</v>
      </c>
      <c r="B2125" s="512" t="s">
        <v>449</v>
      </c>
      <c r="C2125" s="605">
        <v>45928.0</v>
      </c>
      <c r="D2125" s="512">
        <v>3.9523537253E10</v>
      </c>
      <c r="E2125" s="606" t="s">
        <v>4327</v>
      </c>
      <c r="F2125" s="656" t="s">
        <v>436</v>
      </c>
      <c r="G2125" s="606" t="s">
        <v>4328</v>
      </c>
      <c r="H2125" s="608" t="s">
        <v>4156</v>
      </c>
    </row>
    <row r="2126">
      <c r="A2126" s="512" t="s">
        <v>432</v>
      </c>
      <c r="B2126" s="512" t="s">
        <v>449</v>
      </c>
      <c r="C2126" s="605">
        <v>45928.0</v>
      </c>
      <c r="D2126" s="512">
        <v>3.1917388855E10</v>
      </c>
      <c r="E2126" s="661" t="s">
        <v>4329</v>
      </c>
      <c r="F2126" s="656" t="s">
        <v>436</v>
      </c>
      <c r="G2126" s="606" t="s">
        <v>4330</v>
      </c>
      <c r="H2126" s="608" t="s">
        <v>1175</v>
      </c>
    </row>
    <row r="2127">
      <c r="A2127" s="512" t="s">
        <v>823</v>
      </c>
      <c r="B2127" s="512" t="s">
        <v>449</v>
      </c>
      <c r="C2127" s="605">
        <v>45928.0</v>
      </c>
      <c r="D2127" s="512">
        <v>3.3995954186E10</v>
      </c>
      <c r="E2127" s="606" t="s">
        <v>4331</v>
      </c>
      <c r="F2127" s="656" t="s">
        <v>436</v>
      </c>
      <c r="G2127" s="606" t="s">
        <v>4332</v>
      </c>
      <c r="H2127" s="608" t="s">
        <v>3868</v>
      </c>
    </row>
    <row r="2128">
      <c r="A2128" s="512" t="s">
        <v>432</v>
      </c>
      <c r="B2128" s="512" t="s">
        <v>433</v>
      </c>
      <c r="C2128" s="605">
        <v>45928.0</v>
      </c>
      <c r="D2128" s="512">
        <v>4.0451696431E10</v>
      </c>
      <c r="E2128" s="648" t="s">
        <v>4333</v>
      </c>
      <c r="F2128" s="656" t="s">
        <v>436</v>
      </c>
      <c r="G2128" s="606" t="s">
        <v>4334</v>
      </c>
      <c r="H2128" s="608" t="s">
        <v>1175</v>
      </c>
    </row>
    <row r="2129">
      <c r="A2129" s="512" t="s">
        <v>823</v>
      </c>
      <c r="B2129" s="512" t="s">
        <v>449</v>
      </c>
      <c r="C2129" s="605">
        <v>45928.0</v>
      </c>
      <c r="D2129" s="512">
        <v>4.0071103137E10</v>
      </c>
      <c r="E2129" s="606" t="s">
        <v>4335</v>
      </c>
      <c r="F2129" s="656" t="s">
        <v>436</v>
      </c>
      <c r="G2129" s="606" t="s">
        <v>1295</v>
      </c>
      <c r="H2129" s="608" t="s">
        <v>3868</v>
      </c>
    </row>
    <row r="2130">
      <c r="A2130" s="512" t="s">
        <v>823</v>
      </c>
      <c r="B2130" s="512" t="s">
        <v>449</v>
      </c>
      <c r="C2130" s="605">
        <v>45929.0</v>
      </c>
      <c r="D2130" s="512">
        <v>4.225791568E10</v>
      </c>
      <c r="E2130" s="619" t="s">
        <v>4336</v>
      </c>
      <c r="F2130" s="656" t="s">
        <v>436</v>
      </c>
      <c r="G2130" s="606" t="s">
        <v>4208</v>
      </c>
      <c r="H2130" s="608" t="s">
        <v>3868</v>
      </c>
    </row>
    <row r="2131">
      <c r="A2131" s="512" t="s">
        <v>432</v>
      </c>
      <c r="B2131" s="512" t="s">
        <v>449</v>
      </c>
      <c r="C2131" s="605">
        <v>45929.0</v>
      </c>
      <c r="D2131" s="512">
        <v>4.0511534851E10</v>
      </c>
      <c r="E2131" s="648" t="s">
        <v>4337</v>
      </c>
      <c r="F2131" s="656" t="s">
        <v>436</v>
      </c>
      <c r="G2131" s="606" t="s">
        <v>4338</v>
      </c>
      <c r="H2131" s="608" t="s">
        <v>1175</v>
      </c>
    </row>
    <row r="2132">
      <c r="A2132" s="512" t="s">
        <v>439</v>
      </c>
      <c r="B2132" s="512" t="s">
        <v>449</v>
      </c>
      <c r="C2132" s="605">
        <v>45929.0</v>
      </c>
      <c r="D2132" s="512">
        <v>4.2198271219E10</v>
      </c>
      <c r="E2132" s="606" t="s">
        <v>4314</v>
      </c>
      <c r="F2132" s="656" t="s">
        <v>436</v>
      </c>
      <c r="G2132" s="606" t="s">
        <v>2031</v>
      </c>
      <c r="H2132" s="608" t="s">
        <v>4078</v>
      </c>
    </row>
    <row r="2133">
      <c r="A2133" s="512" t="s">
        <v>432</v>
      </c>
      <c r="B2133" s="512" t="s">
        <v>449</v>
      </c>
      <c r="C2133" s="605">
        <v>45929.0</v>
      </c>
      <c r="D2133" s="512">
        <v>4.2349509828E10</v>
      </c>
      <c r="E2133" s="648" t="s">
        <v>4240</v>
      </c>
      <c r="F2133" s="656" t="s">
        <v>436</v>
      </c>
      <c r="G2133" s="606" t="s">
        <v>4339</v>
      </c>
      <c r="H2133" s="608" t="s">
        <v>1175</v>
      </c>
    </row>
    <row r="2134">
      <c r="A2134" s="512" t="s">
        <v>432</v>
      </c>
      <c r="B2134" s="512" t="s">
        <v>449</v>
      </c>
      <c r="C2134" s="605">
        <v>45929.0</v>
      </c>
      <c r="D2134" s="512">
        <v>3.2942334577E10</v>
      </c>
      <c r="E2134" s="648" t="s">
        <v>4340</v>
      </c>
      <c r="F2134" s="656" t="s">
        <v>436</v>
      </c>
      <c r="G2134" s="606" t="s">
        <v>4341</v>
      </c>
      <c r="H2134" s="608" t="s">
        <v>1175</v>
      </c>
    </row>
    <row r="2135">
      <c r="A2135" s="512" t="s">
        <v>432</v>
      </c>
      <c r="B2135" s="512" t="s">
        <v>449</v>
      </c>
      <c r="C2135" s="605">
        <v>45929.0</v>
      </c>
      <c r="D2135" s="512">
        <v>4.2063599495E10</v>
      </c>
      <c r="E2135" s="661" t="s">
        <v>4342</v>
      </c>
      <c r="F2135" s="656" t="s">
        <v>436</v>
      </c>
      <c r="G2135" s="606" t="s">
        <v>4343</v>
      </c>
      <c r="H2135" s="608" t="s">
        <v>1175</v>
      </c>
    </row>
    <row r="2136">
      <c r="A2136" s="512" t="s">
        <v>432</v>
      </c>
      <c r="B2136" s="512" t="s">
        <v>449</v>
      </c>
      <c r="C2136" s="605">
        <v>45929.0</v>
      </c>
      <c r="D2136" s="512">
        <v>3.6843679086E10</v>
      </c>
      <c r="E2136" s="648" t="s">
        <v>4344</v>
      </c>
      <c r="F2136" s="656" t="s">
        <v>436</v>
      </c>
      <c r="G2136" s="606" t="s">
        <v>4345</v>
      </c>
      <c r="H2136" s="608" t="s">
        <v>1175</v>
      </c>
    </row>
    <row r="2137">
      <c r="A2137" s="512" t="s">
        <v>823</v>
      </c>
      <c r="B2137" s="512" t="s">
        <v>449</v>
      </c>
      <c r="C2137" s="605">
        <v>45929.0</v>
      </c>
      <c r="D2137" s="512">
        <v>4.097637576E10</v>
      </c>
      <c r="E2137" s="606" t="s">
        <v>4346</v>
      </c>
      <c r="F2137" s="656" t="s">
        <v>436</v>
      </c>
      <c r="G2137" s="606" t="s">
        <v>3731</v>
      </c>
      <c r="H2137" s="608" t="s">
        <v>3868</v>
      </c>
    </row>
    <row r="2138">
      <c r="A2138" s="512" t="s">
        <v>823</v>
      </c>
      <c r="B2138" s="512" t="s">
        <v>449</v>
      </c>
      <c r="C2138" s="605">
        <v>45929.0</v>
      </c>
      <c r="D2138" s="512">
        <v>2.6197602672E10</v>
      </c>
      <c r="E2138" s="606" t="s">
        <v>4347</v>
      </c>
      <c r="F2138" s="656" t="s">
        <v>436</v>
      </c>
      <c r="G2138" s="640"/>
      <c r="H2138" s="608" t="s">
        <v>3868</v>
      </c>
    </row>
    <row r="2139">
      <c r="A2139" s="512" t="s">
        <v>823</v>
      </c>
      <c r="B2139" s="512" t="s">
        <v>449</v>
      </c>
      <c r="C2139" s="605">
        <v>45929.0</v>
      </c>
      <c r="D2139" s="512">
        <v>3.8327467992E10</v>
      </c>
      <c r="E2139" s="606" t="s">
        <v>4348</v>
      </c>
      <c r="F2139" s="656" t="s">
        <v>436</v>
      </c>
      <c r="G2139" s="640"/>
      <c r="H2139" s="608" t="s">
        <v>3868</v>
      </c>
    </row>
    <row r="2140">
      <c r="A2140" s="512" t="s">
        <v>432</v>
      </c>
      <c r="B2140" s="512" t="s">
        <v>433</v>
      </c>
      <c r="C2140" s="605">
        <v>45930.0</v>
      </c>
      <c r="D2140" s="512">
        <v>4.1835924473E10</v>
      </c>
      <c r="E2140" s="606" t="s">
        <v>4349</v>
      </c>
      <c r="F2140" s="656" t="s">
        <v>436</v>
      </c>
      <c r="G2140" s="606" t="s">
        <v>4350</v>
      </c>
      <c r="H2140" s="608" t="s">
        <v>686</v>
      </c>
    </row>
    <row r="2141">
      <c r="A2141" s="512" t="s">
        <v>432</v>
      </c>
      <c r="B2141" s="512" t="s">
        <v>449</v>
      </c>
      <c r="C2141" s="605">
        <v>45930.0</v>
      </c>
      <c r="D2141" s="512">
        <v>3.7749911469E10</v>
      </c>
      <c r="E2141" s="606" t="s">
        <v>4351</v>
      </c>
      <c r="F2141" s="656" t="s">
        <v>436</v>
      </c>
      <c r="G2141" s="606" t="s">
        <v>3717</v>
      </c>
      <c r="H2141" s="608" t="s">
        <v>686</v>
      </c>
    </row>
    <row r="2142">
      <c r="A2142" s="512" t="s">
        <v>823</v>
      </c>
      <c r="B2142" s="512" t="s">
        <v>3721</v>
      </c>
      <c r="C2142" s="605">
        <v>45930.0</v>
      </c>
      <c r="D2142" s="512">
        <v>3.6616487329E10</v>
      </c>
      <c r="E2142" s="606" t="s">
        <v>4352</v>
      </c>
      <c r="F2142" s="656" t="s">
        <v>436</v>
      </c>
      <c r="G2142" s="606" t="s">
        <v>4353</v>
      </c>
      <c r="H2142" s="608" t="s">
        <v>3332</v>
      </c>
    </row>
    <row r="2143">
      <c r="A2143" s="512" t="s">
        <v>823</v>
      </c>
      <c r="B2143" s="512" t="s">
        <v>3721</v>
      </c>
      <c r="C2143" s="605">
        <v>45930.0</v>
      </c>
      <c r="D2143" s="512">
        <v>3.624347085E10</v>
      </c>
      <c r="E2143" s="606" t="s">
        <v>4354</v>
      </c>
      <c r="F2143" s="656" t="s">
        <v>436</v>
      </c>
      <c r="G2143" s="606" t="s">
        <v>1940</v>
      </c>
      <c r="H2143" s="608" t="s">
        <v>3332</v>
      </c>
    </row>
    <row r="2144">
      <c r="A2144" s="512" t="s">
        <v>432</v>
      </c>
      <c r="B2144" s="512" t="s">
        <v>449</v>
      </c>
      <c r="C2144" s="605">
        <v>45930.0</v>
      </c>
      <c r="D2144" s="512">
        <v>3.5952618723E10</v>
      </c>
      <c r="E2144" s="606" t="s">
        <v>4355</v>
      </c>
      <c r="F2144" s="656" t="s">
        <v>436</v>
      </c>
      <c r="G2144" s="606" t="s">
        <v>4356</v>
      </c>
      <c r="H2144" s="608" t="s">
        <v>686</v>
      </c>
    </row>
    <row r="2145">
      <c r="A2145" s="512" t="s">
        <v>823</v>
      </c>
      <c r="B2145" s="512" t="s">
        <v>449</v>
      </c>
      <c r="C2145" s="605">
        <v>45930.0</v>
      </c>
      <c r="D2145" s="512">
        <v>6.747093533E9</v>
      </c>
      <c r="E2145" s="606" t="s">
        <v>4357</v>
      </c>
      <c r="F2145" s="656" t="s">
        <v>436</v>
      </c>
      <c r="G2145" s="606" t="s">
        <v>4358</v>
      </c>
      <c r="H2145" s="608" t="s">
        <v>3332</v>
      </c>
    </row>
    <row r="2146">
      <c r="A2146" s="512" t="s">
        <v>823</v>
      </c>
      <c r="B2146" s="512" t="s">
        <v>3721</v>
      </c>
      <c r="C2146" s="605">
        <v>45930.0</v>
      </c>
      <c r="D2146" s="512" t="s">
        <v>4359</v>
      </c>
      <c r="E2146" s="606" t="s">
        <v>4360</v>
      </c>
      <c r="F2146" s="656" t="s">
        <v>436</v>
      </c>
      <c r="G2146" s="606" t="s">
        <v>4361</v>
      </c>
      <c r="H2146" s="608" t="s">
        <v>3332</v>
      </c>
    </row>
    <row r="2147">
      <c r="A2147" s="512" t="s">
        <v>823</v>
      </c>
      <c r="B2147" s="512" t="s">
        <v>449</v>
      </c>
      <c r="C2147" s="605">
        <v>45930.0</v>
      </c>
      <c r="D2147" s="512">
        <v>3.6616912105E10</v>
      </c>
      <c r="E2147" s="606" t="s">
        <v>4362</v>
      </c>
      <c r="F2147" s="656" t="s">
        <v>436</v>
      </c>
      <c r="G2147" s="606" t="s">
        <v>4361</v>
      </c>
      <c r="H2147" s="608" t="s">
        <v>3332</v>
      </c>
    </row>
    <row r="2148">
      <c r="A2148" s="512" t="s">
        <v>432</v>
      </c>
      <c r="B2148" s="512" t="s">
        <v>449</v>
      </c>
      <c r="C2148" s="605">
        <v>45930.0</v>
      </c>
      <c r="D2148" s="512">
        <v>3.5280213155E10</v>
      </c>
      <c r="E2148" s="606" t="s">
        <v>4363</v>
      </c>
      <c r="F2148" s="656" t="s">
        <v>436</v>
      </c>
      <c r="G2148" s="606" t="s">
        <v>3684</v>
      </c>
      <c r="H2148" s="608" t="s">
        <v>686</v>
      </c>
    </row>
    <row r="2149">
      <c r="A2149" s="512" t="s">
        <v>617</v>
      </c>
      <c r="B2149" s="512" t="s">
        <v>449</v>
      </c>
      <c r="C2149" s="605">
        <v>45930.0</v>
      </c>
      <c r="D2149" s="512">
        <v>4.0846213624E10</v>
      </c>
      <c r="E2149" s="606" t="s">
        <v>4364</v>
      </c>
      <c r="F2149" s="656" t="s">
        <v>436</v>
      </c>
      <c r="G2149" s="606" t="s">
        <v>1642</v>
      </c>
      <c r="H2149" s="608" t="s">
        <v>696</v>
      </c>
    </row>
    <row r="2150">
      <c r="A2150" s="512" t="s">
        <v>823</v>
      </c>
      <c r="B2150" s="512" t="s">
        <v>449</v>
      </c>
      <c r="C2150" s="605">
        <v>45930.0</v>
      </c>
      <c r="D2150" s="512">
        <v>3.09551703E9</v>
      </c>
      <c r="E2150" s="606" t="s">
        <v>4357</v>
      </c>
      <c r="F2150" s="656" t="s">
        <v>436</v>
      </c>
      <c r="G2150" s="606" t="s">
        <v>1136</v>
      </c>
      <c r="H2150" s="608" t="s">
        <v>3332</v>
      </c>
    </row>
    <row r="2151">
      <c r="A2151" s="512" t="s">
        <v>617</v>
      </c>
      <c r="B2151" s="512" t="s">
        <v>449</v>
      </c>
      <c r="C2151" s="605">
        <v>45930.0</v>
      </c>
      <c r="D2151" s="512">
        <v>3.8976442818E10</v>
      </c>
      <c r="E2151" s="606" t="s">
        <v>4365</v>
      </c>
      <c r="F2151" s="656" t="s">
        <v>436</v>
      </c>
      <c r="G2151" s="606" t="s">
        <v>4366</v>
      </c>
      <c r="H2151" s="608" t="s">
        <v>696</v>
      </c>
    </row>
    <row r="2152">
      <c r="A2152" s="512" t="s">
        <v>439</v>
      </c>
      <c r="B2152" s="512" t="s">
        <v>433</v>
      </c>
      <c r="C2152" s="605">
        <v>45930.0</v>
      </c>
      <c r="D2152" s="512">
        <v>4.2253814482E10</v>
      </c>
      <c r="E2152" s="606" t="s">
        <v>4298</v>
      </c>
      <c r="F2152" s="656" t="s">
        <v>436</v>
      </c>
      <c r="G2152" s="606" t="s">
        <v>4367</v>
      </c>
      <c r="H2152" s="608" t="s">
        <v>4078</v>
      </c>
    </row>
    <row r="2153">
      <c r="A2153" s="512" t="s">
        <v>823</v>
      </c>
      <c r="B2153" s="512" t="s">
        <v>449</v>
      </c>
      <c r="C2153" s="605">
        <v>45930.0</v>
      </c>
      <c r="D2153" s="512" t="s">
        <v>4368</v>
      </c>
      <c r="E2153" s="606" t="s">
        <v>4369</v>
      </c>
      <c r="F2153" s="656" t="s">
        <v>436</v>
      </c>
      <c r="G2153" s="606" t="s">
        <v>4370</v>
      </c>
      <c r="H2153" s="608" t="s">
        <v>3332</v>
      </c>
    </row>
    <row r="2154">
      <c r="A2154" s="512" t="s">
        <v>823</v>
      </c>
      <c r="B2154" s="512" t="s">
        <v>449</v>
      </c>
      <c r="C2154" s="605">
        <v>45930.0</v>
      </c>
      <c r="D2154" s="512">
        <v>4.21558453E10</v>
      </c>
      <c r="E2154" s="606" t="s">
        <v>4357</v>
      </c>
      <c r="F2154" s="656" t="s">
        <v>436</v>
      </c>
      <c r="G2154" s="606" t="s">
        <v>3904</v>
      </c>
      <c r="H2154" s="608" t="s">
        <v>3332</v>
      </c>
    </row>
    <row r="2155">
      <c r="A2155" s="512" t="s">
        <v>823</v>
      </c>
      <c r="B2155" s="512" t="s">
        <v>449</v>
      </c>
      <c r="C2155" s="605">
        <v>45930.0</v>
      </c>
      <c r="D2155" s="512">
        <v>3.4224756892E10</v>
      </c>
      <c r="E2155" s="606" t="s">
        <v>4371</v>
      </c>
      <c r="F2155" s="656" t="s">
        <v>436</v>
      </c>
      <c r="G2155" s="606" t="s">
        <v>1578</v>
      </c>
      <c r="H2155" s="608" t="s">
        <v>3332</v>
      </c>
    </row>
    <row r="2156">
      <c r="A2156" s="512" t="s">
        <v>823</v>
      </c>
      <c r="B2156" s="512" t="s">
        <v>3721</v>
      </c>
      <c r="C2156" s="605">
        <v>45930.0</v>
      </c>
      <c r="D2156" s="512">
        <v>3.7387149966E10</v>
      </c>
      <c r="E2156" s="606" t="s">
        <v>4372</v>
      </c>
      <c r="F2156" s="656" t="s">
        <v>436</v>
      </c>
      <c r="G2156" s="606" t="s">
        <v>1809</v>
      </c>
      <c r="H2156" s="608" t="s">
        <v>3332</v>
      </c>
    </row>
    <row r="2157">
      <c r="A2157" s="512" t="s">
        <v>617</v>
      </c>
      <c r="B2157" s="512" t="s">
        <v>449</v>
      </c>
      <c r="C2157" s="605">
        <v>45931.0</v>
      </c>
      <c r="D2157" s="512">
        <v>4.2453641019E10</v>
      </c>
      <c r="E2157" s="606" t="s">
        <v>4373</v>
      </c>
      <c r="F2157" s="656" t="s">
        <v>436</v>
      </c>
      <c r="G2157" s="606" t="s">
        <v>4374</v>
      </c>
      <c r="H2157" s="608" t="s">
        <v>696</v>
      </c>
    </row>
    <row r="2158">
      <c r="A2158" s="512" t="s">
        <v>432</v>
      </c>
      <c r="B2158" s="512" t="s">
        <v>449</v>
      </c>
      <c r="C2158" s="605">
        <v>45931.0</v>
      </c>
      <c r="D2158" s="512"/>
      <c r="E2158" s="606"/>
      <c r="F2158" s="656" t="s">
        <v>436</v>
      </c>
      <c r="G2158" s="606" t="s">
        <v>1081</v>
      </c>
      <c r="H2158" s="608" t="s">
        <v>686</v>
      </c>
    </row>
    <row r="2159">
      <c r="A2159" s="512" t="s">
        <v>823</v>
      </c>
      <c r="B2159" s="512" t="s">
        <v>449</v>
      </c>
      <c r="C2159" s="605">
        <v>45931.0</v>
      </c>
      <c r="D2159" s="512">
        <v>2.6197464359E10</v>
      </c>
      <c r="E2159" s="606" t="s">
        <v>4375</v>
      </c>
      <c r="F2159" s="656" t="s">
        <v>436</v>
      </c>
      <c r="G2159" s="606" t="s">
        <v>4376</v>
      </c>
      <c r="H2159" s="608" t="s">
        <v>3332</v>
      </c>
    </row>
    <row r="2160">
      <c r="A2160" s="512" t="s">
        <v>823</v>
      </c>
      <c r="B2160" s="512" t="s">
        <v>449</v>
      </c>
      <c r="C2160" s="618">
        <v>45931.0</v>
      </c>
      <c r="D2160" s="546">
        <v>3.8723357618E10</v>
      </c>
      <c r="E2160" s="619" t="s">
        <v>4377</v>
      </c>
      <c r="F2160" s="655" t="s">
        <v>436</v>
      </c>
      <c r="G2160" s="619" t="s">
        <v>4378</v>
      </c>
      <c r="H2160" s="629" t="s">
        <v>3332</v>
      </c>
    </row>
    <row r="2161">
      <c r="A2161" s="512" t="s">
        <v>823</v>
      </c>
      <c r="B2161" s="512" t="s">
        <v>449</v>
      </c>
      <c r="C2161" s="605">
        <v>45931.0</v>
      </c>
      <c r="D2161" s="512">
        <v>2.8647739366E10</v>
      </c>
      <c r="E2161" s="606" t="s">
        <v>4379</v>
      </c>
      <c r="F2161" s="656" t="s">
        <v>436</v>
      </c>
      <c r="G2161" s="606" t="s">
        <v>4380</v>
      </c>
      <c r="H2161" s="608" t="s">
        <v>3332</v>
      </c>
    </row>
    <row r="2162">
      <c r="A2162" s="512" t="s">
        <v>432</v>
      </c>
      <c r="B2162" s="512" t="s">
        <v>449</v>
      </c>
      <c r="C2162" s="605">
        <v>45931.0</v>
      </c>
      <c r="D2162" s="512">
        <v>3.4051182999E10</v>
      </c>
      <c r="E2162" s="606" t="s">
        <v>4381</v>
      </c>
      <c r="F2162" s="656" t="s">
        <v>436</v>
      </c>
      <c r="G2162" s="606" t="s">
        <v>771</v>
      </c>
      <c r="H2162" s="608" t="s">
        <v>686</v>
      </c>
    </row>
    <row r="2163">
      <c r="A2163" s="512" t="s">
        <v>432</v>
      </c>
      <c r="B2163" s="512" t="s">
        <v>433</v>
      </c>
      <c r="C2163" s="605">
        <v>45931.0</v>
      </c>
      <c r="D2163" s="512">
        <v>3.286661644E10</v>
      </c>
      <c r="E2163" s="606" t="s">
        <v>4382</v>
      </c>
      <c r="F2163" s="656" t="s">
        <v>436</v>
      </c>
      <c r="G2163" s="606" t="s">
        <v>3492</v>
      </c>
      <c r="H2163" s="608" t="s">
        <v>686</v>
      </c>
    </row>
    <row r="2164">
      <c r="A2164" s="512" t="s">
        <v>617</v>
      </c>
      <c r="B2164" s="512" t="s">
        <v>449</v>
      </c>
      <c r="C2164" s="605">
        <v>45931.0</v>
      </c>
      <c r="D2164" s="512">
        <v>3.5899549611E10</v>
      </c>
      <c r="E2164" s="606" t="s">
        <v>4383</v>
      </c>
      <c r="F2164" s="656" t="s">
        <v>436</v>
      </c>
      <c r="G2164" s="640"/>
      <c r="H2164" s="608" t="s">
        <v>696</v>
      </c>
    </row>
    <row r="2165">
      <c r="A2165" s="512" t="s">
        <v>432</v>
      </c>
      <c r="B2165" s="512" t="s">
        <v>449</v>
      </c>
      <c r="C2165" s="605">
        <v>45932.0</v>
      </c>
      <c r="D2165" s="512">
        <v>3.2886598799E10</v>
      </c>
      <c r="E2165" s="606" t="s">
        <v>4384</v>
      </c>
      <c r="F2165" s="656" t="s">
        <v>436</v>
      </c>
      <c r="G2165" s="606" t="s">
        <v>4385</v>
      </c>
      <c r="H2165" s="608" t="s">
        <v>1175</v>
      </c>
    </row>
    <row r="2166">
      <c r="A2166" s="512" t="s">
        <v>823</v>
      </c>
      <c r="B2166" s="512" t="s">
        <v>4386</v>
      </c>
      <c r="C2166" s="605">
        <v>45932.0</v>
      </c>
      <c r="D2166" s="512">
        <v>3.4155507303E10</v>
      </c>
      <c r="E2166" s="606" t="s">
        <v>4387</v>
      </c>
      <c r="F2166" s="656" t="s">
        <v>436</v>
      </c>
      <c r="G2166" s="606" t="s">
        <v>1559</v>
      </c>
      <c r="H2166" s="608" t="s">
        <v>3868</v>
      </c>
    </row>
    <row r="2167">
      <c r="A2167" s="512" t="s">
        <v>432</v>
      </c>
      <c r="B2167" s="512" t="s">
        <v>4386</v>
      </c>
      <c r="C2167" s="605">
        <v>45932.0</v>
      </c>
      <c r="D2167" s="512">
        <v>3.51079423E10</v>
      </c>
      <c r="E2167" s="648" t="s">
        <v>4388</v>
      </c>
      <c r="F2167" s="656" t="s">
        <v>436</v>
      </c>
      <c r="G2167" s="606" t="s">
        <v>4389</v>
      </c>
      <c r="H2167" s="608" t="s">
        <v>1175</v>
      </c>
    </row>
    <row r="2168">
      <c r="A2168" s="512" t="s">
        <v>432</v>
      </c>
      <c r="B2168" s="512" t="s">
        <v>4386</v>
      </c>
      <c r="C2168" s="605">
        <v>45932.0</v>
      </c>
      <c r="D2168" s="512">
        <v>4.087110737E10</v>
      </c>
      <c r="E2168" s="648" t="s">
        <v>4390</v>
      </c>
      <c r="F2168" s="656" t="s">
        <v>436</v>
      </c>
      <c r="G2168" s="606" t="s">
        <v>4391</v>
      </c>
      <c r="H2168" s="608" t="s">
        <v>1175</v>
      </c>
    </row>
    <row r="2169">
      <c r="A2169" s="512" t="s">
        <v>432</v>
      </c>
      <c r="B2169" s="512" t="s">
        <v>3583</v>
      </c>
      <c r="C2169" s="605">
        <v>45932.0</v>
      </c>
      <c r="D2169" s="512">
        <v>3.7412780041E10</v>
      </c>
      <c r="E2169" s="661" t="s">
        <v>4392</v>
      </c>
      <c r="F2169" s="656" t="s">
        <v>436</v>
      </c>
      <c r="G2169" s="606" t="s">
        <v>4393</v>
      </c>
      <c r="H2169" s="608" t="s">
        <v>1175</v>
      </c>
    </row>
    <row r="2170">
      <c r="A2170" s="512" t="s">
        <v>432</v>
      </c>
      <c r="B2170" s="512" t="s">
        <v>4386</v>
      </c>
      <c r="C2170" s="605">
        <v>45932.0</v>
      </c>
      <c r="D2170" s="512">
        <v>3.8075714853E10</v>
      </c>
      <c r="E2170" s="648" t="s">
        <v>4394</v>
      </c>
      <c r="F2170" s="656" t="s">
        <v>436</v>
      </c>
      <c r="G2170" s="606" t="s">
        <v>4395</v>
      </c>
      <c r="H2170" s="608" t="s">
        <v>1175</v>
      </c>
    </row>
    <row r="2171">
      <c r="A2171" s="512" t="s">
        <v>432</v>
      </c>
      <c r="B2171" s="512" t="s">
        <v>4386</v>
      </c>
      <c r="C2171" s="605">
        <v>45932.0</v>
      </c>
      <c r="D2171" s="512">
        <v>3.8151268858E10</v>
      </c>
      <c r="E2171" s="606" t="s">
        <v>4396</v>
      </c>
      <c r="F2171" s="656" t="s">
        <v>436</v>
      </c>
      <c r="G2171" s="606" t="s">
        <v>4397</v>
      </c>
      <c r="H2171" s="608" t="s">
        <v>1175</v>
      </c>
    </row>
    <row r="2172">
      <c r="A2172" s="512" t="s">
        <v>432</v>
      </c>
      <c r="B2172" s="512" t="s">
        <v>4386</v>
      </c>
      <c r="C2172" s="605">
        <v>45932.0</v>
      </c>
      <c r="D2172" s="512">
        <v>3.6055465958E10</v>
      </c>
      <c r="E2172" s="606" t="s">
        <v>4398</v>
      </c>
      <c r="F2172" s="656" t="s">
        <v>436</v>
      </c>
      <c r="G2172" s="606" t="s">
        <v>4399</v>
      </c>
      <c r="H2172" s="608" t="s">
        <v>1175</v>
      </c>
    </row>
    <row r="2173">
      <c r="A2173" s="512" t="s">
        <v>432</v>
      </c>
      <c r="B2173" s="512" t="s">
        <v>4386</v>
      </c>
      <c r="C2173" s="605">
        <v>45932.0</v>
      </c>
      <c r="D2173" s="512">
        <v>3.5631251034E10</v>
      </c>
      <c r="E2173" s="648" t="s">
        <v>4400</v>
      </c>
      <c r="F2173" s="656" t="s">
        <v>436</v>
      </c>
      <c r="G2173" s="606" t="s">
        <v>4401</v>
      </c>
      <c r="H2173" s="608" t="s">
        <v>1175</v>
      </c>
    </row>
    <row r="2174">
      <c r="A2174" s="512" t="s">
        <v>823</v>
      </c>
      <c r="B2174" s="512" t="s">
        <v>4402</v>
      </c>
      <c r="C2174" s="605">
        <v>45932.0</v>
      </c>
      <c r="D2174" s="512">
        <v>3.4115536243E10</v>
      </c>
      <c r="E2174" s="606" t="s">
        <v>4403</v>
      </c>
      <c r="F2174" s="656" t="s">
        <v>436</v>
      </c>
      <c r="G2174" s="640"/>
      <c r="H2174" s="608" t="s">
        <v>3868</v>
      </c>
    </row>
    <row r="2175">
      <c r="A2175" s="512" t="s">
        <v>823</v>
      </c>
      <c r="B2175" s="512" t="s">
        <v>4386</v>
      </c>
      <c r="C2175" s="605">
        <v>45932.0</v>
      </c>
      <c r="D2175" s="512">
        <v>3.9506932662E10</v>
      </c>
      <c r="E2175" s="606" t="s">
        <v>4404</v>
      </c>
      <c r="F2175" s="656" t="s">
        <v>436</v>
      </c>
      <c r="G2175" s="640"/>
      <c r="H2175" s="608" t="s">
        <v>3868</v>
      </c>
    </row>
    <row r="2176">
      <c r="A2176" s="512" t="s">
        <v>823</v>
      </c>
      <c r="B2176" s="512" t="s">
        <v>4405</v>
      </c>
      <c r="C2176" s="605">
        <v>45933.0</v>
      </c>
      <c r="D2176" s="512">
        <v>3.8563919859E10</v>
      </c>
      <c r="E2176" s="606" t="s">
        <v>4406</v>
      </c>
      <c r="F2176" s="656" t="s">
        <v>436</v>
      </c>
      <c r="G2176" s="606" t="s">
        <v>4407</v>
      </c>
      <c r="H2176" s="608" t="s">
        <v>4408</v>
      </c>
    </row>
    <row r="2177">
      <c r="A2177" s="512" t="s">
        <v>823</v>
      </c>
      <c r="B2177" s="512" t="s">
        <v>4405</v>
      </c>
      <c r="C2177" s="605">
        <v>45933.0</v>
      </c>
      <c r="D2177" s="512">
        <v>3.2174562376E10</v>
      </c>
      <c r="E2177" s="606" t="s">
        <v>4409</v>
      </c>
      <c r="F2177" s="656" t="s">
        <v>436</v>
      </c>
      <c r="G2177" s="606" t="s">
        <v>3968</v>
      </c>
      <c r="H2177" s="608" t="s">
        <v>4408</v>
      </c>
    </row>
    <row r="2178">
      <c r="A2178" s="512" t="s">
        <v>432</v>
      </c>
      <c r="B2178" s="512" t="s">
        <v>4405</v>
      </c>
      <c r="C2178" s="605">
        <v>45933.0</v>
      </c>
      <c r="D2178" s="512">
        <v>2.9764959526E10</v>
      </c>
      <c r="E2178" s="648" t="s">
        <v>4410</v>
      </c>
      <c r="F2178" s="656" t="s">
        <v>436</v>
      </c>
      <c r="G2178" s="606" t="s">
        <v>4411</v>
      </c>
      <c r="H2178" s="608" t="s">
        <v>1175</v>
      </c>
    </row>
    <row r="2179">
      <c r="A2179" s="512" t="s">
        <v>823</v>
      </c>
      <c r="B2179" s="512" t="s">
        <v>4405</v>
      </c>
      <c r="C2179" s="605">
        <v>45933.0</v>
      </c>
      <c r="D2179" s="512">
        <v>3.4075781861E10</v>
      </c>
      <c r="E2179" s="606" t="s">
        <v>4412</v>
      </c>
      <c r="F2179" s="656" t="s">
        <v>436</v>
      </c>
      <c r="G2179" s="606" t="s">
        <v>1122</v>
      </c>
      <c r="H2179" s="608" t="s">
        <v>4408</v>
      </c>
    </row>
    <row r="2180">
      <c r="A2180" s="512" t="s">
        <v>439</v>
      </c>
      <c r="B2180" s="512" t="s">
        <v>4386</v>
      </c>
      <c r="C2180" s="605">
        <v>45933.0</v>
      </c>
      <c r="D2180" s="512">
        <v>3.7820815398E10</v>
      </c>
      <c r="E2180" s="606" t="s">
        <v>4413</v>
      </c>
      <c r="F2180" s="656" t="s">
        <v>436</v>
      </c>
      <c r="G2180" s="606" t="s">
        <v>4414</v>
      </c>
      <c r="H2180" s="608" t="s">
        <v>1608</v>
      </c>
    </row>
    <row r="2181">
      <c r="A2181" s="512" t="s">
        <v>439</v>
      </c>
      <c r="B2181" s="512" t="s">
        <v>4405</v>
      </c>
      <c r="C2181" s="605">
        <v>45933.0</v>
      </c>
      <c r="D2181" s="512">
        <v>4.2347184521E10</v>
      </c>
      <c r="E2181" s="606" t="s">
        <v>4415</v>
      </c>
      <c r="F2181" s="656" t="s">
        <v>436</v>
      </c>
      <c r="G2181" s="606" t="s">
        <v>3829</v>
      </c>
      <c r="H2181" s="608" t="s">
        <v>1608</v>
      </c>
    </row>
    <row r="2182">
      <c r="A2182" s="512" t="s">
        <v>432</v>
      </c>
      <c r="B2182" s="512" t="s">
        <v>4386</v>
      </c>
      <c r="C2182" s="605">
        <v>45933.0</v>
      </c>
      <c r="D2182" s="512">
        <v>1.593963382E10</v>
      </c>
      <c r="E2182" s="648" t="s">
        <v>4416</v>
      </c>
      <c r="F2182" s="656" t="s">
        <v>436</v>
      </c>
      <c r="G2182" s="606" t="s">
        <v>4417</v>
      </c>
      <c r="H2182" s="608" t="s">
        <v>1175</v>
      </c>
    </row>
    <row r="2183">
      <c r="A2183" s="512" t="s">
        <v>432</v>
      </c>
      <c r="B2183" s="512" t="s">
        <v>4386</v>
      </c>
      <c r="C2183" s="605">
        <v>45933.0</v>
      </c>
      <c r="D2183" s="512">
        <v>4.2258810111E10</v>
      </c>
      <c r="E2183" s="648" t="s">
        <v>4418</v>
      </c>
      <c r="F2183" s="656" t="s">
        <v>436</v>
      </c>
      <c r="G2183" s="606" t="s">
        <v>4419</v>
      </c>
      <c r="H2183" s="608" t="s">
        <v>1175</v>
      </c>
    </row>
    <row r="2184">
      <c r="A2184" s="512" t="s">
        <v>432</v>
      </c>
      <c r="B2184" s="512" t="s">
        <v>4405</v>
      </c>
      <c r="C2184" s="605">
        <v>45934.0</v>
      </c>
      <c r="D2184" s="512">
        <v>3.8298928414E10</v>
      </c>
      <c r="E2184" s="606" t="s">
        <v>4420</v>
      </c>
      <c r="F2184" s="656" t="s">
        <v>436</v>
      </c>
      <c r="G2184" s="606" t="s">
        <v>4421</v>
      </c>
      <c r="H2184" s="608" t="s">
        <v>686</v>
      </c>
    </row>
    <row r="2185">
      <c r="A2185" s="512" t="s">
        <v>432</v>
      </c>
      <c r="B2185" s="512" t="s">
        <v>4386</v>
      </c>
      <c r="C2185" s="605">
        <v>45934.0</v>
      </c>
      <c r="D2185" s="512">
        <v>4.1957605682E10</v>
      </c>
      <c r="E2185" s="606" t="s">
        <v>4422</v>
      </c>
      <c r="F2185" s="656" t="s">
        <v>436</v>
      </c>
      <c r="G2185" s="606" t="s">
        <v>4423</v>
      </c>
      <c r="H2185" s="608" t="s">
        <v>686</v>
      </c>
    </row>
    <row r="2186">
      <c r="A2186" s="512" t="s">
        <v>823</v>
      </c>
      <c r="B2186" s="512" t="s">
        <v>4405</v>
      </c>
      <c r="C2186" s="605">
        <v>45934.0</v>
      </c>
      <c r="D2186" s="512">
        <v>3.9837529144E10</v>
      </c>
      <c r="E2186" s="606" t="s">
        <v>4424</v>
      </c>
      <c r="F2186" s="656" t="s">
        <v>436</v>
      </c>
      <c r="G2186" s="606" t="s">
        <v>3353</v>
      </c>
      <c r="H2186" s="608" t="s">
        <v>3332</v>
      </c>
    </row>
    <row r="2187">
      <c r="A2187" s="512" t="s">
        <v>617</v>
      </c>
      <c r="B2187" s="512" t="s">
        <v>4425</v>
      </c>
      <c r="C2187" s="605">
        <v>45934.0</v>
      </c>
      <c r="D2187" s="512">
        <v>3.5179637161E10</v>
      </c>
      <c r="E2187" s="619" t="s">
        <v>4426</v>
      </c>
      <c r="F2187" s="656" t="s">
        <v>436</v>
      </c>
      <c r="G2187" s="606" t="s">
        <v>4427</v>
      </c>
      <c r="H2187" s="608" t="s">
        <v>696</v>
      </c>
    </row>
    <row r="2188">
      <c r="A2188" s="512" t="s">
        <v>617</v>
      </c>
      <c r="B2188" s="512" t="s">
        <v>449</v>
      </c>
      <c r="C2188" s="605">
        <v>45934.0</v>
      </c>
      <c r="D2188" s="512">
        <v>4.2516547917E10</v>
      </c>
      <c r="E2188" s="606" t="s">
        <v>4373</v>
      </c>
      <c r="F2188" s="656" t="s">
        <v>436</v>
      </c>
      <c r="G2188" s="606" t="s">
        <v>4428</v>
      </c>
      <c r="H2188" s="608" t="s">
        <v>696</v>
      </c>
    </row>
    <row r="2189">
      <c r="A2189" s="512" t="s">
        <v>439</v>
      </c>
      <c r="B2189" s="512" t="s">
        <v>4405</v>
      </c>
      <c r="C2189" s="605">
        <v>45934.0</v>
      </c>
      <c r="D2189" s="512">
        <v>3.1497961184E10</v>
      </c>
      <c r="E2189" s="606" t="s">
        <v>4429</v>
      </c>
      <c r="F2189" s="656" t="s">
        <v>436</v>
      </c>
      <c r="G2189" s="606" t="s">
        <v>4430</v>
      </c>
      <c r="H2189" s="608" t="s">
        <v>1608</v>
      </c>
    </row>
    <row r="2190">
      <c r="A2190" s="512" t="s">
        <v>617</v>
      </c>
      <c r="B2190" s="512" t="s">
        <v>449</v>
      </c>
      <c r="C2190" s="605">
        <v>45934.0</v>
      </c>
      <c r="D2190" s="512">
        <v>3.5516959776E10</v>
      </c>
      <c r="E2190" s="606" t="s">
        <v>85</v>
      </c>
      <c r="F2190" s="656" t="s">
        <v>436</v>
      </c>
      <c r="G2190" s="606" t="s">
        <v>4431</v>
      </c>
      <c r="H2190" s="608" t="s">
        <v>696</v>
      </c>
    </row>
    <row r="2191">
      <c r="A2191" s="512" t="s">
        <v>439</v>
      </c>
      <c r="B2191" s="512" t="s">
        <v>4386</v>
      </c>
      <c r="C2191" s="605">
        <v>45934.0</v>
      </c>
      <c r="D2191" s="512">
        <v>3.5995635012E10</v>
      </c>
      <c r="E2191" s="606" t="s">
        <v>4432</v>
      </c>
      <c r="F2191" s="656" t="s">
        <v>436</v>
      </c>
      <c r="G2191" s="606" t="s">
        <v>4433</v>
      </c>
      <c r="H2191" s="608" t="s">
        <v>1608</v>
      </c>
    </row>
    <row r="2192">
      <c r="A2192" s="512" t="s">
        <v>823</v>
      </c>
      <c r="B2192" s="512" t="s">
        <v>4386</v>
      </c>
      <c r="C2192" s="605">
        <v>45934.0</v>
      </c>
      <c r="D2192" s="512">
        <v>3.7477471177E10</v>
      </c>
      <c r="E2192" s="606" t="s">
        <v>4434</v>
      </c>
      <c r="F2192" s="656" t="s">
        <v>436</v>
      </c>
      <c r="G2192" s="606" t="s">
        <v>4435</v>
      </c>
      <c r="H2192" s="608" t="s">
        <v>3332</v>
      </c>
    </row>
    <row r="2193">
      <c r="A2193" s="512" t="s">
        <v>432</v>
      </c>
      <c r="B2193" s="512" t="s">
        <v>449</v>
      </c>
      <c r="C2193" s="605">
        <v>45935.0</v>
      </c>
      <c r="D2193" s="512">
        <v>3.7759871281E10</v>
      </c>
      <c r="E2193" s="606" t="s">
        <v>4436</v>
      </c>
      <c r="F2193" s="656" t="s">
        <v>436</v>
      </c>
      <c r="G2193" s="606" t="s">
        <v>4437</v>
      </c>
      <c r="H2193" s="608" t="s">
        <v>686</v>
      </c>
    </row>
    <row r="2194">
      <c r="A2194" s="512" t="s">
        <v>823</v>
      </c>
      <c r="B2194" s="512" t="s">
        <v>449</v>
      </c>
      <c r="C2194" s="605">
        <v>45935.0</v>
      </c>
      <c r="D2194" s="512">
        <v>3.0188725371E10</v>
      </c>
      <c r="E2194" s="606" t="s">
        <v>4438</v>
      </c>
      <c r="F2194" s="656" t="s">
        <v>436</v>
      </c>
      <c r="G2194" s="606" t="s">
        <v>2818</v>
      </c>
      <c r="H2194" s="608" t="s">
        <v>4408</v>
      </c>
    </row>
    <row r="2195">
      <c r="A2195" s="512" t="s">
        <v>823</v>
      </c>
      <c r="B2195" s="512" t="s">
        <v>449</v>
      </c>
      <c r="C2195" s="605">
        <v>45935.0</v>
      </c>
      <c r="D2195" s="512">
        <v>4.2641277513E10</v>
      </c>
      <c r="E2195" s="606" t="s">
        <v>4439</v>
      </c>
      <c r="F2195" s="656" t="s">
        <v>436</v>
      </c>
      <c r="G2195" s="606" t="s">
        <v>4440</v>
      </c>
      <c r="H2195" s="608" t="s">
        <v>4408</v>
      </c>
    </row>
    <row r="2196">
      <c r="A2196" s="512" t="s">
        <v>617</v>
      </c>
      <c r="B2196" s="512" t="s">
        <v>449</v>
      </c>
      <c r="C2196" s="605">
        <v>45935.0</v>
      </c>
      <c r="D2196" s="512">
        <v>3.1936193394E10</v>
      </c>
      <c r="E2196" s="606" t="s">
        <v>4441</v>
      </c>
      <c r="F2196" s="656" t="s">
        <v>436</v>
      </c>
      <c r="G2196" s="606" t="s">
        <v>4442</v>
      </c>
      <c r="H2196" s="608" t="s">
        <v>696</v>
      </c>
    </row>
    <row r="2197">
      <c r="A2197" s="512" t="s">
        <v>617</v>
      </c>
      <c r="B2197" s="512" t="s">
        <v>449</v>
      </c>
      <c r="C2197" s="605">
        <v>45935.0</v>
      </c>
      <c r="D2197" s="512">
        <v>3.6315583935E10</v>
      </c>
      <c r="E2197" s="606" t="s">
        <v>4443</v>
      </c>
      <c r="F2197" s="644" t="s">
        <v>436</v>
      </c>
      <c r="G2197" s="606" t="s">
        <v>4444</v>
      </c>
      <c r="H2197" s="608" t="s">
        <v>696</v>
      </c>
    </row>
    <row r="2198">
      <c r="A2198" s="512" t="s">
        <v>432</v>
      </c>
      <c r="B2198" s="512" t="s">
        <v>449</v>
      </c>
      <c r="C2198" s="605">
        <v>45935.0</v>
      </c>
      <c r="D2198" s="512">
        <v>3.4696016568E10</v>
      </c>
      <c r="E2198" s="606" t="s">
        <v>4445</v>
      </c>
      <c r="F2198" s="656" t="s">
        <v>436</v>
      </c>
      <c r="G2198" s="606" t="s">
        <v>4446</v>
      </c>
      <c r="H2198" s="608" t="s">
        <v>686</v>
      </c>
    </row>
    <row r="2199">
      <c r="A2199" s="512" t="s">
        <v>823</v>
      </c>
      <c r="B2199" s="512" t="s">
        <v>449</v>
      </c>
      <c r="C2199" s="605">
        <v>45935.0</v>
      </c>
      <c r="D2199" s="512">
        <v>3.9380441816E10</v>
      </c>
      <c r="E2199" s="606" t="s">
        <v>4447</v>
      </c>
      <c r="F2199" s="656" t="s">
        <v>436</v>
      </c>
      <c r="G2199" s="606" t="s">
        <v>4448</v>
      </c>
      <c r="H2199" s="608" t="s">
        <v>4408</v>
      </c>
    </row>
    <row r="2200">
      <c r="A2200" s="512" t="s">
        <v>432</v>
      </c>
      <c r="B2200" s="512" t="s">
        <v>4405</v>
      </c>
      <c r="C2200" s="605">
        <v>45935.0</v>
      </c>
      <c r="D2200" s="512">
        <v>3.875431612E10</v>
      </c>
      <c r="E2200" s="606" t="s">
        <v>4449</v>
      </c>
      <c r="F2200" s="656" t="s">
        <v>436</v>
      </c>
      <c r="G2200" s="606" t="s">
        <v>4450</v>
      </c>
      <c r="H2200" s="608" t="s">
        <v>686</v>
      </c>
    </row>
    <row r="2201">
      <c r="A2201" s="512" t="s">
        <v>823</v>
      </c>
      <c r="B2201" s="512" t="s">
        <v>449</v>
      </c>
      <c r="C2201" s="605">
        <v>45935.0</v>
      </c>
      <c r="D2201" s="512">
        <v>3.8135721969E10</v>
      </c>
      <c r="E2201" s="606" t="s">
        <v>4451</v>
      </c>
      <c r="F2201" s="656" t="s">
        <v>436</v>
      </c>
      <c r="G2201" s="606" t="s">
        <v>4452</v>
      </c>
      <c r="H2201" s="608" t="s">
        <v>4408</v>
      </c>
    </row>
    <row r="2202">
      <c r="A2202" s="512" t="s">
        <v>823</v>
      </c>
      <c r="B2202" s="512" t="s">
        <v>449</v>
      </c>
      <c r="C2202" s="605">
        <v>45935.0</v>
      </c>
      <c r="D2202" s="512">
        <v>2.041100936361E12</v>
      </c>
      <c r="E2202" s="606" t="s">
        <v>4453</v>
      </c>
      <c r="F2202" s="644" t="s">
        <v>436</v>
      </c>
      <c r="G2202" s="606" t="s">
        <v>4452</v>
      </c>
      <c r="H2202" s="608" t="s">
        <v>4408</v>
      </c>
    </row>
    <row r="2203">
      <c r="A2203" s="512" t="s">
        <v>617</v>
      </c>
      <c r="B2203" s="512" t="s">
        <v>3583</v>
      </c>
      <c r="C2203" s="605">
        <v>45935.0</v>
      </c>
      <c r="D2203" s="512">
        <v>3.870575913E10</v>
      </c>
      <c r="E2203" s="606" t="s">
        <v>85</v>
      </c>
      <c r="F2203" s="644" t="s">
        <v>436</v>
      </c>
      <c r="G2203" s="606" t="s">
        <v>4454</v>
      </c>
      <c r="H2203" s="608" t="s">
        <v>696</v>
      </c>
    </row>
    <row r="2204">
      <c r="A2204" s="512" t="s">
        <v>823</v>
      </c>
      <c r="B2204" s="512" t="s">
        <v>449</v>
      </c>
      <c r="C2204" s="605">
        <v>45935.0</v>
      </c>
      <c r="D2204" s="512">
        <v>8.600034177536E12</v>
      </c>
      <c r="E2204" s="606" t="s">
        <v>4455</v>
      </c>
      <c r="F2204" s="644" t="s">
        <v>436</v>
      </c>
      <c r="G2204" s="606" t="s">
        <v>3849</v>
      </c>
      <c r="H2204" s="608" t="s">
        <v>4408</v>
      </c>
    </row>
    <row r="2205">
      <c r="A2205" s="512" t="s">
        <v>432</v>
      </c>
      <c r="B2205" s="512" t="s">
        <v>449</v>
      </c>
      <c r="C2205" s="605">
        <v>45935.0</v>
      </c>
      <c r="D2205" s="512">
        <v>3.2557747707E10</v>
      </c>
      <c r="E2205" s="606" t="s">
        <v>4456</v>
      </c>
      <c r="F2205" s="656" t="s">
        <v>436</v>
      </c>
      <c r="G2205" s="606" t="s">
        <v>4457</v>
      </c>
      <c r="H2205" s="608" t="s">
        <v>686</v>
      </c>
    </row>
    <row r="2206">
      <c r="A2206" s="512" t="s">
        <v>432</v>
      </c>
      <c r="B2206" s="512" t="s">
        <v>449</v>
      </c>
      <c r="C2206" s="605">
        <v>45936.0</v>
      </c>
      <c r="D2206" s="512">
        <v>4.2549307376E10</v>
      </c>
      <c r="E2206" s="606" t="s">
        <v>4458</v>
      </c>
      <c r="F2206" s="644" t="s">
        <v>436</v>
      </c>
      <c r="G2206" s="606" t="s">
        <v>4459</v>
      </c>
      <c r="H2206" s="608" t="s">
        <v>901</v>
      </c>
    </row>
    <row r="2207">
      <c r="A2207" s="512" t="s">
        <v>432</v>
      </c>
      <c r="B2207" s="512" t="s">
        <v>449</v>
      </c>
      <c r="C2207" s="605">
        <v>45936.0</v>
      </c>
      <c r="D2207" s="512">
        <v>3.967868777E10</v>
      </c>
      <c r="E2207" s="606" t="s">
        <v>4460</v>
      </c>
      <c r="F2207" s="644" t="s">
        <v>436</v>
      </c>
      <c r="G2207" s="606" t="s">
        <v>3896</v>
      </c>
      <c r="H2207" s="608" t="s">
        <v>901</v>
      </c>
    </row>
    <row r="2208">
      <c r="A2208" s="512" t="s">
        <v>432</v>
      </c>
      <c r="B2208" s="512" t="s">
        <v>4405</v>
      </c>
      <c r="C2208" s="605">
        <v>45936.0</v>
      </c>
      <c r="D2208" s="512">
        <v>4.2667065898E10</v>
      </c>
      <c r="E2208" s="606" t="s">
        <v>4461</v>
      </c>
      <c r="F2208" s="644" t="s">
        <v>436</v>
      </c>
      <c r="G2208" s="606" t="s">
        <v>552</v>
      </c>
      <c r="H2208" s="608" t="s">
        <v>901</v>
      </c>
    </row>
    <row r="2209">
      <c r="A2209" s="512" t="s">
        <v>432</v>
      </c>
      <c r="B2209" s="512" t="s">
        <v>4405</v>
      </c>
      <c r="C2209" s="605">
        <v>45936.0</v>
      </c>
      <c r="D2209" s="512">
        <v>3.2798822622E10</v>
      </c>
      <c r="E2209" s="606" t="s">
        <v>4462</v>
      </c>
      <c r="F2209" s="644" t="s">
        <v>436</v>
      </c>
      <c r="G2209" s="606" t="s">
        <v>2264</v>
      </c>
      <c r="H2209" s="608" t="s">
        <v>901</v>
      </c>
    </row>
    <row r="2210">
      <c r="A2210" s="512" t="s">
        <v>432</v>
      </c>
      <c r="B2210" s="512" t="s">
        <v>4405</v>
      </c>
      <c r="C2210" s="605">
        <v>45936.0</v>
      </c>
      <c r="D2210" s="512">
        <v>3.234015363E10</v>
      </c>
      <c r="E2210" s="606" t="s">
        <v>4463</v>
      </c>
      <c r="F2210" s="644" t="s">
        <v>436</v>
      </c>
      <c r="G2210" s="606" t="s">
        <v>4464</v>
      </c>
      <c r="H2210" s="608" t="s">
        <v>901</v>
      </c>
    </row>
    <row r="2211">
      <c r="A2211" s="512" t="s">
        <v>432</v>
      </c>
      <c r="B2211" s="512" t="s">
        <v>4405</v>
      </c>
      <c r="C2211" s="605">
        <v>45936.0</v>
      </c>
      <c r="D2211" s="512">
        <v>3.3289826584E10</v>
      </c>
      <c r="E2211" s="606" t="s">
        <v>4465</v>
      </c>
      <c r="F2211" s="644" t="s">
        <v>436</v>
      </c>
      <c r="G2211" s="606" t="s">
        <v>4466</v>
      </c>
      <c r="H2211" s="608" t="s">
        <v>901</v>
      </c>
    </row>
    <row r="2212">
      <c r="A2212" s="512" t="s">
        <v>432</v>
      </c>
      <c r="B2212" s="512" t="s">
        <v>4405</v>
      </c>
      <c r="C2212" s="605">
        <v>45936.0</v>
      </c>
      <c r="D2212" s="512">
        <v>3.8718963764E10</v>
      </c>
      <c r="E2212" s="606" t="s">
        <v>4467</v>
      </c>
      <c r="F2212" s="644" t="s">
        <v>436</v>
      </c>
      <c r="G2212" s="606" t="s">
        <v>4468</v>
      </c>
      <c r="H2212" s="608" t="s">
        <v>901</v>
      </c>
    </row>
    <row r="2213">
      <c r="A2213" s="512" t="s">
        <v>432</v>
      </c>
      <c r="B2213" s="512" t="s">
        <v>4405</v>
      </c>
      <c r="C2213" s="605">
        <v>45936.0</v>
      </c>
      <c r="D2213" s="512">
        <v>3.4125424826E10</v>
      </c>
      <c r="E2213" s="606" t="s">
        <v>4467</v>
      </c>
      <c r="F2213" s="644" t="s">
        <v>436</v>
      </c>
      <c r="G2213" s="606" t="s">
        <v>4469</v>
      </c>
      <c r="H2213" s="608" t="s">
        <v>901</v>
      </c>
    </row>
    <row r="2214">
      <c r="A2214" s="512" t="s">
        <v>823</v>
      </c>
      <c r="B2214" s="512" t="s">
        <v>449</v>
      </c>
      <c r="C2214" s="605">
        <v>45936.0</v>
      </c>
      <c r="D2214" s="512">
        <v>3.401782897E10</v>
      </c>
      <c r="E2214" s="606" t="s">
        <v>4470</v>
      </c>
      <c r="F2214" s="644" t="s">
        <v>436</v>
      </c>
      <c r="G2214" s="606" t="s">
        <v>4471</v>
      </c>
      <c r="H2214" s="608" t="s">
        <v>3332</v>
      </c>
    </row>
    <row r="2215">
      <c r="A2215" s="512" t="s">
        <v>432</v>
      </c>
      <c r="B2215" s="512" t="s">
        <v>4405</v>
      </c>
      <c r="C2215" s="605">
        <v>45936.0</v>
      </c>
      <c r="D2215" s="512">
        <v>3.5107931559E10</v>
      </c>
      <c r="E2215" s="606" t="s">
        <v>4472</v>
      </c>
      <c r="F2215" s="644" t="s">
        <v>436</v>
      </c>
      <c r="G2215" s="606" t="s">
        <v>4473</v>
      </c>
      <c r="H2215" s="608" t="s">
        <v>901</v>
      </c>
    </row>
    <row r="2216">
      <c r="A2216" s="512" t="s">
        <v>432</v>
      </c>
      <c r="B2216" s="512" t="s">
        <v>4405</v>
      </c>
      <c r="C2216" s="605">
        <v>45936.0</v>
      </c>
      <c r="D2216" s="512">
        <v>3.9381574394E10</v>
      </c>
      <c r="E2216" s="606" t="s">
        <v>4474</v>
      </c>
      <c r="F2216" s="644" t="s">
        <v>436</v>
      </c>
      <c r="G2216" s="606" t="s">
        <v>4475</v>
      </c>
      <c r="H2216" s="608" t="s">
        <v>901</v>
      </c>
    </row>
    <row r="2217">
      <c r="A2217" s="512" t="s">
        <v>432</v>
      </c>
      <c r="B2217" s="512" t="s">
        <v>4405</v>
      </c>
      <c r="C2217" s="605">
        <v>45936.0</v>
      </c>
      <c r="D2217" s="512">
        <v>3.2199103949E10</v>
      </c>
      <c r="E2217" s="606" t="s">
        <v>4476</v>
      </c>
      <c r="F2217" s="644" t="s">
        <v>436</v>
      </c>
      <c r="G2217" s="606" t="s">
        <v>4477</v>
      </c>
      <c r="H2217" s="608" t="s">
        <v>901</v>
      </c>
    </row>
    <row r="2218">
      <c r="A2218" s="512" t="s">
        <v>432</v>
      </c>
      <c r="B2218" s="512" t="s">
        <v>4405</v>
      </c>
      <c r="C2218" s="605">
        <v>45936.0</v>
      </c>
      <c r="D2218" s="512">
        <v>3.8850723733E10</v>
      </c>
      <c r="E2218" s="606" t="s">
        <v>4478</v>
      </c>
      <c r="F2218" s="644" t="s">
        <v>436</v>
      </c>
      <c r="G2218" s="606" t="s">
        <v>4479</v>
      </c>
      <c r="H2218" s="608" t="s">
        <v>901</v>
      </c>
    </row>
    <row r="2219">
      <c r="A2219" s="512" t="s">
        <v>432</v>
      </c>
      <c r="B2219" s="512" t="s">
        <v>4405</v>
      </c>
      <c r="C2219" s="605">
        <v>45936.0</v>
      </c>
      <c r="D2219" s="512">
        <v>3.7154593863E10</v>
      </c>
      <c r="E2219" s="606" t="s">
        <v>4480</v>
      </c>
      <c r="F2219" s="644" t="s">
        <v>436</v>
      </c>
      <c r="G2219" s="606" t="s">
        <v>4481</v>
      </c>
      <c r="H2219" s="608" t="s">
        <v>901</v>
      </c>
    </row>
    <row r="2220">
      <c r="A2220" s="512" t="s">
        <v>432</v>
      </c>
      <c r="B2220" s="512" t="s">
        <v>4405</v>
      </c>
      <c r="C2220" s="605">
        <v>45936.0</v>
      </c>
      <c r="D2220" s="512">
        <v>3.51022255E10</v>
      </c>
      <c r="E2220" s="606" t="s">
        <v>4482</v>
      </c>
      <c r="F2220" s="644" t="s">
        <v>436</v>
      </c>
      <c r="G2220" s="606" t="s">
        <v>3247</v>
      </c>
      <c r="H2220" s="608" t="s">
        <v>901</v>
      </c>
    </row>
    <row r="2221">
      <c r="A2221" s="512" t="s">
        <v>432</v>
      </c>
      <c r="B2221" s="512" t="s">
        <v>4405</v>
      </c>
      <c r="C2221" s="605">
        <v>45936.0</v>
      </c>
      <c r="D2221" s="512">
        <v>3.6884891915E10</v>
      </c>
      <c r="E2221" s="606" t="s">
        <v>2809</v>
      </c>
      <c r="F2221" s="644" t="s">
        <v>436</v>
      </c>
      <c r="G2221" s="606" t="s">
        <v>4483</v>
      </c>
      <c r="H2221" s="608" t="s">
        <v>901</v>
      </c>
    </row>
    <row r="2222">
      <c r="A2222" s="512" t="s">
        <v>432</v>
      </c>
      <c r="B2222" s="512" t="s">
        <v>4405</v>
      </c>
      <c r="C2222" s="605">
        <v>45936.0</v>
      </c>
      <c r="D2222" s="512">
        <v>3.8286415314E10</v>
      </c>
      <c r="E2222" s="606" t="s">
        <v>4484</v>
      </c>
      <c r="F2222" s="644" t="s">
        <v>436</v>
      </c>
      <c r="G2222" s="606" t="s">
        <v>4485</v>
      </c>
      <c r="H2222" s="608" t="s">
        <v>901</v>
      </c>
    </row>
    <row r="2223">
      <c r="A2223" s="512" t="s">
        <v>432</v>
      </c>
      <c r="B2223" s="512" t="s">
        <v>4405</v>
      </c>
      <c r="C2223" s="605">
        <v>45936.0</v>
      </c>
      <c r="D2223" s="512">
        <v>3.3040681978E10</v>
      </c>
      <c r="E2223" s="606" t="s">
        <v>4486</v>
      </c>
      <c r="F2223" s="644" t="s">
        <v>436</v>
      </c>
      <c r="G2223" s="606" t="s">
        <v>4487</v>
      </c>
      <c r="H2223" s="608" t="s">
        <v>901</v>
      </c>
    </row>
    <row r="2224">
      <c r="A2224" s="512" t="s">
        <v>823</v>
      </c>
      <c r="B2224" s="512" t="s">
        <v>4405</v>
      </c>
      <c r="C2224" s="605">
        <v>45936.0</v>
      </c>
      <c r="D2224" s="512">
        <v>4.2257915678E10</v>
      </c>
      <c r="E2224" s="606" t="s">
        <v>4488</v>
      </c>
      <c r="F2224" s="644" t="s">
        <v>436</v>
      </c>
      <c r="G2224" s="606" t="s">
        <v>4489</v>
      </c>
      <c r="H2224" s="608" t="s">
        <v>3332</v>
      </c>
    </row>
    <row r="2225">
      <c r="A2225" s="512" t="s">
        <v>690</v>
      </c>
      <c r="B2225" s="512" t="s">
        <v>449</v>
      </c>
      <c r="C2225" s="605">
        <v>45936.0</v>
      </c>
      <c r="D2225" s="512">
        <v>3.8599228262E10</v>
      </c>
      <c r="E2225" s="606" t="s">
        <v>4490</v>
      </c>
      <c r="F2225" s="644" t="s">
        <v>436</v>
      </c>
      <c r="G2225" s="606" t="s">
        <v>4491</v>
      </c>
      <c r="H2225" s="608" t="s">
        <v>4156</v>
      </c>
    </row>
    <row r="2226">
      <c r="A2226" s="512" t="s">
        <v>432</v>
      </c>
      <c r="B2226" s="512" t="s">
        <v>4405</v>
      </c>
      <c r="C2226" s="605">
        <v>45936.0</v>
      </c>
      <c r="D2226" s="512">
        <v>4.2613675815E10</v>
      </c>
      <c r="E2226" s="606" t="s">
        <v>4492</v>
      </c>
      <c r="F2226" s="644" t="s">
        <v>436</v>
      </c>
      <c r="G2226" s="606" t="s">
        <v>4493</v>
      </c>
      <c r="H2226" s="608" t="s">
        <v>901</v>
      </c>
    </row>
    <row r="2227">
      <c r="A2227" s="512" t="s">
        <v>432</v>
      </c>
      <c r="B2227" s="512" t="s">
        <v>449</v>
      </c>
      <c r="C2227" s="605">
        <v>45937.0</v>
      </c>
      <c r="D2227" s="512">
        <v>3.8472711926E10</v>
      </c>
      <c r="E2227" s="606" t="s">
        <v>4494</v>
      </c>
      <c r="F2227" s="644" t="s">
        <v>436</v>
      </c>
      <c r="G2227" s="606" t="s">
        <v>4495</v>
      </c>
      <c r="H2227" s="608" t="s">
        <v>438</v>
      </c>
    </row>
    <row r="2228">
      <c r="A2228" s="512" t="s">
        <v>690</v>
      </c>
      <c r="B2228" s="512" t="s">
        <v>449</v>
      </c>
      <c r="C2228" s="605">
        <v>45937.0</v>
      </c>
      <c r="D2228" s="512">
        <v>3.6525544033E10</v>
      </c>
      <c r="E2228" s="606" t="s">
        <v>4496</v>
      </c>
      <c r="F2228" s="644" t="s">
        <v>436</v>
      </c>
      <c r="G2228" s="606" t="s">
        <v>3228</v>
      </c>
      <c r="H2228" s="608" t="s">
        <v>1647</v>
      </c>
    </row>
    <row r="2229">
      <c r="A2229" s="512" t="s">
        <v>432</v>
      </c>
      <c r="B2229" s="512" t="s">
        <v>4405</v>
      </c>
      <c r="C2229" s="605">
        <v>45937.0</v>
      </c>
      <c r="D2229" s="512">
        <v>4.2377577555E10</v>
      </c>
      <c r="E2229" s="606" t="s">
        <v>4497</v>
      </c>
      <c r="F2229" s="644" t="s">
        <v>436</v>
      </c>
      <c r="G2229" s="606" t="s">
        <v>3502</v>
      </c>
      <c r="H2229" s="608" t="s">
        <v>901</v>
      </c>
    </row>
    <row r="2230">
      <c r="A2230" s="512" t="s">
        <v>690</v>
      </c>
      <c r="B2230" s="512" t="s">
        <v>449</v>
      </c>
      <c r="C2230" s="605">
        <v>45937.0</v>
      </c>
      <c r="D2230" s="512">
        <v>3.0897456744E10</v>
      </c>
      <c r="E2230" s="664" t="s">
        <v>4498</v>
      </c>
      <c r="F2230" s="644" t="s">
        <v>436</v>
      </c>
      <c r="G2230" s="606" t="s">
        <v>4499</v>
      </c>
      <c r="H2230" s="608" t="s">
        <v>1647</v>
      </c>
    </row>
    <row r="2231">
      <c r="A2231" s="512" t="s">
        <v>432</v>
      </c>
      <c r="B2231" s="512" t="s">
        <v>449</v>
      </c>
      <c r="C2231" s="605">
        <v>45937.0</v>
      </c>
      <c r="D2231" s="512">
        <v>3.5504298525E10</v>
      </c>
      <c r="E2231" s="606" t="s">
        <v>4500</v>
      </c>
      <c r="F2231" s="644" t="s">
        <v>436</v>
      </c>
      <c r="G2231" s="606" t="s">
        <v>4501</v>
      </c>
      <c r="H2231" s="608" t="s">
        <v>438</v>
      </c>
    </row>
    <row r="2232">
      <c r="A2232" s="512" t="s">
        <v>432</v>
      </c>
      <c r="B2232" s="512" t="s">
        <v>449</v>
      </c>
      <c r="C2232" s="605">
        <v>45937.0</v>
      </c>
      <c r="D2232" s="512">
        <v>7.95552542E9</v>
      </c>
      <c r="E2232" s="606" t="s">
        <v>4502</v>
      </c>
      <c r="F2232" s="644" t="s">
        <v>436</v>
      </c>
      <c r="G2232" s="606" t="s">
        <v>4503</v>
      </c>
      <c r="H2232" s="608" t="s">
        <v>901</v>
      </c>
    </row>
    <row r="2233">
      <c r="A2233" s="512" t="s">
        <v>823</v>
      </c>
      <c r="B2233" s="512" t="s">
        <v>449</v>
      </c>
      <c r="C2233" s="605">
        <v>45937.0</v>
      </c>
      <c r="D2233" s="512">
        <v>3.9490125546E10</v>
      </c>
      <c r="E2233" s="606" t="s">
        <v>4504</v>
      </c>
      <c r="F2233" s="644" t="s">
        <v>436</v>
      </c>
      <c r="G2233" s="606" t="s">
        <v>2776</v>
      </c>
      <c r="H2233" s="608" t="s">
        <v>4408</v>
      </c>
    </row>
    <row r="2234">
      <c r="A2234" s="512" t="s">
        <v>432</v>
      </c>
      <c r="B2234" s="512" t="s">
        <v>4405</v>
      </c>
      <c r="C2234" s="605">
        <v>45937.0</v>
      </c>
      <c r="D2234" s="512">
        <v>3.9450312896E10</v>
      </c>
      <c r="E2234" s="619" t="s">
        <v>4505</v>
      </c>
      <c r="F2234" s="644" t="s">
        <v>436</v>
      </c>
      <c r="G2234" s="606" t="s">
        <v>4506</v>
      </c>
      <c r="H2234" s="608" t="s">
        <v>901</v>
      </c>
    </row>
    <row r="2235">
      <c r="A2235" s="512" t="s">
        <v>432</v>
      </c>
      <c r="B2235" s="512" t="s">
        <v>4405</v>
      </c>
      <c r="C2235" s="605">
        <v>45937.0</v>
      </c>
      <c r="D2235" s="512">
        <v>2.8536780152E10</v>
      </c>
      <c r="E2235" s="606" t="s">
        <v>4507</v>
      </c>
      <c r="F2235" s="644" t="s">
        <v>436</v>
      </c>
      <c r="G2235" s="606" t="s">
        <v>4508</v>
      </c>
      <c r="H2235" s="608" t="s">
        <v>901</v>
      </c>
    </row>
    <row r="2236">
      <c r="A2236" s="512" t="s">
        <v>432</v>
      </c>
      <c r="B2236" s="512" t="s">
        <v>4405</v>
      </c>
      <c r="C2236" s="605">
        <v>45937.0</v>
      </c>
      <c r="D2236" s="512">
        <v>4.2388097933E10</v>
      </c>
      <c r="E2236" s="606" t="s">
        <v>4509</v>
      </c>
      <c r="F2236" s="644" t="s">
        <v>436</v>
      </c>
      <c r="G2236" s="606" t="s">
        <v>4510</v>
      </c>
      <c r="H2236" s="608" t="s">
        <v>901</v>
      </c>
    </row>
    <row r="2237">
      <c r="A2237" s="512" t="s">
        <v>432</v>
      </c>
      <c r="B2237" s="512" t="s">
        <v>4405</v>
      </c>
      <c r="C2237" s="605">
        <v>45937.0</v>
      </c>
      <c r="D2237" s="512">
        <v>3.0308802098E10</v>
      </c>
      <c r="E2237" s="606" t="s">
        <v>4511</v>
      </c>
      <c r="F2237" s="607" t="s">
        <v>436</v>
      </c>
      <c r="G2237" s="606" t="s">
        <v>4512</v>
      </c>
      <c r="H2237" s="608" t="s">
        <v>901</v>
      </c>
    </row>
    <row r="2238">
      <c r="A2238" s="512" t="s">
        <v>432</v>
      </c>
      <c r="B2238" s="512" t="s">
        <v>4405</v>
      </c>
      <c r="C2238" s="605">
        <v>45937.0</v>
      </c>
      <c r="D2238" s="512">
        <v>3.0312788994E10</v>
      </c>
      <c r="E2238" s="606" t="s">
        <v>4513</v>
      </c>
      <c r="F2238" s="644" t="s">
        <v>436</v>
      </c>
      <c r="G2238" s="606" t="s">
        <v>4514</v>
      </c>
      <c r="H2238" s="608" t="s">
        <v>901</v>
      </c>
    </row>
    <row r="2239">
      <c r="A2239" s="512" t="s">
        <v>432</v>
      </c>
      <c r="B2239" s="512" t="s">
        <v>4405</v>
      </c>
      <c r="C2239" s="605">
        <v>45937.0</v>
      </c>
      <c r="D2239" s="512">
        <v>3.5629355155E10</v>
      </c>
      <c r="E2239" s="606" t="s">
        <v>4515</v>
      </c>
      <c r="F2239" s="644" t="s">
        <v>436</v>
      </c>
      <c r="G2239" s="606" t="s">
        <v>4514</v>
      </c>
      <c r="H2239" s="608" t="s">
        <v>901</v>
      </c>
    </row>
    <row r="2240">
      <c r="A2240" s="512" t="s">
        <v>432</v>
      </c>
      <c r="B2240" s="512" t="s">
        <v>4405</v>
      </c>
      <c r="C2240" s="605">
        <v>45937.0</v>
      </c>
      <c r="D2240" s="512">
        <v>4.0118452815E10</v>
      </c>
      <c r="E2240" s="606" t="s">
        <v>4516</v>
      </c>
      <c r="F2240" s="644" t="s">
        <v>436</v>
      </c>
      <c r="G2240" s="606" t="s">
        <v>4517</v>
      </c>
      <c r="H2240" s="608" t="s">
        <v>901</v>
      </c>
    </row>
    <row r="2241">
      <c r="A2241" s="512" t="s">
        <v>432</v>
      </c>
      <c r="B2241" s="512" t="s">
        <v>449</v>
      </c>
      <c r="C2241" s="605">
        <v>45937.0</v>
      </c>
      <c r="D2241" s="512">
        <v>3.7260324433E10</v>
      </c>
      <c r="E2241" s="606" t="s">
        <v>4518</v>
      </c>
      <c r="F2241" s="644" t="s">
        <v>436</v>
      </c>
      <c r="G2241" s="606" t="s">
        <v>4519</v>
      </c>
      <c r="H2241" s="608" t="s">
        <v>438</v>
      </c>
    </row>
    <row r="2242">
      <c r="A2242" s="512" t="s">
        <v>432</v>
      </c>
      <c r="B2242" s="512" t="s">
        <v>3721</v>
      </c>
      <c r="C2242" s="605">
        <v>45938.0</v>
      </c>
      <c r="D2242" s="512">
        <v>3.8708852854E10</v>
      </c>
      <c r="E2242" s="606" t="s">
        <v>4520</v>
      </c>
      <c r="F2242" s="644" t="s">
        <v>436</v>
      </c>
      <c r="G2242" s="606" t="s">
        <v>4521</v>
      </c>
      <c r="H2242" s="608" t="s">
        <v>686</v>
      </c>
    </row>
    <row r="2243">
      <c r="A2243" s="512" t="s">
        <v>432</v>
      </c>
      <c r="B2243" s="512" t="s">
        <v>4405</v>
      </c>
      <c r="C2243" s="605">
        <v>45938.0</v>
      </c>
      <c r="D2243" s="512">
        <v>3.887361963E10</v>
      </c>
      <c r="E2243" s="606" t="s">
        <v>4522</v>
      </c>
      <c r="F2243" s="644" t="s">
        <v>436</v>
      </c>
      <c r="G2243" s="606" t="s">
        <v>4523</v>
      </c>
      <c r="H2243" s="608" t="s">
        <v>686</v>
      </c>
    </row>
    <row r="2244">
      <c r="A2244" s="512" t="s">
        <v>823</v>
      </c>
      <c r="B2244" s="512" t="s">
        <v>3721</v>
      </c>
      <c r="C2244" s="605">
        <v>45938.0</v>
      </c>
      <c r="D2244" s="512">
        <v>3.2483322647E10</v>
      </c>
      <c r="E2244" s="665" t="s">
        <v>4524</v>
      </c>
      <c r="F2244" s="644" t="s">
        <v>436</v>
      </c>
      <c r="G2244" s="606" t="s">
        <v>3353</v>
      </c>
      <c r="H2244" s="608" t="s">
        <v>3332</v>
      </c>
    </row>
    <row r="2245">
      <c r="A2245" s="512" t="s">
        <v>439</v>
      </c>
      <c r="B2245" s="512" t="s">
        <v>449</v>
      </c>
      <c r="C2245" s="605">
        <v>45938.0</v>
      </c>
      <c r="D2245" s="512">
        <v>3.538277874E10</v>
      </c>
      <c r="E2245" s="606" t="s">
        <v>4525</v>
      </c>
      <c r="F2245" s="644" t="s">
        <v>436</v>
      </c>
      <c r="G2245" s="606" t="s">
        <v>4526</v>
      </c>
      <c r="H2245" s="608" t="s">
        <v>901</v>
      </c>
    </row>
    <row r="2246">
      <c r="A2246" s="512" t="s">
        <v>617</v>
      </c>
      <c r="B2246" s="512" t="s">
        <v>3583</v>
      </c>
      <c r="C2246" s="605">
        <v>45938.0</v>
      </c>
      <c r="D2246" s="512">
        <v>3.4118025548E10</v>
      </c>
      <c r="E2246" s="606" t="s">
        <v>85</v>
      </c>
      <c r="F2246" s="644" t="s">
        <v>436</v>
      </c>
      <c r="G2246" s="606" t="s">
        <v>4527</v>
      </c>
      <c r="H2246" s="608" t="s">
        <v>696</v>
      </c>
    </row>
    <row r="2247">
      <c r="A2247" s="512" t="s">
        <v>432</v>
      </c>
      <c r="B2247" s="512" t="s">
        <v>449</v>
      </c>
      <c r="C2247" s="605">
        <v>45938.0</v>
      </c>
      <c r="D2247" s="512">
        <v>3.4238608489E10</v>
      </c>
      <c r="E2247" s="606" t="s">
        <v>4528</v>
      </c>
      <c r="F2247" s="644" t="s">
        <v>436</v>
      </c>
      <c r="G2247" s="606" t="s">
        <v>866</v>
      </c>
      <c r="H2247" s="608" t="s">
        <v>686</v>
      </c>
    </row>
    <row r="2248">
      <c r="A2248" s="512" t="s">
        <v>432</v>
      </c>
      <c r="B2248" s="512" t="s">
        <v>449</v>
      </c>
      <c r="C2248" s="605">
        <v>45938.0</v>
      </c>
      <c r="D2248" s="512">
        <v>3.930259489E10</v>
      </c>
      <c r="E2248" s="606" t="s">
        <v>4529</v>
      </c>
      <c r="F2248" s="644" t="s">
        <v>436</v>
      </c>
      <c r="G2248" s="606" t="s">
        <v>614</v>
      </c>
      <c r="H2248" s="608" t="s">
        <v>686</v>
      </c>
    </row>
    <row r="2249">
      <c r="A2249" s="512" t="s">
        <v>432</v>
      </c>
      <c r="B2249" s="512" t="s">
        <v>4405</v>
      </c>
      <c r="C2249" s="605">
        <v>45938.0</v>
      </c>
      <c r="D2249" s="512">
        <v>3.14724194E10</v>
      </c>
      <c r="E2249" s="606" t="s">
        <v>4530</v>
      </c>
      <c r="F2249" s="644" t="s">
        <v>436</v>
      </c>
      <c r="G2249" s="606" t="s">
        <v>4531</v>
      </c>
      <c r="H2249" s="608" t="s">
        <v>686</v>
      </c>
    </row>
    <row r="2250">
      <c r="A2250" s="512" t="s">
        <v>432</v>
      </c>
      <c r="B2250" s="512" t="s">
        <v>449</v>
      </c>
      <c r="C2250" s="605">
        <v>45938.0</v>
      </c>
      <c r="D2250" s="512">
        <v>4.2435711552E10</v>
      </c>
      <c r="E2250" s="606" t="s">
        <v>4532</v>
      </c>
      <c r="F2250" s="644" t="s">
        <v>436</v>
      </c>
      <c r="G2250" s="606" t="s">
        <v>4533</v>
      </c>
      <c r="H2250" s="608" t="s">
        <v>686</v>
      </c>
    </row>
    <row r="2251">
      <c r="A2251" s="512" t="s">
        <v>617</v>
      </c>
      <c r="B2251" s="512" t="s">
        <v>449</v>
      </c>
      <c r="C2251" s="605">
        <v>45938.0</v>
      </c>
      <c r="D2251" s="512">
        <v>3.8720761884E10</v>
      </c>
      <c r="E2251" s="619" t="s">
        <v>4534</v>
      </c>
      <c r="F2251" s="644" t="s">
        <v>436</v>
      </c>
      <c r="G2251" s="606" t="s">
        <v>4479</v>
      </c>
      <c r="H2251" s="608" t="s">
        <v>696</v>
      </c>
    </row>
    <row r="2252">
      <c r="A2252" s="512" t="s">
        <v>432</v>
      </c>
      <c r="B2252" s="512" t="s">
        <v>4405</v>
      </c>
      <c r="C2252" s="605">
        <v>45938.0</v>
      </c>
      <c r="D2252" s="512">
        <v>4.0070152004E10</v>
      </c>
      <c r="E2252" s="606" t="s">
        <v>4535</v>
      </c>
      <c r="F2252" s="644" t="s">
        <v>436</v>
      </c>
      <c r="G2252" s="606" t="s">
        <v>4536</v>
      </c>
      <c r="H2252" s="608" t="s">
        <v>686</v>
      </c>
    </row>
    <row r="2253">
      <c r="A2253" s="512" t="s">
        <v>432</v>
      </c>
      <c r="B2253" s="512" t="s">
        <v>449</v>
      </c>
      <c r="C2253" s="605">
        <v>45938.0</v>
      </c>
      <c r="D2253" s="512">
        <v>4.2696029477E10</v>
      </c>
      <c r="E2253" s="606" t="s">
        <v>4537</v>
      </c>
      <c r="F2253" s="644" t="s">
        <v>436</v>
      </c>
      <c r="G2253" s="606" t="s">
        <v>1181</v>
      </c>
      <c r="H2253" s="608" t="s">
        <v>686</v>
      </c>
    </row>
    <row r="2254">
      <c r="A2254" s="512" t="s">
        <v>823</v>
      </c>
      <c r="B2254" s="512" t="s">
        <v>1270</v>
      </c>
      <c r="C2254" s="605">
        <v>45938.0</v>
      </c>
      <c r="D2254" s="512">
        <v>3.8640322376E10</v>
      </c>
      <c r="E2254" s="606" t="s">
        <v>4538</v>
      </c>
      <c r="F2254" s="644" t="s">
        <v>436</v>
      </c>
      <c r="G2254" s="606" t="s">
        <v>4539</v>
      </c>
      <c r="H2254" s="608" t="s">
        <v>3332</v>
      </c>
    </row>
    <row r="2255">
      <c r="A2255" s="512" t="s">
        <v>617</v>
      </c>
      <c r="B2255" s="512" t="s">
        <v>449</v>
      </c>
      <c r="C2255" s="605">
        <v>45938.0</v>
      </c>
      <c r="D2255" s="512">
        <v>3.604719284E10</v>
      </c>
      <c r="E2255" s="606" t="s">
        <v>4239</v>
      </c>
      <c r="F2255" s="644" t="s">
        <v>436</v>
      </c>
      <c r="G2255" s="606" t="s">
        <v>4540</v>
      </c>
      <c r="H2255" s="608" t="s">
        <v>696</v>
      </c>
    </row>
    <row r="2256">
      <c r="A2256" s="512" t="s">
        <v>432</v>
      </c>
      <c r="B2256" s="512" t="s">
        <v>449</v>
      </c>
      <c r="C2256" s="605">
        <v>45939.0</v>
      </c>
      <c r="D2256" s="512">
        <v>3.7686425157E10</v>
      </c>
      <c r="E2256" s="606" t="s">
        <v>4541</v>
      </c>
      <c r="F2256" s="644" t="s">
        <v>436</v>
      </c>
      <c r="G2256" s="606" t="s">
        <v>2816</v>
      </c>
      <c r="H2256" s="608" t="s">
        <v>686</v>
      </c>
    </row>
    <row r="2257">
      <c r="A2257" s="512" t="s">
        <v>432</v>
      </c>
      <c r="B2257" s="512" t="s">
        <v>4405</v>
      </c>
      <c r="C2257" s="605">
        <v>45939.0</v>
      </c>
      <c r="D2257" s="512">
        <v>3.8723181789E10</v>
      </c>
      <c r="E2257" s="606" t="s">
        <v>4542</v>
      </c>
      <c r="F2257" s="644" t="s">
        <v>436</v>
      </c>
      <c r="G2257" s="606" t="s">
        <v>2373</v>
      </c>
      <c r="H2257" s="608" t="s">
        <v>686</v>
      </c>
    </row>
    <row r="2258">
      <c r="A2258" s="512" t="s">
        <v>823</v>
      </c>
      <c r="B2258" s="512" t="s">
        <v>449</v>
      </c>
      <c r="C2258" s="605">
        <v>45939.0</v>
      </c>
      <c r="D2258" s="512">
        <v>3.8904787211E10</v>
      </c>
      <c r="E2258" s="606" t="s">
        <v>4543</v>
      </c>
      <c r="F2258" s="644" t="s">
        <v>436</v>
      </c>
      <c r="G2258" s="606" t="s">
        <v>4544</v>
      </c>
      <c r="H2258" s="608" t="s">
        <v>4408</v>
      </c>
    </row>
    <row r="2259">
      <c r="A2259" s="512" t="s">
        <v>432</v>
      </c>
      <c r="B2259" s="512" t="s">
        <v>449</v>
      </c>
      <c r="C2259" s="605">
        <v>45939.0</v>
      </c>
      <c r="D2259" s="512">
        <v>4.2742600259E10</v>
      </c>
      <c r="E2259" s="606" t="s">
        <v>4545</v>
      </c>
      <c r="F2259" s="644" t="s">
        <v>436</v>
      </c>
      <c r="G2259" s="606" t="s">
        <v>4546</v>
      </c>
      <c r="H2259" s="608" t="s">
        <v>686</v>
      </c>
    </row>
    <row r="2260">
      <c r="A2260" s="512" t="s">
        <v>432</v>
      </c>
      <c r="B2260" s="512" t="s">
        <v>3721</v>
      </c>
      <c r="C2260" s="605">
        <v>45939.0</v>
      </c>
      <c r="D2260" s="512">
        <v>4.2693972878E10</v>
      </c>
      <c r="E2260" s="606" t="s">
        <v>4547</v>
      </c>
      <c r="F2260" s="644" t="s">
        <v>436</v>
      </c>
      <c r="G2260" s="606" t="s">
        <v>4548</v>
      </c>
      <c r="H2260" s="608" t="s">
        <v>686</v>
      </c>
    </row>
    <row r="2261">
      <c r="A2261" s="512" t="s">
        <v>432</v>
      </c>
      <c r="B2261" s="512" t="s">
        <v>449</v>
      </c>
      <c r="C2261" s="605">
        <v>45939.0</v>
      </c>
      <c r="D2261" s="512">
        <v>2.5411522428E10</v>
      </c>
      <c r="E2261" s="606" t="s">
        <v>4549</v>
      </c>
      <c r="F2261" s="644" t="s">
        <v>436</v>
      </c>
      <c r="G2261" s="606" t="s">
        <v>4550</v>
      </c>
      <c r="H2261" s="608" t="s">
        <v>686</v>
      </c>
    </row>
    <row r="2262">
      <c r="A2262" s="512" t="s">
        <v>432</v>
      </c>
      <c r="B2262" s="512" t="s">
        <v>449</v>
      </c>
      <c r="C2262" s="605">
        <v>45939.0</v>
      </c>
      <c r="D2262" s="512">
        <v>3.3238300507E10</v>
      </c>
      <c r="E2262" s="606" t="s">
        <v>4551</v>
      </c>
      <c r="F2262" s="644" t="s">
        <v>436</v>
      </c>
      <c r="G2262" s="606" t="s">
        <v>3249</v>
      </c>
      <c r="H2262" s="608" t="s">
        <v>686</v>
      </c>
    </row>
    <row r="2263">
      <c r="A2263" s="512" t="s">
        <v>439</v>
      </c>
      <c r="B2263" s="512" t="s">
        <v>449</v>
      </c>
      <c r="C2263" s="605">
        <v>45939.0</v>
      </c>
      <c r="D2263" s="512">
        <v>3.7366593247E10</v>
      </c>
      <c r="E2263" s="606" t="s">
        <v>4552</v>
      </c>
      <c r="F2263" s="644" t="s">
        <v>436</v>
      </c>
      <c r="G2263" s="606" t="s">
        <v>4553</v>
      </c>
      <c r="H2263" s="608" t="s">
        <v>901</v>
      </c>
    </row>
    <row r="2264">
      <c r="A2264" s="512" t="s">
        <v>432</v>
      </c>
      <c r="B2264" s="512" t="s">
        <v>449</v>
      </c>
      <c r="C2264" s="605">
        <v>45939.0</v>
      </c>
      <c r="D2264" s="512">
        <v>2.4658971616E10</v>
      </c>
      <c r="E2264" s="606" t="s">
        <v>4554</v>
      </c>
      <c r="F2264" s="644" t="s">
        <v>436</v>
      </c>
      <c r="G2264" s="606" t="s">
        <v>4555</v>
      </c>
      <c r="H2264" s="608" t="s">
        <v>686</v>
      </c>
    </row>
    <row r="2265">
      <c r="A2265" s="512" t="s">
        <v>432</v>
      </c>
      <c r="B2265" s="512" t="s">
        <v>449</v>
      </c>
      <c r="C2265" s="605">
        <v>45939.0</v>
      </c>
      <c r="D2265" s="512">
        <v>3.4821432005E10</v>
      </c>
      <c r="E2265" s="606" t="s">
        <v>4556</v>
      </c>
      <c r="F2265" s="644" t="s">
        <v>436</v>
      </c>
      <c r="G2265" s="606" t="s">
        <v>3796</v>
      </c>
      <c r="H2265" s="608" t="s">
        <v>686</v>
      </c>
    </row>
    <row r="2266">
      <c r="A2266" s="512" t="s">
        <v>432</v>
      </c>
      <c r="B2266" s="512" t="s">
        <v>449</v>
      </c>
      <c r="C2266" s="605">
        <v>45940.0</v>
      </c>
      <c r="D2266" s="512">
        <v>3.6264459052E10</v>
      </c>
      <c r="E2266" s="606" t="s">
        <v>4557</v>
      </c>
      <c r="F2266" s="644" t="s">
        <v>436</v>
      </c>
      <c r="G2266" s="606" t="s">
        <v>1546</v>
      </c>
      <c r="H2266" s="608" t="s">
        <v>4558</v>
      </c>
    </row>
    <row r="2267">
      <c r="A2267" s="512" t="s">
        <v>690</v>
      </c>
      <c r="B2267" s="512" t="s">
        <v>449</v>
      </c>
      <c r="C2267" s="605">
        <v>45940.0</v>
      </c>
      <c r="D2267" s="512">
        <v>2.4258180701E10</v>
      </c>
      <c r="E2267" s="606" t="s">
        <v>4559</v>
      </c>
      <c r="F2267" s="644" t="s">
        <v>436</v>
      </c>
      <c r="G2267" s="606" t="s">
        <v>4560</v>
      </c>
      <c r="H2267" s="608" t="s">
        <v>1647</v>
      </c>
    </row>
    <row r="2268">
      <c r="A2268" s="512" t="s">
        <v>432</v>
      </c>
      <c r="B2268" s="512" t="s">
        <v>449</v>
      </c>
      <c r="C2268" s="605">
        <v>45940.0</v>
      </c>
      <c r="D2268" s="512">
        <v>3.4450795767E10</v>
      </c>
      <c r="E2268" s="606" t="s">
        <v>4561</v>
      </c>
      <c r="F2268" s="644" t="s">
        <v>436</v>
      </c>
      <c r="G2268" s="606" t="s">
        <v>806</v>
      </c>
      <c r="H2268" s="608" t="s">
        <v>438</v>
      </c>
    </row>
    <row r="2269">
      <c r="A2269" s="512" t="s">
        <v>432</v>
      </c>
      <c r="B2269" s="512" t="s">
        <v>4405</v>
      </c>
      <c r="C2269" s="605">
        <v>45940.0</v>
      </c>
      <c r="D2269" s="512">
        <v>4.2451038443E10</v>
      </c>
      <c r="E2269" s="606" t="s">
        <v>4562</v>
      </c>
      <c r="F2269" s="644" t="s">
        <v>436</v>
      </c>
      <c r="G2269" s="606" t="s">
        <v>4563</v>
      </c>
      <c r="H2269" s="608" t="s">
        <v>4558</v>
      </c>
    </row>
    <row r="2270">
      <c r="A2270" s="512" t="s">
        <v>432</v>
      </c>
      <c r="B2270" s="512" t="s">
        <v>449</v>
      </c>
      <c r="C2270" s="605">
        <v>45940.0</v>
      </c>
      <c r="D2270" s="512">
        <v>4.2852309681E10</v>
      </c>
      <c r="E2270" s="606" t="s">
        <v>4564</v>
      </c>
      <c r="F2270" s="644" t="s">
        <v>436</v>
      </c>
      <c r="G2270" s="606" t="s">
        <v>1324</v>
      </c>
      <c r="H2270" s="608" t="s">
        <v>438</v>
      </c>
    </row>
    <row r="2271">
      <c r="A2271" s="512" t="s">
        <v>432</v>
      </c>
      <c r="B2271" s="512" t="s">
        <v>4405</v>
      </c>
      <c r="C2271" s="605">
        <v>45940.0</v>
      </c>
      <c r="D2271" s="512">
        <v>3.8173050742E10</v>
      </c>
      <c r="E2271" s="606" t="s">
        <v>4565</v>
      </c>
      <c r="F2271" s="644" t="s">
        <v>436</v>
      </c>
      <c r="G2271" s="606" t="s">
        <v>4566</v>
      </c>
      <c r="H2271" s="608" t="s">
        <v>4558</v>
      </c>
    </row>
    <row r="2272">
      <c r="A2272" s="512" t="s">
        <v>432</v>
      </c>
      <c r="B2272" s="512" t="s">
        <v>449</v>
      </c>
      <c r="C2272" s="605">
        <v>45940.0</v>
      </c>
      <c r="D2272" s="512">
        <v>3.0083974453E10</v>
      </c>
      <c r="E2272" s="606" t="s">
        <v>4567</v>
      </c>
      <c r="F2272" s="644" t="s">
        <v>436</v>
      </c>
      <c r="G2272" s="606" t="s">
        <v>605</v>
      </c>
      <c r="H2272" s="608" t="s">
        <v>438</v>
      </c>
    </row>
    <row r="2273">
      <c r="A2273" s="512" t="s">
        <v>823</v>
      </c>
      <c r="B2273" s="512" t="s">
        <v>449</v>
      </c>
      <c r="C2273" s="605">
        <v>45941.0</v>
      </c>
      <c r="D2273" s="512">
        <v>3.2159844438E10</v>
      </c>
      <c r="E2273" s="606" t="s">
        <v>4568</v>
      </c>
      <c r="F2273" s="644" t="s">
        <v>436</v>
      </c>
      <c r="G2273" s="606" t="s">
        <v>4569</v>
      </c>
      <c r="H2273" s="608" t="s">
        <v>4558</v>
      </c>
    </row>
    <row r="2274">
      <c r="A2274" s="512" t="s">
        <v>432</v>
      </c>
      <c r="B2274" s="512" t="s">
        <v>4405</v>
      </c>
      <c r="C2274" s="605">
        <v>45941.0</v>
      </c>
      <c r="D2274" s="512">
        <v>4.03962169E10</v>
      </c>
      <c r="E2274" s="606" t="s">
        <v>4570</v>
      </c>
      <c r="F2274" s="644" t="s">
        <v>436</v>
      </c>
      <c r="G2274" s="606" t="s">
        <v>4571</v>
      </c>
      <c r="H2274" s="608" t="s">
        <v>438</v>
      </c>
    </row>
    <row r="2275">
      <c r="A2275" s="512" t="s">
        <v>432</v>
      </c>
      <c r="B2275" s="512" t="s">
        <v>4405</v>
      </c>
      <c r="C2275" s="605">
        <v>45941.0</v>
      </c>
      <c r="D2275" s="512">
        <v>3.9498852893E10</v>
      </c>
      <c r="E2275" s="606" t="s">
        <v>4572</v>
      </c>
      <c r="F2275" s="644" t="s">
        <v>436</v>
      </c>
      <c r="G2275" s="606" t="s">
        <v>4573</v>
      </c>
      <c r="H2275" s="608" t="s">
        <v>901</v>
      </c>
    </row>
    <row r="2276">
      <c r="A2276" s="512" t="s">
        <v>432</v>
      </c>
      <c r="B2276" s="512" t="s">
        <v>4405</v>
      </c>
      <c r="C2276" s="605">
        <v>45941.0</v>
      </c>
      <c r="D2276" s="512">
        <v>4.16555077E10</v>
      </c>
      <c r="E2276" s="606" t="s">
        <v>4574</v>
      </c>
      <c r="F2276" s="644" t="s">
        <v>436</v>
      </c>
      <c r="G2276" s="606" t="s">
        <v>1771</v>
      </c>
      <c r="H2276" s="608" t="s">
        <v>901</v>
      </c>
    </row>
    <row r="2277">
      <c r="A2277" s="512" t="s">
        <v>432</v>
      </c>
      <c r="B2277" s="512" t="s">
        <v>4405</v>
      </c>
      <c r="C2277" s="605">
        <v>45941.0</v>
      </c>
      <c r="D2277" s="512">
        <v>3.2212478717E10</v>
      </c>
      <c r="E2277" s="606" t="s">
        <v>4575</v>
      </c>
      <c r="F2277" s="644" t="s">
        <v>436</v>
      </c>
      <c r="G2277" s="606" t="s">
        <v>4576</v>
      </c>
      <c r="H2277" s="608" t="s">
        <v>438</v>
      </c>
    </row>
    <row r="2278">
      <c r="A2278" s="512" t="s">
        <v>432</v>
      </c>
      <c r="B2278" s="512" t="s">
        <v>4405</v>
      </c>
      <c r="C2278" s="605">
        <v>45941.0</v>
      </c>
      <c r="D2278" s="512">
        <v>3.5052854994E10</v>
      </c>
      <c r="E2278" s="606" t="s">
        <v>4577</v>
      </c>
      <c r="F2278" s="644" t="s">
        <v>436</v>
      </c>
      <c r="G2278" s="606" t="s">
        <v>4578</v>
      </c>
      <c r="H2278" s="608" t="s">
        <v>438</v>
      </c>
    </row>
    <row r="2279">
      <c r="A2279" s="512" t="s">
        <v>432</v>
      </c>
      <c r="B2279" s="512" t="s">
        <v>449</v>
      </c>
      <c r="C2279" s="605">
        <v>45941.0</v>
      </c>
      <c r="D2279" s="512">
        <v>4.0125933918E10</v>
      </c>
      <c r="E2279" s="606" t="s">
        <v>4579</v>
      </c>
      <c r="F2279" s="644" t="s">
        <v>436</v>
      </c>
      <c r="G2279" s="606" t="s">
        <v>822</v>
      </c>
      <c r="H2279" s="608" t="s">
        <v>438</v>
      </c>
    </row>
    <row r="2280">
      <c r="A2280" s="512" t="s">
        <v>432</v>
      </c>
      <c r="B2280" s="512" t="s">
        <v>4405</v>
      </c>
      <c r="C2280" s="605">
        <v>45941.0</v>
      </c>
      <c r="D2280" s="512">
        <v>3.7732490749E10</v>
      </c>
      <c r="E2280" s="606" t="s">
        <v>4580</v>
      </c>
      <c r="F2280" s="644" t="s">
        <v>436</v>
      </c>
      <c r="G2280" s="606" t="s">
        <v>4581</v>
      </c>
      <c r="H2280" s="608" t="s">
        <v>438</v>
      </c>
    </row>
    <row r="2281">
      <c r="A2281" s="512" t="s">
        <v>432</v>
      </c>
      <c r="B2281" s="512" t="s">
        <v>4405</v>
      </c>
      <c r="C2281" s="605">
        <v>45941.0</v>
      </c>
      <c r="D2281" s="512">
        <v>3.9240136341E10</v>
      </c>
      <c r="E2281" s="606" t="s">
        <v>4582</v>
      </c>
      <c r="F2281" s="644" t="s">
        <v>436</v>
      </c>
      <c r="G2281" s="606" t="s">
        <v>4583</v>
      </c>
      <c r="H2281" s="608" t="s">
        <v>438</v>
      </c>
    </row>
    <row r="2282">
      <c r="A2282" s="512" t="s">
        <v>617</v>
      </c>
      <c r="B2282" s="512" t="s">
        <v>449</v>
      </c>
      <c r="C2282" s="605">
        <v>45942.0</v>
      </c>
      <c r="D2282" s="512">
        <v>3.1001087501E10</v>
      </c>
      <c r="E2282" s="606" t="s">
        <v>4584</v>
      </c>
      <c r="F2282" s="644" t="s">
        <v>436</v>
      </c>
      <c r="G2282" s="606" t="s">
        <v>4585</v>
      </c>
      <c r="H2282" s="608" t="s">
        <v>696</v>
      </c>
    </row>
    <row r="2283">
      <c r="A2283" s="512" t="s">
        <v>432</v>
      </c>
      <c r="B2283" s="512" t="s">
        <v>3721</v>
      </c>
      <c r="C2283" s="605">
        <v>45942.0</v>
      </c>
      <c r="D2283" s="512">
        <v>1.3551709802E10</v>
      </c>
      <c r="E2283" s="606" t="s">
        <v>4586</v>
      </c>
      <c r="F2283" s="644" t="s">
        <v>436</v>
      </c>
      <c r="G2283" s="606" t="s">
        <v>4587</v>
      </c>
      <c r="H2283" s="608" t="s">
        <v>686</v>
      </c>
    </row>
    <row r="2284">
      <c r="A2284" s="512" t="s">
        <v>823</v>
      </c>
      <c r="B2284" s="512" t="s">
        <v>449</v>
      </c>
      <c r="C2284" s="605">
        <v>45942.0</v>
      </c>
      <c r="D2284" s="512">
        <v>3.4365075185E10</v>
      </c>
      <c r="E2284" s="606" t="s">
        <v>4588</v>
      </c>
      <c r="F2284" s="644" t="s">
        <v>436</v>
      </c>
      <c r="G2284" s="606" t="s">
        <v>1170</v>
      </c>
      <c r="H2284" s="608" t="s">
        <v>4558</v>
      </c>
    </row>
    <row r="2285">
      <c r="A2285" s="512" t="s">
        <v>690</v>
      </c>
      <c r="B2285" s="512" t="s">
        <v>449</v>
      </c>
      <c r="C2285" s="605">
        <v>45942.0</v>
      </c>
      <c r="D2285" s="512">
        <v>3.7233368882E10</v>
      </c>
      <c r="E2285" s="606" t="s">
        <v>4589</v>
      </c>
      <c r="F2285" s="644" t="s">
        <v>436</v>
      </c>
      <c r="G2285" s="606" t="s">
        <v>4590</v>
      </c>
      <c r="H2285" s="608" t="s">
        <v>4156</v>
      </c>
    </row>
    <row r="2286">
      <c r="A2286" s="512" t="s">
        <v>617</v>
      </c>
      <c r="B2286" s="512" t="s">
        <v>449</v>
      </c>
      <c r="C2286" s="605">
        <v>45942.0</v>
      </c>
      <c r="D2286" s="512">
        <v>3.6869392331E10</v>
      </c>
      <c r="E2286" s="606" t="s">
        <v>4591</v>
      </c>
      <c r="F2286" s="644" t="s">
        <v>436</v>
      </c>
      <c r="G2286" s="606" t="s">
        <v>2893</v>
      </c>
      <c r="H2286" s="608" t="s">
        <v>696</v>
      </c>
    </row>
    <row r="2287">
      <c r="A2287" s="512" t="s">
        <v>432</v>
      </c>
      <c r="B2287" s="512" t="s">
        <v>449</v>
      </c>
      <c r="C2287" s="605">
        <v>45942.0</v>
      </c>
      <c r="D2287" s="512">
        <v>3.6593415646E10</v>
      </c>
      <c r="E2287" s="606" t="s">
        <v>4592</v>
      </c>
      <c r="F2287" s="644" t="s">
        <v>436</v>
      </c>
      <c r="G2287" s="606" t="s">
        <v>4593</v>
      </c>
      <c r="H2287" s="608" t="s">
        <v>686</v>
      </c>
    </row>
    <row r="2288">
      <c r="A2288" s="512" t="s">
        <v>432</v>
      </c>
      <c r="B2288" s="512" t="s">
        <v>4405</v>
      </c>
      <c r="C2288" s="605">
        <v>45942.0</v>
      </c>
      <c r="D2288" s="512">
        <v>2.7119684302E10</v>
      </c>
      <c r="E2288" s="606" t="s">
        <v>4594</v>
      </c>
      <c r="F2288" s="644" t="s">
        <v>436</v>
      </c>
      <c r="G2288" s="606" t="s">
        <v>1122</v>
      </c>
      <c r="H2288" s="608" t="s">
        <v>686</v>
      </c>
    </row>
    <row r="2289">
      <c r="A2289" s="512" t="s">
        <v>432</v>
      </c>
      <c r="B2289" s="512" t="s">
        <v>4405</v>
      </c>
      <c r="C2289" s="605">
        <v>45942.0</v>
      </c>
      <c r="D2289" s="512">
        <v>3.4622198133E10</v>
      </c>
      <c r="E2289" s="606" t="s">
        <v>4595</v>
      </c>
      <c r="F2289" s="644" t="s">
        <v>436</v>
      </c>
      <c r="G2289" s="606" t="s">
        <v>1615</v>
      </c>
      <c r="H2289" s="608" t="s">
        <v>686</v>
      </c>
    </row>
    <row r="2290">
      <c r="A2290" s="512" t="s">
        <v>432</v>
      </c>
      <c r="B2290" s="512" t="s">
        <v>4405</v>
      </c>
      <c r="C2290" s="605">
        <v>45942.0</v>
      </c>
      <c r="D2290" s="512">
        <v>4.0066903088E10</v>
      </c>
      <c r="E2290" s="606" t="s">
        <v>4596</v>
      </c>
      <c r="F2290" s="644" t="s">
        <v>436</v>
      </c>
      <c r="G2290" s="606" t="s">
        <v>4597</v>
      </c>
      <c r="H2290" s="608" t="s">
        <v>686</v>
      </c>
    </row>
    <row r="2291">
      <c r="A2291" s="512" t="s">
        <v>823</v>
      </c>
      <c r="B2291" s="512" t="s">
        <v>449</v>
      </c>
      <c r="C2291" s="605">
        <v>45942.0</v>
      </c>
      <c r="D2291" s="512">
        <v>3.8926175216E10</v>
      </c>
      <c r="E2291" s="606" t="s">
        <v>4598</v>
      </c>
      <c r="F2291" s="644" t="s">
        <v>436</v>
      </c>
      <c r="G2291" s="606" t="s">
        <v>4599</v>
      </c>
      <c r="H2291" s="608" t="s">
        <v>4558</v>
      </c>
    </row>
    <row r="2292">
      <c r="A2292" s="512" t="s">
        <v>823</v>
      </c>
      <c r="B2292" s="512" t="s">
        <v>449</v>
      </c>
      <c r="C2292" s="605">
        <v>45942.0</v>
      </c>
      <c r="D2292" s="512">
        <v>4.2749875277E10</v>
      </c>
      <c r="E2292" s="606" t="s">
        <v>4600</v>
      </c>
      <c r="F2292" s="644" t="s">
        <v>436</v>
      </c>
      <c r="G2292" s="606" t="s">
        <v>4601</v>
      </c>
      <c r="H2292" s="608" t="s">
        <v>4558</v>
      </c>
    </row>
    <row r="2293">
      <c r="A2293" s="512" t="s">
        <v>432</v>
      </c>
      <c r="B2293" s="512" t="s">
        <v>4405</v>
      </c>
      <c r="C2293" s="605">
        <v>45942.0</v>
      </c>
      <c r="D2293" s="512">
        <v>4.2756284584E10</v>
      </c>
      <c r="E2293" s="606" t="s">
        <v>4602</v>
      </c>
      <c r="F2293" s="644" t="s">
        <v>436</v>
      </c>
      <c r="G2293" s="606" t="s">
        <v>1283</v>
      </c>
      <c r="H2293" s="608" t="s">
        <v>686</v>
      </c>
    </row>
    <row r="2294">
      <c r="A2294" s="512" t="s">
        <v>823</v>
      </c>
      <c r="B2294" s="512" t="s">
        <v>449</v>
      </c>
      <c r="C2294" s="605">
        <v>45942.0</v>
      </c>
      <c r="D2294" s="512">
        <v>3.4238344936E10</v>
      </c>
      <c r="E2294" s="606" t="s">
        <v>4603</v>
      </c>
      <c r="F2294" s="644" t="s">
        <v>436</v>
      </c>
      <c r="G2294" s="606" t="s">
        <v>3691</v>
      </c>
      <c r="H2294" s="608" t="s">
        <v>4558</v>
      </c>
    </row>
    <row r="2295">
      <c r="A2295" s="512" t="s">
        <v>823</v>
      </c>
      <c r="B2295" s="512" t="s">
        <v>449</v>
      </c>
      <c r="C2295" s="605">
        <v>45942.0</v>
      </c>
      <c r="D2295" s="512">
        <v>3.947059818E10</v>
      </c>
      <c r="E2295" s="606" t="s">
        <v>4604</v>
      </c>
      <c r="F2295" s="644" t="s">
        <v>436</v>
      </c>
      <c r="G2295" s="606" t="s">
        <v>1659</v>
      </c>
      <c r="H2295" s="608" t="s">
        <v>4558</v>
      </c>
    </row>
    <row r="2296">
      <c r="A2296" s="512" t="s">
        <v>617</v>
      </c>
      <c r="B2296" s="512" t="s">
        <v>3583</v>
      </c>
      <c r="C2296" s="605">
        <v>45942.0</v>
      </c>
      <c r="D2296" s="512">
        <v>3.8705921759E10</v>
      </c>
      <c r="E2296" s="606" t="s">
        <v>4310</v>
      </c>
      <c r="F2296" s="644" t="s">
        <v>436</v>
      </c>
      <c r="G2296" s="606" t="s">
        <v>4605</v>
      </c>
      <c r="H2296" s="608" t="s">
        <v>696</v>
      </c>
    </row>
    <row r="2297">
      <c r="A2297" s="512" t="s">
        <v>432</v>
      </c>
      <c r="B2297" s="512" t="s">
        <v>4405</v>
      </c>
      <c r="C2297" s="605">
        <v>45942.0</v>
      </c>
      <c r="D2297" s="512">
        <v>4.2747667068E10</v>
      </c>
      <c r="E2297" s="606" t="s">
        <v>4606</v>
      </c>
      <c r="F2297" s="644" t="s">
        <v>436</v>
      </c>
      <c r="G2297" s="606" t="s">
        <v>4607</v>
      </c>
      <c r="H2297" s="608" t="s">
        <v>686</v>
      </c>
    </row>
    <row r="2298">
      <c r="A2298" s="512" t="s">
        <v>617</v>
      </c>
      <c r="B2298" s="512" t="s">
        <v>449</v>
      </c>
      <c r="C2298" s="605">
        <v>45942.0</v>
      </c>
      <c r="D2298" s="512">
        <v>3.2543957749E10</v>
      </c>
      <c r="E2298" s="606" t="s">
        <v>4608</v>
      </c>
      <c r="F2298" s="644" t="s">
        <v>436</v>
      </c>
      <c r="G2298" s="606" t="s">
        <v>605</v>
      </c>
      <c r="H2298" s="608" t="s">
        <v>696</v>
      </c>
    </row>
    <row r="2299">
      <c r="A2299" s="512" t="s">
        <v>432</v>
      </c>
      <c r="B2299" s="512" t="s">
        <v>449</v>
      </c>
      <c r="C2299" s="605">
        <v>45943.0</v>
      </c>
      <c r="D2299" s="512">
        <v>3.7084329831E10</v>
      </c>
      <c r="E2299" s="606" t="s">
        <v>4609</v>
      </c>
      <c r="F2299" s="644" t="s">
        <v>436</v>
      </c>
      <c r="G2299" s="606" t="s">
        <v>4610</v>
      </c>
      <c r="H2299" s="608" t="s">
        <v>686</v>
      </c>
    </row>
    <row r="2300">
      <c r="A2300" s="512" t="s">
        <v>617</v>
      </c>
      <c r="B2300" s="512" t="s">
        <v>449</v>
      </c>
      <c r="C2300" s="605">
        <v>45943.0</v>
      </c>
      <c r="D2300" s="512">
        <v>3.7230968515E10</v>
      </c>
      <c r="E2300" s="606" t="s">
        <v>4611</v>
      </c>
      <c r="F2300" s="644" t="s">
        <v>436</v>
      </c>
      <c r="G2300" s="606" t="s">
        <v>4612</v>
      </c>
      <c r="H2300" s="608" t="s">
        <v>696</v>
      </c>
    </row>
    <row r="2301">
      <c r="A2301" s="512" t="s">
        <v>432</v>
      </c>
      <c r="B2301" s="512" t="s">
        <v>4405</v>
      </c>
      <c r="C2301" s="605">
        <v>45943.0</v>
      </c>
      <c r="D2301" s="512">
        <v>3.8592715209E10</v>
      </c>
      <c r="E2301" s="606" t="s">
        <v>4613</v>
      </c>
      <c r="F2301" s="644" t="s">
        <v>436</v>
      </c>
      <c r="G2301" s="606" t="s">
        <v>1738</v>
      </c>
      <c r="H2301" s="608" t="s">
        <v>686</v>
      </c>
    </row>
    <row r="2302">
      <c r="A2302" s="512" t="s">
        <v>432</v>
      </c>
      <c r="B2302" s="512" t="s">
        <v>449</v>
      </c>
      <c r="C2302" s="605">
        <v>45943.0</v>
      </c>
      <c r="D2302" s="512">
        <v>3.8040168564E10</v>
      </c>
      <c r="E2302" s="606" t="s">
        <v>4614</v>
      </c>
      <c r="F2302" s="644" t="s">
        <v>436</v>
      </c>
      <c r="G2302" s="606" t="s">
        <v>4615</v>
      </c>
      <c r="H2302" s="608" t="s">
        <v>686</v>
      </c>
    </row>
    <row r="2303">
      <c r="A2303" s="512" t="s">
        <v>432</v>
      </c>
      <c r="B2303" s="512" t="s">
        <v>3721</v>
      </c>
      <c r="C2303" s="605">
        <v>45943.0</v>
      </c>
      <c r="D2303" s="512">
        <v>3.2324075464E10</v>
      </c>
      <c r="E2303" s="606" t="s">
        <v>4616</v>
      </c>
      <c r="F2303" s="644" t="s">
        <v>436</v>
      </c>
      <c r="G2303" s="606" t="s">
        <v>4617</v>
      </c>
      <c r="H2303" s="608" t="s">
        <v>686</v>
      </c>
    </row>
    <row r="2304">
      <c r="A2304" s="512" t="s">
        <v>432</v>
      </c>
      <c r="B2304" s="512" t="s">
        <v>4405</v>
      </c>
      <c r="C2304" s="605">
        <v>45943.0</v>
      </c>
      <c r="D2304" s="512">
        <v>3.1814671711E10</v>
      </c>
      <c r="E2304" s="606" t="s">
        <v>4618</v>
      </c>
      <c r="F2304" s="644" t="s">
        <v>436</v>
      </c>
      <c r="G2304" s="606" t="s">
        <v>4619</v>
      </c>
      <c r="H2304" s="608" t="s">
        <v>686</v>
      </c>
    </row>
    <row r="2305">
      <c r="A2305" s="512" t="s">
        <v>432</v>
      </c>
      <c r="B2305" s="512" t="s">
        <v>4405</v>
      </c>
      <c r="C2305" s="605">
        <v>45943.0</v>
      </c>
      <c r="D2305" s="512">
        <v>3.8713203905E10</v>
      </c>
      <c r="E2305" s="606" t="s">
        <v>4620</v>
      </c>
      <c r="F2305" s="644" t="s">
        <v>436</v>
      </c>
      <c r="G2305" s="606" t="s">
        <v>4621</v>
      </c>
      <c r="H2305" s="608" t="s">
        <v>686</v>
      </c>
    </row>
    <row r="2306">
      <c r="A2306" s="512" t="s">
        <v>432</v>
      </c>
      <c r="B2306" s="512" t="s">
        <v>449</v>
      </c>
      <c r="C2306" s="605">
        <v>45943.0</v>
      </c>
      <c r="D2306" s="512">
        <v>2.6724534834E10</v>
      </c>
      <c r="E2306" s="606" t="s">
        <v>4622</v>
      </c>
      <c r="F2306" s="644" t="s">
        <v>436</v>
      </c>
      <c r="G2306" s="606" t="s">
        <v>3007</v>
      </c>
      <c r="H2306" s="608" t="s">
        <v>686</v>
      </c>
    </row>
    <row r="2307">
      <c r="A2307" s="512" t="s">
        <v>432</v>
      </c>
      <c r="B2307" s="512" t="s">
        <v>449</v>
      </c>
      <c r="C2307" s="605">
        <v>45943.0</v>
      </c>
      <c r="D2307" s="512">
        <v>4.0925360529E10</v>
      </c>
      <c r="E2307" s="606" t="s">
        <v>4623</v>
      </c>
      <c r="F2307" s="644" t="s">
        <v>436</v>
      </c>
      <c r="G2307" s="606" t="s">
        <v>2397</v>
      </c>
      <c r="H2307" s="608" t="s">
        <v>686</v>
      </c>
    </row>
    <row r="2308">
      <c r="A2308" s="512" t="s">
        <v>690</v>
      </c>
      <c r="B2308" s="512" t="s">
        <v>449</v>
      </c>
      <c r="C2308" s="605">
        <v>45944.0</v>
      </c>
      <c r="D2308" s="512">
        <v>2.8669211265E10</v>
      </c>
      <c r="E2308" s="606" t="s">
        <v>4624</v>
      </c>
      <c r="F2308" s="644" t="s">
        <v>436</v>
      </c>
      <c r="G2308" s="606" t="s">
        <v>4625</v>
      </c>
      <c r="H2308" s="608" t="s">
        <v>4156</v>
      </c>
    </row>
    <row r="2309">
      <c r="A2309" s="512" t="s">
        <v>690</v>
      </c>
      <c r="B2309" s="512" t="s">
        <v>449</v>
      </c>
      <c r="C2309" s="605">
        <v>45944.0</v>
      </c>
      <c r="D2309" s="512">
        <v>2.8669211263E10</v>
      </c>
      <c r="E2309" s="606" t="s">
        <v>4626</v>
      </c>
      <c r="F2309" s="644" t="s">
        <v>436</v>
      </c>
      <c r="G2309" s="606" t="s">
        <v>4625</v>
      </c>
      <c r="H2309" s="608" t="s">
        <v>4156</v>
      </c>
    </row>
    <row r="2310">
      <c r="A2310" s="512" t="s">
        <v>432</v>
      </c>
      <c r="B2310" s="512" t="s">
        <v>4405</v>
      </c>
      <c r="C2310" s="605">
        <v>45944.0</v>
      </c>
      <c r="D2310" s="512">
        <v>3.9238417713E10</v>
      </c>
      <c r="E2310" s="606" t="s">
        <v>4627</v>
      </c>
      <c r="F2310" s="644" t="s">
        <v>436</v>
      </c>
      <c r="G2310" s="606" t="s">
        <v>4628</v>
      </c>
      <c r="H2310" s="608" t="s">
        <v>438</v>
      </c>
    </row>
    <row r="2311">
      <c r="A2311" s="512" t="s">
        <v>432</v>
      </c>
      <c r="B2311" s="512" t="s">
        <v>4405</v>
      </c>
      <c r="C2311" s="605">
        <v>45944.0</v>
      </c>
      <c r="D2311" s="512">
        <v>3.7176056526E10</v>
      </c>
      <c r="E2311" s="606" t="s">
        <v>4629</v>
      </c>
      <c r="F2311" s="644" t="s">
        <v>436</v>
      </c>
      <c r="G2311" s="606" t="s">
        <v>4630</v>
      </c>
      <c r="H2311" s="608" t="s">
        <v>438</v>
      </c>
    </row>
    <row r="2312">
      <c r="A2312" s="512" t="s">
        <v>432</v>
      </c>
      <c r="B2312" s="512" t="s">
        <v>4405</v>
      </c>
      <c r="C2312" s="605">
        <v>45944.0</v>
      </c>
      <c r="D2312" s="512">
        <v>3.3285425896E10</v>
      </c>
      <c r="E2312" s="606" t="s">
        <v>4631</v>
      </c>
      <c r="F2312" s="644" t="s">
        <v>436</v>
      </c>
      <c r="G2312" s="606" t="s">
        <v>4632</v>
      </c>
      <c r="H2312" s="608" t="s">
        <v>4633</v>
      </c>
    </row>
    <row r="2313">
      <c r="A2313" s="512" t="s">
        <v>432</v>
      </c>
      <c r="B2313" s="512" t="s">
        <v>4405</v>
      </c>
      <c r="C2313" s="605">
        <v>45944.0</v>
      </c>
      <c r="D2313" s="512">
        <v>4.2808442434E10</v>
      </c>
      <c r="E2313" s="606" t="s">
        <v>4634</v>
      </c>
      <c r="F2313" s="644" t="s">
        <v>436</v>
      </c>
      <c r="G2313" s="606" t="s">
        <v>4635</v>
      </c>
      <c r="H2313" s="608" t="s">
        <v>438</v>
      </c>
    </row>
    <row r="2314">
      <c r="A2314" s="512" t="s">
        <v>432</v>
      </c>
      <c r="B2314" s="512" t="s">
        <v>4405</v>
      </c>
      <c r="C2314" s="605">
        <v>45944.0</v>
      </c>
      <c r="D2314" s="512">
        <v>3.5864393779E10</v>
      </c>
      <c r="E2314" s="606" t="s">
        <v>4636</v>
      </c>
      <c r="F2314" s="644" t="s">
        <v>436</v>
      </c>
      <c r="G2314" s="606" t="s">
        <v>4637</v>
      </c>
      <c r="H2314" s="608" t="s">
        <v>438</v>
      </c>
    </row>
    <row r="2315">
      <c r="A2315" s="512" t="s">
        <v>432</v>
      </c>
      <c r="B2315" s="512" t="s">
        <v>4405</v>
      </c>
      <c r="C2315" s="605">
        <v>45944.0</v>
      </c>
      <c r="D2315" s="512">
        <v>3.9301335266E10</v>
      </c>
      <c r="E2315" s="561" t="s">
        <v>4638</v>
      </c>
      <c r="F2315" s="644" t="s">
        <v>436</v>
      </c>
      <c r="G2315" s="606" t="s">
        <v>4639</v>
      </c>
      <c r="H2315" s="608" t="s">
        <v>438</v>
      </c>
    </row>
    <row r="2316">
      <c r="A2316" s="512" t="s">
        <v>432</v>
      </c>
      <c r="B2316" s="512" t="s">
        <v>4405</v>
      </c>
      <c r="C2316" s="605">
        <v>45944.0</v>
      </c>
      <c r="D2316" s="512">
        <v>4.0125522051E10</v>
      </c>
      <c r="E2316" s="619" t="s">
        <v>4640</v>
      </c>
      <c r="F2316" s="644" t="s">
        <v>436</v>
      </c>
      <c r="G2316" s="606" t="s">
        <v>4639</v>
      </c>
      <c r="H2316" s="608" t="s">
        <v>438</v>
      </c>
    </row>
    <row r="2317">
      <c r="A2317" s="512" t="s">
        <v>823</v>
      </c>
      <c r="B2317" s="512" t="s">
        <v>449</v>
      </c>
      <c r="C2317" s="605">
        <v>45944.0</v>
      </c>
      <c r="D2317" s="512">
        <v>4.2859473616E10</v>
      </c>
      <c r="E2317" s="606" t="s">
        <v>4641</v>
      </c>
      <c r="F2317" s="644" t="s">
        <v>436</v>
      </c>
      <c r="G2317" s="606" t="s">
        <v>1615</v>
      </c>
      <c r="H2317" s="608" t="s">
        <v>4558</v>
      </c>
    </row>
    <row r="2318">
      <c r="A2318" s="512" t="s">
        <v>432</v>
      </c>
      <c r="B2318" s="512" t="s">
        <v>4405</v>
      </c>
      <c r="C2318" s="605">
        <v>45944.0</v>
      </c>
      <c r="D2318" s="512">
        <v>3.2099650488E10</v>
      </c>
      <c r="E2318" s="606" t="s">
        <v>4642</v>
      </c>
      <c r="F2318" s="644" t="s">
        <v>436</v>
      </c>
      <c r="G2318" s="606" t="s">
        <v>4643</v>
      </c>
      <c r="H2318" s="608" t="s">
        <v>438</v>
      </c>
    </row>
    <row r="2319">
      <c r="A2319" s="512" t="s">
        <v>690</v>
      </c>
      <c r="B2319" s="512" t="s">
        <v>449</v>
      </c>
      <c r="C2319" s="605">
        <v>45944.0</v>
      </c>
      <c r="D2319" s="512">
        <v>3.7030024902E10</v>
      </c>
      <c r="E2319" s="606" t="s">
        <v>4644</v>
      </c>
      <c r="F2319" s="644" t="s">
        <v>436</v>
      </c>
      <c r="G2319" s="606" t="s">
        <v>4645</v>
      </c>
      <c r="H2319" s="608" t="s">
        <v>4156</v>
      </c>
    </row>
    <row r="2320">
      <c r="A2320" s="512" t="s">
        <v>432</v>
      </c>
      <c r="B2320" s="512" t="s">
        <v>4405</v>
      </c>
      <c r="C2320" s="605">
        <v>45944.0</v>
      </c>
      <c r="D2320" s="512">
        <v>4.2118066904E10</v>
      </c>
      <c r="E2320" s="606" t="s">
        <v>4646</v>
      </c>
      <c r="F2320" s="644" t="s">
        <v>436</v>
      </c>
      <c r="G2320" s="606" t="s">
        <v>2810</v>
      </c>
      <c r="H2320" s="608" t="s">
        <v>901</v>
      </c>
    </row>
    <row r="2321">
      <c r="A2321" s="512" t="s">
        <v>823</v>
      </c>
      <c r="B2321" s="512" t="s">
        <v>449</v>
      </c>
      <c r="C2321" s="605">
        <v>45944.0</v>
      </c>
      <c r="D2321" s="512">
        <v>3.81709189E10</v>
      </c>
      <c r="E2321" s="606" t="s">
        <v>4647</v>
      </c>
      <c r="F2321" s="644" t="s">
        <v>436</v>
      </c>
      <c r="G2321" s="606" t="s">
        <v>4648</v>
      </c>
      <c r="H2321" s="608" t="s">
        <v>4558</v>
      </c>
    </row>
    <row r="2322">
      <c r="A2322" s="512" t="s">
        <v>432</v>
      </c>
      <c r="B2322" s="512" t="s">
        <v>4405</v>
      </c>
      <c r="C2322" s="605">
        <v>45944.0</v>
      </c>
      <c r="D2322" s="512">
        <v>4.2435285035E10</v>
      </c>
      <c r="E2322" s="606" t="s">
        <v>4649</v>
      </c>
      <c r="F2322" s="644" t="s">
        <v>436</v>
      </c>
      <c r="G2322" s="606" t="s">
        <v>4650</v>
      </c>
      <c r="H2322" s="608" t="s">
        <v>901</v>
      </c>
    </row>
    <row r="2323">
      <c r="A2323" s="512" t="s">
        <v>823</v>
      </c>
      <c r="B2323" s="512" t="s">
        <v>4405</v>
      </c>
      <c r="C2323" s="605">
        <v>45944.0</v>
      </c>
      <c r="D2323" s="512">
        <v>3.3323133592E10</v>
      </c>
      <c r="E2323" s="606" t="s">
        <v>4651</v>
      </c>
      <c r="F2323" s="644" t="s">
        <v>436</v>
      </c>
      <c r="G2323" s="606" t="s">
        <v>4652</v>
      </c>
      <c r="H2323" s="608" t="s">
        <v>4558</v>
      </c>
    </row>
    <row r="2324">
      <c r="A2324" s="512" t="s">
        <v>432</v>
      </c>
      <c r="B2324" s="512" t="s">
        <v>449</v>
      </c>
      <c r="C2324" s="605">
        <v>45945.0</v>
      </c>
      <c r="D2324" s="512">
        <v>4.2987010279E10</v>
      </c>
      <c r="E2324" s="606" t="s">
        <v>4653</v>
      </c>
      <c r="F2324" s="644" t="s">
        <v>436</v>
      </c>
      <c r="G2324" s="606" t="s">
        <v>4654</v>
      </c>
      <c r="H2324" s="608" t="s">
        <v>438</v>
      </c>
    </row>
    <row r="2325">
      <c r="A2325" s="512" t="s">
        <v>432</v>
      </c>
      <c r="B2325" s="512" t="s">
        <v>4405</v>
      </c>
      <c r="C2325" s="605">
        <v>45945.0</v>
      </c>
      <c r="D2325" s="512">
        <v>3.6627935628E10</v>
      </c>
      <c r="E2325" s="606" t="s">
        <v>4655</v>
      </c>
      <c r="F2325" s="644" t="s">
        <v>436</v>
      </c>
      <c r="G2325" s="606" t="s">
        <v>4656</v>
      </c>
      <c r="H2325" s="608" t="s">
        <v>438</v>
      </c>
    </row>
    <row r="2326">
      <c r="A2326" s="512" t="s">
        <v>823</v>
      </c>
      <c r="B2326" s="512" t="s">
        <v>449</v>
      </c>
      <c r="C2326" s="605">
        <v>45945.0</v>
      </c>
      <c r="D2326" s="512">
        <v>3.4967581402E10</v>
      </c>
      <c r="E2326" s="606" t="s">
        <v>4657</v>
      </c>
      <c r="F2326" s="644" t="s">
        <v>436</v>
      </c>
      <c r="G2326" s="606" t="s">
        <v>1771</v>
      </c>
      <c r="H2326" s="608" t="s">
        <v>4558</v>
      </c>
    </row>
    <row r="2327">
      <c r="A2327" s="512" t="s">
        <v>439</v>
      </c>
      <c r="B2327" s="512" t="s">
        <v>4405</v>
      </c>
      <c r="C2327" s="605">
        <v>45945.0</v>
      </c>
      <c r="D2327" s="512">
        <v>3.5515984316E10</v>
      </c>
      <c r="E2327" s="606" t="s">
        <v>4658</v>
      </c>
      <c r="F2327" s="644" t="s">
        <v>436</v>
      </c>
      <c r="G2327" s="606" t="s">
        <v>1773</v>
      </c>
      <c r="H2327" s="666" t="s">
        <v>686</v>
      </c>
    </row>
    <row r="2328">
      <c r="A2328" s="512" t="s">
        <v>432</v>
      </c>
      <c r="B2328" s="512" t="s">
        <v>4405</v>
      </c>
      <c r="C2328" s="605">
        <v>45945.0</v>
      </c>
      <c r="D2328" s="512">
        <v>2.8339248149E10</v>
      </c>
      <c r="E2328" s="606" t="s">
        <v>4659</v>
      </c>
      <c r="F2328" s="644" t="s">
        <v>436</v>
      </c>
      <c r="G2328" s="606" t="s">
        <v>3058</v>
      </c>
      <c r="H2328" s="608" t="s">
        <v>438</v>
      </c>
    </row>
    <row r="2329">
      <c r="A2329" s="512" t="s">
        <v>823</v>
      </c>
      <c r="B2329" s="512" t="s">
        <v>4405</v>
      </c>
      <c r="C2329" s="605">
        <v>45945.0</v>
      </c>
      <c r="D2329" s="512">
        <v>4.0741662322E10</v>
      </c>
      <c r="E2329" s="619" t="s">
        <v>4660</v>
      </c>
      <c r="F2329" s="644" t="s">
        <v>436</v>
      </c>
      <c r="G2329" s="606" t="s">
        <v>4661</v>
      </c>
      <c r="H2329" s="608" t="s">
        <v>4558</v>
      </c>
    </row>
    <row r="2330">
      <c r="A2330" s="512" t="s">
        <v>432</v>
      </c>
      <c r="B2330" s="512" t="s">
        <v>449</v>
      </c>
      <c r="C2330" s="605">
        <v>45945.0</v>
      </c>
      <c r="D2330" s="512">
        <v>3.9163004892E10</v>
      </c>
      <c r="E2330" s="606" t="s">
        <v>4662</v>
      </c>
      <c r="F2330" s="644" t="s">
        <v>436</v>
      </c>
      <c r="G2330" s="606" t="s">
        <v>4663</v>
      </c>
      <c r="H2330" s="608" t="s">
        <v>438</v>
      </c>
    </row>
    <row r="2331">
      <c r="A2331" s="512" t="s">
        <v>432</v>
      </c>
      <c r="B2331" s="512" t="s">
        <v>4405</v>
      </c>
      <c r="C2331" s="605">
        <v>45945.0</v>
      </c>
      <c r="D2331" s="512">
        <v>3.5178644131E10</v>
      </c>
      <c r="E2331" s="606" t="s">
        <v>4664</v>
      </c>
      <c r="F2331" s="644" t="s">
        <v>436</v>
      </c>
      <c r="G2331" s="606" t="s">
        <v>4665</v>
      </c>
      <c r="H2331" s="608" t="s">
        <v>438</v>
      </c>
    </row>
    <row r="2332">
      <c r="A2332" s="512" t="s">
        <v>432</v>
      </c>
      <c r="B2332" s="512" t="s">
        <v>4405</v>
      </c>
      <c r="C2332" s="605">
        <v>45945.0</v>
      </c>
      <c r="D2332" s="512">
        <v>3.5398932006E10</v>
      </c>
      <c r="E2332" s="606" t="s">
        <v>4666</v>
      </c>
      <c r="F2332" s="644" t="s">
        <v>436</v>
      </c>
      <c r="G2332" s="606" t="s">
        <v>4667</v>
      </c>
      <c r="H2332" s="608" t="s">
        <v>438</v>
      </c>
    </row>
    <row r="2333">
      <c r="A2333" s="512" t="s">
        <v>439</v>
      </c>
      <c r="B2333" s="512" t="s">
        <v>4405</v>
      </c>
      <c r="C2333" s="605">
        <v>45945.0</v>
      </c>
      <c r="D2333" s="512">
        <v>3.835122341E10</v>
      </c>
      <c r="E2333" s="606" t="s">
        <v>4668</v>
      </c>
      <c r="F2333" s="644" t="s">
        <v>436</v>
      </c>
      <c r="G2333" s="606" t="s">
        <v>771</v>
      </c>
      <c r="H2333" s="666" t="s">
        <v>686</v>
      </c>
    </row>
    <row r="2334">
      <c r="A2334" s="512" t="s">
        <v>432</v>
      </c>
      <c r="B2334" s="512" t="s">
        <v>449</v>
      </c>
      <c r="C2334" s="605">
        <v>45945.0</v>
      </c>
      <c r="D2334" s="512">
        <v>3.9163004892E10</v>
      </c>
      <c r="E2334" s="606" t="s">
        <v>4669</v>
      </c>
      <c r="F2334" s="644" t="s">
        <v>436</v>
      </c>
      <c r="G2334" s="606" t="s">
        <v>4670</v>
      </c>
      <c r="H2334" s="608" t="s">
        <v>438</v>
      </c>
    </row>
    <row r="2335">
      <c r="A2335" s="512" t="s">
        <v>690</v>
      </c>
      <c r="B2335" s="512" t="s">
        <v>449</v>
      </c>
      <c r="C2335" s="605">
        <v>45945.0</v>
      </c>
      <c r="D2335" s="546">
        <v>3.5278623175E10</v>
      </c>
      <c r="E2335" s="606" t="s">
        <v>4671</v>
      </c>
      <c r="F2335" s="644" t="s">
        <v>436</v>
      </c>
      <c r="G2335" s="606" t="s">
        <v>1635</v>
      </c>
      <c r="H2335" s="608" t="s">
        <v>1647</v>
      </c>
    </row>
    <row r="2336">
      <c r="A2336" s="512" t="s">
        <v>439</v>
      </c>
      <c r="B2336" s="512" t="s">
        <v>4405</v>
      </c>
      <c r="C2336" s="605">
        <v>45945.0</v>
      </c>
      <c r="D2336" s="512">
        <v>3.7041238298E10</v>
      </c>
      <c r="E2336" s="606" t="s">
        <v>4672</v>
      </c>
      <c r="F2336" s="644" t="s">
        <v>436</v>
      </c>
      <c r="G2336" s="606" t="s">
        <v>4576</v>
      </c>
      <c r="H2336" s="666" t="s">
        <v>686</v>
      </c>
    </row>
    <row r="2337">
      <c r="A2337" s="512" t="s">
        <v>432</v>
      </c>
      <c r="B2337" s="512" t="s">
        <v>4405</v>
      </c>
      <c r="C2337" s="605">
        <v>45945.0</v>
      </c>
      <c r="D2337" s="512">
        <v>3.5416163062E10</v>
      </c>
      <c r="E2337" s="606" t="s">
        <v>4673</v>
      </c>
      <c r="F2337" s="644" t="s">
        <v>436</v>
      </c>
      <c r="G2337" s="606" t="s">
        <v>3568</v>
      </c>
      <c r="H2337" s="608" t="s">
        <v>438</v>
      </c>
    </row>
    <row r="2338">
      <c r="A2338" s="512" t="s">
        <v>432</v>
      </c>
      <c r="B2338" s="512" t="s">
        <v>4405</v>
      </c>
      <c r="C2338" s="605">
        <v>45945.0</v>
      </c>
      <c r="D2338" s="512">
        <v>3.3240476749E10</v>
      </c>
      <c r="E2338" s="606" t="s">
        <v>4674</v>
      </c>
      <c r="F2338" s="644" t="s">
        <v>436</v>
      </c>
      <c r="G2338" s="606" t="s">
        <v>4675</v>
      </c>
      <c r="H2338" s="608" t="s">
        <v>438</v>
      </c>
    </row>
    <row r="2339">
      <c r="A2339" s="512" t="s">
        <v>823</v>
      </c>
      <c r="B2339" s="512" t="s">
        <v>449</v>
      </c>
      <c r="C2339" s="605">
        <v>45945.0</v>
      </c>
      <c r="D2339" s="512">
        <v>3.3025713823E10</v>
      </c>
      <c r="E2339" s="606" t="s">
        <v>4676</v>
      </c>
      <c r="F2339" s="644" t="s">
        <v>436</v>
      </c>
      <c r="G2339" s="606" t="s">
        <v>1611</v>
      </c>
      <c r="H2339" s="608" t="s">
        <v>4558</v>
      </c>
    </row>
    <row r="2340">
      <c r="A2340" s="512" t="s">
        <v>690</v>
      </c>
      <c r="B2340" s="512" t="s">
        <v>449</v>
      </c>
      <c r="C2340" s="605">
        <v>45945.0</v>
      </c>
      <c r="D2340" s="512">
        <v>4.0110566145E10</v>
      </c>
      <c r="E2340" s="667" t="s">
        <v>4677</v>
      </c>
      <c r="F2340" s="644" t="s">
        <v>436</v>
      </c>
      <c r="G2340" s="606" t="s">
        <v>2002</v>
      </c>
      <c r="H2340" s="608" t="s">
        <v>1647</v>
      </c>
    </row>
    <row r="2341">
      <c r="A2341" s="512" t="s">
        <v>690</v>
      </c>
      <c r="B2341" s="512" t="s">
        <v>449</v>
      </c>
      <c r="C2341" s="605">
        <v>45945.0</v>
      </c>
      <c r="D2341" s="512">
        <v>3.4515315076E10</v>
      </c>
      <c r="E2341" s="606" t="s">
        <v>4678</v>
      </c>
      <c r="F2341" s="644" t="s">
        <v>436</v>
      </c>
      <c r="G2341" s="606" t="s">
        <v>4679</v>
      </c>
      <c r="H2341" s="608" t="s">
        <v>1647</v>
      </c>
    </row>
    <row r="2342">
      <c r="A2342" s="512" t="s">
        <v>432</v>
      </c>
      <c r="B2342" s="512" t="s">
        <v>4405</v>
      </c>
      <c r="C2342" s="605">
        <v>45945.0</v>
      </c>
      <c r="D2342" s="512">
        <v>2.8459114024E10</v>
      </c>
      <c r="E2342" s="606" t="s">
        <v>4680</v>
      </c>
      <c r="F2342" s="644" t="s">
        <v>436</v>
      </c>
      <c r="G2342" s="606" t="s">
        <v>4681</v>
      </c>
      <c r="H2342" s="608" t="s">
        <v>438</v>
      </c>
    </row>
    <row r="2343">
      <c r="A2343" s="512" t="s">
        <v>432</v>
      </c>
      <c r="B2343" s="512" t="s">
        <v>4405</v>
      </c>
      <c r="C2343" s="605">
        <v>45945.0</v>
      </c>
      <c r="D2343" s="512">
        <v>4.0508955464E10</v>
      </c>
      <c r="E2343" s="606" t="s">
        <v>4682</v>
      </c>
      <c r="F2343" s="644" t="s">
        <v>436</v>
      </c>
      <c r="G2343" s="606" t="s">
        <v>1427</v>
      </c>
      <c r="H2343" s="608" t="s">
        <v>438</v>
      </c>
    </row>
    <row r="2344">
      <c r="A2344" s="512" t="s">
        <v>432</v>
      </c>
      <c r="B2344" s="512" t="s">
        <v>4405</v>
      </c>
      <c r="C2344" s="616">
        <v>45945.0</v>
      </c>
      <c r="D2344" s="561">
        <v>2.3864383464E10</v>
      </c>
      <c r="E2344" s="606" t="s">
        <v>4683</v>
      </c>
      <c r="F2344" s="644" t="s">
        <v>436</v>
      </c>
      <c r="G2344" s="606" t="s">
        <v>4607</v>
      </c>
      <c r="H2344" s="608" t="s">
        <v>438</v>
      </c>
    </row>
    <row r="2345">
      <c r="A2345" s="512" t="s">
        <v>690</v>
      </c>
      <c r="B2345" s="512" t="s">
        <v>449</v>
      </c>
      <c r="C2345" s="605">
        <v>45945.0</v>
      </c>
      <c r="D2345" s="512">
        <v>3.8372159259E10</v>
      </c>
      <c r="E2345" s="606" t="s">
        <v>4684</v>
      </c>
      <c r="F2345" s="644" t="s">
        <v>436</v>
      </c>
      <c r="G2345" s="606" t="s">
        <v>4685</v>
      </c>
      <c r="H2345" s="608" t="s">
        <v>1647</v>
      </c>
    </row>
    <row r="2346">
      <c r="A2346" s="512" t="s">
        <v>439</v>
      </c>
      <c r="B2346" s="512" t="s">
        <v>449</v>
      </c>
      <c r="C2346" s="605">
        <v>45946.0</v>
      </c>
      <c r="D2346" s="512">
        <v>3.7507154933E10</v>
      </c>
      <c r="E2346" s="606" t="s">
        <v>4686</v>
      </c>
      <c r="F2346" s="644" t="s">
        <v>436</v>
      </c>
      <c r="G2346" s="606" t="s">
        <v>4687</v>
      </c>
      <c r="H2346" s="608" t="s">
        <v>4558</v>
      </c>
    </row>
    <row r="2347">
      <c r="A2347" s="512" t="s">
        <v>432</v>
      </c>
      <c r="B2347" s="512" t="s">
        <v>449</v>
      </c>
      <c r="C2347" s="605">
        <v>45946.0</v>
      </c>
      <c r="D2347" s="512">
        <v>4.2990890434E10</v>
      </c>
      <c r="E2347" s="606" t="s">
        <v>4688</v>
      </c>
      <c r="F2347" s="644" t="s">
        <v>436</v>
      </c>
      <c r="G2347" s="606" t="s">
        <v>4689</v>
      </c>
      <c r="H2347" s="608" t="s">
        <v>686</v>
      </c>
    </row>
    <row r="2348">
      <c r="A2348" s="512" t="s">
        <v>432</v>
      </c>
      <c r="B2348" s="512" t="s">
        <v>4405</v>
      </c>
      <c r="C2348" s="605">
        <v>45946.0</v>
      </c>
      <c r="D2348" s="512">
        <v>3.2795965687E10</v>
      </c>
      <c r="E2348" s="606" t="s">
        <v>4690</v>
      </c>
      <c r="F2348" s="644" t="s">
        <v>436</v>
      </c>
      <c r="G2348" s="606" t="s">
        <v>4691</v>
      </c>
      <c r="H2348" s="608" t="s">
        <v>686</v>
      </c>
    </row>
    <row r="2349">
      <c r="A2349" s="512" t="s">
        <v>432</v>
      </c>
      <c r="B2349" s="512" t="s">
        <v>4405</v>
      </c>
      <c r="C2349" s="605">
        <v>45946.0</v>
      </c>
      <c r="D2349" s="512">
        <v>3.8695779146E10</v>
      </c>
      <c r="E2349" s="606" t="s">
        <v>4692</v>
      </c>
      <c r="F2349" s="644" t="s">
        <v>436</v>
      </c>
      <c r="G2349" s="606" t="s">
        <v>4691</v>
      </c>
      <c r="H2349" s="608" t="s">
        <v>686</v>
      </c>
    </row>
    <row r="2350">
      <c r="A2350" s="512" t="s">
        <v>432</v>
      </c>
      <c r="B2350" s="512" t="s">
        <v>4405</v>
      </c>
      <c r="C2350" s="605">
        <v>45946.0</v>
      </c>
      <c r="D2350" s="512">
        <v>3.141873566E10</v>
      </c>
      <c r="E2350" s="606" t="s">
        <v>4693</v>
      </c>
      <c r="F2350" s="644" t="s">
        <v>436</v>
      </c>
      <c r="G2350" s="606" t="s">
        <v>4694</v>
      </c>
      <c r="H2350" s="608" t="s">
        <v>686</v>
      </c>
    </row>
    <row r="2351">
      <c r="A2351" s="512" t="s">
        <v>432</v>
      </c>
      <c r="B2351" s="512" t="s">
        <v>4405</v>
      </c>
      <c r="C2351" s="605">
        <v>45946.0</v>
      </c>
      <c r="D2351" s="512">
        <v>2.5412286549E10</v>
      </c>
      <c r="E2351" s="606" t="s">
        <v>4695</v>
      </c>
      <c r="F2351" s="644" t="s">
        <v>436</v>
      </c>
      <c r="G2351" s="606" t="s">
        <v>4696</v>
      </c>
      <c r="H2351" s="608" t="s">
        <v>686</v>
      </c>
    </row>
    <row r="2352">
      <c r="A2352" s="512" t="s">
        <v>432</v>
      </c>
      <c r="B2352" s="512" t="s">
        <v>4405</v>
      </c>
      <c r="C2352" s="605">
        <v>45946.0</v>
      </c>
      <c r="D2352" s="512">
        <v>4.0925593699E10</v>
      </c>
      <c r="E2352" s="606" t="s">
        <v>4697</v>
      </c>
      <c r="F2352" s="644" t="s">
        <v>436</v>
      </c>
      <c r="G2352" s="606" t="s">
        <v>4698</v>
      </c>
      <c r="H2352" s="666" t="s">
        <v>686</v>
      </c>
    </row>
    <row r="2353">
      <c r="A2353" s="512" t="s">
        <v>432</v>
      </c>
      <c r="B2353" s="512" t="s">
        <v>4405</v>
      </c>
      <c r="C2353" s="605">
        <v>45946.0</v>
      </c>
      <c r="D2353" s="512">
        <v>3.8712071091E10</v>
      </c>
      <c r="E2353" s="606" t="s">
        <v>4699</v>
      </c>
      <c r="F2353" s="644" t="s">
        <v>436</v>
      </c>
      <c r="G2353" s="606" t="s">
        <v>4700</v>
      </c>
      <c r="H2353" s="608" t="s">
        <v>686</v>
      </c>
    </row>
    <row r="2354">
      <c r="A2354" s="512" t="s">
        <v>432</v>
      </c>
      <c r="B2354" s="512" t="s">
        <v>1270</v>
      </c>
      <c r="C2354" s="605">
        <v>45946.0</v>
      </c>
      <c r="D2354" s="512">
        <v>4.0148083511E10</v>
      </c>
      <c r="E2354" s="606" t="s">
        <v>4701</v>
      </c>
      <c r="F2354" s="644" t="s">
        <v>436</v>
      </c>
      <c r="G2354" s="606" t="s">
        <v>4702</v>
      </c>
      <c r="H2354" s="608" t="s">
        <v>686</v>
      </c>
    </row>
    <row r="2355">
      <c r="A2355" s="512" t="s">
        <v>432</v>
      </c>
      <c r="B2355" s="512" t="s">
        <v>4405</v>
      </c>
      <c r="C2355" s="605">
        <v>45946.0</v>
      </c>
      <c r="D2355" s="512">
        <v>3.9507379552E10</v>
      </c>
      <c r="E2355" s="606" t="s">
        <v>4703</v>
      </c>
      <c r="F2355" s="644" t="s">
        <v>436</v>
      </c>
      <c r="G2355" s="606" t="s">
        <v>4704</v>
      </c>
      <c r="H2355" s="608" t="s">
        <v>686</v>
      </c>
    </row>
    <row r="2356">
      <c r="A2356" s="512" t="s">
        <v>617</v>
      </c>
      <c r="B2356" s="512" t="s">
        <v>449</v>
      </c>
      <c r="C2356" s="605">
        <v>45946.0</v>
      </c>
      <c r="D2356" s="512">
        <v>3.5937137787E10</v>
      </c>
      <c r="E2356" s="606" t="s">
        <v>85</v>
      </c>
      <c r="F2356" s="644" t="s">
        <v>436</v>
      </c>
      <c r="G2356" s="606" t="s">
        <v>472</v>
      </c>
      <c r="H2356" s="608" t="s">
        <v>696</v>
      </c>
    </row>
    <row r="2357">
      <c r="A2357" s="512" t="s">
        <v>823</v>
      </c>
      <c r="B2357" s="512" t="s">
        <v>4405</v>
      </c>
      <c r="C2357" s="605">
        <v>45946.0</v>
      </c>
      <c r="D2357" s="512">
        <v>4.1141334596E10</v>
      </c>
      <c r="E2357" s="606" t="s">
        <v>4705</v>
      </c>
      <c r="F2357" s="644" t="s">
        <v>436</v>
      </c>
      <c r="G2357" s="606" t="s">
        <v>1800</v>
      </c>
      <c r="H2357" s="608" t="s">
        <v>4408</v>
      </c>
    </row>
    <row r="2358">
      <c r="A2358" s="512" t="s">
        <v>690</v>
      </c>
      <c r="B2358" s="512" t="s">
        <v>449</v>
      </c>
      <c r="C2358" s="605">
        <v>45946.0</v>
      </c>
      <c r="D2358" s="512">
        <v>4.2369146974E10</v>
      </c>
      <c r="E2358" s="606" t="s">
        <v>85</v>
      </c>
      <c r="F2358" s="644" t="s">
        <v>436</v>
      </c>
      <c r="G2358" s="606" t="s">
        <v>4706</v>
      </c>
      <c r="H2358" s="608" t="s">
        <v>1647</v>
      </c>
    </row>
    <row r="2359">
      <c r="A2359" s="512" t="s">
        <v>823</v>
      </c>
      <c r="B2359" s="512" t="s">
        <v>4405</v>
      </c>
      <c r="C2359" s="605">
        <v>45946.0</v>
      </c>
      <c r="D2359" s="512">
        <v>3.9978019679E10</v>
      </c>
      <c r="E2359" s="606" t="s">
        <v>4707</v>
      </c>
      <c r="F2359" s="644" t="s">
        <v>436</v>
      </c>
      <c r="G2359" s="606" t="s">
        <v>4708</v>
      </c>
      <c r="H2359" s="608" t="s">
        <v>4408</v>
      </c>
    </row>
    <row r="2360">
      <c r="A2360" s="512" t="s">
        <v>432</v>
      </c>
      <c r="B2360" s="512" t="s">
        <v>449</v>
      </c>
      <c r="C2360" s="605">
        <v>45946.0</v>
      </c>
      <c r="D2360" s="512">
        <v>3.9427065845E10</v>
      </c>
      <c r="E2360" s="606" t="s">
        <v>4709</v>
      </c>
      <c r="F2360" s="644" t="s">
        <v>436</v>
      </c>
      <c r="G2360" s="606" t="s">
        <v>3225</v>
      </c>
      <c r="H2360" s="608" t="s">
        <v>686</v>
      </c>
    </row>
    <row r="2361">
      <c r="A2361" s="512" t="s">
        <v>617</v>
      </c>
      <c r="B2361" s="512" t="s">
        <v>449</v>
      </c>
      <c r="C2361" s="605">
        <v>45947.0</v>
      </c>
      <c r="D2361" s="512">
        <v>4.3030843293E10</v>
      </c>
      <c r="E2361" s="606" t="s">
        <v>4710</v>
      </c>
      <c r="F2361" s="644" t="s">
        <v>436</v>
      </c>
      <c r="G2361" s="606" t="s">
        <v>3256</v>
      </c>
      <c r="H2361" s="608" t="s">
        <v>696</v>
      </c>
    </row>
    <row r="2362">
      <c r="A2362" s="512" t="s">
        <v>439</v>
      </c>
      <c r="B2362" s="512" t="s">
        <v>4405</v>
      </c>
      <c r="C2362" s="605">
        <v>45947.0</v>
      </c>
      <c r="D2362" s="512">
        <v>4.30310232E10</v>
      </c>
      <c r="E2362" s="606" t="s">
        <v>4711</v>
      </c>
      <c r="F2362" s="644" t="s">
        <v>436</v>
      </c>
      <c r="G2362" s="606" t="s">
        <v>4712</v>
      </c>
      <c r="H2362" s="608" t="s">
        <v>901</v>
      </c>
    </row>
    <row r="2363">
      <c r="A2363" s="512" t="s">
        <v>439</v>
      </c>
      <c r="B2363" s="512" t="s">
        <v>4405</v>
      </c>
      <c r="C2363" s="605">
        <v>45947.0</v>
      </c>
      <c r="D2363" s="512">
        <v>4.3031023199E10</v>
      </c>
      <c r="E2363" s="606" t="s">
        <v>4713</v>
      </c>
      <c r="F2363" s="644" t="s">
        <v>436</v>
      </c>
      <c r="G2363" s="606" t="s">
        <v>4712</v>
      </c>
      <c r="H2363" s="608" t="s">
        <v>901</v>
      </c>
    </row>
    <row r="2364">
      <c r="A2364" s="512" t="s">
        <v>439</v>
      </c>
      <c r="B2364" s="512" t="s">
        <v>4405</v>
      </c>
      <c r="C2364" s="605">
        <v>45947.0</v>
      </c>
      <c r="D2364" s="512" t="s">
        <v>4714</v>
      </c>
      <c r="E2364" s="606" t="s">
        <v>4715</v>
      </c>
      <c r="F2364" s="644" t="s">
        <v>436</v>
      </c>
      <c r="G2364" s="606" t="s">
        <v>4716</v>
      </c>
      <c r="H2364" s="608" t="s">
        <v>901</v>
      </c>
    </row>
    <row r="2365">
      <c r="A2365" s="512" t="s">
        <v>439</v>
      </c>
      <c r="B2365" s="512" t="s">
        <v>4405</v>
      </c>
      <c r="C2365" s="605">
        <v>45947.0</v>
      </c>
      <c r="D2365" s="512">
        <v>4.1216066987E10</v>
      </c>
      <c r="E2365" s="606" t="s">
        <v>4717</v>
      </c>
      <c r="F2365" s="644" t="s">
        <v>436</v>
      </c>
      <c r="G2365" s="606" t="s">
        <v>4718</v>
      </c>
      <c r="H2365" s="608" t="s">
        <v>901</v>
      </c>
    </row>
    <row r="2366">
      <c r="A2366" s="512" t="s">
        <v>432</v>
      </c>
      <c r="B2366" s="512" t="s">
        <v>4405</v>
      </c>
      <c r="C2366" s="605">
        <v>45947.0</v>
      </c>
      <c r="D2366" s="512">
        <v>3.7817755396E10</v>
      </c>
      <c r="E2366" s="606" t="s">
        <v>4719</v>
      </c>
      <c r="F2366" s="644" t="s">
        <v>436</v>
      </c>
      <c r="G2366" s="606" t="s">
        <v>4466</v>
      </c>
      <c r="H2366" s="608" t="s">
        <v>686</v>
      </c>
    </row>
    <row r="2367">
      <c r="A2367" s="512" t="s">
        <v>432</v>
      </c>
      <c r="B2367" s="512" t="s">
        <v>4405</v>
      </c>
      <c r="C2367" s="605">
        <v>45947.0</v>
      </c>
      <c r="D2367" s="512">
        <v>3.9224658743E10</v>
      </c>
      <c r="E2367" s="606" t="s">
        <v>4720</v>
      </c>
      <c r="F2367" s="644" t="s">
        <v>436</v>
      </c>
      <c r="G2367" s="606" t="s">
        <v>4721</v>
      </c>
      <c r="H2367" s="608" t="s">
        <v>686</v>
      </c>
    </row>
    <row r="2368">
      <c r="A2368" s="512" t="s">
        <v>432</v>
      </c>
      <c r="B2368" s="512" t="s">
        <v>4405</v>
      </c>
      <c r="C2368" s="605">
        <v>45947.0</v>
      </c>
      <c r="D2368" s="512">
        <v>3.5623944929E10</v>
      </c>
      <c r="E2368" s="606" t="s">
        <v>4722</v>
      </c>
      <c r="F2368" s="644" t="s">
        <v>436</v>
      </c>
      <c r="G2368" s="606" t="s">
        <v>4723</v>
      </c>
      <c r="H2368" s="608" t="s">
        <v>686</v>
      </c>
    </row>
    <row r="2369">
      <c r="A2369" s="512" t="s">
        <v>432</v>
      </c>
      <c r="B2369" s="512" t="s">
        <v>4405</v>
      </c>
      <c r="C2369" s="605">
        <v>45947.0</v>
      </c>
      <c r="D2369" s="512">
        <v>4.0585600897E10</v>
      </c>
      <c r="E2369" s="606" t="s">
        <v>4724</v>
      </c>
      <c r="F2369" s="644" t="s">
        <v>436</v>
      </c>
      <c r="G2369" s="606" t="s">
        <v>4725</v>
      </c>
      <c r="H2369" s="608" t="s">
        <v>686</v>
      </c>
    </row>
    <row r="2370">
      <c r="A2370" s="512" t="s">
        <v>439</v>
      </c>
      <c r="B2370" s="512" t="s">
        <v>4405</v>
      </c>
      <c r="C2370" s="605">
        <v>45947.0</v>
      </c>
      <c r="D2370" s="512">
        <v>3.8850968644E10</v>
      </c>
      <c r="E2370" s="606" t="s">
        <v>4726</v>
      </c>
      <c r="F2370" s="644" t="s">
        <v>436</v>
      </c>
      <c r="G2370" s="606" t="s">
        <v>4727</v>
      </c>
      <c r="H2370" s="608" t="s">
        <v>901</v>
      </c>
    </row>
    <row r="2371">
      <c r="A2371" s="512" t="s">
        <v>617</v>
      </c>
      <c r="B2371" s="512" t="s">
        <v>449</v>
      </c>
      <c r="C2371" s="605">
        <v>45947.0</v>
      </c>
      <c r="D2371" s="512">
        <v>3.8303833613E10</v>
      </c>
      <c r="E2371" s="606" t="s">
        <v>4728</v>
      </c>
      <c r="F2371" s="644" t="s">
        <v>436</v>
      </c>
      <c r="G2371" s="606" t="s">
        <v>4729</v>
      </c>
      <c r="H2371" s="608" t="s">
        <v>696</v>
      </c>
    </row>
    <row r="2372">
      <c r="A2372" s="512" t="s">
        <v>439</v>
      </c>
      <c r="B2372" s="512" t="s">
        <v>4405</v>
      </c>
      <c r="C2372" s="605">
        <v>45947.0</v>
      </c>
      <c r="D2372" s="512">
        <v>3.9978534991E10</v>
      </c>
      <c r="E2372" s="606" t="s">
        <v>4730</v>
      </c>
      <c r="F2372" s="644" t="s">
        <v>436</v>
      </c>
      <c r="G2372" s="606" t="s">
        <v>4731</v>
      </c>
      <c r="H2372" s="608" t="s">
        <v>901</v>
      </c>
    </row>
    <row r="2373">
      <c r="A2373" s="512" t="s">
        <v>439</v>
      </c>
      <c r="B2373" s="512" t="s">
        <v>449</v>
      </c>
      <c r="C2373" s="605">
        <v>45947.0</v>
      </c>
      <c r="D2373" s="512">
        <v>2.040901695514E12</v>
      </c>
      <c r="E2373" s="606" t="s">
        <v>4732</v>
      </c>
      <c r="F2373" s="644" t="s">
        <v>436</v>
      </c>
      <c r="G2373" s="606" t="s">
        <v>4733</v>
      </c>
      <c r="H2373" s="608" t="s">
        <v>901</v>
      </c>
    </row>
    <row r="2374">
      <c r="A2374" s="512" t="s">
        <v>439</v>
      </c>
      <c r="B2374" s="512" t="s">
        <v>4405</v>
      </c>
      <c r="C2374" s="605">
        <v>45947.0</v>
      </c>
      <c r="D2374" s="512">
        <v>3.6518376347E10</v>
      </c>
      <c r="E2374" s="606" t="s">
        <v>4734</v>
      </c>
      <c r="F2374" s="644" t="s">
        <v>436</v>
      </c>
      <c r="G2374" s="606" t="s">
        <v>4735</v>
      </c>
      <c r="H2374" s="608" t="s">
        <v>438</v>
      </c>
    </row>
    <row r="2375">
      <c r="A2375" s="512" t="s">
        <v>690</v>
      </c>
      <c r="B2375" s="512" t="s">
        <v>449</v>
      </c>
      <c r="C2375" s="605">
        <v>45948.0</v>
      </c>
      <c r="D2375" s="512">
        <v>3.0897456752E10</v>
      </c>
      <c r="E2375" s="606" t="s">
        <v>4498</v>
      </c>
      <c r="F2375" s="644" t="s">
        <v>436</v>
      </c>
      <c r="G2375" s="606" t="s">
        <v>4229</v>
      </c>
      <c r="H2375" s="608" t="s">
        <v>693</v>
      </c>
    </row>
    <row r="2376">
      <c r="A2376" s="512" t="s">
        <v>432</v>
      </c>
      <c r="B2376" s="512" t="s">
        <v>4405</v>
      </c>
      <c r="C2376" s="605">
        <v>45948.0</v>
      </c>
      <c r="D2376" s="512">
        <v>3.705425816E10</v>
      </c>
      <c r="E2376" s="606" t="s">
        <v>4736</v>
      </c>
      <c r="F2376" s="644" t="s">
        <v>436</v>
      </c>
      <c r="G2376" s="606" t="s">
        <v>4737</v>
      </c>
      <c r="H2376" s="608" t="s">
        <v>438</v>
      </c>
    </row>
    <row r="2377">
      <c r="A2377" s="512" t="s">
        <v>432</v>
      </c>
      <c r="B2377" s="512" t="s">
        <v>4405</v>
      </c>
      <c r="C2377" s="605">
        <v>45948.0</v>
      </c>
      <c r="D2377" s="512">
        <v>4.1819790839E10</v>
      </c>
      <c r="E2377" s="606" t="s">
        <v>4738</v>
      </c>
      <c r="F2377" s="644" t="s">
        <v>436</v>
      </c>
      <c r="G2377" s="606" t="s">
        <v>4739</v>
      </c>
      <c r="H2377" s="608" t="s">
        <v>438</v>
      </c>
    </row>
    <row r="2378">
      <c r="A2378" s="512" t="s">
        <v>432</v>
      </c>
      <c r="B2378" s="512" t="s">
        <v>4740</v>
      </c>
      <c r="C2378" s="605">
        <v>45948.0</v>
      </c>
      <c r="D2378" s="512">
        <v>3.5306526168E10</v>
      </c>
      <c r="E2378" s="606" t="s">
        <v>4741</v>
      </c>
      <c r="F2378" s="644" t="s">
        <v>436</v>
      </c>
      <c r="G2378" s="606" t="s">
        <v>4742</v>
      </c>
      <c r="H2378" s="608" t="s">
        <v>901</v>
      </c>
    </row>
    <row r="2379">
      <c r="A2379" s="512" t="s">
        <v>823</v>
      </c>
      <c r="B2379" s="512" t="s">
        <v>449</v>
      </c>
      <c r="C2379" s="605">
        <v>45948.0</v>
      </c>
      <c r="D2379" s="512">
        <v>4.2290755201E10</v>
      </c>
      <c r="E2379" s="606" t="s">
        <v>4743</v>
      </c>
      <c r="F2379" s="644" t="s">
        <v>436</v>
      </c>
      <c r="G2379" s="606" t="s">
        <v>4744</v>
      </c>
      <c r="H2379" s="608" t="s">
        <v>4745</v>
      </c>
    </row>
    <row r="2380">
      <c r="A2380" s="512" t="s">
        <v>432</v>
      </c>
      <c r="B2380" s="512" t="s">
        <v>4405</v>
      </c>
      <c r="C2380" s="605">
        <v>45948.0</v>
      </c>
      <c r="D2380" s="512">
        <v>3.5409337965E10</v>
      </c>
      <c r="E2380" s="606" t="s">
        <v>4746</v>
      </c>
      <c r="F2380" s="644" t="s">
        <v>436</v>
      </c>
      <c r="G2380" s="606" t="s">
        <v>4747</v>
      </c>
      <c r="H2380" s="608" t="s">
        <v>438</v>
      </c>
    </row>
    <row r="2381">
      <c r="A2381" s="512" t="s">
        <v>432</v>
      </c>
      <c r="B2381" s="512" t="s">
        <v>433</v>
      </c>
      <c r="C2381" s="605">
        <v>45948.0</v>
      </c>
      <c r="D2381" s="512">
        <v>3.8247190959E10</v>
      </c>
      <c r="E2381" s="606" t="s">
        <v>4748</v>
      </c>
      <c r="F2381" s="644" t="s">
        <v>436</v>
      </c>
      <c r="G2381" s="606" t="s">
        <v>3589</v>
      </c>
      <c r="H2381" s="608" t="s">
        <v>901</v>
      </c>
    </row>
    <row r="2382">
      <c r="A2382" s="512" t="s">
        <v>432</v>
      </c>
      <c r="B2382" s="512" t="s">
        <v>4405</v>
      </c>
      <c r="C2382" s="605">
        <v>45948.0</v>
      </c>
      <c r="D2382" s="512">
        <v>4.1792101324E10</v>
      </c>
      <c r="E2382" s="606" t="s">
        <v>4749</v>
      </c>
      <c r="F2382" s="644" t="s">
        <v>436</v>
      </c>
      <c r="G2382" s="606" t="s">
        <v>3065</v>
      </c>
      <c r="H2382" s="608" t="s">
        <v>901</v>
      </c>
    </row>
    <row r="2383">
      <c r="A2383" s="512" t="s">
        <v>432</v>
      </c>
      <c r="B2383" s="512" t="s">
        <v>4405</v>
      </c>
      <c r="C2383" s="605">
        <v>45948.0</v>
      </c>
      <c r="D2383" s="512">
        <v>2.5879603707E10</v>
      </c>
      <c r="E2383" s="606" t="s">
        <v>4750</v>
      </c>
      <c r="F2383" s="644" t="s">
        <v>436</v>
      </c>
      <c r="G2383" s="606" t="s">
        <v>3065</v>
      </c>
      <c r="H2383" s="608" t="s">
        <v>901</v>
      </c>
    </row>
    <row r="2384">
      <c r="A2384" s="512" t="s">
        <v>432</v>
      </c>
      <c r="B2384" s="512" t="s">
        <v>4405</v>
      </c>
      <c r="C2384" s="605">
        <v>45948.0</v>
      </c>
      <c r="D2384" s="512">
        <v>3.817263567E10</v>
      </c>
      <c r="E2384" s="606" t="s">
        <v>4751</v>
      </c>
      <c r="F2384" s="644" t="s">
        <v>436</v>
      </c>
      <c r="G2384" s="606" t="s">
        <v>4752</v>
      </c>
      <c r="H2384" s="608" t="s">
        <v>901</v>
      </c>
    </row>
    <row r="2385">
      <c r="A2385" s="512" t="s">
        <v>432</v>
      </c>
      <c r="B2385" s="512" t="s">
        <v>433</v>
      </c>
      <c r="C2385" s="605">
        <v>45949.0</v>
      </c>
      <c r="D2385" s="512">
        <v>3.2898622118E10</v>
      </c>
      <c r="E2385" s="606" t="s">
        <v>4753</v>
      </c>
      <c r="F2385" s="644" t="s">
        <v>436</v>
      </c>
      <c r="G2385" s="606" t="s">
        <v>2258</v>
      </c>
      <c r="H2385" s="608" t="s">
        <v>901</v>
      </c>
    </row>
    <row r="2386">
      <c r="A2386" s="512" t="s">
        <v>432</v>
      </c>
      <c r="B2386" s="512" t="s">
        <v>433</v>
      </c>
      <c r="C2386" s="605">
        <v>45949.0</v>
      </c>
      <c r="D2386" s="512">
        <v>3.9214085029E10</v>
      </c>
      <c r="E2386" s="606" t="s">
        <v>4754</v>
      </c>
      <c r="F2386" s="644" t="s">
        <v>436</v>
      </c>
      <c r="G2386" s="606" t="s">
        <v>3537</v>
      </c>
      <c r="H2386" s="608" t="s">
        <v>438</v>
      </c>
    </row>
    <row r="2387">
      <c r="A2387" s="512" t="s">
        <v>432</v>
      </c>
      <c r="B2387" s="512" t="s">
        <v>433</v>
      </c>
      <c r="C2387" s="605">
        <v>45949.0</v>
      </c>
      <c r="D2387" s="512">
        <v>3.7035872707E10</v>
      </c>
      <c r="E2387" s="606" t="s">
        <v>4755</v>
      </c>
      <c r="F2387" s="644" t="s">
        <v>436</v>
      </c>
      <c r="G2387" s="606" t="s">
        <v>2277</v>
      </c>
      <c r="H2387" s="608" t="s">
        <v>438</v>
      </c>
    </row>
    <row r="2388">
      <c r="A2388" s="512" t="s">
        <v>432</v>
      </c>
      <c r="B2388" s="512" t="s">
        <v>433</v>
      </c>
      <c r="C2388" s="605">
        <v>45949.0</v>
      </c>
      <c r="D2388" s="512">
        <v>4.0769141187E10</v>
      </c>
      <c r="E2388" s="606" t="s">
        <v>4756</v>
      </c>
      <c r="F2388" s="644" t="s">
        <v>436</v>
      </c>
      <c r="G2388" s="606" t="s">
        <v>4757</v>
      </c>
      <c r="H2388" s="608" t="s">
        <v>901</v>
      </c>
    </row>
    <row r="2389">
      <c r="A2389" s="512" t="s">
        <v>432</v>
      </c>
      <c r="B2389" s="512" t="s">
        <v>433</v>
      </c>
      <c r="C2389" s="605">
        <v>45949.0</v>
      </c>
      <c r="D2389" s="512">
        <v>2.8817392472E10</v>
      </c>
      <c r="E2389" s="606" t="s">
        <v>4758</v>
      </c>
      <c r="F2389" s="644" t="s">
        <v>436</v>
      </c>
      <c r="G2389" s="606" t="s">
        <v>4759</v>
      </c>
      <c r="H2389" s="608" t="s">
        <v>438</v>
      </c>
    </row>
    <row r="2390">
      <c r="A2390" s="512" t="s">
        <v>432</v>
      </c>
      <c r="B2390" s="512" t="s">
        <v>433</v>
      </c>
      <c r="C2390" s="605">
        <v>45949.0</v>
      </c>
      <c r="D2390" s="512">
        <v>2.1928000458E10</v>
      </c>
      <c r="E2390" s="606" t="s">
        <v>4758</v>
      </c>
      <c r="F2390" s="644" t="s">
        <v>436</v>
      </c>
      <c r="G2390" s="606" t="s">
        <v>2153</v>
      </c>
      <c r="H2390" s="608" t="s">
        <v>901</v>
      </c>
    </row>
    <row r="2391">
      <c r="A2391" s="512" t="s">
        <v>432</v>
      </c>
      <c r="B2391" s="512" t="s">
        <v>433</v>
      </c>
      <c r="C2391" s="605">
        <v>45949.0</v>
      </c>
      <c r="D2391" s="512">
        <v>2.4662920342E10</v>
      </c>
      <c r="E2391" s="606" t="s">
        <v>4760</v>
      </c>
      <c r="F2391" s="644" t="s">
        <v>436</v>
      </c>
      <c r="G2391" s="606" t="s">
        <v>4761</v>
      </c>
      <c r="H2391" s="608" t="s">
        <v>438</v>
      </c>
    </row>
    <row r="2392">
      <c r="A2392" s="512" t="s">
        <v>432</v>
      </c>
      <c r="B2392" s="512" t="s">
        <v>449</v>
      </c>
      <c r="C2392" s="605">
        <v>45949.0</v>
      </c>
      <c r="D2392" s="512">
        <v>2.9413377044E10</v>
      </c>
      <c r="E2392" s="606" t="s">
        <v>4762</v>
      </c>
      <c r="F2392" s="644" t="s">
        <v>436</v>
      </c>
      <c r="G2392" s="606" t="s">
        <v>963</v>
      </c>
      <c r="H2392" s="608" t="s">
        <v>438</v>
      </c>
    </row>
    <row r="2393">
      <c r="A2393" s="512" t="s">
        <v>432</v>
      </c>
      <c r="B2393" s="512" t="s">
        <v>433</v>
      </c>
      <c r="C2393" s="605">
        <v>45949.0</v>
      </c>
      <c r="D2393" s="512">
        <v>4.0567805271E10</v>
      </c>
      <c r="E2393" s="606" t="s">
        <v>4298</v>
      </c>
      <c r="F2393" s="644" t="s">
        <v>436</v>
      </c>
      <c r="G2393" s="606" t="s">
        <v>4763</v>
      </c>
      <c r="H2393" s="608" t="s">
        <v>438</v>
      </c>
    </row>
    <row r="2394">
      <c r="A2394" s="512" t="s">
        <v>432</v>
      </c>
      <c r="B2394" s="512" t="s">
        <v>433</v>
      </c>
      <c r="C2394" s="605">
        <v>45949.0</v>
      </c>
      <c r="D2394" s="512">
        <v>3.4566688354E10</v>
      </c>
      <c r="E2394" s="606" t="s">
        <v>4753</v>
      </c>
      <c r="F2394" s="644" t="s">
        <v>436</v>
      </c>
      <c r="G2394" s="606" t="s">
        <v>4764</v>
      </c>
      <c r="H2394" s="608" t="s">
        <v>901</v>
      </c>
    </row>
    <row r="2395">
      <c r="A2395" s="512" t="s">
        <v>432</v>
      </c>
      <c r="B2395" s="512" t="s">
        <v>433</v>
      </c>
      <c r="C2395" s="605">
        <v>45949.0</v>
      </c>
      <c r="D2395" s="512">
        <v>3.9970476817E10</v>
      </c>
      <c r="E2395" s="606" t="s">
        <v>4765</v>
      </c>
      <c r="F2395" s="644" t="s">
        <v>436</v>
      </c>
      <c r="G2395" s="606" t="s">
        <v>3463</v>
      </c>
      <c r="H2395" s="608" t="s">
        <v>438</v>
      </c>
    </row>
    <row r="2396">
      <c r="A2396" s="512" t="s">
        <v>823</v>
      </c>
      <c r="B2396" s="512" t="s">
        <v>449</v>
      </c>
      <c r="C2396" s="605">
        <v>45949.0</v>
      </c>
      <c r="D2396" s="512">
        <v>3.5997244292E10</v>
      </c>
      <c r="E2396" s="606" t="s">
        <v>4766</v>
      </c>
      <c r="F2396" s="644" t="s">
        <v>436</v>
      </c>
      <c r="G2396" s="606" t="s">
        <v>4519</v>
      </c>
      <c r="H2396" s="608" t="s">
        <v>4558</v>
      </c>
    </row>
    <row r="2397">
      <c r="A2397" s="512" t="s">
        <v>432</v>
      </c>
      <c r="B2397" s="512" t="s">
        <v>433</v>
      </c>
      <c r="C2397" s="605">
        <v>45950.0</v>
      </c>
      <c r="D2397" s="512">
        <v>3.7180391289E10</v>
      </c>
      <c r="E2397" s="606" t="s">
        <v>4767</v>
      </c>
      <c r="F2397" s="644" t="s">
        <v>436</v>
      </c>
      <c r="G2397" s="606" t="s">
        <v>3599</v>
      </c>
      <c r="H2397" s="608" t="s">
        <v>686</v>
      </c>
    </row>
    <row r="2398">
      <c r="A2398" s="512" t="s">
        <v>432</v>
      </c>
      <c r="B2398" s="512" t="s">
        <v>433</v>
      </c>
      <c r="C2398" s="605">
        <v>45950.0</v>
      </c>
      <c r="D2398" s="512">
        <v>4.2746206538E10</v>
      </c>
      <c r="E2398" s="606" t="s">
        <v>4768</v>
      </c>
      <c r="F2398" s="644" t="s">
        <v>436</v>
      </c>
      <c r="G2398" s="606" t="s">
        <v>4769</v>
      </c>
      <c r="H2398" s="608" t="s">
        <v>686</v>
      </c>
    </row>
    <row r="2399">
      <c r="A2399" s="512" t="s">
        <v>823</v>
      </c>
      <c r="B2399" s="512" t="s">
        <v>433</v>
      </c>
      <c r="C2399" s="605">
        <v>45950.0</v>
      </c>
      <c r="D2399" s="512">
        <v>3.7237596019E10</v>
      </c>
      <c r="E2399" s="606" t="s">
        <v>4770</v>
      </c>
      <c r="F2399" s="644" t="s">
        <v>436</v>
      </c>
      <c r="G2399" s="606" t="s">
        <v>1965</v>
      </c>
      <c r="H2399" s="608" t="s">
        <v>4408</v>
      </c>
    </row>
    <row r="2400">
      <c r="A2400" s="512" t="s">
        <v>823</v>
      </c>
      <c r="B2400" s="512" t="s">
        <v>433</v>
      </c>
      <c r="C2400" s="605">
        <v>45950.0</v>
      </c>
      <c r="D2400" s="512">
        <v>3.8798434846E10</v>
      </c>
      <c r="E2400" s="606" t="s">
        <v>4771</v>
      </c>
      <c r="F2400" s="644" t="s">
        <v>436</v>
      </c>
      <c r="G2400" s="606" t="s">
        <v>4772</v>
      </c>
      <c r="H2400" s="608" t="s">
        <v>4408</v>
      </c>
    </row>
    <row r="2401">
      <c r="A2401" s="512" t="s">
        <v>432</v>
      </c>
      <c r="B2401" s="512" t="s">
        <v>433</v>
      </c>
      <c r="C2401" s="605">
        <v>45950.0</v>
      </c>
      <c r="D2401" s="512">
        <v>3.2687154349E10</v>
      </c>
      <c r="E2401" s="606" t="s">
        <v>4773</v>
      </c>
      <c r="F2401" s="644" t="s">
        <v>436</v>
      </c>
      <c r="G2401" s="606" t="s">
        <v>2277</v>
      </c>
      <c r="H2401" s="608" t="s">
        <v>686</v>
      </c>
    </row>
    <row r="2402">
      <c r="A2402" s="512" t="s">
        <v>823</v>
      </c>
      <c r="B2402" s="512" t="s">
        <v>433</v>
      </c>
      <c r="C2402" s="605">
        <v>45950.0</v>
      </c>
      <c r="D2402" s="512">
        <v>3.8061735524E10</v>
      </c>
      <c r="E2402" s="606" t="s">
        <v>4774</v>
      </c>
      <c r="F2402" s="644" t="s">
        <v>436</v>
      </c>
      <c r="G2402" s="606" t="s">
        <v>4775</v>
      </c>
      <c r="H2402" s="608" t="s">
        <v>4408</v>
      </c>
    </row>
    <row r="2403">
      <c r="A2403" s="512" t="s">
        <v>432</v>
      </c>
      <c r="B2403" s="512" t="s">
        <v>433</v>
      </c>
      <c r="C2403" s="605">
        <v>45950.0</v>
      </c>
      <c r="D2403" s="512">
        <v>3.8707538918E10</v>
      </c>
      <c r="E2403" s="606" t="s">
        <v>4776</v>
      </c>
      <c r="F2403" s="644" t="s">
        <v>436</v>
      </c>
      <c r="G2403" s="606" t="s">
        <v>4777</v>
      </c>
      <c r="H2403" s="608" t="s">
        <v>686</v>
      </c>
    </row>
    <row r="2404">
      <c r="A2404" s="512" t="s">
        <v>823</v>
      </c>
      <c r="B2404" s="512" t="s">
        <v>433</v>
      </c>
      <c r="C2404" s="605">
        <v>45950.0</v>
      </c>
      <c r="D2404" s="512">
        <v>4.3101041393E10</v>
      </c>
      <c r="E2404" s="606" t="s">
        <v>4778</v>
      </c>
      <c r="F2404" s="644" t="s">
        <v>436</v>
      </c>
      <c r="G2404" s="606" t="s">
        <v>4779</v>
      </c>
      <c r="H2404" s="608" t="s">
        <v>4408</v>
      </c>
    </row>
    <row r="2405">
      <c r="A2405" s="512" t="s">
        <v>432</v>
      </c>
      <c r="B2405" s="512" t="s">
        <v>449</v>
      </c>
      <c r="C2405" s="605">
        <v>45950.0</v>
      </c>
      <c r="D2405" s="512">
        <v>1.5191405083E10</v>
      </c>
      <c r="E2405" s="606" t="s">
        <v>4780</v>
      </c>
      <c r="F2405" s="644" t="s">
        <v>436</v>
      </c>
      <c r="G2405" s="606" t="s">
        <v>4781</v>
      </c>
      <c r="H2405" s="608" t="s">
        <v>686</v>
      </c>
    </row>
    <row r="2406">
      <c r="A2406" s="512" t="s">
        <v>823</v>
      </c>
      <c r="B2406" s="512" t="s">
        <v>433</v>
      </c>
      <c r="C2406" s="605">
        <v>45950.0</v>
      </c>
      <c r="D2406" s="512">
        <v>4.216986193E10</v>
      </c>
      <c r="E2406" s="606" t="s">
        <v>4782</v>
      </c>
      <c r="F2406" s="644" t="s">
        <v>436</v>
      </c>
      <c r="G2406" s="606" t="s">
        <v>4783</v>
      </c>
      <c r="H2406" s="608" t="s">
        <v>4408</v>
      </c>
    </row>
    <row r="2407">
      <c r="A2407" s="512" t="s">
        <v>432</v>
      </c>
      <c r="B2407" s="512" t="s">
        <v>433</v>
      </c>
      <c r="C2407" s="605">
        <v>45950.0</v>
      </c>
      <c r="D2407" s="512">
        <v>3.9478948422E10</v>
      </c>
      <c r="E2407" s="606" t="s">
        <v>4784</v>
      </c>
      <c r="F2407" s="644" t="s">
        <v>436</v>
      </c>
      <c r="G2407" s="606" t="s">
        <v>4785</v>
      </c>
      <c r="H2407" s="608" t="s">
        <v>686</v>
      </c>
    </row>
    <row r="2408">
      <c r="A2408" s="512" t="s">
        <v>432</v>
      </c>
      <c r="B2408" s="512" t="s">
        <v>449</v>
      </c>
      <c r="C2408" s="605">
        <v>45951.0</v>
      </c>
      <c r="D2408" s="512">
        <v>4.3067388058E10</v>
      </c>
      <c r="E2408" s="606" t="s">
        <v>4786</v>
      </c>
      <c r="F2408" s="644" t="s">
        <v>436</v>
      </c>
      <c r="G2408" s="606" t="s">
        <v>4787</v>
      </c>
      <c r="H2408" s="608" t="s">
        <v>686</v>
      </c>
    </row>
    <row r="2409">
      <c r="A2409" s="512" t="s">
        <v>432</v>
      </c>
      <c r="B2409" s="512" t="s">
        <v>449</v>
      </c>
      <c r="C2409" s="605">
        <v>45951.0</v>
      </c>
      <c r="D2409" s="512">
        <v>3.600874162E10</v>
      </c>
      <c r="E2409" s="606" t="s">
        <v>4788</v>
      </c>
      <c r="F2409" s="644" t="s">
        <v>436</v>
      </c>
      <c r="G2409" s="606" t="s">
        <v>4093</v>
      </c>
      <c r="H2409" s="608" t="s">
        <v>686</v>
      </c>
    </row>
    <row r="2410">
      <c r="A2410" s="512" t="s">
        <v>432</v>
      </c>
      <c r="B2410" s="512" t="s">
        <v>449</v>
      </c>
      <c r="C2410" s="605">
        <v>45951.0</v>
      </c>
      <c r="D2410" s="512">
        <v>3.8262330319E10</v>
      </c>
      <c r="E2410" s="606" t="s">
        <v>4789</v>
      </c>
      <c r="F2410" s="644" t="s">
        <v>436</v>
      </c>
      <c r="G2410" s="606" t="s">
        <v>1318</v>
      </c>
      <c r="H2410" s="608" t="s">
        <v>686</v>
      </c>
    </row>
    <row r="2411">
      <c r="A2411" s="512" t="s">
        <v>690</v>
      </c>
      <c r="B2411" s="512" t="s">
        <v>433</v>
      </c>
      <c r="C2411" s="605">
        <v>45951.0</v>
      </c>
      <c r="D2411" s="512">
        <v>3.8938145294E10</v>
      </c>
      <c r="E2411" s="606" t="s">
        <v>4790</v>
      </c>
      <c r="F2411" s="644" t="s">
        <v>436</v>
      </c>
      <c r="G2411" s="606" t="s">
        <v>4791</v>
      </c>
      <c r="H2411" s="608" t="s">
        <v>901</v>
      </c>
    </row>
    <row r="2412">
      <c r="A2412" s="512" t="s">
        <v>432</v>
      </c>
      <c r="B2412" s="512" t="s">
        <v>449</v>
      </c>
      <c r="C2412" s="605">
        <v>45951.0</v>
      </c>
      <c r="D2412" s="512">
        <v>3.1163317476E10</v>
      </c>
      <c r="E2412" s="606" t="s">
        <v>4792</v>
      </c>
      <c r="F2412" s="644" t="s">
        <v>436</v>
      </c>
      <c r="G2412" s="606" t="s">
        <v>2469</v>
      </c>
      <c r="H2412" s="608" t="s">
        <v>686</v>
      </c>
    </row>
    <row r="2413">
      <c r="A2413" s="512" t="s">
        <v>432</v>
      </c>
      <c r="B2413" s="512" t="s">
        <v>449</v>
      </c>
      <c r="C2413" s="605">
        <v>45951.0</v>
      </c>
      <c r="D2413" s="512">
        <v>3.344198586E10</v>
      </c>
      <c r="E2413" s="606" t="s">
        <v>4792</v>
      </c>
      <c r="F2413" s="644" t="s">
        <v>436</v>
      </c>
      <c r="G2413" s="606" t="s">
        <v>2469</v>
      </c>
      <c r="H2413" s="608" t="s">
        <v>686</v>
      </c>
    </row>
    <row r="2414">
      <c r="A2414" s="512" t="s">
        <v>432</v>
      </c>
      <c r="B2414" s="512" t="s">
        <v>449</v>
      </c>
      <c r="C2414" s="605">
        <v>45951.0</v>
      </c>
      <c r="D2414" s="512">
        <v>1.413899556E10</v>
      </c>
      <c r="E2414" s="606" t="s">
        <v>4793</v>
      </c>
      <c r="F2414" s="644" t="s">
        <v>436</v>
      </c>
      <c r="G2414" s="606" t="s">
        <v>4794</v>
      </c>
      <c r="H2414" s="608" t="s">
        <v>686</v>
      </c>
    </row>
    <row r="2415">
      <c r="A2415" s="512" t="s">
        <v>617</v>
      </c>
      <c r="B2415" s="512" t="s">
        <v>449</v>
      </c>
      <c r="C2415" s="605">
        <v>45951.0</v>
      </c>
      <c r="D2415" s="512">
        <v>3.744825902E10</v>
      </c>
      <c r="E2415" s="606" t="s">
        <v>4795</v>
      </c>
      <c r="F2415" s="644" t="s">
        <v>436</v>
      </c>
      <c r="G2415" s="606" t="s">
        <v>4796</v>
      </c>
      <c r="H2415" s="608" t="s">
        <v>696</v>
      </c>
    </row>
    <row r="2416">
      <c r="A2416" s="512" t="s">
        <v>432</v>
      </c>
      <c r="B2416" s="512" t="s">
        <v>449</v>
      </c>
      <c r="C2416" s="605">
        <v>45951.0</v>
      </c>
      <c r="D2416" s="512">
        <v>3.6229852162E10</v>
      </c>
      <c r="E2416" s="606" t="s">
        <v>4797</v>
      </c>
      <c r="F2416" s="644" t="s">
        <v>436</v>
      </c>
      <c r="G2416" s="606" t="s">
        <v>4798</v>
      </c>
      <c r="H2416" s="608" t="s">
        <v>686</v>
      </c>
    </row>
    <row r="2417">
      <c r="A2417" s="512" t="s">
        <v>690</v>
      </c>
      <c r="B2417" s="512" t="s">
        <v>433</v>
      </c>
      <c r="C2417" s="605">
        <v>45951.0</v>
      </c>
      <c r="D2417" s="512">
        <v>4.3230099336E10</v>
      </c>
      <c r="E2417" s="606" t="s">
        <v>4799</v>
      </c>
      <c r="F2417" s="644" t="s">
        <v>436</v>
      </c>
      <c r="G2417" s="606" t="s">
        <v>4800</v>
      </c>
      <c r="H2417" s="608" t="s">
        <v>438</v>
      </c>
    </row>
    <row r="2418">
      <c r="A2418" s="512" t="s">
        <v>432</v>
      </c>
      <c r="B2418" s="512" t="s">
        <v>449</v>
      </c>
      <c r="C2418" s="605">
        <v>45951.0</v>
      </c>
      <c r="D2418" s="512">
        <v>4.316697153E10</v>
      </c>
      <c r="E2418" s="606" t="s">
        <v>4801</v>
      </c>
      <c r="F2418" s="644" t="s">
        <v>436</v>
      </c>
      <c r="G2418" s="606" t="s">
        <v>1800</v>
      </c>
      <c r="H2418" s="608" t="s">
        <v>686</v>
      </c>
    </row>
    <row r="2419">
      <c r="A2419" s="512" t="s">
        <v>690</v>
      </c>
      <c r="B2419" s="512" t="s">
        <v>449</v>
      </c>
      <c r="C2419" s="605">
        <v>45951.0</v>
      </c>
      <c r="D2419" s="512">
        <v>4.3253649227E10</v>
      </c>
      <c r="E2419" s="606" t="s">
        <v>4802</v>
      </c>
      <c r="F2419" s="644" t="s">
        <v>436</v>
      </c>
      <c r="G2419" s="606" t="s">
        <v>822</v>
      </c>
      <c r="H2419" s="608" t="s">
        <v>1647</v>
      </c>
    </row>
    <row r="2420">
      <c r="A2420" s="512" t="s">
        <v>432</v>
      </c>
      <c r="B2420" s="512" t="s">
        <v>449</v>
      </c>
      <c r="C2420" s="605">
        <v>45951.0</v>
      </c>
      <c r="D2420" s="512">
        <v>3.8853589054E10</v>
      </c>
      <c r="E2420" s="606" t="s">
        <v>4803</v>
      </c>
      <c r="F2420" s="644" t="s">
        <v>436</v>
      </c>
      <c r="G2420" s="606" t="s">
        <v>4804</v>
      </c>
      <c r="H2420" s="608" t="s">
        <v>686</v>
      </c>
    </row>
    <row r="2421">
      <c r="A2421" s="512" t="s">
        <v>432</v>
      </c>
      <c r="B2421" s="512" t="s">
        <v>449</v>
      </c>
      <c r="C2421" s="605">
        <v>45951.0</v>
      </c>
      <c r="D2421" s="512">
        <v>4.0568183676E10</v>
      </c>
      <c r="E2421" s="606" t="s">
        <v>4805</v>
      </c>
      <c r="F2421" s="644" t="s">
        <v>436</v>
      </c>
      <c r="G2421" s="606" t="s">
        <v>4806</v>
      </c>
      <c r="H2421" s="608" t="s">
        <v>686</v>
      </c>
    </row>
    <row r="2422">
      <c r="A2422" s="512" t="s">
        <v>432</v>
      </c>
      <c r="B2422" s="512" t="s">
        <v>433</v>
      </c>
      <c r="C2422" s="605">
        <v>45951.0</v>
      </c>
      <c r="D2422" s="512">
        <v>3.9217202714E10</v>
      </c>
      <c r="E2422" s="606" t="s">
        <v>4807</v>
      </c>
      <c r="F2422" s="644" t="s">
        <v>436</v>
      </c>
      <c r="G2422" s="606" t="s">
        <v>4808</v>
      </c>
      <c r="H2422" s="608" t="s">
        <v>686</v>
      </c>
    </row>
    <row r="2423">
      <c r="A2423" s="512" t="s">
        <v>432</v>
      </c>
      <c r="B2423" s="512" t="s">
        <v>449</v>
      </c>
      <c r="C2423" s="605">
        <v>45951.0</v>
      </c>
      <c r="D2423" s="512">
        <v>4.2961098893E10</v>
      </c>
      <c r="E2423" s="606" t="s">
        <v>4809</v>
      </c>
      <c r="F2423" s="644" t="s">
        <v>436</v>
      </c>
      <c r="G2423" s="606" t="s">
        <v>4810</v>
      </c>
      <c r="H2423" s="608" t="s">
        <v>686</v>
      </c>
    </row>
    <row r="2424">
      <c r="A2424" s="512" t="s">
        <v>617</v>
      </c>
      <c r="B2424" s="512" t="s">
        <v>449</v>
      </c>
      <c r="C2424" s="605">
        <v>45951.0</v>
      </c>
      <c r="D2424" s="512">
        <v>4.1734679954E10</v>
      </c>
      <c r="E2424" s="606" t="s">
        <v>4591</v>
      </c>
      <c r="F2424" s="644" t="s">
        <v>436</v>
      </c>
      <c r="G2424" s="640"/>
      <c r="H2424" s="608" t="s">
        <v>696</v>
      </c>
    </row>
    <row r="2425">
      <c r="A2425" s="512" t="s">
        <v>432</v>
      </c>
      <c r="B2425" s="512" t="s">
        <v>433</v>
      </c>
      <c r="C2425" s="605">
        <v>45951.0</v>
      </c>
      <c r="D2425" s="512">
        <v>2.039351500271E12</v>
      </c>
      <c r="E2425" s="606" t="s">
        <v>4811</v>
      </c>
      <c r="F2425" s="644" t="s">
        <v>436</v>
      </c>
      <c r="G2425" s="640"/>
      <c r="H2425" s="608" t="s">
        <v>686</v>
      </c>
    </row>
    <row r="2426">
      <c r="A2426" s="512" t="s">
        <v>439</v>
      </c>
      <c r="B2426" s="512" t="s">
        <v>433</v>
      </c>
      <c r="C2426" s="605">
        <v>45952.0</v>
      </c>
      <c r="D2426" s="512">
        <v>2.4958286083E10</v>
      </c>
      <c r="E2426" s="606" t="s">
        <v>4812</v>
      </c>
      <c r="F2426" s="644" t="s">
        <v>436</v>
      </c>
      <c r="G2426" s="606" t="s">
        <v>2277</v>
      </c>
      <c r="H2426" s="608" t="s">
        <v>1608</v>
      </c>
    </row>
    <row r="2427">
      <c r="A2427" s="546" t="s">
        <v>432</v>
      </c>
      <c r="B2427" s="512" t="s">
        <v>449</v>
      </c>
      <c r="C2427" s="605">
        <v>45952.0</v>
      </c>
      <c r="D2427" s="512">
        <v>4.1432080002E10</v>
      </c>
      <c r="E2427" s="606" t="s">
        <v>4811</v>
      </c>
      <c r="F2427" s="644" t="s">
        <v>436</v>
      </c>
      <c r="G2427" s="606" t="s">
        <v>4813</v>
      </c>
      <c r="H2427" s="608" t="s">
        <v>438</v>
      </c>
    </row>
    <row r="2428">
      <c r="A2428" s="546" t="s">
        <v>823</v>
      </c>
      <c r="B2428" s="512" t="s">
        <v>433</v>
      </c>
      <c r="C2428" s="605">
        <v>45952.0</v>
      </c>
      <c r="D2428" s="512">
        <v>3.2768266426E10</v>
      </c>
      <c r="E2428" s="606" t="s">
        <v>4814</v>
      </c>
      <c r="F2428" s="644" t="s">
        <v>436</v>
      </c>
      <c r="G2428" s="606" t="s">
        <v>4815</v>
      </c>
      <c r="H2428" s="608" t="s">
        <v>4558</v>
      </c>
    </row>
    <row r="2429">
      <c r="A2429" s="546" t="s">
        <v>823</v>
      </c>
      <c r="B2429" s="512" t="s">
        <v>449</v>
      </c>
      <c r="C2429" s="605">
        <v>45952.0</v>
      </c>
      <c r="D2429" s="512">
        <v>2.7236660361E10</v>
      </c>
      <c r="E2429" s="606" t="s">
        <v>4816</v>
      </c>
      <c r="F2429" s="644" t="s">
        <v>436</v>
      </c>
      <c r="G2429" s="606" t="s">
        <v>4817</v>
      </c>
      <c r="H2429" s="608" t="s">
        <v>4558</v>
      </c>
    </row>
    <row r="2430">
      <c r="A2430" s="546" t="s">
        <v>617</v>
      </c>
      <c r="B2430" s="512" t="s">
        <v>449</v>
      </c>
      <c r="C2430" s="605">
        <v>45953.0</v>
      </c>
      <c r="D2430" s="512">
        <v>3.9961255635E10</v>
      </c>
      <c r="E2430" s="606" t="s">
        <v>4165</v>
      </c>
      <c r="F2430" s="644" t="s">
        <v>436</v>
      </c>
      <c r="G2430" s="606" t="s">
        <v>4818</v>
      </c>
      <c r="H2430" s="608" t="s">
        <v>696</v>
      </c>
    </row>
    <row r="2431">
      <c r="A2431" s="546" t="s">
        <v>617</v>
      </c>
      <c r="B2431" s="512" t="s">
        <v>449</v>
      </c>
      <c r="C2431" s="605">
        <v>45953.0</v>
      </c>
      <c r="D2431" s="512">
        <v>4.323374741E10</v>
      </c>
      <c r="E2431" s="606" t="s">
        <v>4819</v>
      </c>
      <c r="F2431" s="644" t="s">
        <v>436</v>
      </c>
      <c r="G2431" s="606" t="s">
        <v>4820</v>
      </c>
      <c r="H2431" s="608" t="s">
        <v>696</v>
      </c>
    </row>
    <row r="2432">
      <c r="A2432" s="546" t="s">
        <v>432</v>
      </c>
      <c r="B2432" s="512" t="s">
        <v>433</v>
      </c>
      <c r="C2432" s="605">
        <v>45953.0</v>
      </c>
      <c r="D2432" s="512">
        <v>4.0231327388E10</v>
      </c>
      <c r="E2432" s="606" t="s">
        <v>4821</v>
      </c>
      <c r="F2432" s="644" t="s">
        <v>436</v>
      </c>
      <c r="G2432" s="606" t="s">
        <v>4822</v>
      </c>
      <c r="H2432" s="608" t="s">
        <v>901</v>
      </c>
    </row>
    <row r="2433">
      <c r="A2433" s="546" t="s">
        <v>617</v>
      </c>
      <c r="B2433" s="512" t="s">
        <v>449</v>
      </c>
      <c r="C2433" s="605">
        <v>45953.0</v>
      </c>
      <c r="D2433" s="512">
        <v>4.1433403063E10</v>
      </c>
      <c r="E2433" s="606" t="s">
        <v>85</v>
      </c>
      <c r="F2433" s="644" t="s">
        <v>436</v>
      </c>
      <c r="G2433" s="606" t="s">
        <v>4823</v>
      </c>
      <c r="H2433" s="608" t="s">
        <v>696</v>
      </c>
    </row>
    <row r="2434">
      <c r="A2434" s="546" t="s">
        <v>823</v>
      </c>
      <c r="B2434" s="512" t="s">
        <v>449</v>
      </c>
      <c r="C2434" s="605">
        <v>45953.0</v>
      </c>
      <c r="D2434" s="512">
        <v>3.8895659947E10</v>
      </c>
      <c r="E2434" s="606" t="s">
        <v>4824</v>
      </c>
      <c r="F2434" s="644" t="s">
        <v>436</v>
      </c>
      <c r="G2434" s="606" t="s">
        <v>2777</v>
      </c>
      <c r="H2434" s="608" t="s">
        <v>4558</v>
      </c>
    </row>
    <row r="2435">
      <c r="A2435" s="546" t="s">
        <v>439</v>
      </c>
      <c r="B2435" s="512" t="s">
        <v>433</v>
      </c>
      <c r="C2435" s="605">
        <v>45953.0</v>
      </c>
      <c r="D2435" s="512">
        <v>3.5927968733E10</v>
      </c>
      <c r="E2435" s="606" t="s">
        <v>4825</v>
      </c>
      <c r="F2435" s="644" t="s">
        <v>436</v>
      </c>
      <c r="G2435" s="606" t="s">
        <v>1695</v>
      </c>
      <c r="H2435" s="608" t="s">
        <v>1608</v>
      </c>
    </row>
    <row r="2436">
      <c r="A2436" s="546" t="s">
        <v>439</v>
      </c>
      <c r="B2436" s="512" t="s">
        <v>433</v>
      </c>
      <c r="C2436" s="605">
        <v>45953.0</v>
      </c>
      <c r="D2436" s="512">
        <v>3.9368600242E10</v>
      </c>
      <c r="E2436" s="606" t="s">
        <v>4826</v>
      </c>
      <c r="F2436" s="644" t="s">
        <v>436</v>
      </c>
      <c r="G2436" s="606" t="s">
        <v>4827</v>
      </c>
      <c r="H2436" s="608" t="s">
        <v>1608</v>
      </c>
    </row>
    <row r="2437">
      <c r="A2437" s="546" t="s">
        <v>823</v>
      </c>
      <c r="B2437" s="512" t="s">
        <v>449</v>
      </c>
      <c r="C2437" s="605">
        <v>45954.0</v>
      </c>
      <c r="D2437" s="512">
        <v>3.8927728533E10</v>
      </c>
      <c r="E2437" s="606" t="s">
        <v>4828</v>
      </c>
      <c r="F2437" s="644" t="s">
        <v>436</v>
      </c>
      <c r="G2437" s="606" t="s">
        <v>2251</v>
      </c>
      <c r="H2437" s="608" t="s">
        <v>4408</v>
      </c>
    </row>
    <row r="2438">
      <c r="A2438" s="546" t="s">
        <v>432</v>
      </c>
      <c r="B2438" s="512" t="s">
        <v>433</v>
      </c>
      <c r="C2438" s="605">
        <v>45954.0</v>
      </c>
      <c r="D2438" s="512">
        <v>4.2852216267E10</v>
      </c>
      <c r="E2438" s="606" t="s">
        <v>4829</v>
      </c>
      <c r="F2438" s="644" t="s">
        <v>436</v>
      </c>
      <c r="G2438" s="606" t="s">
        <v>4830</v>
      </c>
      <c r="H2438" s="608" t="s">
        <v>686</v>
      </c>
    </row>
    <row r="2439">
      <c r="A2439" s="546" t="s">
        <v>432</v>
      </c>
      <c r="B2439" s="512" t="s">
        <v>449</v>
      </c>
      <c r="C2439" s="605">
        <v>45954.0</v>
      </c>
      <c r="D2439" s="512">
        <v>3.8223941157E10</v>
      </c>
      <c r="E2439" s="606" t="s">
        <v>4831</v>
      </c>
      <c r="F2439" s="644" t="s">
        <v>436</v>
      </c>
      <c r="G2439" s="606" t="s">
        <v>4832</v>
      </c>
      <c r="H2439" s="608" t="s">
        <v>686</v>
      </c>
    </row>
    <row r="2440">
      <c r="A2440" s="546" t="s">
        <v>432</v>
      </c>
      <c r="B2440" s="512" t="s">
        <v>433</v>
      </c>
      <c r="C2440" s="605">
        <v>45954.0</v>
      </c>
      <c r="D2440" s="512">
        <v>4.0052893354E10</v>
      </c>
      <c r="E2440" s="606" t="s">
        <v>4833</v>
      </c>
      <c r="F2440" s="644" t="s">
        <v>436</v>
      </c>
      <c r="G2440" s="606" t="s">
        <v>4834</v>
      </c>
      <c r="H2440" s="608" t="s">
        <v>686</v>
      </c>
    </row>
    <row r="2441">
      <c r="A2441" s="546" t="s">
        <v>617</v>
      </c>
      <c r="B2441" s="512" t="s">
        <v>449</v>
      </c>
      <c r="C2441" s="605">
        <v>45954.0</v>
      </c>
      <c r="D2441" s="512">
        <v>3.5860795158E10</v>
      </c>
      <c r="E2441" s="606" t="s">
        <v>4835</v>
      </c>
      <c r="F2441" s="644" t="s">
        <v>436</v>
      </c>
      <c r="G2441" s="606" t="s">
        <v>1331</v>
      </c>
      <c r="H2441" s="608" t="s">
        <v>696</v>
      </c>
    </row>
    <row r="2442">
      <c r="A2442" s="546" t="s">
        <v>823</v>
      </c>
      <c r="B2442" s="512" t="s">
        <v>449</v>
      </c>
      <c r="C2442" s="605">
        <v>45954.0</v>
      </c>
      <c r="D2442" s="512">
        <v>4.05658532E10</v>
      </c>
      <c r="E2442" s="606" t="s">
        <v>4836</v>
      </c>
      <c r="F2442" s="644" t="s">
        <v>436</v>
      </c>
      <c r="G2442" s="606" t="s">
        <v>4109</v>
      </c>
      <c r="H2442" s="608" t="s">
        <v>4408</v>
      </c>
    </row>
    <row r="2443">
      <c r="A2443" s="546" t="s">
        <v>823</v>
      </c>
      <c r="B2443" s="512" t="s">
        <v>433</v>
      </c>
      <c r="C2443" s="605">
        <v>45955.0</v>
      </c>
      <c r="D2443" s="512">
        <v>4.33039632E10</v>
      </c>
      <c r="E2443" s="606" t="s">
        <v>4837</v>
      </c>
      <c r="F2443" s="644" t="s">
        <v>436</v>
      </c>
      <c r="G2443" s="606" t="s">
        <v>4838</v>
      </c>
      <c r="H2443" s="608" t="s">
        <v>4408</v>
      </c>
    </row>
    <row r="2444">
      <c r="A2444" s="546" t="s">
        <v>617</v>
      </c>
      <c r="B2444" s="512" t="s">
        <v>433</v>
      </c>
      <c r="C2444" s="605">
        <v>45955.0</v>
      </c>
      <c r="D2444" s="512">
        <v>3.8936726044E10</v>
      </c>
      <c r="E2444" s="606" t="s">
        <v>4839</v>
      </c>
      <c r="F2444" s="644" t="s">
        <v>436</v>
      </c>
      <c r="G2444" s="606" t="s">
        <v>4840</v>
      </c>
      <c r="H2444" s="608" t="s">
        <v>696</v>
      </c>
    </row>
    <row r="2445">
      <c r="A2445" s="546" t="s">
        <v>432</v>
      </c>
      <c r="B2445" s="512" t="s">
        <v>433</v>
      </c>
      <c r="C2445" s="605">
        <v>45955.0</v>
      </c>
      <c r="D2445" s="512">
        <v>3.6898564124E10</v>
      </c>
      <c r="E2445" s="606" t="s">
        <v>4841</v>
      </c>
      <c r="F2445" s="644" t="s">
        <v>436</v>
      </c>
      <c r="G2445" s="606" t="s">
        <v>868</v>
      </c>
      <c r="H2445" s="608" t="s">
        <v>686</v>
      </c>
    </row>
    <row r="2446">
      <c r="A2446" s="546" t="s">
        <v>617</v>
      </c>
      <c r="B2446" s="512" t="s">
        <v>449</v>
      </c>
      <c r="C2446" s="605">
        <v>45955.0</v>
      </c>
      <c r="D2446" s="512">
        <v>3.9608643173E10</v>
      </c>
      <c r="E2446" s="606" t="s">
        <v>4842</v>
      </c>
      <c r="F2446" s="644" t="s">
        <v>436</v>
      </c>
      <c r="G2446" s="606" t="s">
        <v>4843</v>
      </c>
      <c r="H2446" s="608" t="s">
        <v>696</v>
      </c>
    </row>
    <row r="2447">
      <c r="A2447" s="546" t="s">
        <v>823</v>
      </c>
      <c r="B2447" s="512" t="s">
        <v>433</v>
      </c>
      <c r="C2447" s="605">
        <v>45955.0</v>
      </c>
      <c r="D2447" s="512">
        <v>3.651546216E10</v>
      </c>
      <c r="E2447" s="606" t="s">
        <v>4844</v>
      </c>
      <c r="F2447" s="644" t="s">
        <v>436</v>
      </c>
      <c r="G2447" s="606" t="s">
        <v>4845</v>
      </c>
      <c r="H2447" s="608" t="s">
        <v>4408</v>
      </c>
    </row>
    <row r="2448">
      <c r="A2448" s="546" t="s">
        <v>823</v>
      </c>
      <c r="B2448" s="512" t="s">
        <v>449</v>
      </c>
      <c r="C2448" s="605">
        <v>45955.0</v>
      </c>
      <c r="D2448" s="512">
        <v>4.0905354872E10</v>
      </c>
      <c r="E2448" s="606" t="s">
        <v>4846</v>
      </c>
      <c r="F2448" s="644" t="s">
        <v>436</v>
      </c>
      <c r="G2448" s="606" t="s">
        <v>3150</v>
      </c>
      <c r="H2448" s="608" t="s">
        <v>4408</v>
      </c>
      <c r="I2448" s="520" t="s">
        <v>1</v>
      </c>
    </row>
    <row r="2449">
      <c r="A2449" s="546" t="s">
        <v>617</v>
      </c>
      <c r="B2449" s="512" t="s">
        <v>449</v>
      </c>
      <c r="C2449" s="605">
        <v>45955.0</v>
      </c>
      <c r="D2449" s="512">
        <v>4.3007364855E10</v>
      </c>
      <c r="E2449" s="606" t="s">
        <v>4847</v>
      </c>
      <c r="F2449" s="644" t="s">
        <v>436</v>
      </c>
      <c r="G2449" s="606" t="s">
        <v>654</v>
      </c>
      <c r="H2449" s="608" t="s">
        <v>696</v>
      </c>
    </row>
    <row r="2450">
      <c r="A2450" s="546" t="s">
        <v>432</v>
      </c>
      <c r="B2450" s="512" t="s">
        <v>433</v>
      </c>
      <c r="C2450" s="605">
        <v>45955.0</v>
      </c>
      <c r="D2450" s="512">
        <v>4.3315412661E10</v>
      </c>
      <c r="E2450" s="606" t="s">
        <v>4848</v>
      </c>
      <c r="F2450" s="644" t="s">
        <v>436</v>
      </c>
      <c r="G2450" s="606" t="s">
        <v>4849</v>
      </c>
      <c r="H2450" s="608" t="s">
        <v>686</v>
      </c>
    </row>
    <row r="2451">
      <c r="A2451" s="546" t="s">
        <v>432</v>
      </c>
      <c r="B2451" s="512" t="s">
        <v>433</v>
      </c>
      <c r="C2451" s="605">
        <v>45955.0</v>
      </c>
      <c r="D2451" s="512">
        <v>4.3363667976E10</v>
      </c>
      <c r="E2451" s="606" t="s">
        <v>4850</v>
      </c>
      <c r="F2451" s="644" t="s">
        <v>436</v>
      </c>
      <c r="G2451" s="606" t="s">
        <v>4851</v>
      </c>
      <c r="H2451" s="608" t="s">
        <v>686</v>
      </c>
    </row>
    <row r="2452">
      <c r="A2452" s="546" t="s">
        <v>432</v>
      </c>
      <c r="B2452" s="512" t="s">
        <v>433</v>
      </c>
      <c r="C2452" s="605">
        <v>45955.0</v>
      </c>
      <c r="D2452" s="512">
        <v>3.3668015292E10</v>
      </c>
      <c r="E2452" s="606" t="s">
        <v>4852</v>
      </c>
      <c r="F2452" s="644" t="s">
        <v>436</v>
      </c>
      <c r="G2452" s="606" t="s">
        <v>4853</v>
      </c>
      <c r="H2452" s="608" t="s">
        <v>686</v>
      </c>
    </row>
    <row r="2453">
      <c r="A2453" s="546" t="s">
        <v>617</v>
      </c>
      <c r="B2453" s="512" t="s">
        <v>449</v>
      </c>
      <c r="C2453" s="605">
        <v>45955.0</v>
      </c>
      <c r="D2453" s="512">
        <v>3.4660150588E10</v>
      </c>
      <c r="E2453" s="606" t="s">
        <v>4854</v>
      </c>
      <c r="F2453" s="644" t="s">
        <v>436</v>
      </c>
      <c r="G2453" s="606" t="s">
        <v>4855</v>
      </c>
      <c r="H2453" s="608" t="s">
        <v>696</v>
      </c>
    </row>
    <row r="2454">
      <c r="A2454" s="546" t="s">
        <v>432</v>
      </c>
      <c r="B2454" s="512" t="s">
        <v>449</v>
      </c>
      <c r="C2454" s="605">
        <v>45955.0</v>
      </c>
      <c r="D2454" s="512">
        <v>3.2552543815E10</v>
      </c>
      <c r="E2454" s="606" t="s">
        <v>4856</v>
      </c>
      <c r="F2454" s="644" t="s">
        <v>436</v>
      </c>
      <c r="G2454" s="606" t="s">
        <v>2517</v>
      </c>
      <c r="H2454" s="608" t="s">
        <v>686</v>
      </c>
    </row>
    <row r="2455">
      <c r="A2455" s="546" t="s">
        <v>617</v>
      </c>
      <c r="B2455" s="512" t="s">
        <v>449</v>
      </c>
      <c r="C2455" s="605">
        <v>45955.0</v>
      </c>
      <c r="D2455" s="512">
        <v>4.1165961218E10</v>
      </c>
      <c r="E2455" s="606" t="s">
        <v>4857</v>
      </c>
      <c r="F2455" s="644" t="s">
        <v>436</v>
      </c>
      <c r="G2455" s="606" t="s">
        <v>4858</v>
      </c>
      <c r="H2455" s="608" t="s">
        <v>696</v>
      </c>
    </row>
    <row r="2456">
      <c r="A2456" s="546" t="s">
        <v>823</v>
      </c>
      <c r="B2456" s="512" t="s">
        <v>449</v>
      </c>
      <c r="C2456" s="605">
        <v>45955.0</v>
      </c>
      <c r="D2456" s="512">
        <v>4.3101529165E10</v>
      </c>
      <c r="E2456" s="606" t="s">
        <v>4859</v>
      </c>
      <c r="F2456" s="644" t="s">
        <v>436</v>
      </c>
      <c r="G2456" s="606" t="s">
        <v>822</v>
      </c>
      <c r="H2456" s="608" t="s">
        <v>4408</v>
      </c>
    </row>
    <row r="2457">
      <c r="A2457" s="546" t="s">
        <v>617</v>
      </c>
      <c r="B2457" s="512" t="s">
        <v>449</v>
      </c>
      <c r="C2457" s="605">
        <v>45955.0</v>
      </c>
      <c r="D2457" s="512">
        <v>4.3234249684E10</v>
      </c>
      <c r="E2457" s="606" t="s">
        <v>4860</v>
      </c>
      <c r="F2457" s="644" t="s">
        <v>436</v>
      </c>
      <c r="G2457" s="606" t="s">
        <v>3094</v>
      </c>
      <c r="H2457" s="608" t="s">
        <v>696</v>
      </c>
    </row>
    <row r="2458">
      <c r="A2458" s="546" t="s">
        <v>617</v>
      </c>
      <c r="B2458" s="512" t="s">
        <v>433</v>
      </c>
      <c r="C2458" s="605">
        <v>45955.0</v>
      </c>
      <c r="D2458" s="512">
        <v>3.9550389624E10</v>
      </c>
      <c r="E2458" s="606" t="s">
        <v>4854</v>
      </c>
      <c r="F2458" s="644" t="s">
        <v>436</v>
      </c>
      <c r="G2458" s="606" t="s">
        <v>603</v>
      </c>
      <c r="H2458" s="608" t="s">
        <v>696</v>
      </c>
    </row>
    <row r="2459">
      <c r="A2459" s="546" t="s">
        <v>617</v>
      </c>
      <c r="B2459" s="512" t="s">
        <v>449</v>
      </c>
      <c r="C2459" s="605">
        <v>45955.0</v>
      </c>
      <c r="D2459" s="512">
        <v>3.6157404699E10</v>
      </c>
      <c r="E2459" s="606" t="s">
        <v>4861</v>
      </c>
      <c r="F2459" s="644" t="s">
        <v>436</v>
      </c>
      <c r="G2459" s="606" t="s">
        <v>4862</v>
      </c>
      <c r="H2459" s="608" t="s">
        <v>696</v>
      </c>
    </row>
    <row r="2460">
      <c r="A2460" s="546" t="s">
        <v>823</v>
      </c>
      <c r="B2460" s="512" t="s">
        <v>433</v>
      </c>
      <c r="C2460" s="605">
        <v>45955.0</v>
      </c>
      <c r="D2460" s="512">
        <v>3.9462756103E10</v>
      </c>
      <c r="E2460" s="606" t="s">
        <v>4863</v>
      </c>
      <c r="F2460" s="644" t="s">
        <v>436</v>
      </c>
      <c r="G2460" s="606" t="s">
        <v>4864</v>
      </c>
      <c r="H2460" s="608" t="s">
        <v>4408</v>
      </c>
    </row>
    <row r="2461">
      <c r="A2461" s="546" t="s">
        <v>617</v>
      </c>
      <c r="B2461" s="512" t="s">
        <v>449</v>
      </c>
      <c r="C2461" s="605">
        <v>45955.0</v>
      </c>
      <c r="D2461" s="512">
        <v>3.5205083445E10</v>
      </c>
      <c r="E2461" s="606" t="s">
        <v>4165</v>
      </c>
      <c r="F2461" s="644" t="s">
        <v>436</v>
      </c>
      <c r="G2461" s="640"/>
      <c r="H2461" s="608" t="s">
        <v>696</v>
      </c>
    </row>
    <row r="2462">
      <c r="A2462" s="546" t="s">
        <v>617</v>
      </c>
      <c r="B2462" s="512" t="s">
        <v>449</v>
      </c>
      <c r="C2462" s="605">
        <v>45956.0</v>
      </c>
      <c r="D2462" s="512">
        <v>3.6554277102E10</v>
      </c>
      <c r="E2462" s="606" t="s">
        <v>4865</v>
      </c>
      <c r="F2462" s="644" t="s">
        <v>436</v>
      </c>
      <c r="G2462" s="606" t="s">
        <v>1044</v>
      </c>
      <c r="H2462" s="608" t="s">
        <v>1096</v>
      </c>
    </row>
    <row r="2463">
      <c r="A2463" s="546" t="s">
        <v>439</v>
      </c>
      <c r="B2463" s="512" t="s">
        <v>449</v>
      </c>
      <c r="C2463" s="605">
        <v>45956.0</v>
      </c>
      <c r="D2463" s="512">
        <v>3.9446313451E10</v>
      </c>
      <c r="E2463" s="606" t="s">
        <v>4866</v>
      </c>
      <c r="F2463" s="644" t="s">
        <v>436</v>
      </c>
      <c r="G2463" s="606" t="s">
        <v>4867</v>
      </c>
      <c r="H2463" s="608" t="s">
        <v>1608</v>
      </c>
    </row>
    <row r="2464">
      <c r="A2464" s="546" t="s">
        <v>823</v>
      </c>
      <c r="B2464" s="512" t="s">
        <v>449</v>
      </c>
      <c r="C2464" s="605">
        <v>45956.0</v>
      </c>
      <c r="D2464" s="512">
        <v>3.1165080186E10</v>
      </c>
      <c r="E2464" s="606" t="s">
        <v>4854</v>
      </c>
      <c r="F2464" s="644" t="s">
        <v>436</v>
      </c>
      <c r="G2464" s="606" t="s">
        <v>4868</v>
      </c>
      <c r="H2464" s="608" t="s">
        <v>4558</v>
      </c>
    </row>
    <row r="2465">
      <c r="A2465" s="546" t="s">
        <v>823</v>
      </c>
      <c r="B2465" s="512" t="s">
        <v>449</v>
      </c>
      <c r="C2465" s="605">
        <v>45957.0</v>
      </c>
      <c r="D2465" s="512">
        <v>3.9440621155E10</v>
      </c>
      <c r="E2465" s="606" t="s">
        <v>4869</v>
      </c>
      <c r="F2465" s="644" t="s">
        <v>436</v>
      </c>
      <c r="G2465" s="606" t="s">
        <v>4870</v>
      </c>
      <c r="H2465" s="608" t="s">
        <v>4558</v>
      </c>
    </row>
    <row r="2466">
      <c r="A2466" s="546" t="s">
        <v>432</v>
      </c>
      <c r="B2466" s="512" t="s">
        <v>449</v>
      </c>
      <c r="C2466" s="605">
        <v>45957.0</v>
      </c>
      <c r="D2466" s="512">
        <v>3.5938542053E10</v>
      </c>
      <c r="E2466" s="606" t="s">
        <v>85</v>
      </c>
      <c r="F2466" s="644" t="s">
        <v>436</v>
      </c>
      <c r="G2466" s="606" t="s">
        <v>4871</v>
      </c>
      <c r="H2466" s="608" t="s">
        <v>438</v>
      </c>
    </row>
    <row r="2467">
      <c r="A2467" s="546" t="s">
        <v>432</v>
      </c>
      <c r="B2467" s="512" t="s">
        <v>433</v>
      </c>
      <c r="C2467" s="605">
        <v>45957.0</v>
      </c>
      <c r="D2467" s="512">
        <v>3.6070775231E10</v>
      </c>
      <c r="E2467" s="606" t="s">
        <v>4872</v>
      </c>
      <c r="F2467" s="644" t="s">
        <v>436</v>
      </c>
      <c r="G2467" s="606" t="s">
        <v>1075</v>
      </c>
      <c r="H2467" s="608" t="s">
        <v>901</v>
      </c>
    </row>
    <row r="2468">
      <c r="A2468" s="546" t="s">
        <v>439</v>
      </c>
      <c r="B2468" s="512" t="s">
        <v>433</v>
      </c>
      <c r="C2468" s="605">
        <v>45957.0</v>
      </c>
      <c r="D2468" s="512">
        <v>3.9514848829E10</v>
      </c>
      <c r="E2468" s="606" t="s">
        <v>4873</v>
      </c>
      <c r="F2468" s="644" t="s">
        <v>436</v>
      </c>
      <c r="G2468" s="606" t="s">
        <v>1484</v>
      </c>
      <c r="H2468" s="608" t="s">
        <v>1608</v>
      </c>
    </row>
    <row r="2469">
      <c r="A2469" s="546" t="s">
        <v>823</v>
      </c>
      <c r="B2469" s="512" t="s">
        <v>433</v>
      </c>
      <c r="C2469" s="605">
        <v>45957.0</v>
      </c>
      <c r="D2469" s="512">
        <v>3.7412779141E10</v>
      </c>
      <c r="E2469" s="606" t="s">
        <v>4874</v>
      </c>
      <c r="F2469" s="644" t="s">
        <v>436</v>
      </c>
      <c r="G2469" s="606" t="s">
        <v>4875</v>
      </c>
      <c r="H2469" s="608" t="s">
        <v>4558</v>
      </c>
    </row>
    <row r="2470">
      <c r="A2470" s="546" t="s">
        <v>617</v>
      </c>
      <c r="B2470" s="512" t="s">
        <v>449</v>
      </c>
      <c r="C2470" s="605">
        <v>45957.0</v>
      </c>
      <c r="D2470" s="512">
        <v>3.7391340971E10</v>
      </c>
      <c r="E2470" s="606" t="s">
        <v>4165</v>
      </c>
      <c r="F2470" s="644" t="s">
        <v>436</v>
      </c>
      <c r="G2470" s="640"/>
      <c r="H2470" s="608" t="s">
        <v>696</v>
      </c>
    </row>
    <row r="2471">
      <c r="A2471" s="546" t="s">
        <v>432</v>
      </c>
      <c r="B2471" s="512" t="s">
        <v>433</v>
      </c>
      <c r="C2471" s="605">
        <v>45958.0</v>
      </c>
      <c r="D2471" s="512">
        <v>4.2753228963E10</v>
      </c>
      <c r="E2471" s="606" t="s">
        <v>4876</v>
      </c>
      <c r="F2471" s="644" t="s">
        <v>436</v>
      </c>
      <c r="G2471" s="606" t="s">
        <v>3536</v>
      </c>
      <c r="H2471" s="608" t="s">
        <v>686</v>
      </c>
    </row>
    <row r="2472">
      <c r="A2472" s="546" t="s">
        <v>432</v>
      </c>
      <c r="B2472" s="512" t="s">
        <v>433</v>
      </c>
      <c r="C2472" s="605">
        <v>45958.0</v>
      </c>
      <c r="D2472" s="512">
        <v>3.109978753E10</v>
      </c>
      <c r="E2472" s="606" t="s">
        <v>4877</v>
      </c>
      <c r="F2472" s="644" t="s">
        <v>436</v>
      </c>
      <c r="G2472" s="606" t="s">
        <v>4878</v>
      </c>
      <c r="H2472" s="608" t="s">
        <v>686</v>
      </c>
    </row>
    <row r="2473">
      <c r="A2473" s="546" t="s">
        <v>432</v>
      </c>
      <c r="B2473" s="512" t="s">
        <v>449</v>
      </c>
      <c r="C2473" s="605">
        <v>45958.0</v>
      </c>
      <c r="D2473" s="512">
        <v>3.832681253E10</v>
      </c>
      <c r="E2473" s="606" t="s">
        <v>4879</v>
      </c>
      <c r="F2473" s="644" t="s">
        <v>436</v>
      </c>
      <c r="G2473" s="606" t="s">
        <v>4880</v>
      </c>
      <c r="H2473" s="608" t="s">
        <v>686</v>
      </c>
    </row>
    <row r="2474">
      <c r="A2474" s="546" t="s">
        <v>432</v>
      </c>
      <c r="B2474" s="512" t="s">
        <v>449</v>
      </c>
      <c r="C2474" s="605">
        <v>45958.0</v>
      </c>
      <c r="D2474" s="512">
        <v>4.2481827045E10</v>
      </c>
      <c r="E2474" s="606" t="s">
        <v>4881</v>
      </c>
      <c r="F2474" s="644" t="s">
        <v>436</v>
      </c>
      <c r="G2474" s="606" t="s">
        <v>4882</v>
      </c>
      <c r="H2474" s="608" t="s">
        <v>686</v>
      </c>
    </row>
    <row r="2475">
      <c r="A2475" s="546" t="s">
        <v>823</v>
      </c>
      <c r="B2475" s="512" t="s">
        <v>449</v>
      </c>
      <c r="C2475" s="605">
        <v>45958.0</v>
      </c>
      <c r="D2475" s="512">
        <v>3.8602593566E10</v>
      </c>
      <c r="E2475" s="606" t="s">
        <v>4883</v>
      </c>
      <c r="F2475" s="644" t="s">
        <v>436</v>
      </c>
      <c r="G2475" s="606" t="s">
        <v>4884</v>
      </c>
      <c r="H2475" s="608" t="s">
        <v>4408</v>
      </c>
    </row>
    <row r="2476">
      <c r="A2476" s="546" t="s">
        <v>617</v>
      </c>
      <c r="B2476" s="512" t="s">
        <v>449</v>
      </c>
      <c r="C2476" s="605">
        <v>45958.0</v>
      </c>
      <c r="D2476" s="512">
        <v>4.3365855798E10</v>
      </c>
      <c r="E2476" s="606" t="s">
        <v>4885</v>
      </c>
      <c r="F2476" s="644" t="s">
        <v>436</v>
      </c>
      <c r="G2476" s="606" t="s">
        <v>4886</v>
      </c>
      <c r="H2476" s="608" t="s">
        <v>696</v>
      </c>
    </row>
    <row r="2477">
      <c r="A2477" s="546" t="s">
        <v>617</v>
      </c>
      <c r="B2477" s="512" t="s">
        <v>449</v>
      </c>
      <c r="C2477" s="605">
        <v>45958.0</v>
      </c>
      <c r="D2477" s="512">
        <v>3.9242406376E10</v>
      </c>
      <c r="E2477" s="606" t="s">
        <v>4887</v>
      </c>
      <c r="F2477" s="644" t="s">
        <v>436</v>
      </c>
      <c r="G2477" s="606" t="s">
        <v>4888</v>
      </c>
      <c r="H2477" s="608" t="s">
        <v>696</v>
      </c>
    </row>
    <row r="2478">
      <c r="A2478" s="546" t="s">
        <v>439</v>
      </c>
      <c r="B2478" s="512" t="s">
        <v>449</v>
      </c>
      <c r="C2478" s="605">
        <v>45958.0</v>
      </c>
      <c r="D2478" s="512">
        <v>2.5684132915E10</v>
      </c>
      <c r="E2478" s="606" t="s">
        <v>4889</v>
      </c>
      <c r="F2478" s="644" t="s">
        <v>436</v>
      </c>
      <c r="G2478" s="606" t="s">
        <v>4890</v>
      </c>
      <c r="H2478" s="608" t="s">
        <v>693</v>
      </c>
    </row>
    <row r="2479">
      <c r="A2479" s="546" t="s">
        <v>617</v>
      </c>
      <c r="B2479" s="512" t="s">
        <v>449</v>
      </c>
      <c r="C2479" s="605">
        <v>45958.0</v>
      </c>
      <c r="D2479" s="512">
        <v>3.6006387659E10</v>
      </c>
      <c r="E2479" s="606" t="s">
        <v>4891</v>
      </c>
      <c r="F2479" s="644" t="s">
        <v>436</v>
      </c>
      <c r="G2479" s="606" t="s">
        <v>4087</v>
      </c>
      <c r="H2479" s="608" t="s">
        <v>696</v>
      </c>
    </row>
    <row r="2480">
      <c r="A2480" s="546" t="s">
        <v>432</v>
      </c>
      <c r="B2480" s="512" t="s">
        <v>449</v>
      </c>
      <c r="C2480" s="605">
        <v>45959.0</v>
      </c>
      <c r="D2480" s="512">
        <v>4.1576638295E10</v>
      </c>
      <c r="E2480" s="606" t="s">
        <v>4892</v>
      </c>
      <c r="F2480" s="644" t="s">
        <v>436</v>
      </c>
      <c r="G2480" s="606" t="s">
        <v>4893</v>
      </c>
      <c r="H2480" s="608" t="s">
        <v>686</v>
      </c>
    </row>
    <row r="2481">
      <c r="A2481" s="546" t="s">
        <v>432</v>
      </c>
      <c r="B2481" s="512" t="s">
        <v>433</v>
      </c>
      <c r="C2481" s="605">
        <v>45959.0</v>
      </c>
      <c r="D2481" s="512">
        <v>3.8850538167E10</v>
      </c>
      <c r="E2481" s="606" t="s">
        <v>4894</v>
      </c>
      <c r="F2481" s="644" t="s">
        <v>436</v>
      </c>
      <c r="G2481" s="606" t="s">
        <v>4560</v>
      </c>
      <c r="H2481" s="608" t="s">
        <v>686</v>
      </c>
    </row>
    <row r="2482">
      <c r="A2482" s="546" t="s">
        <v>432</v>
      </c>
      <c r="B2482" s="512" t="s">
        <v>449</v>
      </c>
      <c r="C2482" s="605">
        <v>45959.0</v>
      </c>
      <c r="D2482" s="512">
        <v>3.5051339033E10</v>
      </c>
      <c r="E2482" s="606" t="s">
        <v>4895</v>
      </c>
      <c r="F2482" s="644" t="s">
        <v>436</v>
      </c>
      <c r="G2482" s="606" t="s">
        <v>4896</v>
      </c>
      <c r="H2482" s="608" t="s">
        <v>686</v>
      </c>
    </row>
    <row r="2483">
      <c r="A2483" s="546" t="s">
        <v>439</v>
      </c>
      <c r="B2483" s="512" t="s">
        <v>433</v>
      </c>
      <c r="C2483" s="605">
        <v>45959.0</v>
      </c>
      <c r="D2483" s="512">
        <v>4.0113266106E10</v>
      </c>
      <c r="E2483" s="606" t="s">
        <v>4897</v>
      </c>
      <c r="F2483" s="644" t="s">
        <v>436</v>
      </c>
      <c r="G2483" s="606" t="s">
        <v>4898</v>
      </c>
      <c r="H2483" s="608" t="s">
        <v>1608</v>
      </c>
    </row>
    <row r="2484">
      <c r="A2484" s="546" t="s">
        <v>617</v>
      </c>
      <c r="B2484" s="512" t="s">
        <v>4899</v>
      </c>
      <c r="C2484" s="605">
        <v>45959.0</v>
      </c>
      <c r="D2484" s="512">
        <v>3.9410680506E10</v>
      </c>
      <c r="E2484" s="606" t="s">
        <v>4811</v>
      </c>
      <c r="F2484" s="644" t="s">
        <v>436</v>
      </c>
      <c r="G2484" s="606" t="s">
        <v>4698</v>
      </c>
      <c r="H2484" s="608" t="s">
        <v>696</v>
      </c>
    </row>
    <row r="2485">
      <c r="A2485" s="546" t="s">
        <v>432</v>
      </c>
      <c r="B2485" s="512" t="s">
        <v>449</v>
      </c>
      <c r="C2485" s="605">
        <v>45959.0</v>
      </c>
      <c r="D2485" s="512">
        <v>3.8864218468E10</v>
      </c>
      <c r="E2485" s="606" t="s">
        <v>4900</v>
      </c>
      <c r="F2485" s="644" t="s">
        <v>436</v>
      </c>
      <c r="G2485" s="606" t="s">
        <v>4901</v>
      </c>
      <c r="H2485" s="608" t="s">
        <v>686</v>
      </c>
    </row>
    <row r="2486">
      <c r="A2486" s="546" t="s">
        <v>432</v>
      </c>
      <c r="B2486" s="512" t="s">
        <v>433</v>
      </c>
      <c r="C2486" s="605">
        <v>45959.0</v>
      </c>
      <c r="D2486" s="512">
        <v>4.0661056309E10</v>
      </c>
      <c r="E2486" s="606" t="s">
        <v>4902</v>
      </c>
      <c r="F2486" s="644" t="s">
        <v>436</v>
      </c>
      <c r="G2486" s="606" t="s">
        <v>3682</v>
      </c>
      <c r="H2486" s="608" t="s">
        <v>686</v>
      </c>
    </row>
    <row r="2487">
      <c r="A2487" s="546" t="s">
        <v>432</v>
      </c>
      <c r="B2487" s="512" t="s">
        <v>433</v>
      </c>
      <c r="C2487" s="605">
        <v>45959.0</v>
      </c>
      <c r="D2487" s="512">
        <v>4.3481903039E10</v>
      </c>
      <c r="E2487" s="606" t="s">
        <v>4903</v>
      </c>
      <c r="F2487" s="644" t="s">
        <v>436</v>
      </c>
      <c r="G2487" s="606" t="s">
        <v>3483</v>
      </c>
      <c r="H2487" s="608" t="s">
        <v>686</v>
      </c>
    </row>
    <row r="2488">
      <c r="A2488" s="546" t="s">
        <v>432</v>
      </c>
      <c r="B2488" s="512" t="s">
        <v>449</v>
      </c>
      <c r="C2488" s="605">
        <v>45959.0</v>
      </c>
      <c r="D2488" s="512">
        <v>3.9244607568E10</v>
      </c>
      <c r="E2488" s="606" t="s">
        <v>4904</v>
      </c>
      <c r="F2488" s="644" t="s">
        <v>436</v>
      </c>
      <c r="G2488" s="606" t="s">
        <v>4905</v>
      </c>
      <c r="H2488" s="608" t="s">
        <v>686</v>
      </c>
    </row>
    <row r="2489">
      <c r="A2489" s="546" t="s">
        <v>617</v>
      </c>
      <c r="B2489" s="512" t="s">
        <v>4906</v>
      </c>
      <c r="C2489" s="605">
        <v>45959.0</v>
      </c>
      <c r="D2489" s="512">
        <v>3.7812018868E10</v>
      </c>
      <c r="E2489" s="606" t="s">
        <v>4907</v>
      </c>
      <c r="F2489" s="644" t="s">
        <v>436</v>
      </c>
      <c r="G2489" s="606" t="s">
        <v>4908</v>
      </c>
      <c r="H2489" s="608" t="s">
        <v>696</v>
      </c>
    </row>
    <row r="2490">
      <c r="A2490" s="546" t="s">
        <v>432</v>
      </c>
      <c r="B2490" s="512" t="s">
        <v>449</v>
      </c>
      <c r="C2490" s="605">
        <v>45959.0</v>
      </c>
      <c r="D2490" s="512">
        <v>3.9436438299E10</v>
      </c>
      <c r="E2490" s="606" t="s">
        <v>4909</v>
      </c>
      <c r="F2490" s="644" t="s">
        <v>436</v>
      </c>
      <c r="G2490" s="606" t="s">
        <v>3989</v>
      </c>
      <c r="H2490" s="608" t="s">
        <v>686</v>
      </c>
    </row>
    <row r="2491">
      <c r="A2491" s="546" t="s">
        <v>439</v>
      </c>
      <c r="B2491" s="512" t="s">
        <v>433</v>
      </c>
      <c r="C2491" s="605">
        <v>45959.0</v>
      </c>
      <c r="D2491" s="512">
        <v>3.2235583677E10</v>
      </c>
      <c r="E2491" s="606" t="s">
        <v>4910</v>
      </c>
      <c r="F2491" s="644" t="s">
        <v>436</v>
      </c>
      <c r="G2491" s="606" t="s">
        <v>2002</v>
      </c>
      <c r="H2491" s="608" t="s">
        <v>1608</v>
      </c>
    </row>
    <row r="2492">
      <c r="A2492" s="546" t="s">
        <v>439</v>
      </c>
      <c r="B2492" s="512" t="s">
        <v>433</v>
      </c>
      <c r="C2492" s="605">
        <v>45959.0</v>
      </c>
      <c r="D2492" s="512">
        <v>3.8874924696E10</v>
      </c>
      <c r="E2492" s="606" t="s">
        <v>4911</v>
      </c>
      <c r="F2492" s="644" t="s">
        <v>436</v>
      </c>
      <c r="G2492" s="606" t="s">
        <v>4912</v>
      </c>
      <c r="H2492" s="608" t="s">
        <v>1608</v>
      </c>
    </row>
    <row r="2493">
      <c r="A2493" s="546" t="s">
        <v>432</v>
      </c>
      <c r="B2493" s="512" t="s">
        <v>433</v>
      </c>
      <c r="C2493" s="605">
        <v>45959.0</v>
      </c>
      <c r="D2493" s="512">
        <v>3.8292775413E10</v>
      </c>
      <c r="E2493" s="606" t="s">
        <v>4913</v>
      </c>
      <c r="F2493" s="644" t="s">
        <v>436</v>
      </c>
      <c r="G2493" s="606" t="s">
        <v>3307</v>
      </c>
      <c r="H2493" s="608" t="s">
        <v>686</v>
      </c>
    </row>
    <row r="2494">
      <c r="A2494" s="546" t="s">
        <v>439</v>
      </c>
      <c r="B2494" s="512" t="s">
        <v>433</v>
      </c>
      <c r="C2494" s="605">
        <v>45959.0</v>
      </c>
      <c r="D2494" s="512">
        <v>3.4018908119E10</v>
      </c>
      <c r="E2494" s="606" t="s">
        <v>4914</v>
      </c>
      <c r="F2494" s="644" t="s">
        <v>436</v>
      </c>
      <c r="G2494" s="606" t="s">
        <v>3956</v>
      </c>
      <c r="H2494" s="608" t="s">
        <v>1608</v>
      </c>
    </row>
    <row r="2495">
      <c r="A2495" s="546" t="s">
        <v>432</v>
      </c>
      <c r="B2495" s="512" t="s">
        <v>449</v>
      </c>
      <c r="C2495" s="605">
        <v>45959.0</v>
      </c>
      <c r="D2495" s="512">
        <v>4.3421033136E10</v>
      </c>
      <c r="E2495" s="606" t="s">
        <v>4915</v>
      </c>
      <c r="F2495" s="644" t="s">
        <v>436</v>
      </c>
      <c r="G2495" s="606" t="s">
        <v>3211</v>
      </c>
      <c r="H2495" s="608" t="s">
        <v>686</v>
      </c>
    </row>
    <row r="2496">
      <c r="A2496" s="546" t="s">
        <v>432</v>
      </c>
      <c r="B2496" s="512" t="s">
        <v>433</v>
      </c>
      <c r="C2496" s="605">
        <v>45959.0</v>
      </c>
      <c r="D2496" s="512">
        <v>3.9308077472E10</v>
      </c>
      <c r="E2496" s="606" t="s">
        <v>4916</v>
      </c>
      <c r="F2496" s="644" t="s">
        <v>436</v>
      </c>
      <c r="G2496" s="606" t="s">
        <v>3285</v>
      </c>
      <c r="H2496" s="608" t="s">
        <v>686</v>
      </c>
    </row>
    <row r="2497">
      <c r="A2497" s="546" t="s">
        <v>432</v>
      </c>
      <c r="B2497" s="512" t="s">
        <v>449</v>
      </c>
      <c r="C2497" s="605">
        <v>45959.0</v>
      </c>
      <c r="D2497" s="512">
        <v>3.3108267139E10</v>
      </c>
      <c r="E2497" s="606" t="s">
        <v>4917</v>
      </c>
      <c r="F2497" s="644" t="s">
        <v>436</v>
      </c>
      <c r="G2497" s="606" t="s">
        <v>4918</v>
      </c>
      <c r="H2497" s="608" t="s">
        <v>686</v>
      </c>
    </row>
    <row r="2498">
      <c r="A2498" s="546" t="s">
        <v>432</v>
      </c>
      <c r="B2498" s="512" t="s">
        <v>433</v>
      </c>
      <c r="C2498" s="605">
        <v>45959.0</v>
      </c>
      <c r="D2498" s="512">
        <v>4.0863721165E10</v>
      </c>
      <c r="E2498" s="606" t="s">
        <v>4919</v>
      </c>
      <c r="F2498" s="644" t="s">
        <v>436</v>
      </c>
      <c r="G2498" s="606" t="s">
        <v>4920</v>
      </c>
      <c r="H2498" s="608" t="s">
        <v>686</v>
      </c>
    </row>
    <row r="2499">
      <c r="A2499" s="546" t="s">
        <v>690</v>
      </c>
      <c r="B2499" s="512" t="s">
        <v>433</v>
      </c>
      <c r="C2499" s="605">
        <v>45960.0</v>
      </c>
      <c r="D2499" s="512" t="s">
        <v>4921</v>
      </c>
      <c r="E2499" s="606" t="s">
        <v>4922</v>
      </c>
      <c r="F2499" s="644" t="s">
        <v>436</v>
      </c>
      <c r="G2499" s="606" t="s">
        <v>4062</v>
      </c>
      <c r="H2499" s="608" t="s">
        <v>3593</v>
      </c>
    </row>
    <row r="2500">
      <c r="A2500" s="546" t="s">
        <v>439</v>
      </c>
      <c r="B2500" s="512" t="s">
        <v>4923</v>
      </c>
      <c r="C2500" s="605">
        <v>45960.0</v>
      </c>
      <c r="D2500" s="512">
        <v>3.8064296634E10</v>
      </c>
      <c r="E2500" s="606" t="s">
        <v>4924</v>
      </c>
      <c r="F2500" s="644" t="s">
        <v>436</v>
      </c>
      <c r="G2500" s="606" t="s">
        <v>4925</v>
      </c>
      <c r="H2500" s="608" t="s">
        <v>4926</v>
      </c>
    </row>
    <row r="2501">
      <c r="A2501" s="546" t="s">
        <v>617</v>
      </c>
      <c r="B2501" s="512" t="s">
        <v>433</v>
      </c>
      <c r="C2501" s="605">
        <v>45960.0</v>
      </c>
      <c r="D2501" s="606">
        <v>4.3573381578E10</v>
      </c>
      <c r="E2501" s="668" t="s">
        <v>4927</v>
      </c>
      <c r="F2501" s="644" t="s">
        <v>436</v>
      </c>
      <c r="G2501" s="606" t="s">
        <v>4928</v>
      </c>
      <c r="H2501" s="608" t="s">
        <v>4929</v>
      </c>
    </row>
    <row r="2502">
      <c r="A2502" s="546" t="s">
        <v>439</v>
      </c>
      <c r="B2502" s="512" t="s">
        <v>4923</v>
      </c>
      <c r="C2502" s="605">
        <v>45960.0</v>
      </c>
      <c r="D2502" s="512">
        <v>3.8936464225E10</v>
      </c>
      <c r="E2502" s="606" t="s">
        <v>4930</v>
      </c>
      <c r="F2502" s="644" t="s">
        <v>436</v>
      </c>
      <c r="G2502" s="606" t="s">
        <v>4931</v>
      </c>
      <c r="H2502" s="608" t="s">
        <v>4926</v>
      </c>
    </row>
    <row r="2503">
      <c r="A2503" s="546" t="s">
        <v>439</v>
      </c>
      <c r="B2503" s="512" t="s">
        <v>669</v>
      </c>
      <c r="C2503" s="605">
        <v>45960.0</v>
      </c>
      <c r="D2503" s="512">
        <v>4.2045555616E10</v>
      </c>
      <c r="E2503" s="606" t="s">
        <v>4932</v>
      </c>
      <c r="F2503" s="644" t="s">
        <v>436</v>
      </c>
      <c r="G2503" s="606" t="s">
        <v>4933</v>
      </c>
      <c r="H2503" s="608" t="s">
        <v>4926</v>
      </c>
    </row>
    <row r="2504">
      <c r="A2504" s="546" t="s">
        <v>439</v>
      </c>
      <c r="B2504" s="512" t="s">
        <v>669</v>
      </c>
      <c r="C2504" s="605">
        <v>45960.0</v>
      </c>
      <c r="D2504" s="512">
        <v>4.2269016516E10</v>
      </c>
      <c r="E2504" s="606" t="s">
        <v>4934</v>
      </c>
      <c r="F2504" s="644" t="s">
        <v>436</v>
      </c>
      <c r="G2504" s="606" t="s">
        <v>4935</v>
      </c>
      <c r="H2504" s="608" t="s">
        <v>4926</v>
      </c>
    </row>
    <row r="2505">
      <c r="A2505" s="546" t="s">
        <v>823</v>
      </c>
      <c r="B2505" s="512" t="s">
        <v>449</v>
      </c>
      <c r="C2505" s="605">
        <v>45960.0</v>
      </c>
      <c r="D2505" s="512">
        <v>3.8926100507E10</v>
      </c>
      <c r="E2505" s="606" t="s">
        <v>85</v>
      </c>
      <c r="F2505" s="644" t="s">
        <v>436</v>
      </c>
      <c r="G2505" s="606" t="s">
        <v>4277</v>
      </c>
      <c r="H2505" s="608" t="s">
        <v>4558</v>
      </c>
    </row>
    <row r="2506">
      <c r="A2506" s="546" t="s">
        <v>432</v>
      </c>
      <c r="B2506" s="512" t="s">
        <v>669</v>
      </c>
      <c r="C2506" s="605">
        <v>45961.0</v>
      </c>
      <c r="D2506" s="512">
        <v>4.3573708046E10</v>
      </c>
      <c r="E2506" s="606" t="s">
        <v>4936</v>
      </c>
      <c r="F2506" s="644" t="s">
        <v>436</v>
      </c>
      <c r="G2506" s="606" t="s">
        <v>4937</v>
      </c>
      <c r="H2506" s="608" t="s">
        <v>693</v>
      </c>
    </row>
    <row r="2507">
      <c r="A2507" s="546" t="s">
        <v>432</v>
      </c>
      <c r="B2507" s="512" t="s">
        <v>669</v>
      </c>
      <c r="C2507" s="605">
        <v>45961.0</v>
      </c>
      <c r="D2507" s="512">
        <v>3.7040602966E10</v>
      </c>
      <c r="E2507" s="606" t="s">
        <v>4938</v>
      </c>
      <c r="F2507" s="644" t="s">
        <v>436</v>
      </c>
      <c r="G2507" s="606" t="s">
        <v>4939</v>
      </c>
      <c r="H2507" s="608" t="s">
        <v>693</v>
      </c>
    </row>
    <row r="2508">
      <c r="A2508" s="546" t="s">
        <v>439</v>
      </c>
      <c r="B2508" s="512" t="s">
        <v>669</v>
      </c>
      <c r="C2508" s="605">
        <v>45961.0</v>
      </c>
      <c r="D2508" s="512">
        <v>4.3331066404E10</v>
      </c>
      <c r="E2508" s="606" t="s">
        <v>4940</v>
      </c>
      <c r="F2508" s="644" t="s">
        <v>436</v>
      </c>
      <c r="G2508" s="606" t="s">
        <v>1095</v>
      </c>
      <c r="H2508" s="608" t="s">
        <v>4926</v>
      </c>
    </row>
    <row r="2509">
      <c r="A2509" s="546" t="s">
        <v>823</v>
      </c>
      <c r="B2509" s="512" t="s">
        <v>449</v>
      </c>
      <c r="C2509" s="605">
        <v>45961.0</v>
      </c>
      <c r="D2509" s="512">
        <v>4.2427858697E10</v>
      </c>
      <c r="E2509" s="619" t="s">
        <v>4941</v>
      </c>
      <c r="F2509" s="644" t="s">
        <v>436</v>
      </c>
      <c r="G2509" s="606" t="s">
        <v>4942</v>
      </c>
      <c r="H2509" s="608" t="s">
        <v>4558</v>
      </c>
    </row>
    <row r="2510">
      <c r="A2510" s="546" t="s">
        <v>439</v>
      </c>
      <c r="B2510" s="512" t="s">
        <v>669</v>
      </c>
      <c r="C2510" s="605">
        <v>45961.0</v>
      </c>
      <c r="D2510" s="512">
        <v>3.5183893749E10</v>
      </c>
      <c r="E2510" s="606" t="s">
        <v>4943</v>
      </c>
      <c r="F2510" s="644" t="s">
        <v>436</v>
      </c>
      <c r="G2510" s="606" t="s">
        <v>4292</v>
      </c>
      <c r="H2510" s="608" t="s">
        <v>4926</v>
      </c>
    </row>
    <row r="2511">
      <c r="A2511" s="546" t="s">
        <v>432</v>
      </c>
      <c r="B2511" s="512" t="s">
        <v>669</v>
      </c>
      <c r="C2511" s="605">
        <v>45961.0</v>
      </c>
      <c r="D2511" s="512">
        <v>3.2544337493E10</v>
      </c>
      <c r="E2511" s="606" t="s">
        <v>4944</v>
      </c>
      <c r="F2511" s="644" t="s">
        <v>436</v>
      </c>
      <c r="G2511" s="606" t="s">
        <v>4884</v>
      </c>
      <c r="H2511" s="608" t="s">
        <v>693</v>
      </c>
    </row>
    <row r="2512">
      <c r="A2512" s="546" t="s">
        <v>432</v>
      </c>
      <c r="B2512" s="512" t="s">
        <v>669</v>
      </c>
      <c r="C2512" s="605">
        <v>45961.0</v>
      </c>
      <c r="D2512" s="512">
        <v>4.3522442153E10</v>
      </c>
      <c r="E2512" s="606" t="s">
        <v>4945</v>
      </c>
      <c r="F2512" s="644" t="s">
        <v>436</v>
      </c>
      <c r="G2512" s="606" t="s">
        <v>3090</v>
      </c>
      <c r="H2512" s="608" t="s">
        <v>693</v>
      </c>
    </row>
    <row r="2513">
      <c r="A2513" s="546" t="s">
        <v>432</v>
      </c>
      <c r="B2513" s="512" t="s">
        <v>669</v>
      </c>
      <c r="C2513" s="605">
        <v>45961.0</v>
      </c>
      <c r="D2513" s="512">
        <v>4.2213546141E10</v>
      </c>
      <c r="E2513" s="606" t="s">
        <v>4946</v>
      </c>
      <c r="F2513" s="644" t="s">
        <v>436</v>
      </c>
      <c r="G2513" s="606" t="s">
        <v>4947</v>
      </c>
      <c r="H2513" s="608" t="s">
        <v>693</v>
      </c>
    </row>
    <row r="2514">
      <c r="A2514" s="546" t="s">
        <v>432</v>
      </c>
      <c r="B2514" s="512" t="s">
        <v>669</v>
      </c>
      <c r="C2514" s="605">
        <v>45962.0</v>
      </c>
      <c r="D2514" s="512">
        <v>3.9245068156E10</v>
      </c>
      <c r="E2514" s="606" t="s">
        <v>4948</v>
      </c>
      <c r="F2514" s="644" t="s">
        <v>436</v>
      </c>
      <c r="G2514" s="606" t="s">
        <v>4949</v>
      </c>
      <c r="H2514" s="608" t="s">
        <v>686</v>
      </c>
    </row>
    <row r="2515">
      <c r="A2515" s="546" t="s">
        <v>432</v>
      </c>
      <c r="B2515" s="512" t="s">
        <v>4923</v>
      </c>
      <c r="C2515" s="605">
        <v>45962.0</v>
      </c>
      <c r="D2515" s="512">
        <v>3.9713445847E10</v>
      </c>
      <c r="E2515" s="606" t="s">
        <v>4950</v>
      </c>
      <c r="F2515" s="644" t="s">
        <v>436</v>
      </c>
      <c r="G2515" s="606" t="s">
        <v>4951</v>
      </c>
      <c r="H2515" s="608" t="s">
        <v>686</v>
      </c>
    </row>
    <row r="2516">
      <c r="A2516" s="546" t="s">
        <v>439</v>
      </c>
      <c r="B2516" s="512" t="s">
        <v>4923</v>
      </c>
      <c r="C2516" s="605">
        <v>45962.0</v>
      </c>
      <c r="D2516" s="512">
        <v>3.807361299E10</v>
      </c>
      <c r="E2516" s="606" t="s">
        <v>4952</v>
      </c>
      <c r="F2516" s="644" t="s">
        <v>436</v>
      </c>
      <c r="G2516" s="606" t="s">
        <v>1654</v>
      </c>
      <c r="H2516" s="608" t="s">
        <v>1608</v>
      </c>
    </row>
    <row r="2517">
      <c r="A2517" s="546" t="s">
        <v>432</v>
      </c>
      <c r="B2517" s="512" t="s">
        <v>4923</v>
      </c>
      <c r="C2517" s="605">
        <v>45962.0</v>
      </c>
      <c r="D2517" s="512">
        <v>4.3229199798E10</v>
      </c>
      <c r="E2517" s="606" t="s">
        <v>4953</v>
      </c>
      <c r="F2517" s="644" t="s">
        <v>436</v>
      </c>
      <c r="G2517" s="606" t="s">
        <v>3082</v>
      </c>
      <c r="H2517" s="608" t="s">
        <v>686</v>
      </c>
    </row>
    <row r="2518">
      <c r="A2518" s="546" t="s">
        <v>432</v>
      </c>
      <c r="B2518" s="512" t="s">
        <v>669</v>
      </c>
      <c r="C2518" s="618">
        <v>45962.0</v>
      </c>
      <c r="D2518" s="546">
        <v>3.8064918548E10</v>
      </c>
      <c r="E2518" s="619" t="s">
        <v>4954</v>
      </c>
      <c r="F2518" s="669" t="s">
        <v>436</v>
      </c>
      <c r="G2518" s="619" t="s">
        <v>4955</v>
      </c>
      <c r="H2518" s="629" t="s">
        <v>686</v>
      </c>
    </row>
    <row r="2519">
      <c r="A2519" s="546" t="s">
        <v>432</v>
      </c>
      <c r="B2519" s="512" t="s">
        <v>669</v>
      </c>
      <c r="C2519" s="605">
        <v>45962.0</v>
      </c>
      <c r="D2519" s="512">
        <v>3.9252726368E10</v>
      </c>
      <c r="E2519" s="606" t="s">
        <v>4956</v>
      </c>
      <c r="F2519" s="644" t="s">
        <v>436</v>
      </c>
      <c r="G2519" s="606" t="s">
        <v>4957</v>
      </c>
      <c r="H2519" s="608" t="s">
        <v>686</v>
      </c>
    </row>
    <row r="2520">
      <c r="A2520" s="546" t="s">
        <v>432</v>
      </c>
      <c r="B2520" s="512" t="s">
        <v>449</v>
      </c>
      <c r="C2520" s="605">
        <v>45962.0</v>
      </c>
      <c r="D2520" s="512">
        <v>3.9501538877E10</v>
      </c>
      <c r="E2520" s="606" t="s">
        <v>4958</v>
      </c>
      <c r="F2520" s="644" t="s">
        <v>436</v>
      </c>
      <c r="G2520" s="606" t="s">
        <v>4959</v>
      </c>
      <c r="H2520" s="608" t="s">
        <v>686</v>
      </c>
    </row>
    <row r="2521">
      <c r="A2521" s="546" t="s">
        <v>432</v>
      </c>
      <c r="B2521" s="512" t="s">
        <v>669</v>
      </c>
      <c r="C2521" s="605">
        <v>45962.0</v>
      </c>
      <c r="D2521" s="512">
        <v>4.0252365748E10</v>
      </c>
      <c r="E2521" s="606" t="s">
        <v>4960</v>
      </c>
      <c r="F2521" s="644" t="s">
        <v>436</v>
      </c>
      <c r="G2521" s="606" t="s">
        <v>4961</v>
      </c>
      <c r="H2521" s="608" t="s">
        <v>686</v>
      </c>
    </row>
    <row r="2522">
      <c r="A2522" s="546" t="s">
        <v>432</v>
      </c>
      <c r="B2522" s="512" t="s">
        <v>669</v>
      </c>
      <c r="C2522" s="605">
        <v>45962.0</v>
      </c>
      <c r="D2522" s="512">
        <v>3.8951693939E10</v>
      </c>
      <c r="E2522" s="606" t="s">
        <v>4962</v>
      </c>
      <c r="F2522" s="644" t="s">
        <v>436</v>
      </c>
      <c r="G2522" s="606" t="s">
        <v>2689</v>
      </c>
      <c r="H2522" s="608" t="s">
        <v>686</v>
      </c>
    </row>
    <row r="2523">
      <c r="A2523" s="546" t="s">
        <v>617</v>
      </c>
      <c r="B2523" s="512" t="s">
        <v>449</v>
      </c>
      <c r="C2523" s="605">
        <v>45962.0</v>
      </c>
      <c r="D2523" s="512">
        <v>3.8959907376E10</v>
      </c>
      <c r="E2523" s="606" t="s">
        <v>4963</v>
      </c>
      <c r="F2523" s="644" t="s">
        <v>436</v>
      </c>
      <c r="G2523" s="606" t="s">
        <v>4964</v>
      </c>
      <c r="H2523" s="608" t="s">
        <v>696</v>
      </c>
    </row>
    <row r="2524">
      <c r="A2524" s="546" t="s">
        <v>432</v>
      </c>
      <c r="B2524" s="512" t="s">
        <v>4923</v>
      </c>
      <c r="C2524" s="605">
        <v>45962.0</v>
      </c>
      <c r="D2524" s="512">
        <v>3.7250459819E10</v>
      </c>
      <c r="E2524" s="606" t="s">
        <v>4965</v>
      </c>
      <c r="F2524" s="644" t="s">
        <v>436</v>
      </c>
      <c r="G2524" s="606" t="s">
        <v>4966</v>
      </c>
      <c r="H2524" s="608" t="s">
        <v>686</v>
      </c>
    </row>
    <row r="2525">
      <c r="A2525" s="546" t="s">
        <v>439</v>
      </c>
      <c r="B2525" s="512" t="s">
        <v>4923</v>
      </c>
      <c r="C2525" s="605">
        <v>45962.0</v>
      </c>
      <c r="D2525" s="512">
        <v>4.0151681015E10</v>
      </c>
      <c r="E2525" s="606" t="s">
        <v>4967</v>
      </c>
      <c r="F2525" s="644" t="s">
        <v>436</v>
      </c>
      <c r="G2525" s="606" t="s">
        <v>2302</v>
      </c>
      <c r="H2525" s="608" t="s">
        <v>1608</v>
      </c>
    </row>
    <row r="2526">
      <c r="A2526" s="546" t="s">
        <v>432</v>
      </c>
      <c r="B2526" s="512" t="s">
        <v>4923</v>
      </c>
      <c r="C2526" s="605">
        <v>45962.0</v>
      </c>
      <c r="D2526" s="512">
        <v>4.3410688183E10</v>
      </c>
      <c r="E2526" s="606" t="s">
        <v>4968</v>
      </c>
      <c r="F2526" s="644" t="s">
        <v>436</v>
      </c>
      <c r="G2526" s="606" t="s">
        <v>3494</v>
      </c>
      <c r="H2526" s="608" t="s">
        <v>686</v>
      </c>
    </row>
    <row r="2527">
      <c r="A2527" s="546" t="s">
        <v>432</v>
      </c>
      <c r="B2527" s="512" t="s">
        <v>4923</v>
      </c>
      <c r="C2527" s="605">
        <v>45962.0</v>
      </c>
      <c r="D2527" s="512">
        <v>3.8305648065E10</v>
      </c>
      <c r="E2527" s="606" t="s">
        <v>4969</v>
      </c>
      <c r="F2527" s="644" t="s">
        <v>436</v>
      </c>
      <c r="G2527" s="606" t="s">
        <v>4970</v>
      </c>
      <c r="H2527" s="608" t="s">
        <v>686</v>
      </c>
    </row>
    <row r="2528">
      <c r="A2528" s="546" t="s">
        <v>617</v>
      </c>
      <c r="B2528" s="512" t="s">
        <v>449</v>
      </c>
      <c r="C2528" s="605">
        <v>45962.0</v>
      </c>
      <c r="D2528" s="512">
        <v>3.8073970467E10</v>
      </c>
      <c r="E2528" s="606" t="s">
        <v>4811</v>
      </c>
      <c r="F2528" s="644" t="s">
        <v>436</v>
      </c>
      <c r="G2528" s="606" t="s">
        <v>1659</v>
      </c>
      <c r="H2528" s="608" t="s">
        <v>696</v>
      </c>
    </row>
    <row r="2529">
      <c r="A2529" s="546" t="s">
        <v>432</v>
      </c>
      <c r="B2529" s="512" t="s">
        <v>449</v>
      </c>
      <c r="C2529" s="605">
        <v>45962.0</v>
      </c>
      <c r="D2529" s="512">
        <v>3.7831389577E10</v>
      </c>
      <c r="E2529" s="606" t="s">
        <v>4971</v>
      </c>
      <c r="F2529" s="644" t="s">
        <v>436</v>
      </c>
      <c r="G2529" s="606" t="s">
        <v>4972</v>
      </c>
      <c r="H2529" s="608" t="s">
        <v>686</v>
      </c>
    </row>
    <row r="2530">
      <c r="A2530" s="546" t="s">
        <v>617</v>
      </c>
      <c r="B2530" s="512" t="s">
        <v>449</v>
      </c>
      <c r="C2530" s="605">
        <v>45963.0</v>
      </c>
      <c r="D2530" s="512">
        <v>4.3656660318E10</v>
      </c>
      <c r="E2530" s="606" t="s">
        <v>4165</v>
      </c>
      <c r="F2530" s="644" t="s">
        <v>436</v>
      </c>
      <c r="G2530" s="606" t="s">
        <v>4973</v>
      </c>
      <c r="H2530" s="608" t="s">
        <v>696</v>
      </c>
    </row>
    <row r="2531">
      <c r="A2531" s="546" t="s">
        <v>617</v>
      </c>
      <c r="B2531" s="512" t="s">
        <v>449</v>
      </c>
      <c r="C2531" s="605">
        <v>45963.0</v>
      </c>
      <c r="D2531" s="512">
        <v>4.3633154889E10</v>
      </c>
      <c r="E2531" s="606" t="s">
        <v>4974</v>
      </c>
      <c r="F2531" s="644" t="s">
        <v>436</v>
      </c>
      <c r="G2531" s="606" t="s">
        <v>4975</v>
      </c>
      <c r="H2531" s="608" t="s">
        <v>696</v>
      </c>
    </row>
    <row r="2532">
      <c r="A2532" s="546" t="s">
        <v>439</v>
      </c>
      <c r="B2532" s="512" t="s">
        <v>449</v>
      </c>
      <c r="C2532" s="605">
        <v>45963.0</v>
      </c>
      <c r="D2532" s="512">
        <v>3.9608412737E10</v>
      </c>
      <c r="E2532" s="606" t="s">
        <v>4976</v>
      </c>
      <c r="F2532" s="644" t="s">
        <v>436</v>
      </c>
      <c r="G2532" s="606" t="s">
        <v>4977</v>
      </c>
      <c r="H2532" s="608" t="s">
        <v>1608</v>
      </c>
    </row>
    <row r="2533">
      <c r="A2533" s="546" t="s">
        <v>439</v>
      </c>
      <c r="B2533" s="512" t="s">
        <v>449</v>
      </c>
      <c r="C2533" s="605">
        <v>45963.0</v>
      </c>
      <c r="D2533" s="512">
        <v>3.9608412759E10</v>
      </c>
      <c r="E2533" s="606" t="s">
        <v>4978</v>
      </c>
      <c r="F2533" s="644" t="s">
        <v>436</v>
      </c>
      <c r="G2533" s="606" t="s">
        <v>4977</v>
      </c>
      <c r="H2533" s="608" t="s">
        <v>1608</v>
      </c>
    </row>
    <row r="2534">
      <c r="A2534" s="546" t="s">
        <v>617</v>
      </c>
      <c r="B2534" s="512" t="s">
        <v>449</v>
      </c>
      <c r="C2534" s="605">
        <v>45963.0</v>
      </c>
      <c r="D2534" s="512">
        <v>4.091804172E10</v>
      </c>
      <c r="E2534" s="606" t="s">
        <v>4979</v>
      </c>
      <c r="F2534" s="644" t="s">
        <v>436</v>
      </c>
      <c r="G2534" s="606" t="s">
        <v>4980</v>
      </c>
      <c r="H2534" s="608" t="s">
        <v>696</v>
      </c>
    </row>
    <row r="2535">
      <c r="A2535" s="546" t="s">
        <v>690</v>
      </c>
      <c r="B2535" s="512" t="s">
        <v>449</v>
      </c>
      <c r="C2535" s="605">
        <v>45963.0</v>
      </c>
      <c r="D2535" s="512">
        <v>3.8721463366E10</v>
      </c>
      <c r="E2535" s="606" t="s">
        <v>4981</v>
      </c>
      <c r="F2535" s="644" t="s">
        <v>436</v>
      </c>
      <c r="G2535" s="606" t="s">
        <v>4982</v>
      </c>
      <c r="H2535" s="608" t="s">
        <v>1647</v>
      </c>
    </row>
    <row r="2536">
      <c r="A2536" s="546" t="s">
        <v>617</v>
      </c>
      <c r="B2536" s="512" t="s">
        <v>433</v>
      </c>
      <c r="C2536" s="605">
        <v>45963.0</v>
      </c>
      <c r="D2536" s="512">
        <v>3.9642478917E10</v>
      </c>
      <c r="E2536" s="606" t="s">
        <v>4979</v>
      </c>
      <c r="F2536" s="644" t="s">
        <v>436</v>
      </c>
      <c r="G2536" s="606" t="s">
        <v>4983</v>
      </c>
      <c r="H2536" s="608" t="s">
        <v>696</v>
      </c>
    </row>
    <row r="2537">
      <c r="A2537" s="546" t="s">
        <v>823</v>
      </c>
      <c r="B2537" s="512" t="s">
        <v>449</v>
      </c>
      <c r="C2537" s="605">
        <v>45963.0</v>
      </c>
      <c r="D2537" s="512">
        <v>2.9413614811E10</v>
      </c>
      <c r="E2537" s="606" t="s">
        <v>4974</v>
      </c>
      <c r="F2537" s="644" t="s">
        <v>436</v>
      </c>
      <c r="G2537" s="606" t="s">
        <v>1898</v>
      </c>
      <c r="H2537" s="608" t="s">
        <v>1096</v>
      </c>
    </row>
    <row r="2538">
      <c r="A2538" s="546" t="s">
        <v>432</v>
      </c>
      <c r="B2538" s="512" t="s">
        <v>433</v>
      </c>
      <c r="C2538" s="605">
        <v>45964.0</v>
      </c>
      <c r="D2538" s="512">
        <v>4.3318340503E10</v>
      </c>
      <c r="E2538" s="606" t="s">
        <v>4984</v>
      </c>
      <c r="F2538" s="644" t="s">
        <v>436</v>
      </c>
      <c r="G2538" s="606" t="s">
        <v>4985</v>
      </c>
      <c r="H2538" s="608" t="s">
        <v>438</v>
      </c>
    </row>
    <row r="2539">
      <c r="A2539" s="546" t="s">
        <v>432</v>
      </c>
      <c r="B2539" s="512" t="s">
        <v>433</v>
      </c>
      <c r="C2539" s="605">
        <v>45964.0</v>
      </c>
      <c r="D2539" s="512">
        <v>3.7414145205E10</v>
      </c>
      <c r="E2539" s="606" t="s">
        <v>4986</v>
      </c>
      <c r="F2539" s="644" t="s">
        <v>436</v>
      </c>
      <c r="G2539" s="606" t="s">
        <v>4987</v>
      </c>
      <c r="H2539" s="608" t="s">
        <v>901</v>
      </c>
    </row>
    <row r="2540">
      <c r="A2540" s="546" t="s">
        <v>432</v>
      </c>
      <c r="B2540" s="512" t="s">
        <v>433</v>
      </c>
      <c r="C2540" s="605">
        <v>45964.0</v>
      </c>
      <c r="D2540" s="512">
        <v>3.4964788972E10</v>
      </c>
      <c r="E2540" s="606" t="s">
        <v>4988</v>
      </c>
      <c r="F2540" s="644" t="s">
        <v>436</v>
      </c>
      <c r="G2540" s="606" t="s">
        <v>4989</v>
      </c>
      <c r="H2540" s="608" t="s">
        <v>438</v>
      </c>
    </row>
    <row r="2541">
      <c r="A2541" s="546" t="s">
        <v>439</v>
      </c>
      <c r="B2541" s="512" t="s">
        <v>449</v>
      </c>
      <c r="C2541" s="605">
        <v>45964.0</v>
      </c>
      <c r="D2541" s="512">
        <v>4.3695656091E10</v>
      </c>
      <c r="E2541" s="606" t="s">
        <v>4990</v>
      </c>
      <c r="F2541" s="644" t="s">
        <v>436</v>
      </c>
      <c r="G2541" s="606" t="s">
        <v>4991</v>
      </c>
      <c r="H2541" s="608" t="s">
        <v>623</v>
      </c>
    </row>
    <row r="2542">
      <c r="A2542" s="546" t="s">
        <v>617</v>
      </c>
      <c r="B2542" s="512" t="s">
        <v>449</v>
      </c>
      <c r="C2542" s="605">
        <v>45964.0</v>
      </c>
      <c r="D2542" s="512">
        <v>4.3487262019E10</v>
      </c>
      <c r="E2542" s="606" t="s">
        <v>4992</v>
      </c>
      <c r="F2542" s="644" t="s">
        <v>436</v>
      </c>
      <c r="G2542" s="606" t="s">
        <v>4143</v>
      </c>
      <c r="H2542" s="608" t="s">
        <v>693</v>
      </c>
    </row>
    <row r="2543">
      <c r="A2543" s="546" t="s">
        <v>617</v>
      </c>
      <c r="B2543" s="512" t="s">
        <v>449</v>
      </c>
      <c r="C2543" s="605">
        <v>45964.0</v>
      </c>
      <c r="D2543" s="512">
        <v>4.3487262025E10</v>
      </c>
      <c r="E2543" s="606" t="s">
        <v>4992</v>
      </c>
      <c r="F2543" s="644" t="s">
        <v>436</v>
      </c>
      <c r="G2543" s="606" t="s">
        <v>4143</v>
      </c>
      <c r="H2543" s="608" t="s">
        <v>693</v>
      </c>
    </row>
    <row r="2544">
      <c r="A2544" s="546" t="s">
        <v>432</v>
      </c>
      <c r="B2544" s="512" t="s">
        <v>449</v>
      </c>
      <c r="C2544" s="605">
        <v>45964.0</v>
      </c>
      <c r="D2544" s="512">
        <v>2.982795202E10</v>
      </c>
      <c r="E2544" s="606" t="s">
        <v>4993</v>
      </c>
      <c r="F2544" s="644" t="s">
        <v>436</v>
      </c>
      <c r="G2544" s="606" t="s">
        <v>4994</v>
      </c>
      <c r="H2544" s="608" t="s">
        <v>438</v>
      </c>
    </row>
    <row r="2545">
      <c r="A2545" s="546" t="s">
        <v>432</v>
      </c>
      <c r="B2545" s="512" t="s">
        <v>449</v>
      </c>
      <c r="C2545" s="605">
        <v>45964.0</v>
      </c>
      <c r="D2545" s="512">
        <v>4.3424990127E10</v>
      </c>
      <c r="E2545" s="606" t="s">
        <v>4995</v>
      </c>
      <c r="F2545" s="644" t="s">
        <v>436</v>
      </c>
      <c r="G2545" s="606" t="s">
        <v>4996</v>
      </c>
      <c r="H2545" s="608" t="s">
        <v>438</v>
      </c>
    </row>
    <row r="2546">
      <c r="A2546" s="546" t="s">
        <v>617</v>
      </c>
      <c r="B2546" s="512" t="s">
        <v>449</v>
      </c>
      <c r="C2546" s="605">
        <v>45964.0</v>
      </c>
      <c r="D2546" s="512">
        <v>3.9220864E10</v>
      </c>
      <c r="E2546" s="606" t="s">
        <v>4997</v>
      </c>
      <c r="F2546" s="644" t="s">
        <v>436</v>
      </c>
      <c r="G2546" s="606" t="s">
        <v>4998</v>
      </c>
      <c r="H2546" s="608" t="s">
        <v>693</v>
      </c>
    </row>
    <row r="2547">
      <c r="A2547" s="546" t="s">
        <v>432</v>
      </c>
      <c r="B2547" s="512" t="s">
        <v>449</v>
      </c>
      <c r="C2547" s="605">
        <v>45964.0</v>
      </c>
      <c r="D2547" s="512">
        <v>4.3589292136E10</v>
      </c>
      <c r="E2547" s="606" t="s">
        <v>4999</v>
      </c>
      <c r="F2547" s="644" t="s">
        <v>436</v>
      </c>
      <c r="G2547" s="606" t="s">
        <v>2934</v>
      </c>
      <c r="H2547" s="608" t="s">
        <v>901</v>
      </c>
    </row>
    <row r="2548">
      <c r="A2548" s="546" t="s">
        <v>823</v>
      </c>
      <c r="B2548" s="512" t="s">
        <v>449</v>
      </c>
      <c r="C2548" s="605">
        <v>45964.0</v>
      </c>
      <c r="D2548" s="512">
        <v>2.6190460598E10</v>
      </c>
      <c r="E2548" s="606" t="s">
        <v>5000</v>
      </c>
      <c r="F2548" s="644" t="s">
        <v>436</v>
      </c>
      <c r="G2548" s="606" t="s">
        <v>5001</v>
      </c>
      <c r="H2548" s="608" t="s">
        <v>4558</v>
      </c>
    </row>
    <row r="2549">
      <c r="A2549" s="546" t="s">
        <v>617</v>
      </c>
      <c r="B2549" s="512" t="s">
        <v>449</v>
      </c>
      <c r="C2549" s="605">
        <v>45964.0</v>
      </c>
      <c r="D2549" s="512">
        <v>4.3722666409E10</v>
      </c>
      <c r="E2549" s="606" t="s">
        <v>5002</v>
      </c>
      <c r="F2549" s="644" t="s">
        <v>436</v>
      </c>
      <c r="G2549" s="606" t="s">
        <v>5003</v>
      </c>
      <c r="H2549" s="608" t="s">
        <v>693</v>
      </c>
    </row>
    <row r="2550">
      <c r="A2550" s="546" t="s">
        <v>617</v>
      </c>
      <c r="B2550" s="512" t="s">
        <v>5004</v>
      </c>
      <c r="C2550" s="605">
        <v>45964.0</v>
      </c>
      <c r="D2550" s="512">
        <v>4.0650094438E10</v>
      </c>
      <c r="E2550" s="606" t="s">
        <v>5005</v>
      </c>
      <c r="F2550" s="644" t="s">
        <v>436</v>
      </c>
      <c r="G2550" s="606" t="s">
        <v>3112</v>
      </c>
      <c r="H2550" s="608" t="s">
        <v>693</v>
      </c>
    </row>
    <row r="2551">
      <c r="A2551" s="546" t="s">
        <v>617</v>
      </c>
      <c r="B2551" s="512" t="s">
        <v>449</v>
      </c>
      <c r="C2551" s="605">
        <v>45964.0</v>
      </c>
      <c r="D2551" s="512">
        <v>3.2322098071E10</v>
      </c>
      <c r="E2551" s="606" t="s">
        <v>5006</v>
      </c>
      <c r="F2551" s="644" t="s">
        <v>436</v>
      </c>
      <c r="G2551" s="606" t="s">
        <v>5007</v>
      </c>
      <c r="H2551" s="608" t="s">
        <v>693</v>
      </c>
    </row>
    <row r="2552">
      <c r="A2552" s="546" t="s">
        <v>439</v>
      </c>
      <c r="B2552" s="512" t="s">
        <v>449</v>
      </c>
      <c r="C2552" s="605">
        <v>45965.0</v>
      </c>
      <c r="D2552" s="512">
        <v>4.0569044698E10</v>
      </c>
      <c r="E2552" s="606" t="s">
        <v>5008</v>
      </c>
      <c r="F2552" s="644" t="s">
        <v>436</v>
      </c>
      <c r="G2552" s="606" t="s">
        <v>5009</v>
      </c>
      <c r="H2552" s="608" t="s">
        <v>1608</v>
      </c>
    </row>
    <row r="2553">
      <c r="A2553" s="546" t="s">
        <v>617</v>
      </c>
      <c r="B2553" s="512" t="s">
        <v>449</v>
      </c>
      <c r="C2553" s="605">
        <v>45965.0</v>
      </c>
      <c r="D2553" s="512">
        <v>3.8066002705E10</v>
      </c>
      <c r="E2553" s="606" t="s">
        <v>5010</v>
      </c>
      <c r="F2553" s="644" t="s">
        <v>436</v>
      </c>
      <c r="G2553" s="606" t="s">
        <v>5011</v>
      </c>
      <c r="H2553" s="608" t="s">
        <v>696</v>
      </c>
    </row>
    <row r="2554">
      <c r="A2554" s="546" t="s">
        <v>432</v>
      </c>
      <c r="B2554" s="512" t="s">
        <v>449</v>
      </c>
      <c r="C2554" s="605">
        <v>45965.0</v>
      </c>
      <c r="D2554" s="512">
        <v>4.2565089515E10</v>
      </c>
      <c r="E2554" s="606" t="s">
        <v>5012</v>
      </c>
      <c r="F2554" s="644" t="s">
        <v>436</v>
      </c>
      <c r="G2554" s="606" t="s">
        <v>4523</v>
      </c>
      <c r="H2554" s="608" t="s">
        <v>686</v>
      </c>
    </row>
    <row r="2555">
      <c r="A2555" s="546" t="s">
        <v>432</v>
      </c>
      <c r="B2555" s="512" t="s">
        <v>433</v>
      </c>
      <c r="C2555" s="605">
        <v>45965.0</v>
      </c>
      <c r="D2555" s="512">
        <v>3.0870470142E10</v>
      </c>
      <c r="E2555" s="606" t="s">
        <v>5013</v>
      </c>
      <c r="F2555" s="644" t="s">
        <v>436</v>
      </c>
      <c r="G2555" s="606" t="s">
        <v>4283</v>
      </c>
      <c r="H2555" s="608" t="s">
        <v>686</v>
      </c>
    </row>
    <row r="2556">
      <c r="A2556" s="546" t="s">
        <v>432</v>
      </c>
      <c r="B2556" s="512" t="s">
        <v>433</v>
      </c>
      <c r="C2556" s="605">
        <v>45965.0</v>
      </c>
      <c r="D2556" s="512">
        <v>3.5407942005E10</v>
      </c>
      <c r="E2556" s="606" t="s">
        <v>4902</v>
      </c>
      <c r="F2556" s="644" t="s">
        <v>436</v>
      </c>
      <c r="G2556" s="606" t="s">
        <v>5014</v>
      </c>
      <c r="H2556" s="608" t="s">
        <v>686</v>
      </c>
    </row>
    <row r="2557">
      <c r="A2557" s="546" t="s">
        <v>439</v>
      </c>
      <c r="B2557" s="512" t="s">
        <v>449</v>
      </c>
      <c r="C2557" s="605">
        <v>45965.0</v>
      </c>
      <c r="D2557" s="512">
        <v>3.5932778009E10</v>
      </c>
      <c r="E2557" s="606" t="s">
        <v>5015</v>
      </c>
      <c r="F2557" s="644" t="s">
        <v>436</v>
      </c>
      <c r="G2557" s="606" t="s">
        <v>5016</v>
      </c>
      <c r="H2557" s="608" t="s">
        <v>1608</v>
      </c>
    </row>
    <row r="2558">
      <c r="A2558" s="546" t="s">
        <v>432</v>
      </c>
      <c r="B2558" s="512" t="s">
        <v>449</v>
      </c>
      <c r="C2558" s="605">
        <v>45965.0</v>
      </c>
      <c r="D2558" s="512">
        <v>3.8641184414E10</v>
      </c>
      <c r="E2558" s="606" t="s">
        <v>5017</v>
      </c>
      <c r="F2558" s="644" t="s">
        <v>436</v>
      </c>
      <c r="G2558" s="606" t="s">
        <v>550</v>
      </c>
      <c r="H2558" s="608" t="s">
        <v>686</v>
      </c>
    </row>
    <row r="2559">
      <c r="A2559" s="546" t="s">
        <v>432</v>
      </c>
      <c r="B2559" s="512" t="s">
        <v>449</v>
      </c>
      <c r="C2559" s="605">
        <v>45965.0</v>
      </c>
      <c r="D2559" s="512">
        <v>2.983399208E10</v>
      </c>
      <c r="E2559" s="606" t="s">
        <v>5018</v>
      </c>
      <c r="F2559" s="644" t="s">
        <v>436</v>
      </c>
      <c r="G2559" s="606" t="s">
        <v>5019</v>
      </c>
      <c r="H2559" s="608" t="s">
        <v>686</v>
      </c>
    </row>
    <row r="2560">
      <c r="A2560" s="546" t="s">
        <v>823</v>
      </c>
      <c r="B2560" s="512" t="s">
        <v>449</v>
      </c>
      <c r="C2560" s="605">
        <v>45965.0</v>
      </c>
      <c r="D2560" s="512">
        <v>3.5411654127E10</v>
      </c>
      <c r="E2560" s="606" t="s">
        <v>5020</v>
      </c>
      <c r="F2560" s="644" t="s">
        <v>436</v>
      </c>
      <c r="G2560" s="606" t="s">
        <v>5021</v>
      </c>
      <c r="H2560" s="608" t="s">
        <v>4558</v>
      </c>
    </row>
    <row r="2561">
      <c r="A2561" s="546" t="s">
        <v>439</v>
      </c>
      <c r="B2561" s="512" t="s">
        <v>449</v>
      </c>
      <c r="C2561" s="605">
        <v>45965.0</v>
      </c>
      <c r="D2561" s="512">
        <v>4.0675430769E10</v>
      </c>
      <c r="E2561" s="606" t="s">
        <v>5022</v>
      </c>
      <c r="F2561" s="644" t="s">
        <v>436</v>
      </c>
      <c r="G2561" s="606" t="s">
        <v>2905</v>
      </c>
      <c r="H2561" s="608" t="s">
        <v>1608</v>
      </c>
    </row>
    <row r="2562">
      <c r="A2562" s="546" t="s">
        <v>432</v>
      </c>
      <c r="B2562" s="512" t="s">
        <v>449</v>
      </c>
      <c r="C2562" s="605">
        <v>45965.0</v>
      </c>
      <c r="D2562" s="512">
        <v>3.9306339791E10</v>
      </c>
      <c r="E2562" s="606" t="s">
        <v>5023</v>
      </c>
      <c r="F2562" s="644" t="s">
        <v>436</v>
      </c>
      <c r="G2562" s="606" t="s">
        <v>5024</v>
      </c>
      <c r="H2562" s="608" t="s">
        <v>686</v>
      </c>
    </row>
    <row r="2563">
      <c r="A2563" s="546" t="s">
        <v>439</v>
      </c>
      <c r="B2563" s="512" t="s">
        <v>449</v>
      </c>
      <c r="C2563" s="605">
        <v>45965.0</v>
      </c>
      <c r="D2563" s="512">
        <v>4.3746970305E10</v>
      </c>
      <c r="E2563" s="606" t="s">
        <v>5025</v>
      </c>
      <c r="F2563" s="644" t="s">
        <v>436</v>
      </c>
      <c r="G2563" s="606" t="s">
        <v>5026</v>
      </c>
      <c r="H2563" s="608" t="s">
        <v>1608</v>
      </c>
    </row>
    <row r="2564">
      <c r="A2564" s="546" t="s">
        <v>823</v>
      </c>
      <c r="B2564" s="512" t="s">
        <v>449</v>
      </c>
      <c r="C2564" s="605">
        <v>45965.0</v>
      </c>
      <c r="D2564" s="512">
        <v>3.0757100661E10</v>
      </c>
      <c r="E2564" s="606" t="s">
        <v>5027</v>
      </c>
      <c r="F2564" s="644" t="s">
        <v>436</v>
      </c>
      <c r="G2564" s="606" t="s">
        <v>888</v>
      </c>
      <c r="H2564" s="608" t="s">
        <v>4558</v>
      </c>
    </row>
    <row r="2565">
      <c r="A2565" s="546" t="s">
        <v>823</v>
      </c>
      <c r="B2565" s="512" t="s">
        <v>449</v>
      </c>
      <c r="C2565" s="605">
        <v>45965.0</v>
      </c>
      <c r="D2565" s="512">
        <v>4.0063885335E10</v>
      </c>
      <c r="E2565" s="606" t="s">
        <v>5028</v>
      </c>
      <c r="F2565" s="644" t="s">
        <v>436</v>
      </c>
      <c r="G2565" s="606" t="s">
        <v>5029</v>
      </c>
      <c r="H2565" s="608" t="s">
        <v>4558</v>
      </c>
    </row>
    <row r="2566">
      <c r="A2566" s="546" t="s">
        <v>432</v>
      </c>
      <c r="B2566" s="512" t="s">
        <v>449</v>
      </c>
      <c r="C2566" s="605">
        <v>45965.0</v>
      </c>
      <c r="D2566" s="512">
        <v>3.9254398416E10</v>
      </c>
      <c r="E2566" s="606" t="s">
        <v>5030</v>
      </c>
      <c r="F2566" s="644" t="s">
        <v>436</v>
      </c>
      <c r="G2566" s="640"/>
      <c r="H2566" s="608" t="s">
        <v>686</v>
      </c>
    </row>
    <row r="2567">
      <c r="A2567" s="546" t="s">
        <v>617</v>
      </c>
      <c r="B2567" s="512" t="s">
        <v>449</v>
      </c>
      <c r="C2567" s="605">
        <v>45965.0</v>
      </c>
      <c r="D2567" s="512">
        <v>4.2761559096E10</v>
      </c>
      <c r="E2567" s="606" t="s">
        <v>5031</v>
      </c>
      <c r="F2567" s="644" t="s">
        <v>436</v>
      </c>
      <c r="G2567" s="640"/>
      <c r="H2567" s="608" t="s">
        <v>696</v>
      </c>
    </row>
    <row r="2568">
      <c r="A2568" s="546" t="s">
        <v>432</v>
      </c>
      <c r="B2568" s="512" t="s">
        <v>449</v>
      </c>
      <c r="C2568" s="605">
        <v>45966.0</v>
      </c>
      <c r="D2568" s="512">
        <v>4.0357034402E10</v>
      </c>
      <c r="E2568" s="606" t="s">
        <v>5032</v>
      </c>
      <c r="F2568" s="644" t="s">
        <v>436</v>
      </c>
      <c r="G2568" s="606" t="s">
        <v>1762</v>
      </c>
      <c r="H2568" s="608" t="s">
        <v>686</v>
      </c>
    </row>
    <row r="2569">
      <c r="A2569" s="546" t="s">
        <v>439</v>
      </c>
      <c r="B2569" s="512" t="s">
        <v>449</v>
      </c>
      <c r="C2569" s="605">
        <v>45966.0</v>
      </c>
      <c r="D2569" s="512">
        <v>4.3663986043E10</v>
      </c>
      <c r="E2569" s="606" t="s">
        <v>5033</v>
      </c>
      <c r="F2569" s="644" t="s">
        <v>436</v>
      </c>
      <c r="G2569" s="606" t="s">
        <v>5034</v>
      </c>
      <c r="H2569" s="608" t="s">
        <v>1608</v>
      </c>
    </row>
    <row r="2570">
      <c r="A2570" s="546" t="s">
        <v>439</v>
      </c>
      <c r="B2570" s="512" t="s">
        <v>449</v>
      </c>
      <c r="C2570" s="605">
        <v>45966.0</v>
      </c>
      <c r="D2570" s="512">
        <v>3.6072625946E10</v>
      </c>
      <c r="E2570" s="606" t="s">
        <v>5035</v>
      </c>
      <c r="F2570" s="644" t="s">
        <v>436</v>
      </c>
      <c r="G2570" s="606" t="s">
        <v>5036</v>
      </c>
      <c r="H2570" s="608" t="s">
        <v>4078</v>
      </c>
    </row>
    <row r="2571">
      <c r="A2571" s="546" t="s">
        <v>432</v>
      </c>
      <c r="B2571" s="512" t="s">
        <v>449</v>
      </c>
      <c r="C2571" s="605">
        <v>45966.0</v>
      </c>
      <c r="D2571" s="512">
        <v>4.0803934907E10</v>
      </c>
      <c r="E2571" s="606" t="s">
        <v>5037</v>
      </c>
      <c r="F2571" s="644" t="s">
        <v>436</v>
      </c>
      <c r="G2571" s="606" t="s">
        <v>1215</v>
      </c>
      <c r="H2571" s="608" t="s">
        <v>686</v>
      </c>
    </row>
    <row r="2572">
      <c r="A2572" s="546" t="s">
        <v>432</v>
      </c>
      <c r="B2572" s="512" t="s">
        <v>449</v>
      </c>
      <c r="C2572" s="605">
        <v>45967.0</v>
      </c>
      <c r="D2572" s="512">
        <v>4.3741958719E10</v>
      </c>
      <c r="E2572" s="606" t="s">
        <v>5038</v>
      </c>
      <c r="F2572" s="644" t="s">
        <v>436</v>
      </c>
      <c r="G2572" s="606" t="s">
        <v>5039</v>
      </c>
      <c r="H2572" s="608" t="s">
        <v>686</v>
      </c>
    </row>
    <row r="2573">
      <c r="A2573" s="546" t="s">
        <v>432</v>
      </c>
      <c r="B2573" s="512" t="s">
        <v>449</v>
      </c>
      <c r="C2573" s="605">
        <v>45967.0</v>
      </c>
      <c r="D2573" s="512">
        <v>4.3757012599E10</v>
      </c>
      <c r="E2573" s="606" t="s">
        <v>5040</v>
      </c>
      <c r="F2573" s="644" t="s">
        <v>436</v>
      </c>
      <c r="G2573" s="606" t="s">
        <v>5041</v>
      </c>
      <c r="H2573" s="608" t="s">
        <v>686</v>
      </c>
    </row>
    <row r="2574">
      <c r="A2574" s="546" t="s">
        <v>617</v>
      </c>
      <c r="B2574" s="512" t="s">
        <v>449</v>
      </c>
      <c r="C2574" s="605">
        <v>45967.0</v>
      </c>
      <c r="D2574" s="512">
        <v>2.7506927522E10</v>
      </c>
      <c r="E2574" s="606" t="s">
        <v>4974</v>
      </c>
      <c r="F2574" s="644" t="s">
        <v>436</v>
      </c>
      <c r="G2574" s="606" t="s">
        <v>5042</v>
      </c>
      <c r="H2574" s="608" t="s">
        <v>696</v>
      </c>
    </row>
    <row r="2575">
      <c r="A2575" s="546" t="s">
        <v>432</v>
      </c>
      <c r="B2575" s="512" t="s">
        <v>449</v>
      </c>
      <c r="C2575" s="605">
        <v>45967.0</v>
      </c>
      <c r="D2575" s="512">
        <v>3.8841461017E10</v>
      </c>
      <c r="E2575" s="606" t="s">
        <v>5043</v>
      </c>
      <c r="F2575" s="644" t="s">
        <v>436</v>
      </c>
      <c r="G2575" s="606" t="s">
        <v>3233</v>
      </c>
      <c r="H2575" s="608" t="s">
        <v>686</v>
      </c>
    </row>
    <row r="2576">
      <c r="A2576" s="546" t="s">
        <v>432</v>
      </c>
      <c r="B2576" s="512" t="s">
        <v>433</v>
      </c>
      <c r="C2576" s="605">
        <v>45967.0</v>
      </c>
      <c r="D2576" s="512">
        <v>3.6491863598E10</v>
      </c>
      <c r="E2576" s="606" t="s">
        <v>5044</v>
      </c>
      <c r="F2576" s="644" t="s">
        <v>436</v>
      </c>
      <c r="G2576" s="606" t="s">
        <v>5045</v>
      </c>
      <c r="H2576" s="608" t="s">
        <v>686</v>
      </c>
    </row>
    <row r="2577">
      <c r="A2577" s="546" t="s">
        <v>432</v>
      </c>
      <c r="B2577" s="512" t="s">
        <v>449</v>
      </c>
      <c r="C2577" s="605">
        <v>45967.0</v>
      </c>
      <c r="D2577" s="512">
        <v>4.0771503327E10</v>
      </c>
      <c r="E2577" s="606" t="s">
        <v>4903</v>
      </c>
      <c r="F2577" s="644" t="s">
        <v>436</v>
      </c>
      <c r="G2577" s="606" t="s">
        <v>874</v>
      </c>
      <c r="H2577" s="608" t="s">
        <v>686</v>
      </c>
    </row>
    <row r="2578">
      <c r="A2578" s="546" t="s">
        <v>439</v>
      </c>
      <c r="B2578" s="512" t="s">
        <v>5046</v>
      </c>
      <c r="C2578" s="605">
        <v>45967.0</v>
      </c>
      <c r="D2578" s="512">
        <v>3.6330394476E10</v>
      </c>
      <c r="E2578" s="606" t="s">
        <v>5047</v>
      </c>
      <c r="F2578" s="644" t="s">
        <v>436</v>
      </c>
      <c r="G2578" s="606" t="s">
        <v>5048</v>
      </c>
      <c r="H2578" s="608" t="s">
        <v>693</v>
      </c>
    </row>
    <row r="2579">
      <c r="A2579" s="546" t="s">
        <v>432</v>
      </c>
      <c r="B2579" s="512" t="s">
        <v>433</v>
      </c>
      <c r="C2579" s="605">
        <v>45967.0</v>
      </c>
      <c r="D2579" s="512">
        <v>3.702899763E10</v>
      </c>
      <c r="E2579" s="606" t="s">
        <v>5049</v>
      </c>
      <c r="F2579" s="644" t="s">
        <v>436</v>
      </c>
      <c r="G2579" s="606" t="s">
        <v>1717</v>
      </c>
      <c r="H2579" s="608" t="s">
        <v>686</v>
      </c>
    </row>
    <row r="2580">
      <c r="A2580" s="546" t="s">
        <v>432</v>
      </c>
      <c r="B2580" s="512" t="s">
        <v>433</v>
      </c>
      <c r="C2580" s="605">
        <v>45967.0</v>
      </c>
      <c r="D2580" s="512">
        <v>3.702899763E10</v>
      </c>
      <c r="E2580" s="606" t="s">
        <v>5050</v>
      </c>
      <c r="F2580" s="644" t="s">
        <v>436</v>
      </c>
      <c r="G2580" s="606" t="s">
        <v>1717</v>
      </c>
      <c r="H2580" s="608" t="s">
        <v>686</v>
      </c>
    </row>
    <row r="2581">
      <c r="A2581" s="546" t="s">
        <v>439</v>
      </c>
      <c r="B2581" s="512" t="s">
        <v>5046</v>
      </c>
      <c r="C2581" s="605">
        <v>45967.0</v>
      </c>
      <c r="D2581" s="512">
        <v>3.8705776134E10</v>
      </c>
      <c r="E2581" s="606" t="s">
        <v>5051</v>
      </c>
      <c r="F2581" s="644" t="s">
        <v>436</v>
      </c>
      <c r="G2581" s="606" t="s">
        <v>5052</v>
      </c>
      <c r="H2581" s="608" t="s">
        <v>693</v>
      </c>
    </row>
    <row r="2582">
      <c r="A2582" s="546" t="s">
        <v>432</v>
      </c>
      <c r="B2582" s="512" t="s">
        <v>449</v>
      </c>
      <c r="C2582" s="605">
        <v>45967.0</v>
      </c>
      <c r="D2582" s="512">
        <v>4.0821400121E10</v>
      </c>
      <c r="E2582" s="606" t="s">
        <v>5053</v>
      </c>
      <c r="F2582" s="644" t="s">
        <v>436</v>
      </c>
      <c r="G2582" s="606" t="s">
        <v>5054</v>
      </c>
      <c r="H2582" s="608" t="s">
        <v>686</v>
      </c>
    </row>
    <row r="2583">
      <c r="A2583" s="546" t="s">
        <v>432</v>
      </c>
      <c r="B2583" s="512" t="s">
        <v>449</v>
      </c>
      <c r="C2583" s="605">
        <v>45967.0</v>
      </c>
      <c r="D2583" s="512">
        <v>3.3789677379E10</v>
      </c>
      <c r="E2583" s="606" t="s">
        <v>5055</v>
      </c>
      <c r="F2583" s="644" t="s">
        <v>436</v>
      </c>
      <c r="G2583" s="606" t="s">
        <v>945</v>
      </c>
      <c r="H2583" s="608" t="s">
        <v>686</v>
      </c>
    </row>
    <row r="2584">
      <c r="A2584" s="546" t="s">
        <v>432</v>
      </c>
      <c r="B2584" s="512" t="s">
        <v>449</v>
      </c>
      <c r="C2584" s="605">
        <v>45968.0</v>
      </c>
      <c r="D2584" s="512">
        <v>2.8868875358E10</v>
      </c>
      <c r="E2584" s="606" t="s">
        <v>5056</v>
      </c>
      <c r="F2584" s="644" t="s">
        <v>436</v>
      </c>
      <c r="G2584" s="606" t="s">
        <v>5057</v>
      </c>
      <c r="H2584" s="608" t="s">
        <v>686</v>
      </c>
    </row>
    <row r="2585">
      <c r="A2585" s="546" t="s">
        <v>823</v>
      </c>
      <c r="B2585" s="512" t="s">
        <v>449</v>
      </c>
      <c r="C2585" s="605">
        <v>45968.0</v>
      </c>
      <c r="D2585" s="512">
        <v>3.7200810661E10</v>
      </c>
      <c r="E2585" s="606" t="s">
        <v>5058</v>
      </c>
      <c r="F2585" s="644" t="s">
        <v>436</v>
      </c>
      <c r="G2585" s="606" t="s">
        <v>712</v>
      </c>
      <c r="H2585" s="608" t="s">
        <v>4558</v>
      </c>
    </row>
    <row r="2586">
      <c r="A2586" s="546" t="s">
        <v>439</v>
      </c>
      <c r="B2586" s="512" t="s">
        <v>433</v>
      </c>
      <c r="C2586" s="605">
        <v>45968.0</v>
      </c>
      <c r="D2586" s="512">
        <v>3.606880497E10</v>
      </c>
      <c r="E2586" s="606" t="s">
        <v>5059</v>
      </c>
      <c r="F2586" s="644" t="s">
        <v>436</v>
      </c>
      <c r="G2586" s="606" t="s">
        <v>5060</v>
      </c>
      <c r="H2586" s="608" t="s">
        <v>4078</v>
      </c>
    </row>
    <row r="2587">
      <c r="A2587" s="546" t="s">
        <v>823</v>
      </c>
      <c r="B2587" s="512" t="s">
        <v>449</v>
      </c>
      <c r="C2587" s="605">
        <v>45968.0</v>
      </c>
      <c r="D2587" s="512">
        <v>4.3794662731E10</v>
      </c>
      <c r="E2587" s="606" t="s">
        <v>5061</v>
      </c>
      <c r="F2587" s="644" t="s">
        <v>436</v>
      </c>
      <c r="G2587" s="606" t="s">
        <v>5062</v>
      </c>
      <c r="H2587" s="608" t="s">
        <v>4558</v>
      </c>
    </row>
    <row r="2588">
      <c r="A2588" s="546" t="s">
        <v>432</v>
      </c>
      <c r="B2588" s="512" t="s">
        <v>449</v>
      </c>
      <c r="C2588" s="605">
        <v>45968.0</v>
      </c>
      <c r="D2588" s="512">
        <v>4.3803353607E10</v>
      </c>
      <c r="E2588" s="606" t="s">
        <v>5063</v>
      </c>
      <c r="F2588" s="644" t="s">
        <v>436</v>
      </c>
      <c r="G2588" s="606" t="s">
        <v>5064</v>
      </c>
      <c r="H2588" s="608" t="s">
        <v>686</v>
      </c>
    </row>
    <row r="2589">
      <c r="A2589" s="546" t="s">
        <v>432</v>
      </c>
      <c r="B2589" s="512" t="s">
        <v>449</v>
      </c>
      <c r="C2589" s="605">
        <v>45968.0</v>
      </c>
      <c r="D2589" s="512">
        <v>3.5399315579E10</v>
      </c>
      <c r="E2589" s="606" t="s">
        <v>5065</v>
      </c>
      <c r="F2589" s="644" t="s">
        <v>436</v>
      </c>
      <c r="G2589" s="606" t="s">
        <v>5066</v>
      </c>
      <c r="H2589" s="608" t="s">
        <v>686</v>
      </c>
    </row>
    <row r="2590">
      <c r="A2590" s="546" t="s">
        <v>432</v>
      </c>
      <c r="B2590" s="512" t="s">
        <v>449</v>
      </c>
      <c r="C2590" s="605">
        <v>45968.0</v>
      </c>
      <c r="D2590" s="512">
        <v>4.2565448999E10</v>
      </c>
      <c r="E2590" s="606" t="s">
        <v>5067</v>
      </c>
      <c r="F2590" s="644" t="s">
        <v>436</v>
      </c>
      <c r="G2590" s="606" t="s">
        <v>5068</v>
      </c>
      <c r="H2590" s="608" t="s">
        <v>686</v>
      </c>
    </row>
    <row r="2591">
      <c r="A2591" s="546" t="s">
        <v>439</v>
      </c>
      <c r="B2591" s="512" t="s">
        <v>449</v>
      </c>
      <c r="C2591" s="605">
        <v>45968.0</v>
      </c>
      <c r="D2591" s="512">
        <v>3.7222026156E10</v>
      </c>
      <c r="E2591" s="606" t="s">
        <v>5069</v>
      </c>
      <c r="F2591" s="644" t="s">
        <v>436</v>
      </c>
      <c r="G2591" s="606" t="s">
        <v>5070</v>
      </c>
      <c r="H2591" s="608" t="s">
        <v>1608</v>
      </c>
    </row>
    <row r="2592">
      <c r="A2592" s="546" t="s">
        <v>617</v>
      </c>
      <c r="B2592" s="512" t="s">
        <v>449</v>
      </c>
      <c r="C2592" s="605">
        <v>45968.0</v>
      </c>
      <c r="D2592" s="512">
        <v>4.3804865858E10</v>
      </c>
      <c r="E2592" s="606" t="s">
        <v>5071</v>
      </c>
      <c r="F2592" s="644" t="s">
        <v>436</v>
      </c>
      <c r="G2592" s="606" t="s">
        <v>872</v>
      </c>
      <c r="H2592" s="608" t="s">
        <v>693</v>
      </c>
    </row>
    <row r="2593">
      <c r="A2593" s="546" t="s">
        <v>439</v>
      </c>
      <c r="B2593" s="512" t="s">
        <v>449</v>
      </c>
      <c r="C2593" s="605">
        <v>45968.0</v>
      </c>
      <c r="D2593" s="512">
        <v>3.5927007618E10</v>
      </c>
      <c r="E2593" s="606" t="s">
        <v>5072</v>
      </c>
      <c r="F2593" s="644" t="s">
        <v>436</v>
      </c>
      <c r="G2593" s="606" t="s">
        <v>5073</v>
      </c>
      <c r="H2593" s="608" t="s">
        <v>1608</v>
      </c>
    </row>
    <row r="2594">
      <c r="A2594" s="546" t="s">
        <v>439</v>
      </c>
      <c r="B2594" s="512" t="s">
        <v>449</v>
      </c>
      <c r="C2594" s="605">
        <v>45968.0</v>
      </c>
      <c r="D2594" s="512">
        <v>2.8912704201E10</v>
      </c>
      <c r="E2594" s="606" t="s">
        <v>5074</v>
      </c>
      <c r="F2594" s="644" t="s">
        <v>436</v>
      </c>
      <c r="G2594" s="606" t="s">
        <v>5075</v>
      </c>
      <c r="H2594" s="608" t="s">
        <v>1608</v>
      </c>
    </row>
    <row r="2595">
      <c r="A2595" s="546" t="s">
        <v>823</v>
      </c>
      <c r="B2595" s="512" t="s">
        <v>433</v>
      </c>
      <c r="C2595" s="605">
        <v>45968.0</v>
      </c>
      <c r="D2595" s="512">
        <v>3.4877847667E10</v>
      </c>
      <c r="E2595" s="606" t="s">
        <v>5076</v>
      </c>
      <c r="F2595" s="644" t="s">
        <v>436</v>
      </c>
      <c r="G2595" s="606" t="s">
        <v>2912</v>
      </c>
      <c r="H2595" s="608" t="s">
        <v>4558</v>
      </c>
    </row>
    <row r="2596">
      <c r="A2596" s="546" t="s">
        <v>823</v>
      </c>
      <c r="B2596" s="512" t="s">
        <v>449</v>
      </c>
      <c r="C2596" s="605">
        <v>45969.0</v>
      </c>
      <c r="D2596" s="512">
        <v>4.3488714342E10</v>
      </c>
      <c r="E2596" s="606" t="s">
        <v>5077</v>
      </c>
      <c r="F2596" s="644" t="s">
        <v>436</v>
      </c>
      <c r="G2596" s="606" t="s">
        <v>5078</v>
      </c>
      <c r="H2596" s="608" t="s">
        <v>4558</v>
      </c>
    </row>
    <row r="2597">
      <c r="A2597" s="546" t="s">
        <v>823</v>
      </c>
      <c r="B2597" s="512" t="s">
        <v>433</v>
      </c>
      <c r="C2597" s="605">
        <v>45969.0</v>
      </c>
      <c r="D2597" s="512">
        <v>3.8338316079E10</v>
      </c>
      <c r="E2597" s="606" t="s">
        <v>5079</v>
      </c>
      <c r="F2597" s="644" t="s">
        <v>436</v>
      </c>
      <c r="G2597" s="606" t="s">
        <v>5080</v>
      </c>
      <c r="H2597" s="608" t="s">
        <v>4558</v>
      </c>
    </row>
    <row r="2598">
      <c r="A2598" s="546" t="s">
        <v>823</v>
      </c>
      <c r="B2598" s="512" t="s">
        <v>449</v>
      </c>
      <c r="C2598" s="605">
        <v>45969.0</v>
      </c>
      <c r="D2598" s="512">
        <v>3.4244852494E10</v>
      </c>
      <c r="E2598" s="606" t="s">
        <v>5081</v>
      </c>
      <c r="F2598" s="644" t="s">
        <v>436</v>
      </c>
      <c r="G2598" s="606" t="s">
        <v>5082</v>
      </c>
      <c r="H2598" s="608" t="s">
        <v>4558</v>
      </c>
    </row>
    <row r="2599">
      <c r="A2599" s="546" t="s">
        <v>432</v>
      </c>
      <c r="B2599" s="512" t="s">
        <v>433</v>
      </c>
      <c r="C2599" s="605">
        <v>45969.0</v>
      </c>
      <c r="D2599" s="512">
        <v>3.8260957504E10</v>
      </c>
      <c r="E2599" s="606" t="s">
        <v>5083</v>
      </c>
      <c r="F2599" s="644" t="s">
        <v>436</v>
      </c>
      <c r="G2599" s="606" t="s">
        <v>5084</v>
      </c>
      <c r="H2599" s="608" t="s">
        <v>438</v>
      </c>
    </row>
    <row r="2600">
      <c r="A2600" s="546" t="s">
        <v>432</v>
      </c>
      <c r="B2600" s="512" t="s">
        <v>433</v>
      </c>
      <c r="C2600" s="605">
        <v>45969.0</v>
      </c>
      <c r="D2600" s="512">
        <v>4.3375586629E10</v>
      </c>
      <c r="E2600" s="606" t="s">
        <v>5085</v>
      </c>
      <c r="F2600" s="644" t="s">
        <v>436</v>
      </c>
      <c r="G2600" s="606" t="s">
        <v>5086</v>
      </c>
      <c r="H2600" s="608" t="s">
        <v>686</v>
      </c>
    </row>
    <row r="2601">
      <c r="A2601" s="546" t="s">
        <v>823</v>
      </c>
      <c r="B2601" s="512" t="s">
        <v>449</v>
      </c>
      <c r="C2601" s="605">
        <v>45969.0</v>
      </c>
      <c r="D2601" s="512">
        <v>3.5614567939E10</v>
      </c>
      <c r="E2601" s="606" t="s">
        <v>5087</v>
      </c>
      <c r="F2601" s="644" t="s">
        <v>436</v>
      </c>
      <c r="G2601" s="606" t="s">
        <v>5088</v>
      </c>
      <c r="H2601" s="608" t="s">
        <v>4558</v>
      </c>
    </row>
    <row r="2602">
      <c r="A2602" s="546" t="s">
        <v>432</v>
      </c>
      <c r="B2602" s="512" t="s">
        <v>4201</v>
      </c>
      <c r="C2602" s="605">
        <v>45969.0</v>
      </c>
      <c r="D2602" s="512">
        <v>4.0806569127E10</v>
      </c>
      <c r="E2602" s="606" t="s">
        <v>5089</v>
      </c>
      <c r="F2602" s="644" t="s">
        <v>436</v>
      </c>
      <c r="G2602" s="606" t="s">
        <v>1357</v>
      </c>
      <c r="H2602" s="608" t="s">
        <v>686</v>
      </c>
    </row>
    <row r="2603">
      <c r="A2603" s="546" t="s">
        <v>432</v>
      </c>
      <c r="B2603" s="512" t="s">
        <v>433</v>
      </c>
      <c r="C2603" s="605">
        <v>45969.0</v>
      </c>
      <c r="D2603" s="512">
        <v>4.0757995578E10</v>
      </c>
      <c r="E2603" s="606" t="s">
        <v>5090</v>
      </c>
      <c r="F2603" s="644" t="s">
        <v>436</v>
      </c>
      <c r="G2603" s="606" t="s">
        <v>5091</v>
      </c>
      <c r="H2603" s="608" t="s">
        <v>438</v>
      </c>
    </row>
    <row r="2604">
      <c r="A2604" s="546" t="s">
        <v>617</v>
      </c>
      <c r="B2604" s="512" t="s">
        <v>4899</v>
      </c>
      <c r="C2604" s="605">
        <v>45969.0</v>
      </c>
      <c r="D2604" s="512">
        <v>3.2282344538E10</v>
      </c>
      <c r="E2604" s="606" t="s">
        <v>5092</v>
      </c>
      <c r="F2604" s="644" t="s">
        <v>436</v>
      </c>
      <c r="G2604" s="606" t="s">
        <v>5093</v>
      </c>
      <c r="H2604" s="608" t="s">
        <v>696</v>
      </c>
    </row>
    <row r="2605">
      <c r="A2605" s="546" t="s">
        <v>432</v>
      </c>
      <c r="B2605" s="512" t="s">
        <v>449</v>
      </c>
      <c r="C2605" s="605">
        <v>45969.0</v>
      </c>
      <c r="D2605" s="512">
        <v>4.259051327E10</v>
      </c>
      <c r="E2605" s="606" t="s">
        <v>5094</v>
      </c>
      <c r="F2605" s="644" t="s">
        <v>436</v>
      </c>
      <c r="G2605" s="606" t="s">
        <v>5095</v>
      </c>
      <c r="H2605" s="608" t="s">
        <v>686</v>
      </c>
    </row>
    <row r="2606">
      <c r="A2606" s="546" t="s">
        <v>432</v>
      </c>
      <c r="B2606" s="512" t="s">
        <v>449</v>
      </c>
      <c r="C2606" s="605">
        <v>45969.0</v>
      </c>
      <c r="D2606" s="512">
        <v>4.3521026667E10</v>
      </c>
      <c r="E2606" s="606" t="s">
        <v>5096</v>
      </c>
      <c r="F2606" s="644" t="s">
        <v>436</v>
      </c>
      <c r="G2606" s="606" t="s">
        <v>4679</v>
      </c>
      <c r="H2606" s="608" t="s">
        <v>686</v>
      </c>
    </row>
    <row r="2607">
      <c r="A2607" s="546" t="s">
        <v>823</v>
      </c>
      <c r="B2607" s="512" t="s">
        <v>449</v>
      </c>
      <c r="C2607" s="605">
        <v>45969.0</v>
      </c>
      <c r="D2607" s="512">
        <v>3.9301176614E10</v>
      </c>
      <c r="E2607" s="606" t="s">
        <v>5097</v>
      </c>
      <c r="F2607" s="644" t="s">
        <v>436</v>
      </c>
      <c r="G2607" s="606" t="s">
        <v>3811</v>
      </c>
      <c r="H2607" s="608" t="s">
        <v>4558</v>
      </c>
    </row>
    <row r="2608">
      <c r="A2608" s="546" t="s">
        <v>432</v>
      </c>
      <c r="B2608" s="512" t="s">
        <v>433</v>
      </c>
      <c r="C2608" s="605">
        <v>45969.0</v>
      </c>
      <c r="D2608" s="512">
        <v>3.9639070448E10</v>
      </c>
      <c r="E2608" s="606" t="s">
        <v>5098</v>
      </c>
      <c r="F2608" s="644" t="s">
        <v>436</v>
      </c>
      <c r="G2608" s="606" t="s">
        <v>5099</v>
      </c>
      <c r="H2608" s="608" t="s">
        <v>686</v>
      </c>
    </row>
    <row r="2609">
      <c r="A2609" s="546" t="s">
        <v>432</v>
      </c>
      <c r="B2609" s="512" t="s">
        <v>449</v>
      </c>
      <c r="C2609" s="605">
        <v>45969.0</v>
      </c>
      <c r="D2609" s="512">
        <v>3.7662468281E10</v>
      </c>
      <c r="E2609" s="606" t="s">
        <v>5100</v>
      </c>
      <c r="F2609" s="644" t="s">
        <v>436</v>
      </c>
      <c r="G2609" s="606" t="s">
        <v>5101</v>
      </c>
      <c r="H2609" s="608" t="s">
        <v>686</v>
      </c>
    </row>
    <row r="2610">
      <c r="A2610" s="546" t="s">
        <v>432</v>
      </c>
      <c r="B2610" s="512" t="s">
        <v>433</v>
      </c>
      <c r="C2610" s="605">
        <v>45969.0</v>
      </c>
      <c r="D2610" s="512">
        <v>3.4563912987E10</v>
      </c>
      <c r="E2610" s="606" t="s">
        <v>5102</v>
      </c>
      <c r="F2610" s="644" t="s">
        <v>436</v>
      </c>
      <c r="G2610" s="606" t="s">
        <v>5103</v>
      </c>
      <c r="H2610" s="608" t="s">
        <v>438</v>
      </c>
    </row>
    <row r="2611">
      <c r="A2611" s="546" t="s">
        <v>432</v>
      </c>
      <c r="B2611" s="512" t="s">
        <v>449</v>
      </c>
      <c r="C2611" s="605">
        <v>45969.0</v>
      </c>
      <c r="D2611" s="512">
        <v>3.887478669E10</v>
      </c>
      <c r="E2611" s="606" t="s">
        <v>5104</v>
      </c>
      <c r="F2611" s="644" t="s">
        <v>436</v>
      </c>
      <c r="G2611" s="606" t="s">
        <v>4309</v>
      </c>
      <c r="H2611" s="608" t="s">
        <v>686</v>
      </c>
    </row>
    <row r="2612">
      <c r="A2612" s="546" t="s">
        <v>823</v>
      </c>
      <c r="B2612" s="512" t="s">
        <v>449</v>
      </c>
      <c r="C2612" s="605">
        <v>45970.0</v>
      </c>
      <c r="D2612" s="512">
        <v>3.723606803E10</v>
      </c>
      <c r="E2612" s="606" t="s">
        <v>5105</v>
      </c>
      <c r="F2612" s="644" t="s">
        <v>436</v>
      </c>
      <c r="G2612" s="606" t="s">
        <v>1630</v>
      </c>
      <c r="H2612" s="608" t="s">
        <v>5106</v>
      </c>
    </row>
    <row r="2613">
      <c r="A2613" s="546" t="s">
        <v>690</v>
      </c>
      <c r="B2613" s="512" t="s">
        <v>433</v>
      </c>
      <c r="C2613" s="605">
        <v>45970.0</v>
      </c>
      <c r="D2613" s="512">
        <v>4.3674862543E10</v>
      </c>
      <c r="E2613" s="606" t="s">
        <v>5107</v>
      </c>
      <c r="F2613" s="644" t="s">
        <v>436</v>
      </c>
      <c r="G2613" s="606" t="s">
        <v>3753</v>
      </c>
      <c r="H2613" s="608" t="s">
        <v>1647</v>
      </c>
    </row>
    <row r="2614">
      <c r="A2614" s="546" t="s">
        <v>690</v>
      </c>
      <c r="B2614" s="512" t="s">
        <v>449</v>
      </c>
      <c r="C2614" s="605">
        <v>45970.0</v>
      </c>
      <c r="D2614" s="512">
        <v>3.8686006968E10</v>
      </c>
      <c r="E2614" s="667" t="s">
        <v>5108</v>
      </c>
      <c r="F2614" s="644" t="s">
        <v>436</v>
      </c>
      <c r="G2614" s="606" t="s">
        <v>1427</v>
      </c>
      <c r="H2614" s="608" t="s">
        <v>1647</v>
      </c>
    </row>
    <row r="2615">
      <c r="A2615" s="546" t="s">
        <v>617</v>
      </c>
      <c r="B2615" s="512" t="s">
        <v>433</v>
      </c>
      <c r="C2615" s="605">
        <v>45970.0</v>
      </c>
      <c r="D2615" s="512">
        <v>3.244959668E10</v>
      </c>
      <c r="E2615" s="606" t="s">
        <v>5109</v>
      </c>
      <c r="F2615" s="644" t="s">
        <v>436</v>
      </c>
      <c r="G2615" s="606" t="s">
        <v>5110</v>
      </c>
      <c r="H2615" s="608" t="s">
        <v>696</v>
      </c>
    </row>
    <row r="2616">
      <c r="A2616" s="546" t="s">
        <v>432</v>
      </c>
      <c r="B2616" s="512" t="s">
        <v>449</v>
      </c>
      <c r="C2616" s="605">
        <v>45970.0</v>
      </c>
      <c r="D2616" s="512">
        <v>4.0674808891E10</v>
      </c>
      <c r="E2616" s="606" t="s">
        <v>4860</v>
      </c>
      <c r="F2616" s="644" t="s">
        <v>436</v>
      </c>
      <c r="G2616" s="606" t="s">
        <v>5111</v>
      </c>
      <c r="H2616" s="608" t="s">
        <v>438</v>
      </c>
    </row>
    <row r="2617">
      <c r="A2617" s="546" t="s">
        <v>432</v>
      </c>
      <c r="B2617" s="512" t="s">
        <v>449</v>
      </c>
      <c r="C2617" s="605">
        <v>45971.0</v>
      </c>
      <c r="D2617" s="512">
        <v>3.907059073E10</v>
      </c>
      <c r="E2617" s="606" t="s">
        <v>5112</v>
      </c>
      <c r="F2617" s="644" t="s">
        <v>436</v>
      </c>
      <c r="G2617" s="606">
        <v>659.0</v>
      </c>
      <c r="H2617" s="608" t="s">
        <v>686</v>
      </c>
    </row>
    <row r="2618">
      <c r="A2618" s="546" t="s">
        <v>432</v>
      </c>
      <c r="B2618" s="512" t="s">
        <v>449</v>
      </c>
      <c r="C2618" s="605">
        <v>45971.0</v>
      </c>
      <c r="D2618" s="512">
        <v>4.3677414951E10</v>
      </c>
      <c r="E2618" s="606" t="s">
        <v>5113</v>
      </c>
      <c r="F2618" s="644" t="s">
        <v>436</v>
      </c>
      <c r="G2618" s="606">
        <v>1006.0</v>
      </c>
      <c r="H2618" s="608" t="s">
        <v>686</v>
      </c>
    </row>
    <row r="2619">
      <c r="A2619" s="546" t="s">
        <v>439</v>
      </c>
      <c r="B2619" s="512" t="s">
        <v>433</v>
      </c>
      <c r="C2619" s="605">
        <v>45971.0</v>
      </c>
      <c r="D2619" s="512">
        <v>3.2206274492E10</v>
      </c>
      <c r="E2619" s="606" t="s">
        <v>5114</v>
      </c>
      <c r="F2619" s="644" t="s">
        <v>436</v>
      </c>
      <c r="G2619" s="606" t="s">
        <v>5115</v>
      </c>
      <c r="H2619" s="608" t="s">
        <v>4078</v>
      </c>
    </row>
    <row r="2620">
      <c r="A2620" s="546" t="s">
        <v>432</v>
      </c>
      <c r="B2620" s="512" t="s">
        <v>449</v>
      </c>
      <c r="C2620" s="605">
        <v>45971.0</v>
      </c>
      <c r="D2620" s="512">
        <v>2.9605447266E10</v>
      </c>
      <c r="E2620" s="606" t="s">
        <v>5116</v>
      </c>
      <c r="F2620" s="644" t="s">
        <v>436</v>
      </c>
      <c r="G2620" s="606" t="s">
        <v>4203</v>
      </c>
      <c r="H2620" s="608" t="s">
        <v>686</v>
      </c>
    </row>
    <row r="2621">
      <c r="A2621" s="546" t="s">
        <v>439</v>
      </c>
      <c r="B2621" s="512" t="s">
        <v>433</v>
      </c>
      <c r="C2621" s="605">
        <v>45971.0</v>
      </c>
      <c r="D2621" s="512">
        <v>3.4191276816E10</v>
      </c>
      <c r="E2621" s="606" t="s">
        <v>5117</v>
      </c>
      <c r="F2621" s="644" t="s">
        <v>436</v>
      </c>
      <c r="G2621" s="606" t="s">
        <v>2566</v>
      </c>
      <c r="H2621" s="608" t="s">
        <v>4078</v>
      </c>
    </row>
    <row r="2622">
      <c r="A2622" s="546" t="s">
        <v>439</v>
      </c>
      <c r="B2622" s="512" t="s">
        <v>433</v>
      </c>
      <c r="C2622" s="605">
        <v>45971.0</v>
      </c>
      <c r="D2622" s="512">
        <v>3.9239480792E10</v>
      </c>
      <c r="E2622" s="619" t="s">
        <v>5118</v>
      </c>
      <c r="F2622" s="644" t="s">
        <v>436</v>
      </c>
      <c r="G2622" s="606" t="s">
        <v>5119</v>
      </c>
      <c r="H2622" s="608" t="s">
        <v>4078</v>
      </c>
    </row>
    <row r="2623">
      <c r="A2623" s="546" t="s">
        <v>432</v>
      </c>
      <c r="B2623" s="512" t="s">
        <v>449</v>
      </c>
      <c r="C2623" s="605">
        <v>45971.0</v>
      </c>
      <c r="D2623" s="512">
        <v>3.8644834529E10</v>
      </c>
      <c r="E2623" s="606" t="s">
        <v>5120</v>
      </c>
      <c r="F2623" s="644" t="s">
        <v>436</v>
      </c>
      <c r="G2623" s="606" t="s">
        <v>550</v>
      </c>
      <c r="H2623" s="608" t="s">
        <v>686</v>
      </c>
    </row>
    <row r="2624">
      <c r="A2624" s="546" t="s">
        <v>439</v>
      </c>
      <c r="B2624" s="512" t="s">
        <v>433</v>
      </c>
      <c r="C2624" s="605">
        <v>45971.0</v>
      </c>
      <c r="D2624" s="512">
        <v>4.0126243459E10</v>
      </c>
      <c r="E2624" s="606" t="s">
        <v>5121</v>
      </c>
      <c r="F2624" s="644" t="s">
        <v>436</v>
      </c>
      <c r="G2624" s="606" t="s">
        <v>5122</v>
      </c>
      <c r="H2624" s="608" t="s">
        <v>4078</v>
      </c>
    </row>
    <row r="2625">
      <c r="A2625" s="546" t="s">
        <v>432</v>
      </c>
      <c r="B2625" s="512" t="s">
        <v>449</v>
      </c>
      <c r="C2625" s="605">
        <v>45971.0</v>
      </c>
      <c r="D2625" s="512">
        <v>4.0055221341E10</v>
      </c>
      <c r="E2625" s="606" t="s">
        <v>5123</v>
      </c>
      <c r="F2625" s="644" t="s">
        <v>436</v>
      </c>
      <c r="G2625" s="606" t="s">
        <v>5124</v>
      </c>
      <c r="H2625" s="608" t="s">
        <v>686</v>
      </c>
    </row>
    <row r="2626">
      <c r="A2626" s="546" t="s">
        <v>439</v>
      </c>
      <c r="B2626" s="512" t="s">
        <v>433</v>
      </c>
      <c r="C2626" s="605">
        <v>45971.0</v>
      </c>
      <c r="D2626" s="512">
        <v>3.1896282128E10</v>
      </c>
      <c r="E2626" s="606" t="s">
        <v>4741</v>
      </c>
      <c r="F2626" s="644" t="s">
        <v>436</v>
      </c>
      <c r="G2626" s="606" t="s">
        <v>2023</v>
      </c>
      <c r="H2626" s="608" t="s">
        <v>4078</v>
      </c>
    </row>
    <row r="2627">
      <c r="A2627" s="546" t="s">
        <v>617</v>
      </c>
      <c r="B2627" s="512" t="s">
        <v>449</v>
      </c>
      <c r="C2627" s="605">
        <v>45971.0</v>
      </c>
      <c r="D2627" s="512">
        <v>4.0347155826E10</v>
      </c>
      <c r="E2627" s="606" t="s">
        <v>5125</v>
      </c>
      <c r="F2627" s="644" t="s">
        <v>436</v>
      </c>
      <c r="G2627" s="606" t="s">
        <v>1293</v>
      </c>
      <c r="H2627" s="608" t="s">
        <v>696</v>
      </c>
    </row>
    <row r="2628">
      <c r="A2628" s="546" t="s">
        <v>439</v>
      </c>
      <c r="B2628" s="512" t="s">
        <v>433</v>
      </c>
      <c r="C2628" s="605">
        <v>45972.0</v>
      </c>
      <c r="D2628" s="512">
        <v>4.0656838924E10</v>
      </c>
      <c r="E2628" s="606" t="s">
        <v>5126</v>
      </c>
      <c r="F2628" s="644" t="s">
        <v>436</v>
      </c>
      <c r="G2628" s="606" t="s">
        <v>5127</v>
      </c>
      <c r="H2628" s="608" t="s">
        <v>1608</v>
      </c>
    </row>
    <row r="2629">
      <c r="A2629" s="546" t="s">
        <v>439</v>
      </c>
      <c r="B2629" s="512" t="s">
        <v>433</v>
      </c>
      <c r="C2629" s="605">
        <v>45972.0</v>
      </c>
      <c r="D2629" s="512">
        <v>3.3302252263E10</v>
      </c>
      <c r="E2629" s="606" t="s">
        <v>5128</v>
      </c>
      <c r="F2629" s="644" t="s">
        <v>436</v>
      </c>
      <c r="G2629" s="606" t="s">
        <v>3896</v>
      </c>
      <c r="H2629" s="608" t="s">
        <v>1608</v>
      </c>
    </row>
    <row r="2630">
      <c r="A2630" s="546" t="s">
        <v>432</v>
      </c>
      <c r="B2630" s="512" t="s">
        <v>433</v>
      </c>
      <c r="C2630" s="605">
        <v>45972.0</v>
      </c>
      <c r="D2630" s="512">
        <v>3.5998596351E10</v>
      </c>
      <c r="E2630" s="606" t="s">
        <v>5129</v>
      </c>
      <c r="F2630" s="644" t="s">
        <v>436</v>
      </c>
      <c r="G2630" s="606" t="s">
        <v>5130</v>
      </c>
      <c r="H2630" s="608" t="s">
        <v>438</v>
      </c>
    </row>
    <row r="2631">
      <c r="A2631" s="546" t="s">
        <v>432</v>
      </c>
      <c r="B2631" s="512" t="s">
        <v>449</v>
      </c>
      <c r="C2631" s="605">
        <v>45972.0</v>
      </c>
      <c r="D2631" s="512">
        <v>4.221482936E10</v>
      </c>
      <c r="E2631" s="606" t="s">
        <v>5131</v>
      </c>
      <c r="F2631" s="644" t="s">
        <v>436</v>
      </c>
      <c r="G2631" s="606" t="s">
        <v>2467</v>
      </c>
      <c r="H2631" s="608" t="s">
        <v>686</v>
      </c>
    </row>
    <row r="2632">
      <c r="A2632" s="546" t="s">
        <v>432</v>
      </c>
      <c r="B2632" s="512" t="s">
        <v>449</v>
      </c>
      <c r="C2632" s="605">
        <v>45972.0</v>
      </c>
      <c r="D2632" s="512">
        <v>4.2355369289E10</v>
      </c>
      <c r="E2632" s="606" t="s">
        <v>5132</v>
      </c>
      <c r="F2632" s="644" t="s">
        <v>436</v>
      </c>
      <c r="G2632" s="606" t="s">
        <v>1777</v>
      </c>
      <c r="H2632" s="608" t="s">
        <v>686</v>
      </c>
    </row>
    <row r="2633">
      <c r="A2633" s="546" t="s">
        <v>432</v>
      </c>
      <c r="B2633" s="512" t="s">
        <v>449</v>
      </c>
      <c r="C2633" s="605">
        <v>45972.0</v>
      </c>
      <c r="D2633" s="512">
        <v>4.3984109787E10</v>
      </c>
      <c r="E2633" s="606" t="s">
        <v>5133</v>
      </c>
      <c r="F2633" s="644" t="s">
        <v>436</v>
      </c>
      <c r="G2633" s="606" t="s">
        <v>1841</v>
      </c>
      <c r="H2633" s="608" t="s">
        <v>686</v>
      </c>
    </row>
    <row r="2634">
      <c r="A2634" s="546" t="s">
        <v>432</v>
      </c>
      <c r="B2634" s="512" t="s">
        <v>449</v>
      </c>
      <c r="C2634" s="605">
        <v>45972.0</v>
      </c>
      <c r="D2634" s="512">
        <v>4.210616593E10</v>
      </c>
      <c r="E2634" s="606" t="s">
        <v>5134</v>
      </c>
      <c r="F2634" s="644" t="s">
        <v>436</v>
      </c>
      <c r="G2634" s="606" t="s">
        <v>5135</v>
      </c>
      <c r="H2634" s="608" t="s">
        <v>686</v>
      </c>
    </row>
    <row r="2635">
      <c r="A2635" s="546" t="s">
        <v>432</v>
      </c>
      <c r="B2635" s="512" t="s">
        <v>449</v>
      </c>
      <c r="C2635" s="605">
        <v>45972.0</v>
      </c>
      <c r="D2635" s="512">
        <v>3.7658457523E10</v>
      </c>
      <c r="E2635" s="606" t="s">
        <v>5136</v>
      </c>
      <c r="F2635" s="644" t="s">
        <v>436</v>
      </c>
      <c r="G2635" s="606" t="s">
        <v>5135</v>
      </c>
      <c r="H2635" s="608" t="s">
        <v>686</v>
      </c>
    </row>
    <row r="2636">
      <c r="A2636" s="546" t="s">
        <v>432</v>
      </c>
      <c r="B2636" s="512" t="s">
        <v>449</v>
      </c>
      <c r="C2636" s="605">
        <v>45972.0</v>
      </c>
      <c r="D2636" s="512">
        <v>4.1169710669E10</v>
      </c>
      <c r="E2636" s="606" t="s">
        <v>5137</v>
      </c>
      <c r="F2636" s="644" t="s">
        <v>436</v>
      </c>
      <c r="G2636" s="606" t="s">
        <v>4427</v>
      </c>
      <c r="H2636" s="608" t="s">
        <v>686</v>
      </c>
    </row>
    <row r="2637">
      <c r="A2637" s="546" t="s">
        <v>432</v>
      </c>
      <c r="B2637" s="512" t="s">
        <v>433</v>
      </c>
      <c r="C2637" s="605">
        <v>45972.0</v>
      </c>
      <c r="D2637" s="512">
        <v>4.076063489E10</v>
      </c>
      <c r="E2637" s="606" t="s">
        <v>5138</v>
      </c>
      <c r="F2637" s="644" t="s">
        <v>436</v>
      </c>
      <c r="G2637" s="606" t="s">
        <v>3904</v>
      </c>
      <c r="H2637" s="608" t="s">
        <v>686</v>
      </c>
    </row>
    <row r="2638">
      <c r="A2638" s="546" t="s">
        <v>432</v>
      </c>
      <c r="B2638" s="512" t="s">
        <v>449</v>
      </c>
      <c r="C2638" s="605">
        <v>45972.0</v>
      </c>
      <c r="D2638" s="512">
        <v>3.4456851555E10</v>
      </c>
      <c r="E2638" s="606" t="s">
        <v>5139</v>
      </c>
      <c r="F2638" s="644" t="s">
        <v>436</v>
      </c>
      <c r="G2638" s="606" t="s">
        <v>5140</v>
      </c>
      <c r="H2638" s="608" t="s">
        <v>686</v>
      </c>
    </row>
    <row r="2639">
      <c r="A2639" s="546" t="s">
        <v>432</v>
      </c>
      <c r="B2639" s="512" t="s">
        <v>449</v>
      </c>
      <c r="C2639" s="605">
        <v>45972.0</v>
      </c>
      <c r="D2639" s="512">
        <v>4.1169710669E10</v>
      </c>
      <c r="E2639" s="606" t="s">
        <v>5141</v>
      </c>
      <c r="F2639" s="644" t="s">
        <v>436</v>
      </c>
      <c r="G2639" s="606" t="s">
        <v>5142</v>
      </c>
      <c r="H2639" s="608" t="s">
        <v>686</v>
      </c>
    </row>
    <row r="2640">
      <c r="A2640" s="546" t="s">
        <v>432</v>
      </c>
      <c r="B2640" s="512" t="s">
        <v>449</v>
      </c>
      <c r="C2640" s="605">
        <v>45972.0</v>
      </c>
      <c r="D2640" s="512">
        <v>4.2645172209E10</v>
      </c>
      <c r="E2640" s="606" t="s">
        <v>5143</v>
      </c>
      <c r="F2640" s="644" t="s">
        <v>436</v>
      </c>
      <c r="G2640" s="606" t="s">
        <v>5144</v>
      </c>
      <c r="H2640" s="608" t="s">
        <v>686</v>
      </c>
    </row>
    <row r="2641">
      <c r="A2641" s="546" t="s">
        <v>432</v>
      </c>
      <c r="B2641" s="512" t="s">
        <v>449</v>
      </c>
      <c r="C2641" s="605">
        <v>45972.0</v>
      </c>
      <c r="D2641" s="512">
        <v>4.0462264154E10</v>
      </c>
      <c r="E2641" s="606" t="s">
        <v>5145</v>
      </c>
      <c r="F2641" s="644" t="s">
        <v>436</v>
      </c>
      <c r="G2641" s="606" t="s">
        <v>5146</v>
      </c>
      <c r="H2641" s="608" t="s">
        <v>686</v>
      </c>
    </row>
    <row r="2642">
      <c r="A2642" s="546" t="s">
        <v>439</v>
      </c>
      <c r="B2642" s="512" t="s">
        <v>449</v>
      </c>
      <c r="C2642" s="605">
        <v>45972.0</v>
      </c>
      <c r="D2642" s="512">
        <v>3.8556332958E10</v>
      </c>
      <c r="E2642" s="606" t="s">
        <v>5147</v>
      </c>
      <c r="F2642" s="644" t="s">
        <v>436</v>
      </c>
      <c r="G2642" s="606" t="s">
        <v>2399</v>
      </c>
      <c r="H2642" s="608" t="s">
        <v>1608</v>
      </c>
    </row>
    <row r="2643">
      <c r="A2643" s="546" t="s">
        <v>432</v>
      </c>
      <c r="B2643" s="512" t="s">
        <v>449</v>
      </c>
      <c r="C2643" s="605">
        <v>45973.0</v>
      </c>
      <c r="D2643" s="512">
        <v>2.8101767453E10</v>
      </c>
      <c r="E2643" s="606" t="s">
        <v>5148</v>
      </c>
      <c r="F2643" s="644" t="s">
        <v>436</v>
      </c>
      <c r="G2643" s="606">
        <v>4321.0</v>
      </c>
      <c r="H2643" s="608" t="s">
        <v>686</v>
      </c>
    </row>
    <row r="2644">
      <c r="A2644" s="546" t="s">
        <v>432</v>
      </c>
      <c r="B2644" s="512" t="s">
        <v>433</v>
      </c>
      <c r="C2644" s="605">
        <v>45973.0</v>
      </c>
      <c r="D2644" s="512">
        <v>3.4337998886E10</v>
      </c>
      <c r="E2644" s="606" t="s">
        <v>5149</v>
      </c>
      <c r="F2644" s="644" t="s">
        <v>436</v>
      </c>
      <c r="G2644" s="606">
        <v>6924.0</v>
      </c>
      <c r="H2644" s="608" t="s">
        <v>686</v>
      </c>
    </row>
    <row r="2645">
      <c r="A2645" s="546" t="s">
        <v>823</v>
      </c>
      <c r="B2645" s="512" t="s">
        <v>449</v>
      </c>
      <c r="C2645" s="605">
        <v>45973.0</v>
      </c>
      <c r="D2645" s="512">
        <v>4.1261600727E10</v>
      </c>
      <c r="E2645" s="606" t="s">
        <v>5150</v>
      </c>
      <c r="F2645" s="644" t="s">
        <v>436</v>
      </c>
      <c r="G2645" s="606" t="s">
        <v>2891</v>
      </c>
      <c r="H2645" s="608" t="s">
        <v>4558</v>
      </c>
    </row>
    <row r="2646">
      <c r="A2646" s="546" t="s">
        <v>432</v>
      </c>
      <c r="B2646" s="512" t="s">
        <v>433</v>
      </c>
      <c r="C2646" s="605">
        <v>45973.0</v>
      </c>
      <c r="D2646" s="512">
        <v>4.0803949594E10</v>
      </c>
      <c r="E2646" s="606" t="s">
        <v>5151</v>
      </c>
      <c r="F2646" s="644" t="s">
        <v>436</v>
      </c>
      <c r="G2646" s="606" t="s">
        <v>4942</v>
      </c>
      <c r="H2646" s="608" t="s">
        <v>686</v>
      </c>
    </row>
    <row r="2647">
      <c r="A2647" s="546" t="s">
        <v>432</v>
      </c>
      <c r="B2647" s="512" t="s">
        <v>449</v>
      </c>
      <c r="C2647" s="605">
        <v>45973.0</v>
      </c>
      <c r="D2647" s="512">
        <v>3.5415827078E10</v>
      </c>
      <c r="E2647" s="606" t="s">
        <v>5152</v>
      </c>
      <c r="F2647" s="644" t="s">
        <v>436</v>
      </c>
      <c r="G2647" s="606" t="s">
        <v>5119</v>
      </c>
      <c r="H2647" s="608" t="s">
        <v>686</v>
      </c>
    </row>
    <row r="2648">
      <c r="A2648" s="546" t="s">
        <v>432</v>
      </c>
      <c r="B2648" s="512" t="s">
        <v>449</v>
      </c>
      <c r="C2648" s="605">
        <v>45973.0</v>
      </c>
      <c r="D2648" s="512">
        <v>2.9656309094E10</v>
      </c>
      <c r="E2648" s="606" t="s">
        <v>5153</v>
      </c>
      <c r="F2648" s="644" t="s">
        <v>436</v>
      </c>
      <c r="G2648" s="606" t="s">
        <v>5154</v>
      </c>
      <c r="H2648" s="608" t="s">
        <v>686</v>
      </c>
    </row>
    <row r="2649">
      <c r="A2649" s="546" t="s">
        <v>432</v>
      </c>
      <c r="B2649" s="512" t="s">
        <v>433</v>
      </c>
      <c r="C2649" s="605">
        <v>45973.0</v>
      </c>
      <c r="D2649" s="512">
        <v>3.7773718208E10</v>
      </c>
      <c r="E2649" s="606" t="s">
        <v>5155</v>
      </c>
      <c r="F2649" s="644" t="s">
        <v>436</v>
      </c>
      <c r="G2649" s="606" t="s">
        <v>5156</v>
      </c>
      <c r="H2649" s="608" t="s">
        <v>686</v>
      </c>
    </row>
    <row r="2650">
      <c r="A2650" s="546" t="s">
        <v>432</v>
      </c>
      <c r="B2650" s="512" t="s">
        <v>433</v>
      </c>
      <c r="C2650" s="605">
        <v>45973.0</v>
      </c>
      <c r="D2650" s="512">
        <v>3.9251696035E10</v>
      </c>
      <c r="E2650" s="606" t="s">
        <v>5157</v>
      </c>
      <c r="F2650" s="644" t="s">
        <v>436</v>
      </c>
      <c r="G2650" s="606" t="s">
        <v>5158</v>
      </c>
      <c r="H2650" s="608" t="s">
        <v>686</v>
      </c>
    </row>
    <row r="2651">
      <c r="A2651" s="546" t="s">
        <v>823</v>
      </c>
      <c r="B2651" s="512" t="s">
        <v>449</v>
      </c>
      <c r="C2651" s="605">
        <v>45973.0</v>
      </c>
      <c r="D2651" s="512">
        <v>3.605960052E10</v>
      </c>
      <c r="E2651" s="606" t="s">
        <v>5159</v>
      </c>
      <c r="F2651" s="644" t="s">
        <v>436</v>
      </c>
      <c r="G2651" s="606" t="s">
        <v>1476</v>
      </c>
      <c r="H2651" s="608" t="s">
        <v>4558</v>
      </c>
    </row>
    <row r="2652">
      <c r="A2652" s="546" t="s">
        <v>432</v>
      </c>
      <c r="B2652" s="512" t="s">
        <v>433</v>
      </c>
      <c r="C2652" s="605">
        <v>45973.0</v>
      </c>
      <c r="D2652" s="512">
        <v>3.7051377563E10</v>
      </c>
      <c r="E2652" s="606" t="s">
        <v>5160</v>
      </c>
      <c r="F2652" s="644" t="s">
        <v>436</v>
      </c>
      <c r="G2652" s="606" t="s">
        <v>5161</v>
      </c>
      <c r="H2652" s="608" t="s">
        <v>686</v>
      </c>
    </row>
    <row r="2653">
      <c r="A2653" s="546" t="s">
        <v>432</v>
      </c>
      <c r="B2653" s="512" t="s">
        <v>449</v>
      </c>
      <c r="C2653" s="605">
        <v>45973.0</v>
      </c>
      <c r="D2653" s="512">
        <v>4.1487654504E10</v>
      </c>
      <c r="E2653" s="606" t="s">
        <v>5162</v>
      </c>
      <c r="F2653" s="644" t="s">
        <v>436</v>
      </c>
      <c r="G2653" s="606" t="s">
        <v>5163</v>
      </c>
      <c r="H2653" s="608" t="s">
        <v>686</v>
      </c>
    </row>
    <row r="2654">
      <c r="A2654" s="546" t="s">
        <v>432</v>
      </c>
      <c r="B2654" s="512" t="s">
        <v>449</v>
      </c>
      <c r="C2654" s="605">
        <v>45973.0</v>
      </c>
      <c r="D2654" s="512">
        <v>4.3947193862E10</v>
      </c>
      <c r="E2654" s="606" t="s">
        <v>5164</v>
      </c>
      <c r="F2654" s="644" t="s">
        <v>436</v>
      </c>
      <c r="G2654" s="606" t="s">
        <v>5165</v>
      </c>
      <c r="H2654" s="608" t="s">
        <v>686</v>
      </c>
    </row>
    <row r="2655">
      <c r="A2655" s="546" t="s">
        <v>432</v>
      </c>
      <c r="B2655" s="512" t="s">
        <v>449</v>
      </c>
      <c r="C2655" s="605">
        <v>45973.0</v>
      </c>
      <c r="D2655" s="512">
        <v>4.3947193853E10</v>
      </c>
      <c r="E2655" s="606" t="s">
        <v>5164</v>
      </c>
      <c r="F2655" s="644" t="s">
        <v>436</v>
      </c>
      <c r="G2655" s="606" t="s">
        <v>5165</v>
      </c>
      <c r="H2655" s="608" t="s">
        <v>686</v>
      </c>
    </row>
    <row r="2656">
      <c r="A2656" s="546" t="s">
        <v>432</v>
      </c>
      <c r="B2656" s="512" t="s">
        <v>449</v>
      </c>
      <c r="C2656" s="605">
        <v>45973.0</v>
      </c>
      <c r="D2656" s="512">
        <v>3.6501040468E10</v>
      </c>
      <c r="E2656" s="606" t="s">
        <v>5104</v>
      </c>
      <c r="F2656" s="644" t="s">
        <v>436</v>
      </c>
      <c r="G2656" s="606" t="s">
        <v>4309</v>
      </c>
      <c r="H2656" s="608" t="s">
        <v>686</v>
      </c>
    </row>
    <row r="2657">
      <c r="A2657" s="546" t="s">
        <v>432</v>
      </c>
      <c r="B2657" s="512" t="s">
        <v>449</v>
      </c>
      <c r="C2657" s="605">
        <v>45973.0</v>
      </c>
      <c r="D2657" s="512">
        <v>3.9350399677E10</v>
      </c>
      <c r="E2657" s="606" t="s">
        <v>5166</v>
      </c>
      <c r="F2657" s="644" t="s">
        <v>436</v>
      </c>
      <c r="G2657" s="606" t="s">
        <v>5167</v>
      </c>
      <c r="H2657" s="608" t="s">
        <v>686</v>
      </c>
    </row>
    <row r="2658">
      <c r="A2658" s="546" t="s">
        <v>432</v>
      </c>
      <c r="B2658" s="512" t="s">
        <v>433</v>
      </c>
      <c r="C2658" s="605">
        <v>45974.0</v>
      </c>
      <c r="D2658" s="512">
        <v>3.4462795189E10</v>
      </c>
      <c r="E2658" s="606" t="s">
        <v>5168</v>
      </c>
      <c r="F2658" s="644" t="s">
        <v>436</v>
      </c>
      <c r="G2658" s="606" t="s">
        <v>3817</v>
      </c>
      <c r="H2658" s="608" t="s">
        <v>686</v>
      </c>
    </row>
    <row r="2659">
      <c r="A2659" s="546" t="s">
        <v>617</v>
      </c>
      <c r="B2659" s="512" t="s">
        <v>449</v>
      </c>
      <c r="C2659" s="605">
        <v>45974.0</v>
      </c>
      <c r="D2659" s="512">
        <v>3.4153572938E10</v>
      </c>
      <c r="E2659" s="606" t="s">
        <v>4887</v>
      </c>
      <c r="F2659" s="644" t="s">
        <v>436</v>
      </c>
      <c r="G2659" s="606" t="s">
        <v>3896</v>
      </c>
      <c r="H2659" s="608" t="s">
        <v>696</v>
      </c>
    </row>
    <row r="2660">
      <c r="A2660" s="546" t="s">
        <v>432</v>
      </c>
      <c r="B2660" s="512" t="s">
        <v>449</v>
      </c>
      <c r="C2660" s="605">
        <v>45974.0</v>
      </c>
      <c r="D2660" s="512">
        <v>3.3305524567E10</v>
      </c>
      <c r="E2660" s="606" t="s">
        <v>5169</v>
      </c>
      <c r="F2660" s="644" t="s">
        <v>436</v>
      </c>
      <c r="G2660" s="606" t="s">
        <v>5170</v>
      </c>
      <c r="H2660" s="608" t="s">
        <v>686</v>
      </c>
    </row>
    <row r="2661">
      <c r="A2661" s="546" t="s">
        <v>432</v>
      </c>
      <c r="B2661" s="512" t="s">
        <v>449</v>
      </c>
      <c r="C2661" s="605">
        <v>45974.0</v>
      </c>
      <c r="D2661" s="512">
        <v>4.403349136E10</v>
      </c>
      <c r="E2661" s="606" t="s">
        <v>5171</v>
      </c>
      <c r="F2661" s="644" t="s">
        <v>436</v>
      </c>
      <c r="G2661" s="606" t="s">
        <v>3080</v>
      </c>
      <c r="H2661" s="608" t="s">
        <v>686</v>
      </c>
    </row>
    <row r="2662">
      <c r="A2662" s="546" t="s">
        <v>617</v>
      </c>
      <c r="B2662" s="512" t="s">
        <v>449</v>
      </c>
      <c r="C2662" s="605">
        <v>45974.0</v>
      </c>
      <c r="D2662" s="512">
        <v>3.3261772609E10</v>
      </c>
      <c r="E2662" s="606" t="s">
        <v>5172</v>
      </c>
      <c r="F2662" s="644" t="s">
        <v>436</v>
      </c>
      <c r="G2662" s="606" t="s">
        <v>5173</v>
      </c>
      <c r="H2662" s="606" t="s">
        <v>696</v>
      </c>
    </row>
    <row r="2663">
      <c r="A2663" s="546" t="s">
        <v>439</v>
      </c>
      <c r="B2663" s="512" t="s">
        <v>5174</v>
      </c>
      <c r="C2663" s="605">
        <v>45974.0</v>
      </c>
      <c r="D2663" s="512">
        <v>4.222925779E10</v>
      </c>
      <c r="E2663" s="606" t="s">
        <v>5175</v>
      </c>
      <c r="F2663" s="644" t="s">
        <v>436</v>
      </c>
      <c r="G2663" s="606" t="s">
        <v>5176</v>
      </c>
      <c r="H2663" s="608" t="s">
        <v>5177</v>
      </c>
    </row>
    <row r="2664">
      <c r="A2664" s="546" t="s">
        <v>432</v>
      </c>
      <c r="B2664" s="512" t="s">
        <v>433</v>
      </c>
      <c r="C2664" s="605">
        <v>45974.0</v>
      </c>
      <c r="D2664" s="512">
        <v>4.3776688971E10</v>
      </c>
      <c r="E2664" s="606" t="s">
        <v>5178</v>
      </c>
      <c r="F2664" s="644" t="s">
        <v>436</v>
      </c>
      <c r="G2664" s="606" t="s">
        <v>5179</v>
      </c>
      <c r="H2664" s="608" t="s">
        <v>686</v>
      </c>
    </row>
    <row r="2665">
      <c r="A2665" s="546" t="s">
        <v>690</v>
      </c>
      <c r="B2665" s="512" t="s">
        <v>449</v>
      </c>
      <c r="C2665" s="605">
        <v>45974.0</v>
      </c>
      <c r="D2665" s="512">
        <v>3.6634648553E10</v>
      </c>
      <c r="E2665" s="606" t="s">
        <v>5180</v>
      </c>
      <c r="F2665" s="644" t="s">
        <v>436</v>
      </c>
      <c r="G2665" s="606" t="s">
        <v>1259</v>
      </c>
      <c r="H2665" s="608" t="s">
        <v>693</v>
      </c>
    </row>
    <row r="2666">
      <c r="A2666" s="546" t="s">
        <v>432</v>
      </c>
      <c r="B2666" s="512" t="s">
        <v>433</v>
      </c>
      <c r="C2666" s="605">
        <v>45974.0</v>
      </c>
      <c r="D2666" s="512">
        <v>3.6849900199E10</v>
      </c>
      <c r="E2666" s="606" t="s">
        <v>5181</v>
      </c>
      <c r="F2666" s="644" t="s">
        <v>436</v>
      </c>
      <c r="G2666" s="606" t="s">
        <v>1492</v>
      </c>
      <c r="H2666" s="608" t="s">
        <v>686</v>
      </c>
    </row>
    <row r="2667">
      <c r="A2667" s="546" t="s">
        <v>617</v>
      </c>
      <c r="B2667" s="512" t="s">
        <v>449</v>
      </c>
      <c r="C2667" s="605">
        <v>45975.0</v>
      </c>
      <c r="D2667" s="512">
        <v>4.1334251443E10</v>
      </c>
      <c r="E2667" s="606" t="s">
        <v>4857</v>
      </c>
      <c r="F2667" s="644" t="s">
        <v>436</v>
      </c>
      <c r="G2667" s="606" t="s">
        <v>5182</v>
      </c>
      <c r="H2667" s="608" t="s">
        <v>696</v>
      </c>
    </row>
    <row r="2668">
      <c r="A2668" s="546" t="s">
        <v>617</v>
      </c>
      <c r="B2668" s="512" t="s">
        <v>5183</v>
      </c>
      <c r="C2668" s="605">
        <v>45975.0</v>
      </c>
      <c r="D2668" s="512">
        <v>4.4027755462E10</v>
      </c>
      <c r="E2668" s="606" t="s">
        <v>5184</v>
      </c>
      <c r="F2668" s="644" t="s">
        <v>436</v>
      </c>
      <c r="G2668" s="606" t="s">
        <v>5182</v>
      </c>
      <c r="H2668" s="608" t="s">
        <v>696</v>
      </c>
    </row>
    <row r="2669">
      <c r="A2669" s="546" t="s">
        <v>432</v>
      </c>
      <c r="B2669" s="512" t="s">
        <v>433</v>
      </c>
      <c r="C2669" s="605">
        <v>45975.0</v>
      </c>
      <c r="D2669" s="512">
        <v>4.2559015038E10</v>
      </c>
      <c r="E2669" s="606" t="s">
        <v>5185</v>
      </c>
      <c r="F2669" s="644" t="s">
        <v>436</v>
      </c>
      <c r="G2669" s="606" t="s">
        <v>5186</v>
      </c>
      <c r="H2669" s="608" t="s">
        <v>686</v>
      </c>
    </row>
    <row r="2670">
      <c r="A2670" s="546" t="s">
        <v>617</v>
      </c>
      <c r="B2670" s="512" t="s">
        <v>646</v>
      </c>
      <c r="C2670" s="605">
        <v>45975.0</v>
      </c>
      <c r="D2670" s="512">
        <v>3.4821408303E10</v>
      </c>
      <c r="E2670" s="606" t="s">
        <v>5187</v>
      </c>
      <c r="F2670" s="644" t="s">
        <v>436</v>
      </c>
      <c r="G2670" s="606" t="s">
        <v>5188</v>
      </c>
      <c r="H2670" s="608" t="s">
        <v>696</v>
      </c>
    </row>
    <row r="2671">
      <c r="A2671" s="546" t="s">
        <v>432</v>
      </c>
      <c r="B2671" s="512" t="s">
        <v>4201</v>
      </c>
      <c r="C2671" s="605">
        <v>45975.0</v>
      </c>
      <c r="D2671" s="512">
        <v>3.8196021882E10</v>
      </c>
      <c r="E2671" s="606" t="s">
        <v>5189</v>
      </c>
      <c r="F2671" s="644" t="s">
        <v>436</v>
      </c>
      <c r="G2671" s="606" t="s">
        <v>5064</v>
      </c>
      <c r="H2671" s="608" t="s">
        <v>686</v>
      </c>
    </row>
    <row r="2672">
      <c r="A2672" s="546" t="s">
        <v>432</v>
      </c>
      <c r="B2672" s="512" t="s">
        <v>449</v>
      </c>
      <c r="C2672" s="605">
        <v>45975.0</v>
      </c>
      <c r="D2672" s="512">
        <v>4.3998544921E10</v>
      </c>
      <c r="E2672" s="606" t="s">
        <v>5190</v>
      </c>
      <c r="F2672" s="644" t="s">
        <v>436</v>
      </c>
      <c r="G2672" s="606" t="s">
        <v>5066</v>
      </c>
      <c r="H2672" s="608" t="s">
        <v>686</v>
      </c>
    </row>
    <row r="2673">
      <c r="A2673" s="546" t="s">
        <v>439</v>
      </c>
      <c r="B2673" s="512" t="s">
        <v>433</v>
      </c>
      <c r="C2673" s="605">
        <v>45975.0</v>
      </c>
      <c r="D2673" s="512">
        <v>3.8761247941E10</v>
      </c>
      <c r="E2673" s="606" t="s">
        <v>5191</v>
      </c>
      <c r="F2673" s="644" t="s">
        <v>436</v>
      </c>
      <c r="G2673" s="606" t="s">
        <v>5192</v>
      </c>
      <c r="H2673" s="608" t="s">
        <v>1608</v>
      </c>
    </row>
    <row r="2674">
      <c r="A2674" s="546" t="s">
        <v>432</v>
      </c>
      <c r="B2674" s="512" t="s">
        <v>449</v>
      </c>
      <c r="C2674" s="605">
        <v>45975.0</v>
      </c>
      <c r="D2674" s="512">
        <v>4.2442274764E10</v>
      </c>
      <c r="E2674" s="606" t="s">
        <v>5193</v>
      </c>
      <c r="F2674" s="644" t="s">
        <v>436</v>
      </c>
      <c r="G2674" s="606" t="s">
        <v>1642</v>
      </c>
      <c r="H2674" s="608" t="s">
        <v>686</v>
      </c>
    </row>
    <row r="2675">
      <c r="A2675" s="546" t="s">
        <v>432</v>
      </c>
      <c r="B2675" s="512" t="s">
        <v>449</v>
      </c>
      <c r="C2675" s="605">
        <v>45975.0</v>
      </c>
      <c r="D2675" s="512">
        <v>3.8643814242E10</v>
      </c>
      <c r="E2675" s="606" t="s">
        <v>5194</v>
      </c>
      <c r="F2675" s="644" t="s">
        <v>436</v>
      </c>
      <c r="G2675" s="606" t="s">
        <v>550</v>
      </c>
      <c r="H2675" s="608" t="s">
        <v>686</v>
      </c>
    </row>
    <row r="2676">
      <c r="A2676" s="546" t="s">
        <v>432</v>
      </c>
      <c r="B2676" s="512" t="s">
        <v>449</v>
      </c>
      <c r="C2676" s="605">
        <v>45975.0</v>
      </c>
      <c r="D2676" s="512">
        <v>3.5755741962E10</v>
      </c>
      <c r="E2676" s="606" t="s">
        <v>5195</v>
      </c>
      <c r="F2676" s="644" t="s">
        <v>436</v>
      </c>
      <c r="G2676" s="606" t="s">
        <v>5158</v>
      </c>
      <c r="H2676" s="608" t="s">
        <v>686</v>
      </c>
    </row>
    <row r="2677">
      <c r="A2677" s="546" t="s">
        <v>432</v>
      </c>
      <c r="B2677" s="512" t="s">
        <v>433</v>
      </c>
      <c r="C2677" s="605">
        <v>45975.0</v>
      </c>
      <c r="D2677" s="512">
        <v>3.5421345238E10</v>
      </c>
      <c r="E2677" s="606" t="s">
        <v>5196</v>
      </c>
      <c r="F2677" s="644" t="s">
        <v>436</v>
      </c>
      <c r="G2677" s="606" t="s">
        <v>5197</v>
      </c>
      <c r="H2677" s="608" t="s">
        <v>686</v>
      </c>
    </row>
    <row r="2678">
      <c r="A2678" s="546" t="s">
        <v>432</v>
      </c>
      <c r="B2678" s="512" t="s">
        <v>433</v>
      </c>
      <c r="C2678" s="605">
        <v>45975.0</v>
      </c>
      <c r="D2678" s="512">
        <v>3.8597637599E10</v>
      </c>
      <c r="E2678" s="606" t="s">
        <v>5198</v>
      </c>
      <c r="F2678" s="644" t="s">
        <v>436</v>
      </c>
      <c r="G2678" s="606" t="s">
        <v>3757</v>
      </c>
      <c r="H2678" s="608" t="s">
        <v>686</v>
      </c>
    </row>
    <row r="2679">
      <c r="A2679" s="546" t="s">
        <v>432</v>
      </c>
      <c r="B2679" s="512" t="s">
        <v>4201</v>
      </c>
      <c r="C2679" s="605">
        <v>45975.0</v>
      </c>
      <c r="D2679" s="512">
        <v>3.8288881714E10</v>
      </c>
      <c r="E2679" s="606" t="s">
        <v>5199</v>
      </c>
      <c r="F2679" s="644" t="s">
        <v>436</v>
      </c>
      <c r="G2679" s="606" t="s">
        <v>1656</v>
      </c>
      <c r="H2679" s="608" t="s">
        <v>686</v>
      </c>
    </row>
    <row r="2680">
      <c r="A2680" s="546" t="s">
        <v>439</v>
      </c>
      <c r="B2680" s="512" t="s">
        <v>433</v>
      </c>
      <c r="C2680" s="605">
        <v>45975.0</v>
      </c>
      <c r="D2680" s="512">
        <v>4.2507144808E10</v>
      </c>
      <c r="E2680" s="606" t="s">
        <v>5200</v>
      </c>
      <c r="F2680" s="644" t="s">
        <v>436</v>
      </c>
      <c r="G2680" s="606" t="s">
        <v>5201</v>
      </c>
      <c r="H2680" s="608" t="s">
        <v>1608</v>
      </c>
    </row>
    <row r="2681">
      <c r="A2681" s="546" t="s">
        <v>823</v>
      </c>
      <c r="B2681" s="512" t="s">
        <v>449</v>
      </c>
      <c r="C2681" s="605">
        <v>45976.0</v>
      </c>
      <c r="D2681" s="512">
        <v>4.076087203E10</v>
      </c>
      <c r="E2681" s="606" t="s">
        <v>5202</v>
      </c>
      <c r="F2681" s="644" t="s">
        <v>436</v>
      </c>
      <c r="G2681" s="606" t="s">
        <v>5203</v>
      </c>
      <c r="H2681" s="608" t="s">
        <v>4558</v>
      </c>
    </row>
    <row r="2682">
      <c r="A2682" s="546" t="s">
        <v>432</v>
      </c>
      <c r="B2682" s="512" t="s">
        <v>433</v>
      </c>
      <c r="C2682" s="605">
        <v>45976.0</v>
      </c>
      <c r="D2682" s="512">
        <v>4.1505224543E10</v>
      </c>
      <c r="E2682" s="606" t="s">
        <v>4860</v>
      </c>
      <c r="F2682" s="644" t="s">
        <v>436</v>
      </c>
      <c r="G2682" s="606" t="s">
        <v>5204</v>
      </c>
      <c r="H2682" s="608" t="s">
        <v>438</v>
      </c>
    </row>
    <row r="2683">
      <c r="A2683" s="546" t="s">
        <v>432</v>
      </c>
      <c r="B2683" s="512" t="s">
        <v>433</v>
      </c>
      <c r="C2683" s="605">
        <v>45976.0</v>
      </c>
      <c r="D2683" s="512">
        <v>3.6060366044E10</v>
      </c>
      <c r="E2683" s="606" t="s">
        <v>5205</v>
      </c>
      <c r="F2683" s="644" t="s">
        <v>436</v>
      </c>
      <c r="G2683" s="606" t="s">
        <v>5206</v>
      </c>
      <c r="H2683" s="608" t="s">
        <v>438</v>
      </c>
    </row>
    <row r="2684">
      <c r="A2684" s="546" t="s">
        <v>439</v>
      </c>
      <c r="B2684" s="512" t="s">
        <v>449</v>
      </c>
      <c r="C2684" s="605">
        <v>45976.0</v>
      </c>
      <c r="D2684" s="512">
        <v>4.0123114047E10</v>
      </c>
      <c r="E2684" s="606" t="s">
        <v>5207</v>
      </c>
      <c r="F2684" s="644" t="s">
        <v>436</v>
      </c>
      <c r="G2684" s="606" t="s">
        <v>5208</v>
      </c>
      <c r="H2684" s="608" t="s">
        <v>1608</v>
      </c>
    </row>
    <row r="2685">
      <c r="A2685" s="546" t="s">
        <v>432</v>
      </c>
      <c r="B2685" s="512" t="s">
        <v>449</v>
      </c>
      <c r="C2685" s="605">
        <v>45976.0</v>
      </c>
      <c r="D2685" s="512">
        <v>4.2240190547E10</v>
      </c>
      <c r="E2685" s="606" t="s">
        <v>4710</v>
      </c>
      <c r="F2685" s="644" t="s">
        <v>436</v>
      </c>
      <c r="G2685" s="606" t="s">
        <v>5209</v>
      </c>
      <c r="H2685" s="608" t="s">
        <v>438</v>
      </c>
    </row>
    <row r="2686">
      <c r="A2686" s="546" t="s">
        <v>432</v>
      </c>
      <c r="B2686" s="512" t="s">
        <v>433</v>
      </c>
      <c r="C2686" s="605">
        <v>45976.0</v>
      </c>
      <c r="D2686" s="512">
        <v>3.4862771419E10</v>
      </c>
      <c r="E2686" s="606" t="s">
        <v>5210</v>
      </c>
      <c r="F2686" s="644" t="s">
        <v>436</v>
      </c>
      <c r="G2686" s="606" t="s">
        <v>4095</v>
      </c>
      <c r="H2686" s="608" t="s">
        <v>5211</v>
      </c>
    </row>
    <row r="2687">
      <c r="A2687" s="546" t="s">
        <v>432</v>
      </c>
      <c r="B2687" s="512" t="s">
        <v>449</v>
      </c>
      <c r="C2687" s="605">
        <v>45976.0</v>
      </c>
      <c r="D2687" s="512">
        <v>3.2448308484E10</v>
      </c>
      <c r="E2687" s="606" t="s">
        <v>5212</v>
      </c>
      <c r="F2687" s="644" t="s">
        <v>436</v>
      </c>
      <c r="G2687" s="606" t="s">
        <v>5213</v>
      </c>
      <c r="H2687" s="608" t="s">
        <v>438</v>
      </c>
    </row>
    <row r="2688">
      <c r="A2688" s="546" t="s">
        <v>432</v>
      </c>
      <c r="B2688" s="512" t="s">
        <v>449</v>
      </c>
      <c r="C2688" s="605">
        <v>45976.0</v>
      </c>
      <c r="D2688" s="512">
        <v>4.2767484874E10</v>
      </c>
      <c r="E2688" s="606" t="s">
        <v>5214</v>
      </c>
      <c r="F2688" s="644" t="s">
        <v>436</v>
      </c>
      <c r="G2688" s="606" t="s">
        <v>5215</v>
      </c>
      <c r="H2688" s="608" t="s">
        <v>438</v>
      </c>
    </row>
    <row r="2689">
      <c r="A2689" s="546" t="s">
        <v>823</v>
      </c>
      <c r="B2689" s="512" t="s">
        <v>449</v>
      </c>
      <c r="C2689" s="605">
        <v>45976.0</v>
      </c>
      <c r="D2689" s="512">
        <v>3.0770605315E10</v>
      </c>
      <c r="E2689" s="606" t="s">
        <v>5216</v>
      </c>
      <c r="F2689" s="644" t="s">
        <v>436</v>
      </c>
      <c r="G2689" s="606" t="s">
        <v>5217</v>
      </c>
      <c r="H2689" s="608" t="s">
        <v>4558</v>
      </c>
    </row>
    <row r="2690">
      <c r="A2690" s="546" t="s">
        <v>439</v>
      </c>
      <c r="B2690" s="512" t="s">
        <v>449</v>
      </c>
      <c r="C2690" s="605">
        <v>45976.0</v>
      </c>
      <c r="D2690" s="512">
        <v>4.0155805773E10</v>
      </c>
      <c r="E2690" s="606" t="s">
        <v>5218</v>
      </c>
      <c r="F2690" s="644" t="s">
        <v>436</v>
      </c>
      <c r="G2690" s="606" t="s">
        <v>5219</v>
      </c>
      <c r="H2690" s="608" t="s">
        <v>1608</v>
      </c>
    </row>
    <row r="2691">
      <c r="A2691" s="546" t="s">
        <v>823</v>
      </c>
      <c r="B2691" s="512" t="s">
        <v>449</v>
      </c>
      <c r="C2691" s="605">
        <v>45976.0</v>
      </c>
      <c r="D2691" s="512">
        <v>2.60834088E10</v>
      </c>
      <c r="E2691" s="606" t="s">
        <v>5220</v>
      </c>
      <c r="F2691" s="644" t="s">
        <v>436</v>
      </c>
      <c r="G2691" s="606" t="s">
        <v>1427</v>
      </c>
      <c r="H2691" s="608" t="s">
        <v>4558</v>
      </c>
    </row>
    <row r="2692">
      <c r="A2692" s="546" t="s">
        <v>432</v>
      </c>
      <c r="B2692" s="512" t="s">
        <v>433</v>
      </c>
      <c r="C2692" s="605">
        <v>45976.0</v>
      </c>
      <c r="D2692" s="512">
        <v>3.829494794E10</v>
      </c>
      <c r="E2692" s="606" t="s">
        <v>5221</v>
      </c>
      <c r="F2692" s="644" t="s">
        <v>436</v>
      </c>
      <c r="G2692" s="606" t="s">
        <v>5222</v>
      </c>
      <c r="H2692" s="608" t="s">
        <v>438</v>
      </c>
    </row>
    <row r="2693">
      <c r="A2693" s="546" t="s">
        <v>432</v>
      </c>
      <c r="B2693" s="512" t="s">
        <v>449</v>
      </c>
      <c r="C2693" s="605">
        <v>45977.0</v>
      </c>
      <c r="D2693" s="512">
        <v>4.4031231698E10</v>
      </c>
      <c r="E2693" s="606" t="s">
        <v>5223</v>
      </c>
      <c r="F2693" s="644" t="s">
        <v>436</v>
      </c>
      <c r="G2693" s="606" t="s">
        <v>5224</v>
      </c>
      <c r="H2693" s="608" t="s">
        <v>438</v>
      </c>
    </row>
    <row r="2694">
      <c r="A2694" s="546" t="s">
        <v>823</v>
      </c>
      <c r="B2694" s="512" t="s">
        <v>449</v>
      </c>
      <c r="C2694" s="605">
        <v>45977.0</v>
      </c>
      <c r="D2694" s="512">
        <v>4.2431470164E10</v>
      </c>
      <c r="E2694" s="606" t="s">
        <v>5225</v>
      </c>
      <c r="F2694" s="644" t="s">
        <v>436</v>
      </c>
      <c r="G2694" s="606" t="s">
        <v>5226</v>
      </c>
      <c r="H2694" s="608" t="s">
        <v>4558</v>
      </c>
    </row>
    <row r="2695">
      <c r="A2695" s="546" t="s">
        <v>823</v>
      </c>
      <c r="B2695" s="512" t="s">
        <v>449</v>
      </c>
      <c r="C2695" s="605">
        <v>45977.0</v>
      </c>
      <c r="D2695" s="512">
        <v>3.0250527524E10</v>
      </c>
      <c r="E2695" s="606" t="s">
        <v>5227</v>
      </c>
      <c r="F2695" s="644" t="s">
        <v>436</v>
      </c>
      <c r="G2695" s="606" t="s">
        <v>2844</v>
      </c>
      <c r="H2695" s="608" t="s">
        <v>4558</v>
      </c>
    </row>
    <row r="2696">
      <c r="A2696" s="546" t="s">
        <v>432</v>
      </c>
      <c r="B2696" s="512" t="s">
        <v>449</v>
      </c>
      <c r="C2696" s="605">
        <v>45977.0</v>
      </c>
      <c r="D2696" s="512">
        <v>4.015390955E10</v>
      </c>
      <c r="E2696" s="606" t="s">
        <v>5228</v>
      </c>
      <c r="F2696" s="644" t="s">
        <v>436</v>
      </c>
      <c r="G2696" s="606" t="s">
        <v>5229</v>
      </c>
      <c r="H2696" s="608" t="s">
        <v>438</v>
      </c>
    </row>
    <row r="2697">
      <c r="A2697" s="546" t="s">
        <v>617</v>
      </c>
      <c r="B2697" s="512" t="s">
        <v>449</v>
      </c>
      <c r="C2697" s="605">
        <v>45977.0</v>
      </c>
      <c r="D2697" s="512">
        <v>3.5323795423E10</v>
      </c>
      <c r="E2697" s="606" t="s">
        <v>4857</v>
      </c>
      <c r="F2697" s="644" t="s">
        <v>436</v>
      </c>
      <c r="G2697" s="606" t="s">
        <v>5230</v>
      </c>
      <c r="H2697" s="608" t="s">
        <v>696</v>
      </c>
    </row>
    <row r="2698">
      <c r="A2698" s="546" t="s">
        <v>617</v>
      </c>
      <c r="B2698" s="512" t="s">
        <v>449</v>
      </c>
      <c r="C2698" s="605">
        <v>45977.0</v>
      </c>
      <c r="D2698" s="512">
        <v>4.3845627747E10</v>
      </c>
      <c r="E2698" s="606" t="s">
        <v>5231</v>
      </c>
      <c r="F2698" s="644" t="s">
        <v>436</v>
      </c>
      <c r="G2698" s="606" t="s">
        <v>1427</v>
      </c>
      <c r="H2698" s="608" t="s">
        <v>696</v>
      </c>
    </row>
    <row r="2699">
      <c r="A2699" s="546" t="s">
        <v>617</v>
      </c>
      <c r="B2699" s="512" t="s">
        <v>433</v>
      </c>
      <c r="C2699" s="605">
        <v>45977.0</v>
      </c>
      <c r="D2699" s="512">
        <v>4.3051572897E10</v>
      </c>
      <c r="E2699" s="606" t="s">
        <v>4854</v>
      </c>
      <c r="F2699" s="644" t="s">
        <v>436</v>
      </c>
      <c r="G2699" s="606" t="s">
        <v>4815</v>
      </c>
      <c r="H2699" s="608" t="s">
        <v>696</v>
      </c>
    </row>
    <row r="2700">
      <c r="A2700" s="546" t="s">
        <v>617</v>
      </c>
      <c r="B2700" s="512" t="s">
        <v>449</v>
      </c>
      <c r="C2700" s="605">
        <v>45977.0</v>
      </c>
      <c r="D2700" s="512">
        <v>4.144687695E10</v>
      </c>
      <c r="E2700" s="606" t="s">
        <v>4854</v>
      </c>
      <c r="F2700" s="644" t="s">
        <v>436</v>
      </c>
      <c r="G2700" s="640"/>
      <c r="H2700" s="608" t="s">
        <v>696</v>
      </c>
    </row>
    <row r="2701">
      <c r="A2701" s="546" t="s">
        <v>432</v>
      </c>
      <c r="B2701" s="512" t="s">
        <v>433</v>
      </c>
      <c r="C2701" s="605">
        <v>45978.0</v>
      </c>
      <c r="D2701" s="512">
        <v>4.3224908233E10</v>
      </c>
      <c r="E2701" s="606" t="s">
        <v>5232</v>
      </c>
      <c r="F2701" s="644" t="s">
        <v>436</v>
      </c>
      <c r="G2701" s="606" t="s">
        <v>5233</v>
      </c>
      <c r="H2701" s="608" t="s">
        <v>686</v>
      </c>
    </row>
    <row r="2702">
      <c r="A2702" s="546" t="s">
        <v>439</v>
      </c>
      <c r="B2702" s="512" t="s">
        <v>449</v>
      </c>
      <c r="C2702" s="605">
        <v>45978.0</v>
      </c>
      <c r="D2702" s="512">
        <v>4.2884364008E10</v>
      </c>
      <c r="E2702" s="606" t="s">
        <v>5234</v>
      </c>
      <c r="F2702" s="644" t="s">
        <v>436</v>
      </c>
      <c r="G2702" s="606" t="s">
        <v>5235</v>
      </c>
      <c r="H2702" s="608" t="s">
        <v>5177</v>
      </c>
    </row>
    <row r="2703">
      <c r="A2703" s="546" t="s">
        <v>617</v>
      </c>
      <c r="B2703" s="512" t="s">
        <v>449</v>
      </c>
      <c r="C2703" s="605">
        <v>45978.0</v>
      </c>
      <c r="D2703" s="512">
        <v>4.4033055269E10</v>
      </c>
      <c r="E2703" s="606" t="s">
        <v>4165</v>
      </c>
      <c r="F2703" s="644" t="s">
        <v>436</v>
      </c>
      <c r="G2703" s="606" t="s">
        <v>5236</v>
      </c>
      <c r="H2703" s="608" t="s">
        <v>696</v>
      </c>
    </row>
    <row r="2704">
      <c r="A2704" s="546" t="s">
        <v>617</v>
      </c>
      <c r="B2704" s="512" t="s">
        <v>433</v>
      </c>
      <c r="C2704" s="605">
        <v>45978.0</v>
      </c>
      <c r="D2704" s="512">
        <v>3.8848207064E10</v>
      </c>
      <c r="E2704" s="606" t="s">
        <v>4854</v>
      </c>
      <c r="F2704" s="644" t="s">
        <v>436</v>
      </c>
      <c r="G2704" s="606" t="s">
        <v>5237</v>
      </c>
      <c r="H2704" s="608" t="s">
        <v>696</v>
      </c>
    </row>
    <row r="2705">
      <c r="A2705" s="546" t="s">
        <v>432</v>
      </c>
      <c r="B2705" s="512" t="s">
        <v>449</v>
      </c>
      <c r="C2705" s="605">
        <v>45978.0</v>
      </c>
      <c r="D2705" s="512">
        <v>4.0674190487E10</v>
      </c>
      <c r="E2705" s="606" t="s">
        <v>5238</v>
      </c>
      <c r="F2705" s="644" t="s">
        <v>436</v>
      </c>
      <c r="G2705" s="606" t="s">
        <v>4855</v>
      </c>
      <c r="H2705" s="608" t="s">
        <v>686</v>
      </c>
    </row>
    <row r="2706">
      <c r="A2706" s="546" t="s">
        <v>432</v>
      </c>
      <c r="B2706" s="512" t="s">
        <v>449</v>
      </c>
      <c r="C2706" s="605">
        <v>45978.0</v>
      </c>
      <c r="D2706" s="512">
        <v>4.4032880517E10</v>
      </c>
      <c r="E2706" s="606" t="s">
        <v>5239</v>
      </c>
      <c r="F2706" s="644" t="s">
        <v>436</v>
      </c>
      <c r="G2706" s="606" t="s">
        <v>5240</v>
      </c>
      <c r="H2706" s="608" t="s">
        <v>686</v>
      </c>
    </row>
    <row r="2707">
      <c r="A2707" s="546" t="s">
        <v>432</v>
      </c>
      <c r="B2707" s="512" t="s">
        <v>449</v>
      </c>
      <c r="C2707" s="605">
        <v>45978.0</v>
      </c>
      <c r="D2707" s="512">
        <v>4.4032880513E10</v>
      </c>
      <c r="E2707" s="606" t="s">
        <v>5239</v>
      </c>
      <c r="F2707" s="644" t="s">
        <v>436</v>
      </c>
      <c r="G2707" s="606" t="s">
        <v>5240</v>
      </c>
      <c r="H2707" s="608" t="s">
        <v>686</v>
      </c>
    </row>
    <row r="2708">
      <c r="A2708" s="546" t="s">
        <v>432</v>
      </c>
      <c r="B2708" s="512" t="s">
        <v>449</v>
      </c>
      <c r="C2708" s="605">
        <v>45978.0</v>
      </c>
      <c r="D2708" s="512">
        <v>4.4032880507E10</v>
      </c>
      <c r="E2708" s="606" t="s">
        <v>5239</v>
      </c>
      <c r="F2708" s="644" t="s">
        <v>436</v>
      </c>
      <c r="G2708" s="606" t="s">
        <v>5240</v>
      </c>
      <c r="H2708" s="608" t="s">
        <v>686</v>
      </c>
    </row>
    <row r="2709">
      <c r="A2709" s="546" t="s">
        <v>617</v>
      </c>
      <c r="B2709" s="512" t="s">
        <v>5241</v>
      </c>
      <c r="C2709" s="605">
        <v>45978.0</v>
      </c>
      <c r="D2709" s="512">
        <v>3.9593383428E10</v>
      </c>
      <c r="E2709" s="606" t="s">
        <v>5242</v>
      </c>
      <c r="F2709" s="644" t="s">
        <v>436</v>
      </c>
      <c r="G2709" s="606" t="s">
        <v>5243</v>
      </c>
      <c r="H2709" s="608" t="s">
        <v>696</v>
      </c>
    </row>
    <row r="2710">
      <c r="A2710" s="546" t="s">
        <v>432</v>
      </c>
      <c r="B2710" s="512" t="s">
        <v>449</v>
      </c>
      <c r="C2710" s="605">
        <v>45978.0</v>
      </c>
      <c r="D2710" s="512">
        <v>3.9382306038E10</v>
      </c>
      <c r="E2710" s="606" t="s">
        <v>5244</v>
      </c>
      <c r="F2710" s="644" t="s">
        <v>436</v>
      </c>
      <c r="G2710" s="606" t="s">
        <v>776</v>
      </c>
      <c r="H2710" s="608" t="s">
        <v>686</v>
      </c>
    </row>
    <row r="2711">
      <c r="A2711" s="546" t="s">
        <v>432</v>
      </c>
      <c r="B2711" s="512" t="s">
        <v>433</v>
      </c>
      <c r="C2711" s="605">
        <v>45978.0</v>
      </c>
      <c r="D2711" s="512">
        <v>4.2702814208E10</v>
      </c>
      <c r="E2711" s="606" t="s">
        <v>5245</v>
      </c>
      <c r="F2711" s="644" t="s">
        <v>436</v>
      </c>
      <c r="G2711" s="606" t="s">
        <v>4517</v>
      </c>
      <c r="H2711" s="608" t="s">
        <v>686</v>
      </c>
    </row>
    <row r="2712">
      <c r="A2712" s="546" t="s">
        <v>432</v>
      </c>
      <c r="B2712" s="512" t="s">
        <v>433</v>
      </c>
      <c r="C2712" s="616">
        <v>45979.0</v>
      </c>
      <c r="D2712" s="512">
        <v>4.0821254533E10</v>
      </c>
      <c r="E2712" s="606" t="s">
        <v>5246</v>
      </c>
      <c r="F2712" s="644" t="s">
        <v>436</v>
      </c>
      <c r="G2712" s="606" t="s">
        <v>5078</v>
      </c>
      <c r="H2712" s="608" t="s">
        <v>686</v>
      </c>
    </row>
    <row r="2713">
      <c r="A2713" s="546" t="s">
        <v>432</v>
      </c>
      <c r="B2713" s="512" t="s">
        <v>449</v>
      </c>
      <c r="C2713" s="616">
        <v>45979.0</v>
      </c>
      <c r="D2713" s="512">
        <v>4.3230533134E10</v>
      </c>
      <c r="E2713" s="606" t="s">
        <v>5247</v>
      </c>
      <c r="F2713" s="644" t="s">
        <v>436</v>
      </c>
      <c r="G2713" s="606" t="s">
        <v>5248</v>
      </c>
      <c r="H2713" s="608" t="s">
        <v>686</v>
      </c>
    </row>
    <row r="2714">
      <c r="A2714" s="546" t="s">
        <v>690</v>
      </c>
      <c r="B2714" s="512" t="s">
        <v>433</v>
      </c>
      <c r="C2714" s="616">
        <v>45979.0</v>
      </c>
      <c r="D2714" s="512">
        <v>2.5130391929E10</v>
      </c>
      <c r="E2714" s="606" t="s">
        <v>5249</v>
      </c>
      <c r="F2714" s="644" t="s">
        <v>436</v>
      </c>
      <c r="G2714" s="606" t="s">
        <v>5250</v>
      </c>
      <c r="H2714" s="608" t="s">
        <v>5251</v>
      </c>
    </row>
    <row r="2715">
      <c r="A2715" s="546" t="s">
        <v>432</v>
      </c>
      <c r="B2715" s="512" t="s">
        <v>433</v>
      </c>
      <c r="C2715" s="616">
        <v>45979.0</v>
      </c>
      <c r="D2715" s="512">
        <v>4.421242386E10</v>
      </c>
      <c r="E2715" s="606" t="s">
        <v>5252</v>
      </c>
      <c r="F2715" s="644" t="s">
        <v>436</v>
      </c>
      <c r="G2715" s="606" t="s">
        <v>1967</v>
      </c>
      <c r="H2715" s="608" t="s">
        <v>686</v>
      </c>
    </row>
    <row r="2716">
      <c r="A2716" s="546" t="s">
        <v>690</v>
      </c>
      <c r="B2716" s="512" t="s">
        <v>433</v>
      </c>
      <c r="C2716" s="616">
        <v>45979.0</v>
      </c>
      <c r="D2716" s="512">
        <v>3.9354331083E10</v>
      </c>
      <c r="E2716" s="606" t="s">
        <v>5253</v>
      </c>
      <c r="F2716" s="644" t="s">
        <v>436</v>
      </c>
      <c r="G2716" s="606" t="s">
        <v>3052</v>
      </c>
      <c r="H2716" s="608" t="s">
        <v>5251</v>
      </c>
    </row>
    <row r="2717">
      <c r="A2717" s="546" t="s">
        <v>432</v>
      </c>
      <c r="B2717" s="512" t="s">
        <v>449</v>
      </c>
      <c r="C2717" s="616">
        <v>45979.0</v>
      </c>
      <c r="D2717" s="512">
        <v>2.8861997699E10</v>
      </c>
      <c r="E2717" s="606" t="s">
        <v>5254</v>
      </c>
      <c r="F2717" s="644" t="s">
        <v>436</v>
      </c>
      <c r="G2717" s="606" t="s">
        <v>5255</v>
      </c>
      <c r="H2717" s="608" t="s">
        <v>686</v>
      </c>
    </row>
    <row r="2718">
      <c r="A2718" s="546" t="s">
        <v>617</v>
      </c>
      <c r="B2718" s="512" t="s">
        <v>449</v>
      </c>
      <c r="C2718" s="616">
        <v>45979.0</v>
      </c>
      <c r="D2718" s="512">
        <v>4.3140862254E10</v>
      </c>
      <c r="E2718" s="606" t="s">
        <v>5256</v>
      </c>
      <c r="F2718" s="644" t="s">
        <v>436</v>
      </c>
      <c r="G2718" s="606" t="s">
        <v>3860</v>
      </c>
      <c r="H2718" s="608" t="s">
        <v>693</v>
      </c>
    </row>
    <row r="2719">
      <c r="A2719" s="546" t="s">
        <v>617</v>
      </c>
      <c r="B2719" s="512" t="s">
        <v>449</v>
      </c>
      <c r="C2719" s="616">
        <v>45979.0</v>
      </c>
      <c r="D2719" s="512">
        <v>4.2547671405E10</v>
      </c>
      <c r="E2719" s="606" t="s">
        <v>5257</v>
      </c>
      <c r="F2719" s="644" t="s">
        <v>436</v>
      </c>
      <c r="G2719" s="606" t="s">
        <v>5258</v>
      </c>
      <c r="H2719" s="608" t="s">
        <v>693</v>
      </c>
    </row>
    <row r="2720">
      <c r="A2720" s="546" t="s">
        <v>439</v>
      </c>
      <c r="B2720" s="512" t="s">
        <v>449</v>
      </c>
      <c r="C2720" s="616">
        <v>45979.0</v>
      </c>
      <c r="D2720" s="512">
        <v>4.1336980309E10</v>
      </c>
      <c r="E2720" s="606" t="s">
        <v>5259</v>
      </c>
      <c r="F2720" s="644" t="s">
        <v>436</v>
      </c>
      <c r="G2720" s="606" t="s">
        <v>5260</v>
      </c>
      <c r="H2720" s="608" t="s">
        <v>1608</v>
      </c>
    </row>
    <row r="2721">
      <c r="A2721" s="546" t="s">
        <v>432</v>
      </c>
      <c r="B2721" s="512" t="s">
        <v>433</v>
      </c>
      <c r="C2721" s="616">
        <v>45979.0</v>
      </c>
      <c r="D2721" s="512">
        <v>4.2649310112E10</v>
      </c>
      <c r="E2721" s="606" t="s">
        <v>5261</v>
      </c>
      <c r="F2721" s="644" t="s">
        <v>436</v>
      </c>
      <c r="G2721" s="606" t="s">
        <v>5262</v>
      </c>
      <c r="H2721" s="608" t="s">
        <v>686</v>
      </c>
    </row>
    <row r="2722">
      <c r="A2722" s="546" t="s">
        <v>432</v>
      </c>
      <c r="B2722" s="512" t="s">
        <v>449</v>
      </c>
      <c r="C2722" s="616">
        <v>45979.0</v>
      </c>
      <c r="D2722" s="512">
        <v>4.4222654003E10</v>
      </c>
      <c r="E2722" s="606" t="s">
        <v>5263</v>
      </c>
      <c r="F2722" s="644" t="s">
        <v>436</v>
      </c>
      <c r="G2722" s="606" t="s">
        <v>1517</v>
      </c>
      <c r="H2722" s="608" t="s">
        <v>686</v>
      </c>
    </row>
    <row r="2723">
      <c r="A2723" s="546" t="s">
        <v>617</v>
      </c>
      <c r="B2723" s="512" t="s">
        <v>449</v>
      </c>
      <c r="C2723" s="616">
        <v>45979.0</v>
      </c>
      <c r="D2723" s="512">
        <v>3.2212517796E10</v>
      </c>
      <c r="E2723" s="606" t="s">
        <v>5264</v>
      </c>
      <c r="F2723" s="644" t="s">
        <v>436</v>
      </c>
      <c r="G2723" s="606" t="s">
        <v>576</v>
      </c>
      <c r="H2723" s="608" t="s">
        <v>693</v>
      </c>
    </row>
    <row r="2724">
      <c r="A2724" s="546" t="s">
        <v>690</v>
      </c>
      <c r="B2724" s="512" t="s">
        <v>449</v>
      </c>
      <c r="C2724" s="616">
        <v>45979.0</v>
      </c>
      <c r="D2724" s="512">
        <v>4.3322971531E10</v>
      </c>
      <c r="E2724" s="606" t="s">
        <v>5265</v>
      </c>
      <c r="F2724" s="644" t="s">
        <v>436</v>
      </c>
      <c r="G2724" s="606" t="s">
        <v>5266</v>
      </c>
      <c r="H2724" s="608" t="s">
        <v>5251</v>
      </c>
    </row>
    <row r="2725">
      <c r="A2725" s="546" t="s">
        <v>439</v>
      </c>
      <c r="B2725" s="512" t="s">
        <v>433</v>
      </c>
      <c r="C2725" s="616">
        <v>45979.0</v>
      </c>
      <c r="D2725" s="512">
        <v>3.4250487763E10</v>
      </c>
      <c r="E2725" s="606" t="s">
        <v>5267</v>
      </c>
      <c r="F2725" s="644" t="s">
        <v>436</v>
      </c>
      <c r="G2725" s="606" t="s">
        <v>5268</v>
      </c>
      <c r="H2725" s="608" t="s">
        <v>1608</v>
      </c>
    </row>
    <row r="2726">
      <c r="A2726" s="546" t="s">
        <v>432</v>
      </c>
      <c r="B2726" s="512" t="s">
        <v>449</v>
      </c>
      <c r="C2726" s="616">
        <v>45979.0</v>
      </c>
      <c r="D2726" s="512">
        <v>3.6073505E10</v>
      </c>
      <c r="E2726" s="606" t="s">
        <v>5269</v>
      </c>
      <c r="F2726" s="644" t="s">
        <v>436</v>
      </c>
      <c r="G2726" s="606" t="s">
        <v>1748</v>
      </c>
      <c r="H2726" s="608" t="s">
        <v>686</v>
      </c>
    </row>
    <row r="2727">
      <c r="A2727" s="546" t="s">
        <v>439</v>
      </c>
      <c r="B2727" s="512" t="s">
        <v>5270</v>
      </c>
      <c r="C2727" s="616">
        <v>45979.0</v>
      </c>
      <c r="D2727" s="512">
        <v>4.0582331677E10</v>
      </c>
      <c r="E2727" s="606" t="s">
        <v>5271</v>
      </c>
      <c r="F2727" s="644" t="s">
        <v>436</v>
      </c>
      <c r="G2727" s="606" t="s">
        <v>2390</v>
      </c>
      <c r="H2727" s="608" t="s">
        <v>1608</v>
      </c>
    </row>
    <row r="2728">
      <c r="A2728" s="546" t="s">
        <v>439</v>
      </c>
      <c r="B2728" s="512" t="s">
        <v>449</v>
      </c>
      <c r="C2728" s="616">
        <v>45979.0</v>
      </c>
      <c r="D2728" s="512">
        <v>4.4155171791E10</v>
      </c>
      <c r="E2728" s="606" t="s">
        <v>5207</v>
      </c>
      <c r="F2728" s="644" t="s">
        <v>436</v>
      </c>
      <c r="G2728" s="606" t="s">
        <v>5272</v>
      </c>
      <c r="H2728" s="608" t="s">
        <v>1608</v>
      </c>
    </row>
    <row r="2729">
      <c r="A2729" s="546" t="s">
        <v>439</v>
      </c>
      <c r="B2729" s="512" t="s">
        <v>449</v>
      </c>
      <c r="C2729" s="616">
        <v>45979.0</v>
      </c>
      <c r="D2729" s="512">
        <v>4.4155171795E10</v>
      </c>
      <c r="E2729" s="606" t="s">
        <v>5207</v>
      </c>
      <c r="F2729" s="644" t="s">
        <v>436</v>
      </c>
      <c r="G2729" s="606" t="s">
        <v>3065</v>
      </c>
      <c r="H2729" s="608" t="s">
        <v>1608</v>
      </c>
    </row>
    <row r="2730">
      <c r="A2730" s="546" t="s">
        <v>432</v>
      </c>
      <c r="B2730" s="512" t="s">
        <v>449</v>
      </c>
      <c r="C2730" s="616">
        <v>45979.0</v>
      </c>
      <c r="D2730" s="512">
        <v>4.4052279685E10</v>
      </c>
      <c r="E2730" s="606" t="s">
        <v>5273</v>
      </c>
      <c r="F2730" s="644" t="s">
        <v>436</v>
      </c>
      <c r="G2730" s="606" t="s">
        <v>5274</v>
      </c>
      <c r="H2730" s="608" t="s">
        <v>686</v>
      </c>
    </row>
    <row r="2731">
      <c r="A2731" s="546" t="s">
        <v>432</v>
      </c>
      <c r="B2731" s="512" t="s">
        <v>449</v>
      </c>
      <c r="C2731" s="605">
        <v>45980.0</v>
      </c>
      <c r="D2731" s="512">
        <v>4.2921914328E10</v>
      </c>
      <c r="E2731" s="606" t="s">
        <v>5275</v>
      </c>
      <c r="F2731" s="644" t="s">
        <v>436</v>
      </c>
      <c r="G2731" s="606" t="s">
        <v>5276</v>
      </c>
      <c r="H2731" s="608" t="s">
        <v>686</v>
      </c>
    </row>
    <row r="2732">
      <c r="A2732" s="546" t="s">
        <v>432</v>
      </c>
      <c r="B2732" s="512" t="s">
        <v>449</v>
      </c>
      <c r="C2732" s="605">
        <v>45980.0</v>
      </c>
      <c r="D2732" s="512">
        <v>4.0925032426E10</v>
      </c>
      <c r="E2732" s="606" t="s">
        <v>5277</v>
      </c>
      <c r="F2732" s="644" t="s">
        <v>436</v>
      </c>
      <c r="G2732" s="606" t="s">
        <v>4585</v>
      </c>
      <c r="H2732" s="608" t="s">
        <v>686</v>
      </c>
    </row>
    <row r="2733">
      <c r="A2733" s="546" t="s">
        <v>432</v>
      </c>
      <c r="B2733" s="512" t="s">
        <v>433</v>
      </c>
      <c r="C2733" s="616">
        <v>45980.0</v>
      </c>
      <c r="D2733" s="512">
        <v>2.8854059726E10</v>
      </c>
      <c r="E2733" s="606" t="s">
        <v>5278</v>
      </c>
      <c r="F2733" s="644" t="s">
        <v>436</v>
      </c>
      <c r="G2733" s="606" t="s">
        <v>1335</v>
      </c>
      <c r="H2733" s="608" t="s">
        <v>686</v>
      </c>
    </row>
    <row r="2734">
      <c r="A2734" s="546" t="s">
        <v>432</v>
      </c>
      <c r="B2734" s="512" t="s">
        <v>688</v>
      </c>
      <c r="C2734" s="616">
        <v>45980.0</v>
      </c>
      <c r="D2734" s="512">
        <v>3.2639093293E10</v>
      </c>
      <c r="E2734" s="606" t="s">
        <v>5279</v>
      </c>
      <c r="F2734" s="644" t="s">
        <v>436</v>
      </c>
      <c r="G2734" s="606" t="s">
        <v>2264</v>
      </c>
      <c r="H2734" s="608" t="s">
        <v>686</v>
      </c>
    </row>
    <row r="2735">
      <c r="A2735" s="546" t="s">
        <v>432</v>
      </c>
      <c r="B2735" s="512" t="s">
        <v>449</v>
      </c>
      <c r="C2735" s="605">
        <v>45980.0</v>
      </c>
      <c r="D2735" s="512">
        <v>4.3998570733E10</v>
      </c>
      <c r="E2735" s="606" t="s">
        <v>5280</v>
      </c>
      <c r="F2735" s="644" t="s">
        <v>436</v>
      </c>
      <c r="G2735" s="606" t="s">
        <v>5281</v>
      </c>
      <c r="H2735" s="608" t="s">
        <v>686</v>
      </c>
    </row>
    <row r="2736">
      <c r="A2736" s="546" t="s">
        <v>439</v>
      </c>
      <c r="B2736" s="512" t="s">
        <v>449</v>
      </c>
      <c r="C2736" s="616">
        <v>45980.0</v>
      </c>
      <c r="D2736" s="512">
        <v>4.421853003E10</v>
      </c>
      <c r="E2736" s="606" t="s">
        <v>4839</v>
      </c>
      <c r="F2736" s="644" t="s">
        <v>436</v>
      </c>
      <c r="G2736" s="606" t="s">
        <v>3080</v>
      </c>
      <c r="H2736" s="608" t="s">
        <v>1608</v>
      </c>
    </row>
    <row r="2737">
      <c r="A2737" s="546" t="s">
        <v>432</v>
      </c>
      <c r="B2737" s="512" t="s">
        <v>449</v>
      </c>
      <c r="C2737" s="605">
        <v>45980.0</v>
      </c>
      <c r="D2737" s="512">
        <v>4.0052922939E10</v>
      </c>
      <c r="E2737" s="606" t="s">
        <v>5282</v>
      </c>
      <c r="F2737" s="644" t="s">
        <v>436</v>
      </c>
      <c r="G2737" s="606" t="s">
        <v>5283</v>
      </c>
      <c r="H2737" s="608" t="s">
        <v>1608</v>
      </c>
    </row>
    <row r="2738">
      <c r="A2738" s="546" t="s">
        <v>432</v>
      </c>
      <c r="B2738" s="512" t="s">
        <v>688</v>
      </c>
      <c r="C2738" s="605">
        <v>45980.0</v>
      </c>
      <c r="D2738" s="512">
        <v>4.3406119572E10</v>
      </c>
      <c r="E2738" s="606" t="s">
        <v>5284</v>
      </c>
      <c r="F2738" s="644" t="s">
        <v>436</v>
      </c>
      <c r="G2738" s="606" t="s">
        <v>5285</v>
      </c>
      <c r="H2738" s="608" t="s">
        <v>686</v>
      </c>
    </row>
    <row r="2739">
      <c r="A2739" s="546" t="s">
        <v>432</v>
      </c>
      <c r="B2739" s="512" t="s">
        <v>4201</v>
      </c>
      <c r="C2739" s="605">
        <v>45980.0</v>
      </c>
      <c r="D2739" s="512">
        <v>4.403467247E10</v>
      </c>
      <c r="E2739" s="606" t="s">
        <v>5286</v>
      </c>
      <c r="F2739" s="644" t="s">
        <v>436</v>
      </c>
      <c r="G2739" s="606" t="s">
        <v>5287</v>
      </c>
      <c r="H2739" s="608" t="s">
        <v>686</v>
      </c>
    </row>
    <row r="2740">
      <c r="A2740" s="546" t="s">
        <v>823</v>
      </c>
      <c r="B2740" s="512" t="s">
        <v>449</v>
      </c>
      <c r="C2740" s="605">
        <v>45980.0</v>
      </c>
      <c r="D2740" s="512">
        <v>4.4031798777E10</v>
      </c>
      <c r="E2740" s="606" t="s">
        <v>5288</v>
      </c>
      <c r="F2740" s="644" t="s">
        <v>436</v>
      </c>
      <c r="G2740" s="606" t="s">
        <v>5289</v>
      </c>
      <c r="H2740" s="608" t="s">
        <v>4558</v>
      </c>
    </row>
    <row r="2741">
      <c r="A2741" s="546" t="s">
        <v>432</v>
      </c>
      <c r="B2741" s="512" t="s">
        <v>433</v>
      </c>
      <c r="C2741" s="616">
        <v>45980.0</v>
      </c>
      <c r="D2741" s="512">
        <v>3.953499386E10</v>
      </c>
      <c r="E2741" s="606" t="s">
        <v>5290</v>
      </c>
      <c r="F2741" s="644" t="s">
        <v>436</v>
      </c>
      <c r="G2741" s="606" t="s">
        <v>5291</v>
      </c>
      <c r="H2741" s="608" t="s">
        <v>686</v>
      </c>
    </row>
    <row r="2742">
      <c r="A2742" s="546" t="s">
        <v>432</v>
      </c>
      <c r="B2742" s="512" t="s">
        <v>449</v>
      </c>
      <c r="C2742" s="605">
        <v>45980.0</v>
      </c>
      <c r="D2742" s="512">
        <v>4.0077232313E10</v>
      </c>
      <c r="E2742" s="606" t="s">
        <v>5292</v>
      </c>
      <c r="F2742" s="644" t="s">
        <v>436</v>
      </c>
      <c r="G2742" s="606" t="s">
        <v>3741</v>
      </c>
      <c r="H2742" s="608" t="s">
        <v>686</v>
      </c>
    </row>
    <row r="2743">
      <c r="A2743" s="546" t="s">
        <v>439</v>
      </c>
      <c r="B2743" s="512" t="s">
        <v>449</v>
      </c>
      <c r="C2743" s="605">
        <v>45980.0</v>
      </c>
      <c r="D2743" s="512">
        <v>2.8543444612E10</v>
      </c>
      <c r="E2743" s="606" t="s">
        <v>5293</v>
      </c>
      <c r="F2743" s="644" t="s">
        <v>436</v>
      </c>
      <c r="G2743" s="606" t="s">
        <v>5294</v>
      </c>
      <c r="H2743" s="608" t="s">
        <v>1608</v>
      </c>
    </row>
    <row r="2744">
      <c r="A2744" s="546" t="s">
        <v>432</v>
      </c>
      <c r="B2744" s="512" t="s">
        <v>433</v>
      </c>
      <c r="C2744" s="616">
        <v>45980.0</v>
      </c>
      <c r="D2744" s="512">
        <v>4.0144386011E10</v>
      </c>
      <c r="E2744" s="606" t="s">
        <v>5295</v>
      </c>
      <c r="F2744" s="644" t="s">
        <v>436</v>
      </c>
      <c r="G2744" s="606" t="s">
        <v>4601</v>
      </c>
      <c r="H2744" s="608" t="s">
        <v>686</v>
      </c>
    </row>
    <row r="2745">
      <c r="A2745" s="546" t="s">
        <v>432</v>
      </c>
      <c r="B2745" s="512" t="s">
        <v>449</v>
      </c>
      <c r="C2745" s="605">
        <v>45980.0</v>
      </c>
      <c r="D2745" s="512">
        <v>4.0755776288E10</v>
      </c>
      <c r="E2745" s="606" t="s">
        <v>5296</v>
      </c>
      <c r="F2745" s="644" t="s">
        <v>436</v>
      </c>
      <c r="G2745" s="606" t="s">
        <v>5297</v>
      </c>
      <c r="H2745" s="608" t="s">
        <v>686</v>
      </c>
    </row>
    <row r="2746">
      <c r="A2746" s="546" t="s">
        <v>432</v>
      </c>
      <c r="B2746" s="512" t="s">
        <v>433</v>
      </c>
      <c r="C2746" s="605">
        <v>45981.0</v>
      </c>
      <c r="D2746" s="512">
        <v>4.4282090409E10</v>
      </c>
      <c r="E2746" s="606" t="s">
        <v>5298</v>
      </c>
      <c r="F2746" s="644" t="s">
        <v>436</v>
      </c>
      <c r="G2746" s="606" t="s">
        <v>5299</v>
      </c>
      <c r="H2746" s="608" t="s">
        <v>686</v>
      </c>
    </row>
    <row r="2747">
      <c r="A2747" s="546" t="s">
        <v>617</v>
      </c>
      <c r="B2747" s="512" t="s">
        <v>449</v>
      </c>
      <c r="C2747" s="605">
        <v>45981.0</v>
      </c>
      <c r="D2747" s="512">
        <v>4.2829417156E10</v>
      </c>
      <c r="E2747" s="606" t="s">
        <v>4165</v>
      </c>
      <c r="F2747" s="644" t="s">
        <v>436</v>
      </c>
      <c r="G2747" s="606" t="s">
        <v>5300</v>
      </c>
      <c r="H2747" s="608" t="s">
        <v>696</v>
      </c>
    </row>
    <row r="2748">
      <c r="A2748" s="546" t="s">
        <v>617</v>
      </c>
      <c r="B2748" s="512" t="s">
        <v>433</v>
      </c>
      <c r="C2748" s="605">
        <v>45981.0</v>
      </c>
      <c r="D2748" s="512">
        <v>4.3566778069E10</v>
      </c>
      <c r="E2748" s="606" t="s">
        <v>4165</v>
      </c>
      <c r="F2748" s="644" t="s">
        <v>436</v>
      </c>
      <c r="G2748" s="606" t="s">
        <v>868</v>
      </c>
      <c r="H2748" s="608" t="s">
        <v>696</v>
      </c>
    </row>
    <row r="2749">
      <c r="A2749" s="546" t="s">
        <v>823</v>
      </c>
      <c r="B2749" s="512" t="s">
        <v>433</v>
      </c>
      <c r="C2749" s="605">
        <v>45981.0</v>
      </c>
      <c r="D2749" s="512">
        <v>4.2597609335E10</v>
      </c>
      <c r="E2749" s="606" t="s">
        <v>4887</v>
      </c>
      <c r="F2749" s="644" t="s">
        <v>436</v>
      </c>
      <c r="G2749" s="606" t="s">
        <v>552</v>
      </c>
      <c r="H2749" s="608" t="s">
        <v>4558</v>
      </c>
    </row>
    <row r="2750">
      <c r="A2750" s="546" t="s">
        <v>432</v>
      </c>
      <c r="B2750" s="512" t="s">
        <v>433</v>
      </c>
      <c r="C2750" s="605">
        <v>45981.0</v>
      </c>
      <c r="D2750" s="512">
        <v>3.4687429101E10</v>
      </c>
      <c r="E2750" s="606" t="s">
        <v>5301</v>
      </c>
      <c r="F2750" s="644" t="s">
        <v>436</v>
      </c>
      <c r="G2750" s="606" t="s">
        <v>5302</v>
      </c>
      <c r="H2750" s="608" t="s">
        <v>686</v>
      </c>
    </row>
    <row r="2751">
      <c r="A2751" s="546" t="s">
        <v>432</v>
      </c>
      <c r="B2751" s="512" t="s">
        <v>449</v>
      </c>
      <c r="C2751" s="605">
        <v>45981.0</v>
      </c>
      <c r="D2751" s="512">
        <v>4.4332145305E10</v>
      </c>
      <c r="E2751" s="606" t="s">
        <v>5303</v>
      </c>
      <c r="F2751" s="644" t="s">
        <v>436</v>
      </c>
      <c r="G2751" s="606" t="s">
        <v>1046</v>
      </c>
      <c r="H2751" s="608" t="s">
        <v>686</v>
      </c>
    </row>
    <row r="2752">
      <c r="A2752" s="546" t="s">
        <v>617</v>
      </c>
      <c r="B2752" s="512" t="s">
        <v>3583</v>
      </c>
      <c r="C2752" s="605">
        <v>45981.0</v>
      </c>
      <c r="D2752" s="512">
        <v>4.2282833308E10</v>
      </c>
      <c r="E2752" s="606" t="s">
        <v>5304</v>
      </c>
      <c r="F2752" s="644" t="s">
        <v>436</v>
      </c>
      <c r="G2752" s="606" t="s">
        <v>5305</v>
      </c>
      <c r="H2752" s="608" t="s">
        <v>696</v>
      </c>
    </row>
    <row r="2753">
      <c r="A2753" s="546" t="s">
        <v>432</v>
      </c>
      <c r="B2753" s="512" t="s">
        <v>433</v>
      </c>
      <c r="C2753" s="605">
        <v>45981.0</v>
      </c>
      <c r="D2753" s="512">
        <v>4.4235618654E10</v>
      </c>
      <c r="E2753" s="606" t="s">
        <v>5306</v>
      </c>
      <c r="F2753" s="644" t="s">
        <v>436</v>
      </c>
      <c r="G2753" s="606" t="s">
        <v>3088</v>
      </c>
      <c r="H2753" s="608" t="s">
        <v>686</v>
      </c>
    </row>
    <row r="2754">
      <c r="A2754" s="546" t="s">
        <v>617</v>
      </c>
      <c r="B2754" s="512" t="s">
        <v>433</v>
      </c>
      <c r="C2754" s="605">
        <v>45981.0</v>
      </c>
      <c r="D2754" s="512">
        <v>4.0803455754E10</v>
      </c>
      <c r="E2754" s="606" t="s">
        <v>5307</v>
      </c>
      <c r="F2754" s="644" t="s">
        <v>436</v>
      </c>
      <c r="G2754" s="606" t="s">
        <v>5308</v>
      </c>
      <c r="H2754" s="608" t="s">
        <v>696</v>
      </c>
    </row>
    <row r="2755">
      <c r="A2755" s="546" t="s">
        <v>617</v>
      </c>
      <c r="B2755" s="512" t="s">
        <v>449</v>
      </c>
      <c r="C2755" s="605">
        <v>45981.0</v>
      </c>
      <c r="D2755" s="512">
        <v>3.4557019267E10</v>
      </c>
      <c r="E2755" s="606" t="s">
        <v>5253</v>
      </c>
      <c r="F2755" s="644" t="s">
        <v>436</v>
      </c>
      <c r="G2755" s="606" t="s">
        <v>5309</v>
      </c>
      <c r="H2755" s="608" t="s">
        <v>696</v>
      </c>
    </row>
    <row r="2756">
      <c r="A2756" s="546" t="s">
        <v>432</v>
      </c>
      <c r="B2756" s="512" t="s">
        <v>449</v>
      </c>
      <c r="C2756" s="605">
        <v>45981.0</v>
      </c>
      <c r="D2756" s="512">
        <v>2.649968368E10</v>
      </c>
      <c r="E2756" s="606" t="s">
        <v>5153</v>
      </c>
      <c r="F2756" s="644" t="s">
        <v>436</v>
      </c>
      <c r="G2756" s="606" t="s">
        <v>5310</v>
      </c>
      <c r="H2756" s="608" t="s">
        <v>686</v>
      </c>
    </row>
    <row r="2757">
      <c r="A2757" s="546" t="s">
        <v>432</v>
      </c>
      <c r="B2757" s="512" t="s">
        <v>433</v>
      </c>
      <c r="C2757" s="605">
        <v>45981.0</v>
      </c>
      <c r="D2757" s="512">
        <v>4.2303411993E10</v>
      </c>
      <c r="E2757" s="606" t="s">
        <v>5311</v>
      </c>
      <c r="F2757" s="644" t="s">
        <v>436</v>
      </c>
      <c r="G2757" s="606" t="s">
        <v>5312</v>
      </c>
      <c r="H2757" s="608" t="s">
        <v>686</v>
      </c>
    </row>
    <row r="2758">
      <c r="A2758" s="546" t="s">
        <v>823</v>
      </c>
      <c r="B2758" s="512" t="s">
        <v>449</v>
      </c>
      <c r="C2758" s="605">
        <v>45981.0</v>
      </c>
      <c r="D2758" s="512">
        <v>4.0768955401E10</v>
      </c>
      <c r="E2758" s="606" t="s">
        <v>5313</v>
      </c>
      <c r="F2758" s="644" t="s">
        <v>436</v>
      </c>
      <c r="G2758" s="606" t="s">
        <v>5314</v>
      </c>
      <c r="H2758" s="608" t="s">
        <v>4558</v>
      </c>
    </row>
    <row r="2759">
      <c r="A2759" s="546" t="s">
        <v>823</v>
      </c>
      <c r="B2759" s="512" t="s">
        <v>449</v>
      </c>
      <c r="C2759" s="605">
        <v>45981.0</v>
      </c>
      <c r="D2759" s="512">
        <v>3.8873640794E10</v>
      </c>
      <c r="E2759" s="606" t="s">
        <v>5315</v>
      </c>
      <c r="F2759" s="644" t="s">
        <v>436</v>
      </c>
      <c r="G2759" s="606" t="s">
        <v>5316</v>
      </c>
      <c r="H2759" s="608" t="s">
        <v>4745</v>
      </c>
    </row>
    <row r="2760">
      <c r="A2760" s="546" t="s">
        <v>432</v>
      </c>
      <c r="B2760" s="512" t="s">
        <v>449</v>
      </c>
      <c r="C2760" s="605">
        <v>45981.0</v>
      </c>
      <c r="D2760" s="512">
        <v>3.9156029459E10</v>
      </c>
      <c r="E2760" s="606" t="s">
        <v>5317</v>
      </c>
      <c r="F2760" s="644" t="s">
        <v>436</v>
      </c>
      <c r="G2760" s="606" t="s">
        <v>5318</v>
      </c>
      <c r="H2760" s="608" t="s">
        <v>686</v>
      </c>
    </row>
    <row r="2761">
      <c r="A2761" s="546" t="s">
        <v>823</v>
      </c>
      <c r="B2761" s="512" t="s">
        <v>449</v>
      </c>
      <c r="C2761" s="605">
        <v>45981.0</v>
      </c>
      <c r="D2761" s="512">
        <v>4.2773606667E10</v>
      </c>
      <c r="E2761" s="606" t="s">
        <v>4104</v>
      </c>
      <c r="F2761" s="644" t="s">
        <v>436</v>
      </c>
      <c r="G2761" s="606" t="s">
        <v>5319</v>
      </c>
      <c r="H2761" s="608" t="s">
        <v>4558</v>
      </c>
    </row>
    <row r="2762">
      <c r="A2762" s="546" t="s">
        <v>617</v>
      </c>
      <c r="B2762" s="512" t="s">
        <v>449</v>
      </c>
      <c r="C2762" s="605">
        <v>45981.0</v>
      </c>
      <c r="D2762" s="512">
        <v>3.6314298667E10</v>
      </c>
      <c r="E2762" s="606" t="s">
        <v>5320</v>
      </c>
      <c r="F2762" s="644" t="s">
        <v>436</v>
      </c>
      <c r="G2762" s="606" t="s">
        <v>5321</v>
      </c>
      <c r="H2762" s="608" t="s">
        <v>696</v>
      </c>
    </row>
    <row r="2763">
      <c r="A2763" s="546" t="s">
        <v>432</v>
      </c>
      <c r="B2763" s="512" t="s">
        <v>449</v>
      </c>
      <c r="C2763" s="605">
        <v>45981.0</v>
      </c>
      <c r="D2763" s="512">
        <v>2.6657878201E10</v>
      </c>
      <c r="E2763" s="606" t="s">
        <v>5317</v>
      </c>
      <c r="F2763" s="644" t="s">
        <v>436</v>
      </c>
      <c r="G2763" s="606" t="s">
        <v>2185</v>
      </c>
      <c r="H2763" s="608" t="s">
        <v>686</v>
      </c>
    </row>
    <row r="2764">
      <c r="A2764" s="546" t="s">
        <v>823</v>
      </c>
      <c r="B2764" s="512" t="s">
        <v>433</v>
      </c>
      <c r="C2764" s="605">
        <v>45981.0</v>
      </c>
      <c r="D2764" s="512">
        <v>4.077168302E10</v>
      </c>
      <c r="E2764" s="606" t="s">
        <v>5322</v>
      </c>
      <c r="F2764" s="644" t="s">
        <v>436</v>
      </c>
      <c r="G2764" s="606" t="s">
        <v>2302</v>
      </c>
      <c r="H2764" s="608" t="s">
        <v>4558</v>
      </c>
    </row>
    <row r="2765">
      <c r="A2765" s="546" t="s">
        <v>432</v>
      </c>
      <c r="B2765" s="512" t="s">
        <v>449</v>
      </c>
      <c r="C2765" s="605">
        <v>45981.0</v>
      </c>
      <c r="D2765" s="512">
        <v>3.1577470879E10</v>
      </c>
      <c r="E2765" s="606" t="s">
        <v>5323</v>
      </c>
      <c r="F2765" s="644" t="s">
        <v>436</v>
      </c>
      <c r="G2765" s="606" t="s">
        <v>5324</v>
      </c>
      <c r="H2765" s="608" t="s">
        <v>686</v>
      </c>
    </row>
    <row r="2766">
      <c r="A2766" s="546" t="s">
        <v>432</v>
      </c>
      <c r="B2766" s="512" t="s">
        <v>449</v>
      </c>
      <c r="C2766" s="605">
        <v>45981.0</v>
      </c>
      <c r="D2766" s="512">
        <v>4.0807870525E10</v>
      </c>
      <c r="E2766" s="606" t="s">
        <v>5325</v>
      </c>
      <c r="F2766" s="644" t="s">
        <v>436</v>
      </c>
      <c r="G2766" s="606" t="s">
        <v>1452</v>
      </c>
      <c r="H2766" s="608" t="s">
        <v>686</v>
      </c>
    </row>
    <row r="2767">
      <c r="A2767" s="546" t="s">
        <v>432</v>
      </c>
      <c r="B2767" s="512" t="s">
        <v>449</v>
      </c>
      <c r="C2767" s="605">
        <v>45982.0</v>
      </c>
      <c r="D2767" s="512">
        <v>4.4334370169E10</v>
      </c>
      <c r="E2767" s="606" t="s">
        <v>4860</v>
      </c>
      <c r="F2767" s="644" t="s">
        <v>436</v>
      </c>
      <c r="G2767" s="606" t="s">
        <v>4440</v>
      </c>
      <c r="H2767" s="608" t="s">
        <v>438</v>
      </c>
    </row>
    <row r="2768">
      <c r="A2768" s="546" t="s">
        <v>617</v>
      </c>
      <c r="B2768" s="512" t="s">
        <v>449</v>
      </c>
      <c r="C2768" s="605">
        <v>45982.0</v>
      </c>
      <c r="D2768" s="512">
        <v>3.3017548549E10</v>
      </c>
      <c r="E2768" s="606" t="s">
        <v>4974</v>
      </c>
      <c r="F2768" s="644" t="s">
        <v>436</v>
      </c>
      <c r="G2768" s="606" t="s">
        <v>3295</v>
      </c>
      <c r="H2768" s="608" t="s">
        <v>696</v>
      </c>
    </row>
    <row r="2769">
      <c r="A2769" s="546" t="s">
        <v>432</v>
      </c>
      <c r="B2769" s="512" t="s">
        <v>449</v>
      </c>
      <c r="C2769" s="605">
        <v>45982.0</v>
      </c>
      <c r="D2769" s="512">
        <v>4.2757265921E10</v>
      </c>
      <c r="E2769" s="606" t="s">
        <v>4860</v>
      </c>
      <c r="F2769" s="644" t="s">
        <v>436</v>
      </c>
      <c r="G2769" s="606" t="s">
        <v>5326</v>
      </c>
      <c r="H2769" s="608" t="s">
        <v>438</v>
      </c>
    </row>
    <row r="2770">
      <c r="A2770" s="546" t="s">
        <v>617</v>
      </c>
      <c r="B2770" s="512" t="s">
        <v>3583</v>
      </c>
      <c r="C2770" s="605">
        <v>45982.0</v>
      </c>
      <c r="D2770" s="512">
        <v>4.2303411985E10</v>
      </c>
      <c r="E2770" s="606" t="s">
        <v>4854</v>
      </c>
      <c r="F2770" s="607" t="s">
        <v>436</v>
      </c>
      <c r="G2770" s="606" t="s">
        <v>5327</v>
      </c>
      <c r="H2770" s="608" t="s">
        <v>696</v>
      </c>
    </row>
    <row r="2771">
      <c r="A2771" s="546" t="s">
        <v>432</v>
      </c>
      <c r="B2771" s="512" t="s">
        <v>449</v>
      </c>
      <c r="C2771" s="605">
        <v>45982.0</v>
      </c>
      <c r="D2771" s="512">
        <v>4.0656121135E10</v>
      </c>
      <c r="E2771" s="606" t="s">
        <v>4860</v>
      </c>
      <c r="F2771" s="644" t="s">
        <v>436</v>
      </c>
      <c r="G2771" s="606" t="s">
        <v>5001</v>
      </c>
      <c r="H2771" s="608" t="s">
        <v>438</v>
      </c>
    </row>
    <row r="2772">
      <c r="A2772" s="546" t="s">
        <v>617</v>
      </c>
      <c r="B2772" s="512" t="s">
        <v>449</v>
      </c>
      <c r="C2772" s="605">
        <v>45982.0</v>
      </c>
      <c r="D2772" s="512">
        <v>4.4222697629E10</v>
      </c>
      <c r="E2772" s="606" t="s">
        <v>5307</v>
      </c>
      <c r="F2772" s="644" t="s">
        <v>436</v>
      </c>
      <c r="G2772" s="606" t="s">
        <v>2780</v>
      </c>
      <c r="H2772" s="608" t="s">
        <v>696</v>
      </c>
    </row>
    <row r="2773">
      <c r="A2773" s="546" t="s">
        <v>823</v>
      </c>
      <c r="B2773" s="512" t="s">
        <v>449</v>
      </c>
      <c r="C2773" s="605">
        <v>45982.0</v>
      </c>
      <c r="D2773" s="512">
        <v>4.084188238E10</v>
      </c>
      <c r="E2773" s="606" t="s">
        <v>5328</v>
      </c>
      <c r="F2773" s="644" t="s">
        <v>436</v>
      </c>
      <c r="G2773" s="606" t="s">
        <v>5329</v>
      </c>
      <c r="H2773" s="608" t="s">
        <v>1647</v>
      </c>
    </row>
    <row r="2774">
      <c r="A2774" s="546" t="s">
        <v>439</v>
      </c>
      <c r="B2774" s="512" t="s">
        <v>3517</v>
      </c>
      <c r="C2774" s="605">
        <v>45983.0</v>
      </c>
      <c r="D2774" s="512">
        <v>3.3110449989E10</v>
      </c>
      <c r="E2774" s="606" t="s">
        <v>5330</v>
      </c>
      <c r="F2774" s="644" t="s">
        <v>436</v>
      </c>
      <c r="G2774" s="606" t="s">
        <v>5331</v>
      </c>
      <c r="H2774" s="608" t="s">
        <v>1608</v>
      </c>
    </row>
    <row r="2775">
      <c r="A2775" s="546" t="s">
        <v>690</v>
      </c>
      <c r="B2775" s="512" t="s">
        <v>449</v>
      </c>
      <c r="C2775" s="605">
        <v>45983.0</v>
      </c>
      <c r="D2775" s="512">
        <v>4.4207715501E10</v>
      </c>
      <c r="E2775" s="512" t="s">
        <v>5332</v>
      </c>
      <c r="F2775" s="644" t="s">
        <v>436</v>
      </c>
      <c r="G2775" s="606" t="s">
        <v>5333</v>
      </c>
      <c r="H2775" s="608" t="s">
        <v>5334</v>
      </c>
    </row>
    <row r="2776">
      <c r="A2776" s="546" t="s">
        <v>432</v>
      </c>
      <c r="B2776" s="512" t="s">
        <v>433</v>
      </c>
      <c r="C2776" s="605">
        <v>45983.0</v>
      </c>
      <c r="D2776" s="512">
        <v>4.2887550711E10</v>
      </c>
      <c r="E2776" s="606" t="s">
        <v>5205</v>
      </c>
      <c r="F2776" s="644" t="s">
        <v>436</v>
      </c>
      <c r="G2776" s="606" t="s">
        <v>1120</v>
      </c>
      <c r="H2776" s="608" t="s">
        <v>438</v>
      </c>
    </row>
    <row r="2777">
      <c r="A2777" s="546" t="s">
        <v>432</v>
      </c>
      <c r="B2777" s="512" t="s">
        <v>433</v>
      </c>
      <c r="C2777" s="605">
        <v>45983.0</v>
      </c>
      <c r="D2777" s="512">
        <v>3.6032403703E10</v>
      </c>
      <c r="E2777" s="606" t="s">
        <v>5335</v>
      </c>
      <c r="F2777" s="644" t="s">
        <v>436</v>
      </c>
      <c r="G2777" s="606" t="s">
        <v>2126</v>
      </c>
      <c r="H2777" s="608" t="s">
        <v>438</v>
      </c>
    </row>
    <row r="2778">
      <c r="A2778" s="546" t="s">
        <v>690</v>
      </c>
      <c r="B2778" s="512" t="s">
        <v>433</v>
      </c>
      <c r="C2778" s="605">
        <v>45983.0</v>
      </c>
      <c r="D2778" s="512">
        <v>4.2654975912E10</v>
      </c>
      <c r="E2778" s="606" t="s">
        <v>4165</v>
      </c>
      <c r="F2778" s="644" t="s">
        <v>436</v>
      </c>
      <c r="G2778" s="606" t="s">
        <v>1605</v>
      </c>
      <c r="H2778" s="608" t="s">
        <v>5334</v>
      </c>
    </row>
    <row r="2779">
      <c r="A2779" s="546" t="s">
        <v>439</v>
      </c>
      <c r="B2779" s="512" t="s">
        <v>449</v>
      </c>
      <c r="C2779" s="605">
        <v>45983.0</v>
      </c>
      <c r="D2779" s="512">
        <v>3.5796445833E10</v>
      </c>
      <c r="E2779" s="606" t="s">
        <v>5336</v>
      </c>
      <c r="F2779" s="644" t="s">
        <v>436</v>
      </c>
      <c r="G2779" s="606" t="s">
        <v>5337</v>
      </c>
      <c r="H2779" s="608" t="s">
        <v>1608</v>
      </c>
    </row>
    <row r="2780">
      <c r="A2780" s="546" t="s">
        <v>439</v>
      </c>
      <c r="B2780" s="512" t="s">
        <v>433</v>
      </c>
      <c r="C2780" s="605">
        <v>45983.0</v>
      </c>
      <c r="D2780" s="512">
        <v>3.5852874484E10</v>
      </c>
      <c r="E2780" s="606" t="s">
        <v>5253</v>
      </c>
      <c r="F2780" s="644" t="s">
        <v>436</v>
      </c>
      <c r="G2780" s="606" t="s">
        <v>5338</v>
      </c>
      <c r="H2780" s="608" t="s">
        <v>1608</v>
      </c>
    </row>
    <row r="2781">
      <c r="A2781" s="546" t="s">
        <v>439</v>
      </c>
      <c r="B2781" s="512" t="s">
        <v>433</v>
      </c>
      <c r="C2781" s="605">
        <v>45983.0</v>
      </c>
      <c r="D2781" s="512">
        <v>2.690559248E10</v>
      </c>
      <c r="E2781" s="606" t="s">
        <v>5339</v>
      </c>
      <c r="F2781" s="644" t="s">
        <v>436</v>
      </c>
      <c r="G2781" s="606" t="s">
        <v>5340</v>
      </c>
      <c r="H2781" s="608" t="s">
        <v>1608</v>
      </c>
    </row>
    <row r="2782">
      <c r="A2782" s="546" t="s">
        <v>432</v>
      </c>
      <c r="B2782" s="512" t="s">
        <v>433</v>
      </c>
      <c r="C2782" s="605">
        <v>45983.0</v>
      </c>
      <c r="D2782" s="512">
        <v>4.2099127319E10</v>
      </c>
      <c r="E2782" s="606" t="s">
        <v>85</v>
      </c>
      <c r="F2782" s="644" t="s">
        <v>436</v>
      </c>
      <c r="G2782" s="606" t="s">
        <v>5341</v>
      </c>
      <c r="H2782" s="608" t="s">
        <v>438</v>
      </c>
    </row>
    <row r="2783">
      <c r="A2783" s="546" t="s">
        <v>432</v>
      </c>
      <c r="B2783" s="512" t="s">
        <v>433</v>
      </c>
      <c r="C2783" s="605">
        <v>45983.0</v>
      </c>
      <c r="D2783" s="512">
        <v>4.2762530252E10</v>
      </c>
      <c r="E2783" s="606" t="s">
        <v>5335</v>
      </c>
      <c r="F2783" s="644" t="s">
        <v>436</v>
      </c>
      <c r="G2783" s="606" t="s">
        <v>5342</v>
      </c>
      <c r="H2783" s="608" t="s">
        <v>438</v>
      </c>
    </row>
    <row r="2784">
      <c r="A2784" s="546" t="s">
        <v>439</v>
      </c>
      <c r="B2784" s="512" t="s">
        <v>433</v>
      </c>
      <c r="C2784" s="605">
        <v>45983.0</v>
      </c>
      <c r="D2784" s="512">
        <v>3.8844559308E10</v>
      </c>
      <c r="E2784" s="606" t="s">
        <v>5343</v>
      </c>
      <c r="F2784" s="644" t="s">
        <v>436</v>
      </c>
      <c r="G2784" s="606" t="s">
        <v>5344</v>
      </c>
      <c r="H2784" s="608" t="s">
        <v>1608</v>
      </c>
    </row>
    <row r="2785">
      <c r="A2785" s="546" t="s">
        <v>617</v>
      </c>
      <c r="B2785" s="512" t="s">
        <v>449</v>
      </c>
      <c r="C2785" s="605">
        <v>45983.0</v>
      </c>
      <c r="D2785" s="512">
        <v>4.27654346E10</v>
      </c>
      <c r="E2785" s="606" t="s">
        <v>5345</v>
      </c>
      <c r="F2785" s="644" t="s">
        <v>436</v>
      </c>
      <c r="G2785" s="606" t="s">
        <v>5346</v>
      </c>
      <c r="H2785" s="608" t="s">
        <v>696</v>
      </c>
    </row>
    <row r="2786">
      <c r="A2786" s="546" t="s">
        <v>432</v>
      </c>
      <c r="B2786" s="512" t="s">
        <v>433</v>
      </c>
      <c r="C2786" s="605">
        <v>45983.0</v>
      </c>
      <c r="D2786" s="512">
        <v>4.0046327676E10</v>
      </c>
      <c r="E2786" s="606" t="s">
        <v>5347</v>
      </c>
      <c r="F2786" s="644" t="s">
        <v>436</v>
      </c>
      <c r="G2786" s="606" t="s">
        <v>5348</v>
      </c>
      <c r="H2786" s="608" t="s">
        <v>438</v>
      </c>
    </row>
    <row r="2787">
      <c r="A2787" s="546" t="s">
        <v>690</v>
      </c>
      <c r="B2787" s="512" t="s">
        <v>449</v>
      </c>
      <c r="C2787" s="605">
        <v>45983.0</v>
      </c>
      <c r="D2787" s="512" t="s">
        <v>5349</v>
      </c>
      <c r="E2787" s="512" t="s">
        <v>5332</v>
      </c>
      <c r="F2787" s="644" t="s">
        <v>436</v>
      </c>
      <c r="G2787" s="606" t="s">
        <v>4864</v>
      </c>
      <c r="H2787" s="608" t="s">
        <v>5334</v>
      </c>
    </row>
    <row r="2788">
      <c r="A2788" s="546" t="s">
        <v>432</v>
      </c>
      <c r="B2788" s="512" t="s">
        <v>449</v>
      </c>
      <c r="C2788" s="605">
        <v>45983.0</v>
      </c>
      <c r="D2788" s="512">
        <v>3.5387325305E10</v>
      </c>
      <c r="E2788" s="606" t="s">
        <v>4226</v>
      </c>
      <c r="F2788" s="644" t="s">
        <v>436</v>
      </c>
      <c r="G2788" s="606" t="s">
        <v>5350</v>
      </c>
      <c r="H2788" s="608" t="s">
        <v>438</v>
      </c>
    </row>
    <row r="2789">
      <c r="A2789" s="546" t="s">
        <v>432</v>
      </c>
      <c r="B2789" s="512" t="s">
        <v>433</v>
      </c>
      <c r="C2789" s="605">
        <v>45984.0</v>
      </c>
      <c r="D2789" s="512">
        <v>4.2292783691E10</v>
      </c>
      <c r="E2789" s="606" t="s">
        <v>4226</v>
      </c>
      <c r="F2789" s="644" t="s">
        <v>436</v>
      </c>
      <c r="G2789" s="606" t="s">
        <v>2999</v>
      </c>
      <c r="H2789" s="608" t="s">
        <v>438</v>
      </c>
    </row>
    <row r="2790">
      <c r="A2790" s="546" t="s">
        <v>617</v>
      </c>
      <c r="B2790" s="512" t="s">
        <v>449</v>
      </c>
      <c r="C2790" s="605">
        <v>45984.0</v>
      </c>
      <c r="D2790" s="512">
        <v>3.3017548497E10</v>
      </c>
      <c r="E2790" s="606" t="s">
        <v>4974</v>
      </c>
      <c r="F2790" s="644" t="s">
        <v>436</v>
      </c>
      <c r="G2790" s="606" t="s">
        <v>5351</v>
      </c>
      <c r="H2790" s="608" t="s">
        <v>1096</v>
      </c>
    </row>
    <row r="2791">
      <c r="A2791" s="546" t="s">
        <v>823</v>
      </c>
      <c r="B2791" s="512" t="s">
        <v>449</v>
      </c>
      <c r="C2791" s="616">
        <v>45984.0</v>
      </c>
      <c r="D2791" s="512">
        <v>3.9517578694E10</v>
      </c>
      <c r="E2791" s="606" t="s">
        <v>5352</v>
      </c>
      <c r="F2791" s="644" t="s">
        <v>436</v>
      </c>
      <c r="G2791" s="606" t="s">
        <v>5353</v>
      </c>
      <c r="H2791" s="608" t="s">
        <v>4558</v>
      </c>
    </row>
    <row r="2792">
      <c r="A2792" s="546" t="s">
        <v>823</v>
      </c>
      <c r="B2792" s="512" t="s">
        <v>449</v>
      </c>
      <c r="C2792" s="605">
        <v>45984.0</v>
      </c>
      <c r="D2792" s="512">
        <v>3.5412754932E10</v>
      </c>
      <c r="E2792" s="606" t="s">
        <v>5354</v>
      </c>
      <c r="F2792" s="644" t="s">
        <v>436</v>
      </c>
      <c r="G2792" s="606" t="s">
        <v>5355</v>
      </c>
      <c r="H2792" s="608" t="s">
        <v>4558</v>
      </c>
    </row>
    <row r="2793">
      <c r="A2793" s="546" t="s">
        <v>439</v>
      </c>
      <c r="B2793" s="512" t="s">
        <v>449</v>
      </c>
      <c r="C2793" s="605">
        <v>45984.0</v>
      </c>
      <c r="D2793" s="512">
        <v>4.4208587053E10</v>
      </c>
      <c r="E2793" s="606" t="s">
        <v>5356</v>
      </c>
      <c r="F2793" s="644" t="s">
        <v>436</v>
      </c>
      <c r="G2793" s="606" t="s">
        <v>1658</v>
      </c>
      <c r="H2793" s="608" t="s">
        <v>1608</v>
      </c>
    </row>
    <row r="2794">
      <c r="A2794" s="546" t="s">
        <v>617</v>
      </c>
      <c r="B2794" s="512" t="s">
        <v>449</v>
      </c>
      <c r="C2794" s="605">
        <v>45984.0</v>
      </c>
      <c r="D2794" s="512">
        <v>4.0783882997E10</v>
      </c>
      <c r="E2794" s="606" t="s">
        <v>4974</v>
      </c>
      <c r="F2794" s="644" t="s">
        <v>436</v>
      </c>
      <c r="G2794" s="606" t="s">
        <v>4274</v>
      </c>
      <c r="H2794" s="608" t="s">
        <v>1096</v>
      </c>
    </row>
    <row r="2795">
      <c r="A2795" s="546" t="s">
        <v>432</v>
      </c>
      <c r="B2795" s="512" t="s">
        <v>433</v>
      </c>
      <c r="C2795" s="605">
        <v>45985.0</v>
      </c>
      <c r="D2795" s="512">
        <v>3.1852067776E10</v>
      </c>
      <c r="E2795" s="606" t="s">
        <v>5357</v>
      </c>
      <c r="F2795" s="644" t="s">
        <v>436</v>
      </c>
      <c r="G2795" s="606" t="s">
        <v>5358</v>
      </c>
      <c r="H2795" s="608" t="s">
        <v>686</v>
      </c>
    </row>
    <row r="2796">
      <c r="A2796" s="546" t="s">
        <v>617</v>
      </c>
      <c r="B2796" s="512" t="s">
        <v>433</v>
      </c>
      <c r="C2796" s="605">
        <v>45985.0</v>
      </c>
      <c r="D2796" s="512">
        <v>2.3650771775E10</v>
      </c>
      <c r="E2796" s="606" t="s">
        <v>5359</v>
      </c>
      <c r="F2796" s="644" t="s">
        <v>436</v>
      </c>
      <c r="G2796" s="606" t="s">
        <v>5360</v>
      </c>
      <c r="H2796" s="608" t="s">
        <v>696</v>
      </c>
    </row>
    <row r="2797">
      <c r="A2797" s="546" t="s">
        <v>690</v>
      </c>
      <c r="B2797" s="512" t="s">
        <v>433</v>
      </c>
      <c r="C2797" s="605">
        <v>45985.0</v>
      </c>
      <c r="D2797" s="512">
        <v>4.2106005703E10</v>
      </c>
      <c r="E2797" s="606" t="s">
        <v>4857</v>
      </c>
      <c r="F2797" s="644" t="s">
        <v>436</v>
      </c>
      <c r="G2797" s="606" t="s">
        <v>5361</v>
      </c>
      <c r="H2797" s="670" t="s">
        <v>139</v>
      </c>
    </row>
    <row r="2798">
      <c r="A2798" s="546" t="s">
        <v>439</v>
      </c>
      <c r="B2798" s="512" t="s">
        <v>449</v>
      </c>
      <c r="C2798" s="605">
        <v>45985.0</v>
      </c>
      <c r="D2798" s="512">
        <v>3.8795773606E10</v>
      </c>
      <c r="E2798" s="606" t="s">
        <v>5362</v>
      </c>
      <c r="F2798" s="644" t="s">
        <v>436</v>
      </c>
      <c r="G2798" s="606" t="s">
        <v>5363</v>
      </c>
      <c r="H2798" s="608" t="s">
        <v>5177</v>
      </c>
    </row>
    <row r="2799">
      <c r="A2799" s="546" t="s">
        <v>432</v>
      </c>
      <c r="B2799" s="512" t="s">
        <v>449</v>
      </c>
      <c r="C2799" s="605">
        <v>45985.0</v>
      </c>
      <c r="D2799" s="512">
        <v>4.4516452143E10</v>
      </c>
      <c r="E2799" s="606" t="s">
        <v>5364</v>
      </c>
      <c r="F2799" s="644" t="s">
        <v>436</v>
      </c>
      <c r="G2799" s="606" t="s">
        <v>3616</v>
      </c>
      <c r="H2799" s="608" t="s">
        <v>686</v>
      </c>
    </row>
    <row r="2800">
      <c r="A2800" s="546" t="s">
        <v>432</v>
      </c>
      <c r="B2800" s="512" t="s">
        <v>449</v>
      </c>
      <c r="C2800" s="605">
        <v>45985.0</v>
      </c>
      <c r="D2800" s="512">
        <v>4.2846407539E10</v>
      </c>
      <c r="E2800" s="606" t="s">
        <v>5365</v>
      </c>
      <c r="F2800" s="644" t="s">
        <v>436</v>
      </c>
      <c r="G2800" s="606" t="s">
        <v>2732</v>
      </c>
      <c r="H2800" s="608" t="s">
        <v>686</v>
      </c>
    </row>
    <row r="2801">
      <c r="A2801" s="546" t="s">
        <v>432</v>
      </c>
      <c r="B2801" s="512" t="s">
        <v>449</v>
      </c>
      <c r="C2801" s="605">
        <v>45985.0</v>
      </c>
      <c r="D2801" s="512">
        <v>4.2835973231E10</v>
      </c>
      <c r="E2801" s="606" t="s">
        <v>5366</v>
      </c>
      <c r="F2801" s="644" t="s">
        <v>436</v>
      </c>
      <c r="G2801" s="606" t="s">
        <v>5240</v>
      </c>
      <c r="H2801" s="608" t="s">
        <v>686</v>
      </c>
    </row>
    <row r="2802">
      <c r="A2802" s="546" t="s">
        <v>439</v>
      </c>
      <c r="B2802" s="512" t="s">
        <v>449</v>
      </c>
      <c r="C2802" s="605">
        <v>45985.0</v>
      </c>
      <c r="D2802" s="512">
        <v>4.4593012066E10</v>
      </c>
      <c r="E2802" s="606" t="s">
        <v>5367</v>
      </c>
      <c r="F2802" s="644" t="s">
        <v>436</v>
      </c>
      <c r="G2802" s="606" t="s">
        <v>1265</v>
      </c>
      <c r="H2802" s="608" t="s">
        <v>5177</v>
      </c>
    </row>
    <row r="2803">
      <c r="A2803" s="546" t="s">
        <v>432</v>
      </c>
      <c r="B2803" s="512" t="s">
        <v>449</v>
      </c>
      <c r="C2803" s="605">
        <v>45985.0</v>
      </c>
      <c r="D2803" s="512">
        <v>4.2272026365E10</v>
      </c>
      <c r="E2803" s="606" t="s">
        <v>5368</v>
      </c>
      <c r="F2803" s="644" t="s">
        <v>436</v>
      </c>
      <c r="G2803" s="606" t="s">
        <v>2023</v>
      </c>
      <c r="H2803" s="608" t="s">
        <v>686</v>
      </c>
    </row>
    <row r="2804">
      <c r="A2804" s="546" t="s">
        <v>823</v>
      </c>
      <c r="B2804" s="512" t="s">
        <v>449</v>
      </c>
      <c r="C2804" s="605">
        <v>45985.0</v>
      </c>
      <c r="D2804" s="512">
        <v>4.2996763481E10</v>
      </c>
      <c r="E2804" s="606" t="s">
        <v>5369</v>
      </c>
      <c r="F2804" s="644" t="s">
        <v>436</v>
      </c>
      <c r="G2804" s="606" t="s">
        <v>3691</v>
      </c>
      <c r="H2804" s="608" t="s">
        <v>4558</v>
      </c>
    </row>
    <row r="2805">
      <c r="A2805" s="546" t="s">
        <v>432</v>
      </c>
      <c r="B2805" s="512" t="s">
        <v>433</v>
      </c>
      <c r="C2805" s="605">
        <v>45985.0</v>
      </c>
      <c r="D2805" s="512">
        <v>4.2830011054E10</v>
      </c>
      <c r="E2805" s="606" t="s">
        <v>5370</v>
      </c>
      <c r="F2805" s="644" t="s">
        <v>436</v>
      </c>
      <c r="G2805" s="606" t="s">
        <v>2991</v>
      </c>
      <c r="H2805" s="608" t="s">
        <v>686</v>
      </c>
    </row>
    <row r="2806">
      <c r="A2806" s="546" t="s">
        <v>432</v>
      </c>
      <c r="B2806" s="512" t="s">
        <v>449</v>
      </c>
      <c r="C2806" s="605">
        <v>45985.0</v>
      </c>
      <c r="D2806" s="512">
        <v>3.8302288984E10</v>
      </c>
      <c r="E2806" s="606" t="s">
        <v>5364</v>
      </c>
      <c r="F2806" s="644" t="s">
        <v>436</v>
      </c>
      <c r="G2806" s="606" t="s">
        <v>5371</v>
      </c>
      <c r="H2806" s="608" t="s">
        <v>686</v>
      </c>
    </row>
    <row r="2807">
      <c r="A2807" s="546" t="s">
        <v>432</v>
      </c>
      <c r="B2807" s="512" t="s">
        <v>449</v>
      </c>
      <c r="C2807" s="605">
        <v>45985.0</v>
      </c>
      <c r="D2807" s="512">
        <v>4.4535910544E10</v>
      </c>
      <c r="E2807" s="606" t="s">
        <v>5372</v>
      </c>
      <c r="F2807" s="644" t="s">
        <v>436</v>
      </c>
      <c r="G2807" s="606" t="s">
        <v>1722</v>
      </c>
      <c r="H2807" s="608" t="s">
        <v>686</v>
      </c>
    </row>
    <row r="2808">
      <c r="A2808" s="546" t="s">
        <v>432</v>
      </c>
      <c r="B2808" s="512" t="s">
        <v>433</v>
      </c>
      <c r="C2808" s="605">
        <v>45985.0</v>
      </c>
      <c r="D2808" s="512">
        <v>3.9677402046E10</v>
      </c>
      <c r="E2808" s="606" t="s">
        <v>5373</v>
      </c>
      <c r="F2808" s="644" t="s">
        <v>436</v>
      </c>
      <c r="G2808" s="606" t="s">
        <v>5374</v>
      </c>
      <c r="H2808" s="608" t="s">
        <v>686</v>
      </c>
    </row>
    <row r="2809">
      <c r="A2809" s="546" t="s">
        <v>823</v>
      </c>
      <c r="B2809" s="512" t="s">
        <v>433</v>
      </c>
      <c r="C2809" s="605">
        <v>45986.0</v>
      </c>
      <c r="D2809" s="512">
        <v>3.4411939616E10</v>
      </c>
      <c r="E2809" s="606" t="s">
        <v>5375</v>
      </c>
      <c r="F2809" s="644" t="s">
        <v>436</v>
      </c>
      <c r="G2809" s="606" t="s">
        <v>5376</v>
      </c>
      <c r="H2809" s="608" t="s">
        <v>4558</v>
      </c>
    </row>
    <row r="2810">
      <c r="A2810" s="546" t="s">
        <v>432</v>
      </c>
      <c r="B2810" s="512" t="s">
        <v>449</v>
      </c>
      <c r="C2810" s="605">
        <v>45986.0</v>
      </c>
      <c r="D2810" s="512">
        <v>4.2980132721E10</v>
      </c>
      <c r="E2810" s="606" t="s">
        <v>5377</v>
      </c>
      <c r="F2810" s="644" t="s">
        <v>436</v>
      </c>
      <c r="G2810" s="606" t="s">
        <v>2456</v>
      </c>
      <c r="H2810" s="608" t="s">
        <v>686</v>
      </c>
    </row>
    <row r="2811">
      <c r="A2811" s="546" t="s">
        <v>617</v>
      </c>
      <c r="B2811" s="512" t="s">
        <v>449</v>
      </c>
      <c r="C2811" s="605">
        <v>45986.0</v>
      </c>
      <c r="D2811" s="512">
        <v>4.2075468818E10</v>
      </c>
      <c r="E2811" s="606" t="s">
        <v>4887</v>
      </c>
      <c r="F2811" s="644" t="s">
        <v>436</v>
      </c>
      <c r="G2811" s="606" t="s">
        <v>5378</v>
      </c>
      <c r="H2811" s="608" t="s">
        <v>696</v>
      </c>
    </row>
    <row r="2812">
      <c r="A2812" s="546" t="s">
        <v>690</v>
      </c>
      <c r="B2812" s="512" t="s">
        <v>433</v>
      </c>
      <c r="C2812" s="605">
        <v>45986.0</v>
      </c>
      <c r="D2812" s="512">
        <v>4.3244262422E10</v>
      </c>
      <c r="E2812" s="606" t="s">
        <v>5253</v>
      </c>
      <c r="F2812" s="644" t="s">
        <v>436</v>
      </c>
      <c r="G2812" s="606" t="s">
        <v>5379</v>
      </c>
      <c r="H2812" s="608" t="s">
        <v>5334</v>
      </c>
    </row>
    <row r="2813">
      <c r="A2813" s="546" t="s">
        <v>432</v>
      </c>
      <c r="B2813" s="512" t="s">
        <v>433</v>
      </c>
      <c r="C2813" s="605">
        <v>45986.0</v>
      </c>
      <c r="D2813" s="512">
        <v>4.2351983594E10</v>
      </c>
      <c r="E2813" s="606" t="s">
        <v>5380</v>
      </c>
      <c r="F2813" s="644" t="s">
        <v>436</v>
      </c>
      <c r="G2813" s="606" t="s">
        <v>1376</v>
      </c>
      <c r="H2813" s="608" t="s">
        <v>686</v>
      </c>
    </row>
    <row r="2814">
      <c r="A2814" s="546" t="s">
        <v>432</v>
      </c>
      <c r="B2814" s="512" t="s">
        <v>433</v>
      </c>
      <c r="C2814" s="605">
        <v>45986.0</v>
      </c>
      <c r="D2814" s="512">
        <v>4.2786552459E10</v>
      </c>
      <c r="E2814" s="606" t="s">
        <v>5381</v>
      </c>
      <c r="F2814" s="644" t="s">
        <v>436</v>
      </c>
      <c r="G2814" s="606" t="s">
        <v>1376</v>
      </c>
      <c r="H2814" s="608" t="s">
        <v>686</v>
      </c>
    </row>
    <row r="2815">
      <c r="A2815" s="546" t="s">
        <v>617</v>
      </c>
      <c r="B2815" s="512" t="s">
        <v>449</v>
      </c>
      <c r="C2815" s="605">
        <v>45986.0</v>
      </c>
      <c r="D2815" s="512">
        <v>3.3017548513E10</v>
      </c>
      <c r="E2815" s="606" t="s">
        <v>5382</v>
      </c>
      <c r="F2815" s="644" t="s">
        <v>436</v>
      </c>
      <c r="G2815" s="606" t="s">
        <v>710</v>
      </c>
      <c r="H2815" s="608" t="s">
        <v>696</v>
      </c>
    </row>
    <row r="2816">
      <c r="A2816" s="546" t="s">
        <v>617</v>
      </c>
      <c r="B2816" s="512" t="s">
        <v>433</v>
      </c>
      <c r="C2816" s="605">
        <v>45986.0</v>
      </c>
      <c r="D2816" s="512">
        <v>3.3017548537E10</v>
      </c>
      <c r="E2816" s="606" t="s">
        <v>4974</v>
      </c>
      <c r="F2816" s="644" t="s">
        <v>436</v>
      </c>
      <c r="G2816" s="606" t="s">
        <v>710</v>
      </c>
      <c r="H2816" s="608" t="s">
        <v>696</v>
      </c>
    </row>
    <row r="2817">
      <c r="A2817" s="546" t="s">
        <v>823</v>
      </c>
      <c r="B2817" s="512" t="s">
        <v>433</v>
      </c>
      <c r="C2817" s="605">
        <v>45986.0</v>
      </c>
      <c r="D2817" s="512">
        <v>4.2440211897E10</v>
      </c>
      <c r="E2817" s="606" t="s">
        <v>5383</v>
      </c>
      <c r="F2817" s="644" t="s">
        <v>436</v>
      </c>
      <c r="G2817" s="606" t="s">
        <v>5384</v>
      </c>
      <c r="H2817" s="608" t="s">
        <v>4558</v>
      </c>
    </row>
    <row r="2818">
      <c r="A2818" s="546" t="s">
        <v>432</v>
      </c>
      <c r="B2818" s="512" t="s">
        <v>433</v>
      </c>
      <c r="C2818" s="605">
        <v>45986.0</v>
      </c>
      <c r="D2818" s="512">
        <v>4.4454898286E10</v>
      </c>
      <c r="E2818" s="606" t="s">
        <v>5385</v>
      </c>
      <c r="F2818" s="644" t="s">
        <v>436</v>
      </c>
      <c r="G2818" s="606" t="s">
        <v>5386</v>
      </c>
      <c r="H2818" s="608" t="s">
        <v>686</v>
      </c>
    </row>
    <row r="2819">
      <c r="A2819" s="546" t="s">
        <v>823</v>
      </c>
      <c r="B2819" s="512" t="s">
        <v>433</v>
      </c>
      <c r="C2819" s="605">
        <v>45986.0</v>
      </c>
      <c r="D2819" s="512">
        <v>4.4551588908E10</v>
      </c>
      <c r="E2819" s="606" t="s">
        <v>5387</v>
      </c>
      <c r="F2819" s="644" t="s">
        <v>436</v>
      </c>
      <c r="G2819" s="606" t="s">
        <v>5388</v>
      </c>
      <c r="H2819" s="608" t="s">
        <v>4558</v>
      </c>
    </row>
    <row r="2820">
      <c r="A2820" s="546" t="s">
        <v>823</v>
      </c>
      <c r="B2820" s="512" t="s">
        <v>449</v>
      </c>
      <c r="C2820" s="605">
        <v>45986.0</v>
      </c>
      <c r="D2820" s="512">
        <v>4.4538824432E10</v>
      </c>
      <c r="E2820" s="606" t="s">
        <v>5389</v>
      </c>
      <c r="F2820" s="644" t="s">
        <v>436</v>
      </c>
      <c r="G2820" s="606" t="s">
        <v>2776</v>
      </c>
      <c r="H2820" s="608" t="s">
        <v>4558</v>
      </c>
    </row>
    <row r="2821">
      <c r="A2821" s="546" t="s">
        <v>432</v>
      </c>
      <c r="B2821" s="512" t="s">
        <v>449</v>
      </c>
      <c r="C2821" s="605">
        <v>45986.0</v>
      </c>
      <c r="D2821" s="512">
        <v>4.4334387497E10</v>
      </c>
      <c r="E2821" s="606" t="s">
        <v>5390</v>
      </c>
      <c r="F2821" s="644" t="s">
        <v>436</v>
      </c>
      <c r="G2821" s="606" t="s">
        <v>1437</v>
      </c>
      <c r="H2821" s="608" t="s">
        <v>686</v>
      </c>
    </row>
    <row r="2822">
      <c r="A2822" s="546" t="s">
        <v>439</v>
      </c>
      <c r="B2822" s="512" t="s">
        <v>5391</v>
      </c>
      <c r="C2822" s="605">
        <v>45986.0</v>
      </c>
      <c r="D2822" s="512">
        <v>4.2592611353E10</v>
      </c>
      <c r="E2822" s="606" t="s">
        <v>4860</v>
      </c>
      <c r="F2822" s="644" t="s">
        <v>436</v>
      </c>
      <c r="G2822" s="606" t="s">
        <v>5392</v>
      </c>
      <c r="H2822" s="608" t="s">
        <v>5177</v>
      </c>
    </row>
    <row r="2823">
      <c r="A2823" s="546" t="s">
        <v>823</v>
      </c>
      <c r="B2823" s="512" t="s">
        <v>433</v>
      </c>
      <c r="C2823" s="605">
        <v>45986.0</v>
      </c>
      <c r="D2823" s="512">
        <v>4.4590712798E10</v>
      </c>
      <c r="E2823" s="606" t="s">
        <v>5393</v>
      </c>
      <c r="F2823" s="644" t="s">
        <v>436</v>
      </c>
      <c r="G2823" s="606" t="s">
        <v>5394</v>
      </c>
      <c r="H2823" s="608" t="s">
        <v>4558</v>
      </c>
    </row>
    <row r="2824">
      <c r="A2824" s="546" t="s">
        <v>617</v>
      </c>
      <c r="B2824" s="512" t="s">
        <v>646</v>
      </c>
      <c r="C2824" s="605">
        <v>45986.0</v>
      </c>
      <c r="D2824" s="512">
        <v>4.2848410458E10</v>
      </c>
      <c r="E2824" s="606" t="s">
        <v>4165</v>
      </c>
      <c r="F2824" s="644" t="s">
        <v>436</v>
      </c>
      <c r="G2824" s="606" t="s">
        <v>5395</v>
      </c>
      <c r="H2824" s="608" t="s">
        <v>696</v>
      </c>
    </row>
    <row r="2825">
      <c r="A2825" s="546" t="s">
        <v>432</v>
      </c>
      <c r="B2825" s="512" t="s">
        <v>433</v>
      </c>
      <c r="C2825" s="605">
        <v>45986.0</v>
      </c>
      <c r="D2825" s="512">
        <v>4.4454898311E10</v>
      </c>
      <c r="E2825" s="606" t="s">
        <v>5396</v>
      </c>
      <c r="F2825" s="644" t="s">
        <v>436</v>
      </c>
      <c r="G2825" s="606" t="s">
        <v>1114</v>
      </c>
      <c r="H2825" s="608" t="s">
        <v>686</v>
      </c>
    </row>
    <row r="2826">
      <c r="A2826" s="546" t="s">
        <v>823</v>
      </c>
      <c r="B2826" s="512" t="s">
        <v>449</v>
      </c>
      <c r="C2826" s="605">
        <v>45986.0</v>
      </c>
      <c r="D2826" s="512">
        <v>3.7250919547E10</v>
      </c>
      <c r="E2826" s="606" t="s">
        <v>5397</v>
      </c>
      <c r="F2826" s="644" t="s">
        <v>436</v>
      </c>
      <c r="G2826" s="606" t="s">
        <v>5398</v>
      </c>
      <c r="H2826" s="608" t="s">
        <v>4558</v>
      </c>
    </row>
    <row r="2827">
      <c r="A2827" s="546" t="s">
        <v>432</v>
      </c>
      <c r="B2827" s="512" t="s">
        <v>449</v>
      </c>
      <c r="C2827" s="605">
        <v>45986.0</v>
      </c>
      <c r="D2827" s="512">
        <v>4.2034429492E10</v>
      </c>
      <c r="E2827" s="606" t="s">
        <v>5399</v>
      </c>
      <c r="F2827" s="644" t="s">
        <v>436</v>
      </c>
      <c r="G2827" s="606" t="s">
        <v>5400</v>
      </c>
      <c r="H2827" s="608" t="s">
        <v>686</v>
      </c>
    </row>
    <row r="2828">
      <c r="A2828" s="546" t="s">
        <v>432</v>
      </c>
      <c r="B2828" s="512" t="s">
        <v>449</v>
      </c>
      <c r="C2828" s="605">
        <v>45986.0</v>
      </c>
      <c r="D2828" s="512">
        <v>3.6644622812E10</v>
      </c>
      <c r="E2828" s="606" t="s">
        <v>5401</v>
      </c>
      <c r="F2828" s="644" t="s">
        <v>436</v>
      </c>
      <c r="G2828" s="606" t="s">
        <v>5402</v>
      </c>
      <c r="H2828" s="608" t="s">
        <v>686</v>
      </c>
    </row>
    <row r="2829">
      <c r="A2829" s="546" t="s">
        <v>690</v>
      </c>
      <c r="B2829" s="512" t="s">
        <v>433</v>
      </c>
      <c r="C2829" s="605">
        <v>45986.0</v>
      </c>
      <c r="D2829" s="512">
        <v>3.9902388589E10</v>
      </c>
      <c r="E2829" s="606" t="s">
        <v>5403</v>
      </c>
      <c r="F2829" s="644" t="s">
        <v>436</v>
      </c>
      <c r="G2829" s="606" t="s">
        <v>5404</v>
      </c>
      <c r="H2829" s="608" t="s">
        <v>5334</v>
      </c>
    </row>
    <row r="2830">
      <c r="A2830" s="546" t="s">
        <v>432</v>
      </c>
      <c r="B2830" s="512" t="s">
        <v>5391</v>
      </c>
      <c r="C2830" s="605">
        <v>45986.0</v>
      </c>
      <c r="D2830" s="512">
        <v>2.7798076591E10</v>
      </c>
      <c r="E2830" s="606" t="s">
        <v>5405</v>
      </c>
      <c r="F2830" s="644" t="s">
        <v>436</v>
      </c>
      <c r="G2830" s="606" t="s">
        <v>1427</v>
      </c>
      <c r="H2830" s="608" t="s">
        <v>686</v>
      </c>
    </row>
    <row r="2831">
      <c r="A2831" s="546" t="s">
        <v>823</v>
      </c>
      <c r="B2831" s="512" t="s">
        <v>433</v>
      </c>
      <c r="C2831" s="605">
        <v>45986.0</v>
      </c>
      <c r="D2831" s="512">
        <v>4.0972176551E10</v>
      </c>
      <c r="E2831" s="606" t="s">
        <v>5406</v>
      </c>
      <c r="F2831" s="644" t="s">
        <v>436</v>
      </c>
      <c r="G2831" s="606" t="s">
        <v>2745</v>
      </c>
      <c r="H2831" s="608" t="s">
        <v>4558</v>
      </c>
    </row>
    <row r="2832">
      <c r="A2832" s="546" t="s">
        <v>432</v>
      </c>
      <c r="B2832" s="512" t="s">
        <v>433</v>
      </c>
      <c r="C2832" s="605">
        <v>45986.0</v>
      </c>
      <c r="D2832" s="512">
        <v>3.930521416E10</v>
      </c>
      <c r="E2832" s="606" t="s">
        <v>5407</v>
      </c>
      <c r="F2832" s="644" t="s">
        <v>436</v>
      </c>
      <c r="G2832" s="606" t="s">
        <v>809</v>
      </c>
      <c r="H2832" s="608" t="s">
        <v>686</v>
      </c>
    </row>
    <row r="2833">
      <c r="A2833" s="546" t="s">
        <v>432</v>
      </c>
      <c r="B2833" s="512" t="s">
        <v>449</v>
      </c>
      <c r="C2833" s="605">
        <v>45986.0</v>
      </c>
      <c r="D2833" s="512">
        <v>4.4590624314E10</v>
      </c>
      <c r="E2833" s="606" t="s">
        <v>5408</v>
      </c>
      <c r="F2833" s="644" t="s">
        <v>436</v>
      </c>
      <c r="G2833" s="606" t="s">
        <v>1422</v>
      </c>
      <c r="H2833" s="608" t="s">
        <v>686</v>
      </c>
    </row>
    <row r="2834">
      <c r="A2834" s="546" t="s">
        <v>823</v>
      </c>
      <c r="B2834" s="512" t="s">
        <v>433</v>
      </c>
      <c r="C2834" s="605">
        <v>45986.0</v>
      </c>
      <c r="D2834" s="512">
        <v>4.4592502892E10</v>
      </c>
      <c r="E2834" s="606" t="s">
        <v>5409</v>
      </c>
      <c r="F2834" s="644" t="s">
        <v>436</v>
      </c>
      <c r="G2834" s="606" t="s">
        <v>814</v>
      </c>
      <c r="H2834" s="608" t="s">
        <v>4558</v>
      </c>
    </row>
    <row r="2835">
      <c r="A2835" s="546" t="s">
        <v>690</v>
      </c>
      <c r="B2835" s="512" t="s">
        <v>449</v>
      </c>
      <c r="C2835" s="605">
        <v>45987.0</v>
      </c>
      <c r="D2835" s="512">
        <v>4.3259506486E10</v>
      </c>
      <c r="E2835" s="606" t="s">
        <v>5253</v>
      </c>
      <c r="F2835" s="644" t="s">
        <v>436</v>
      </c>
      <c r="G2835" s="606" t="s">
        <v>5410</v>
      </c>
      <c r="H2835" s="608" t="s">
        <v>5334</v>
      </c>
    </row>
    <row r="2836">
      <c r="A2836" s="546" t="s">
        <v>690</v>
      </c>
      <c r="B2836" s="512" t="s">
        <v>5411</v>
      </c>
      <c r="C2836" s="605">
        <v>45987.0</v>
      </c>
      <c r="D2836" s="512">
        <v>4.292875745E10</v>
      </c>
      <c r="E2836" s="606" t="s">
        <v>5253</v>
      </c>
      <c r="F2836" s="644" t="s">
        <v>436</v>
      </c>
      <c r="G2836" s="606" t="s">
        <v>5412</v>
      </c>
      <c r="H2836" s="608" t="s">
        <v>5334</v>
      </c>
    </row>
    <row r="2837">
      <c r="A2837" s="546" t="s">
        <v>432</v>
      </c>
      <c r="B2837" s="512" t="s">
        <v>449</v>
      </c>
      <c r="C2837" s="605">
        <v>45987.0</v>
      </c>
      <c r="D2837" s="512">
        <v>4.2447172748E10</v>
      </c>
      <c r="E2837" s="606" t="s">
        <v>5413</v>
      </c>
      <c r="F2837" s="644" t="s">
        <v>436</v>
      </c>
      <c r="G2837" s="606" t="s">
        <v>971</v>
      </c>
      <c r="H2837" s="608" t="s">
        <v>686</v>
      </c>
    </row>
    <row r="2838">
      <c r="A2838" s="546" t="s">
        <v>439</v>
      </c>
      <c r="B2838" s="512" t="s">
        <v>433</v>
      </c>
      <c r="C2838" s="605">
        <v>45987.0</v>
      </c>
      <c r="D2838" s="512">
        <v>3.8384856459E10</v>
      </c>
      <c r="E2838" s="606" t="s">
        <v>5414</v>
      </c>
      <c r="F2838" s="644" t="s">
        <v>436</v>
      </c>
      <c r="G2838" s="606" t="s">
        <v>5415</v>
      </c>
      <c r="H2838" s="608" t="s">
        <v>1608</v>
      </c>
    </row>
    <row r="2839">
      <c r="A2839" s="546" t="s">
        <v>617</v>
      </c>
      <c r="B2839" s="512" t="s">
        <v>449</v>
      </c>
      <c r="C2839" s="605">
        <v>45987.0</v>
      </c>
      <c r="D2839" s="512">
        <v>3.7436996709E10</v>
      </c>
      <c r="E2839" s="606" t="s">
        <v>5320</v>
      </c>
      <c r="F2839" s="644" t="s">
        <v>436</v>
      </c>
      <c r="G2839" s="606" t="s">
        <v>5066</v>
      </c>
      <c r="H2839" s="608" t="s">
        <v>696</v>
      </c>
    </row>
    <row r="2840">
      <c r="A2840" s="546" t="s">
        <v>439</v>
      </c>
      <c r="B2840" s="512" t="s">
        <v>449</v>
      </c>
      <c r="C2840" s="605">
        <v>45987.0</v>
      </c>
      <c r="D2840" s="512">
        <v>4.4091784111E10</v>
      </c>
      <c r="E2840" s="606" t="s">
        <v>5109</v>
      </c>
      <c r="F2840" s="644" t="s">
        <v>436</v>
      </c>
      <c r="G2840" s="606" t="s">
        <v>5416</v>
      </c>
      <c r="H2840" s="608" t="s">
        <v>1608</v>
      </c>
    </row>
    <row r="2841">
      <c r="A2841" s="546" t="s">
        <v>439</v>
      </c>
      <c r="B2841" s="512" t="s">
        <v>449</v>
      </c>
      <c r="C2841" s="605">
        <v>45987.0</v>
      </c>
      <c r="D2841" s="512">
        <v>4.2496453226E10</v>
      </c>
      <c r="E2841" s="606" t="s">
        <v>5417</v>
      </c>
      <c r="F2841" s="644" t="s">
        <v>436</v>
      </c>
      <c r="G2841" s="606" t="s">
        <v>5418</v>
      </c>
      <c r="H2841" s="608" t="s">
        <v>1608</v>
      </c>
    </row>
    <row r="2842">
      <c r="A2842" s="546" t="s">
        <v>439</v>
      </c>
      <c r="B2842" s="512" t="s">
        <v>449</v>
      </c>
      <c r="C2842" s="605">
        <v>45987.0</v>
      </c>
      <c r="D2842" s="512">
        <v>3.2016439732E10</v>
      </c>
      <c r="E2842" s="606" t="s">
        <v>5382</v>
      </c>
      <c r="F2842" s="644" t="s">
        <v>436</v>
      </c>
      <c r="G2842" s="606" t="s">
        <v>3486</v>
      </c>
      <c r="H2842" s="608" t="s">
        <v>1608</v>
      </c>
    </row>
    <row r="2843">
      <c r="A2843" s="546" t="s">
        <v>690</v>
      </c>
      <c r="B2843" s="512" t="s">
        <v>5411</v>
      </c>
      <c r="C2843" s="605">
        <v>45987.0</v>
      </c>
      <c r="D2843" s="512">
        <v>4.3325895067E10</v>
      </c>
      <c r="E2843" s="606" t="s">
        <v>5419</v>
      </c>
      <c r="F2843" s="644" t="s">
        <v>436</v>
      </c>
      <c r="G2843" s="606" t="s">
        <v>2810</v>
      </c>
      <c r="H2843" s="608" t="s">
        <v>5334</v>
      </c>
    </row>
    <row r="2844">
      <c r="A2844" s="546" t="s">
        <v>432</v>
      </c>
      <c r="B2844" s="512" t="s">
        <v>449</v>
      </c>
      <c r="C2844" s="605">
        <v>45987.0</v>
      </c>
      <c r="D2844" s="512">
        <v>4.4329981993E10</v>
      </c>
      <c r="E2844" s="606" t="s">
        <v>5420</v>
      </c>
      <c r="F2844" s="644" t="s">
        <v>436</v>
      </c>
      <c r="G2844" s="606" t="s">
        <v>5421</v>
      </c>
      <c r="H2844" s="608" t="s">
        <v>686</v>
      </c>
    </row>
    <row r="2845">
      <c r="A2845" s="546" t="s">
        <v>432</v>
      </c>
      <c r="B2845" s="512" t="s">
        <v>449</v>
      </c>
      <c r="C2845" s="605">
        <v>45987.0</v>
      </c>
      <c r="D2845" s="512">
        <v>4.4329957332E10</v>
      </c>
      <c r="E2845" s="606" t="s">
        <v>5420</v>
      </c>
      <c r="F2845" s="644" t="s">
        <v>436</v>
      </c>
      <c r="G2845" s="606" t="s">
        <v>5421</v>
      </c>
      <c r="H2845" s="608" t="s">
        <v>686</v>
      </c>
    </row>
    <row r="2846">
      <c r="A2846" s="546" t="s">
        <v>432</v>
      </c>
      <c r="B2846" s="512" t="s">
        <v>433</v>
      </c>
      <c r="C2846" s="605">
        <v>45987.0</v>
      </c>
      <c r="D2846" s="512">
        <v>4.3047850667E10</v>
      </c>
      <c r="E2846" s="606" t="s">
        <v>5422</v>
      </c>
      <c r="F2846" s="644" t="s">
        <v>436</v>
      </c>
      <c r="G2846" s="606" t="s">
        <v>5423</v>
      </c>
      <c r="H2846" s="608" t="s">
        <v>686</v>
      </c>
    </row>
    <row r="2847">
      <c r="A2847" s="546" t="s">
        <v>823</v>
      </c>
      <c r="B2847" s="512" t="s">
        <v>449</v>
      </c>
      <c r="C2847" s="605">
        <v>45987.0</v>
      </c>
      <c r="D2847" s="512">
        <v>4081195.0</v>
      </c>
      <c r="E2847" s="606" t="s">
        <v>5180</v>
      </c>
      <c r="F2847" s="644" t="s">
        <v>436</v>
      </c>
      <c r="G2847" s="606" t="s">
        <v>5424</v>
      </c>
      <c r="H2847" s="608" t="s">
        <v>5425</v>
      </c>
    </row>
    <row r="2848">
      <c r="A2848" s="546" t="s">
        <v>432</v>
      </c>
      <c r="B2848" s="512" t="s">
        <v>449</v>
      </c>
      <c r="C2848" s="605">
        <v>45987.0</v>
      </c>
      <c r="D2848" s="512">
        <v>3.1433624015E10</v>
      </c>
      <c r="E2848" s="606" t="s">
        <v>5426</v>
      </c>
      <c r="F2848" s="644" t="s">
        <v>436</v>
      </c>
      <c r="G2848" s="606" t="s">
        <v>3415</v>
      </c>
      <c r="H2848" s="608" t="s">
        <v>686</v>
      </c>
    </row>
    <row r="2849">
      <c r="A2849" s="546" t="s">
        <v>439</v>
      </c>
      <c r="B2849" s="512" t="s">
        <v>433</v>
      </c>
      <c r="C2849" s="605">
        <v>45987.0</v>
      </c>
      <c r="D2849" s="512">
        <v>3.8847748206E10</v>
      </c>
      <c r="E2849" s="606" t="s">
        <v>5427</v>
      </c>
      <c r="F2849" s="644" t="s">
        <v>436</v>
      </c>
      <c r="G2849" s="606" t="s">
        <v>906</v>
      </c>
      <c r="H2849" s="608" t="s">
        <v>1608</v>
      </c>
    </row>
    <row r="2850">
      <c r="A2850" s="546" t="s">
        <v>690</v>
      </c>
      <c r="B2850" s="512" t="s">
        <v>5411</v>
      </c>
      <c r="C2850" s="605">
        <v>45987.0</v>
      </c>
      <c r="D2850" s="512" t="s">
        <v>5428</v>
      </c>
      <c r="E2850" s="606" t="s">
        <v>4165</v>
      </c>
      <c r="F2850" s="644" t="s">
        <v>436</v>
      </c>
      <c r="G2850" s="606" t="s">
        <v>5429</v>
      </c>
      <c r="H2850" s="608" t="s">
        <v>5334</v>
      </c>
    </row>
    <row r="2851">
      <c r="A2851" s="546" t="s">
        <v>617</v>
      </c>
      <c r="B2851" s="512" t="s">
        <v>449</v>
      </c>
      <c r="C2851" s="605">
        <v>45987.0</v>
      </c>
      <c r="D2851" s="512">
        <v>3.8018373313E10</v>
      </c>
      <c r="E2851" s="606" t="s">
        <v>5430</v>
      </c>
      <c r="F2851" s="644" t="s">
        <v>436</v>
      </c>
      <c r="G2851" s="640"/>
      <c r="H2851" s="608" t="s">
        <v>696</v>
      </c>
    </row>
    <row r="2852">
      <c r="A2852" s="546" t="s">
        <v>690</v>
      </c>
      <c r="B2852" s="512" t="s">
        <v>449</v>
      </c>
      <c r="C2852" s="605">
        <v>45988.0</v>
      </c>
      <c r="D2852" s="512" t="s">
        <v>5431</v>
      </c>
      <c r="E2852" s="606" t="s">
        <v>4974</v>
      </c>
      <c r="F2852" s="644" t="s">
        <v>436</v>
      </c>
      <c r="G2852" s="606" t="s">
        <v>5432</v>
      </c>
      <c r="H2852" s="670" t="s">
        <v>139</v>
      </c>
    </row>
    <row r="2853">
      <c r="A2853" s="546" t="s">
        <v>432</v>
      </c>
      <c r="B2853" s="512" t="s">
        <v>449</v>
      </c>
      <c r="C2853" s="605">
        <v>45988.0</v>
      </c>
      <c r="D2853" s="512">
        <v>3.7247881686E10</v>
      </c>
      <c r="E2853" s="606" t="s">
        <v>5433</v>
      </c>
      <c r="F2853" s="644" t="s">
        <v>436</v>
      </c>
      <c r="G2853" s="606" t="s">
        <v>5434</v>
      </c>
      <c r="H2853" s="608" t="s">
        <v>686</v>
      </c>
    </row>
    <row r="2854">
      <c r="A2854" s="546" t="s">
        <v>823</v>
      </c>
      <c r="B2854" s="512" t="s">
        <v>433</v>
      </c>
      <c r="C2854" s="605">
        <v>45988.0</v>
      </c>
      <c r="D2854" s="512">
        <v>4.2765192598E10</v>
      </c>
      <c r="E2854" s="606" t="s">
        <v>5359</v>
      </c>
      <c r="F2854" s="644" t="s">
        <v>436</v>
      </c>
      <c r="G2854" s="606" t="s">
        <v>5435</v>
      </c>
      <c r="H2854" s="608" t="s">
        <v>4558</v>
      </c>
    </row>
    <row r="2855">
      <c r="A2855" s="546" t="s">
        <v>432</v>
      </c>
      <c r="B2855" s="512" t="s">
        <v>449</v>
      </c>
      <c r="C2855" s="605">
        <v>45988.0</v>
      </c>
      <c r="D2855" s="512">
        <v>3.6235807003E10</v>
      </c>
      <c r="E2855" s="606" t="s">
        <v>5436</v>
      </c>
      <c r="F2855" s="644" t="s">
        <v>436</v>
      </c>
      <c r="G2855" s="606" t="s">
        <v>5437</v>
      </c>
      <c r="H2855" s="608" t="s">
        <v>686</v>
      </c>
    </row>
    <row r="2856">
      <c r="A2856" s="546" t="s">
        <v>432</v>
      </c>
      <c r="B2856" s="512" t="s">
        <v>449</v>
      </c>
      <c r="C2856" s="605">
        <v>45988.0</v>
      </c>
      <c r="D2856" s="512">
        <v>3.8499611879E10</v>
      </c>
      <c r="E2856" s="606" t="s">
        <v>5438</v>
      </c>
      <c r="F2856" s="644" t="s">
        <v>436</v>
      </c>
      <c r="G2856" s="606" t="s">
        <v>5439</v>
      </c>
      <c r="H2856" s="608" t="s">
        <v>686</v>
      </c>
    </row>
    <row r="2857">
      <c r="A2857" s="546" t="s">
        <v>439</v>
      </c>
      <c r="B2857" s="512" t="s">
        <v>449</v>
      </c>
      <c r="C2857" s="605">
        <v>45988.0</v>
      </c>
      <c r="D2857" s="512">
        <v>4.0807810421E10</v>
      </c>
      <c r="E2857" s="606" t="s">
        <v>5440</v>
      </c>
      <c r="F2857" s="644" t="s">
        <v>436</v>
      </c>
      <c r="G2857" s="606" t="s">
        <v>5441</v>
      </c>
      <c r="H2857" s="608" t="s">
        <v>1608</v>
      </c>
    </row>
    <row r="2858">
      <c r="A2858" s="546" t="s">
        <v>432</v>
      </c>
      <c r="B2858" s="512" t="s">
        <v>449</v>
      </c>
      <c r="C2858" s="605">
        <v>45988.0</v>
      </c>
      <c r="D2858" s="512">
        <v>4.4717706227E10</v>
      </c>
      <c r="E2858" s="606" t="s">
        <v>5442</v>
      </c>
      <c r="F2858" s="644" t="s">
        <v>436</v>
      </c>
      <c r="G2858" s="606" t="s">
        <v>5443</v>
      </c>
      <c r="H2858" s="608" t="s">
        <v>686</v>
      </c>
    </row>
    <row r="2859">
      <c r="A2859" s="546" t="s">
        <v>432</v>
      </c>
      <c r="B2859" s="512" t="s">
        <v>433</v>
      </c>
      <c r="C2859" s="605">
        <v>45988.0</v>
      </c>
      <c r="D2859" s="512">
        <v>4.4717706223E10</v>
      </c>
      <c r="E2859" s="606" t="s">
        <v>5444</v>
      </c>
      <c r="F2859" s="644" t="s">
        <v>436</v>
      </c>
      <c r="G2859" s="606" t="s">
        <v>5443</v>
      </c>
      <c r="H2859" s="608" t="s">
        <v>686</v>
      </c>
    </row>
    <row r="2860">
      <c r="A2860" s="546" t="s">
        <v>823</v>
      </c>
      <c r="B2860" s="512" t="s">
        <v>5411</v>
      </c>
      <c r="C2860" s="605">
        <v>45988.0</v>
      </c>
      <c r="D2860" s="512">
        <v>3.3470282441E10</v>
      </c>
      <c r="E2860" s="606" t="s">
        <v>5359</v>
      </c>
      <c r="F2860" s="644" t="s">
        <v>436</v>
      </c>
      <c r="G2860" s="606" t="s">
        <v>465</v>
      </c>
      <c r="H2860" s="608" t="s">
        <v>4558</v>
      </c>
    </row>
    <row r="2861">
      <c r="A2861" s="546" t="s">
        <v>432</v>
      </c>
      <c r="B2861" s="512" t="s">
        <v>449</v>
      </c>
      <c r="C2861" s="605">
        <v>45988.0</v>
      </c>
      <c r="D2861" s="512">
        <v>4.0843993919E10</v>
      </c>
      <c r="E2861" s="606" t="s">
        <v>5445</v>
      </c>
      <c r="F2861" s="644" t="s">
        <v>436</v>
      </c>
      <c r="G2861" s="606" t="s">
        <v>448</v>
      </c>
      <c r="H2861" s="608" t="s">
        <v>686</v>
      </c>
    </row>
    <row r="2862">
      <c r="A2862" s="546" t="s">
        <v>823</v>
      </c>
      <c r="B2862" s="512" t="s">
        <v>5411</v>
      </c>
      <c r="C2862" s="605">
        <v>45988.0</v>
      </c>
      <c r="D2862" s="512">
        <v>4.3006213831E10</v>
      </c>
      <c r="E2862" s="606" t="s">
        <v>5359</v>
      </c>
      <c r="F2862" s="644" t="s">
        <v>436</v>
      </c>
      <c r="G2862" s="606" t="s">
        <v>5446</v>
      </c>
      <c r="H2862" s="608" t="s">
        <v>4558</v>
      </c>
    </row>
    <row r="2863">
      <c r="A2863" s="546" t="s">
        <v>823</v>
      </c>
      <c r="B2863" s="512" t="s">
        <v>433</v>
      </c>
      <c r="C2863" s="605">
        <v>45988.0</v>
      </c>
      <c r="D2863" s="512">
        <v>2.9853451569E10</v>
      </c>
      <c r="E2863" s="606" t="s">
        <v>4979</v>
      </c>
      <c r="F2863" s="644" t="s">
        <v>436</v>
      </c>
      <c r="G2863" s="606" t="s">
        <v>631</v>
      </c>
      <c r="H2863" s="608" t="s">
        <v>4558</v>
      </c>
    </row>
    <row r="2864">
      <c r="A2864" s="546" t="s">
        <v>823</v>
      </c>
      <c r="B2864" s="512" t="s">
        <v>5411</v>
      </c>
      <c r="C2864" s="605">
        <v>45988.0</v>
      </c>
      <c r="D2864" s="512">
        <v>4.4717647154E10</v>
      </c>
      <c r="E2864" s="606" t="s">
        <v>4165</v>
      </c>
      <c r="F2864" s="644" t="s">
        <v>436</v>
      </c>
      <c r="G2864" s="606" t="s">
        <v>5285</v>
      </c>
      <c r="H2864" s="608" t="s">
        <v>4558</v>
      </c>
    </row>
    <row r="2865">
      <c r="A2865" s="546" t="s">
        <v>823</v>
      </c>
      <c r="B2865" s="512" t="s">
        <v>433</v>
      </c>
      <c r="C2865" s="605">
        <v>45988.0</v>
      </c>
      <c r="D2865" s="512">
        <v>3.9166906109E10</v>
      </c>
      <c r="E2865" s="606" t="s">
        <v>5359</v>
      </c>
      <c r="F2865" s="644" t="s">
        <v>436</v>
      </c>
      <c r="G2865" s="606" t="s">
        <v>5447</v>
      </c>
      <c r="H2865" s="608" t="s">
        <v>4558</v>
      </c>
    </row>
    <row r="2866">
      <c r="A2866" s="546" t="s">
        <v>823</v>
      </c>
      <c r="B2866" s="512" t="s">
        <v>5411</v>
      </c>
      <c r="C2866" s="605">
        <v>45988.0</v>
      </c>
      <c r="D2866" s="512">
        <v>4.2649143076E10</v>
      </c>
      <c r="E2866" s="606" t="s">
        <v>5448</v>
      </c>
      <c r="F2866" s="644" t="s">
        <v>436</v>
      </c>
      <c r="G2866" s="606" t="s">
        <v>3901</v>
      </c>
      <c r="H2866" s="608" t="s">
        <v>4558</v>
      </c>
    </row>
    <row r="2867">
      <c r="A2867" s="546" t="s">
        <v>823</v>
      </c>
      <c r="B2867" s="512" t="s">
        <v>5411</v>
      </c>
      <c r="C2867" s="605">
        <v>45988.0</v>
      </c>
      <c r="D2867" s="512">
        <v>3.7260551996E10</v>
      </c>
      <c r="E2867" s="606" t="s">
        <v>5449</v>
      </c>
      <c r="F2867" s="644" t="s">
        <v>436</v>
      </c>
      <c r="G2867" s="606" t="s">
        <v>3901</v>
      </c>
      <c r="H2867" s="608" t="s">
        <v>4558</v>
      </c>
    </row>
    <row r="2868">
      <c r="A2868" s="546" t="s">
        <v>823</v>
      </c>
      <c r="B2868" s="512" t="s">
        <v>433</v>
      </c>
      <c r="C2868" s="605">
        <v>45988.0</v>
      </c>
      <c r="D2868" s="512">
        <v>2.3468589382E10</v>
      </c>
      <c r="E2868" s="606" t="s">
        <v>5450</v>
      </c>
      <c r="F2868" s="644" t="s">
        <v>436</v>
      </c>
      <c r="G2868" s="606" t="s">
        <v>5451</v>
      </c>
      <c r="H2868" s="608" t="s">
        <v>4558</v>
      </c>
    </row>
    <row r="2869">
      <c r="A2869" s="546" t="s">
        <v>432</v>
      </c>
      <c r="B2869" s="512" t="s">
        <v>449</v>
      </c>
      <c r="C2869" s="605">
        <v>45988.0</v>
      </c>
      <c r="D2869" s="512">
        <v>4.2436356558E10</v>
      </c>
      <c r="E2869" s="606" t="s">
        <v>5452</v>
      </c>
      <c r="F2869" s="644" t="s">
        <v>436</v>
      </c>
      <c r="G2869" s="606" t="s">
        <v>925</v>
      </c>
      <c r="H2869" s="608" t="s">
        <v>686</v>
      </c>
    </row>
    <row r="2870">
      <c r="A2870" s="546" t="s">
        <v>432</v>
      </c>
      <c r="B2870" s="512" t="s">
        <v>449</v>
      </c>
      <c r="C2870" s="605">
        <v>45988.0</v>
      </c>
      <c r="D2870" s="512">
        <v>4.0144699573E10</v>
      </c>
      <c r="E2870" s="606" t="s">
        <v>5453</v>
      </c>
      <c r="F2870" s="644" t="s">
        <v>436</v>
      </c>
      <c r="G2870" s="606" t="s">
        <v>2517</v>
      </c>
      <c r="H2870" s="608" t="s">
        <v>686</v>
      </c>
    </row>
    <row r="2871">
      <c r="A2871" s="546" t="s">
        <v>690</v>
      </c>
      <c r="B2871" s="512" t="s">
        <v>5411</v>
      </c>
      <c r="C2871" s="605">
        <v>45988.0</v>
      </c>
      <c r="D2871" s="512">
        <v>4.2263844271E10</v>
      </c>
      <c r="E2871" s="606" t="s">
        <v>5249</v>
      </c>
      <c r="F2871" s="644" t="s">
        <v>436</v>
      </c>
      <c r="G2871" s="606" t="s">
        <v>5454</v>
      </c>
      <c r="H2871" s="608" t="s">
        <v>139</v>
      </c>
    </row>
    <row r="2872">
      <c r="A2872" s="546" t="s">
        <v>690</v>
      </c>
      <c r="B2872" s="512" t="s">
        <v>5411</v>
      </c>
      <c r="C2872" s="605">
        <v>45988.0</v>
      </c>
      <c r="D2872" s="512">
        <v>4.2263844271E10</v>
      </c>
      <c r="E2872" s="606" t="s">
        <v>5253</v>
      </c>
      <c r="F2872" s="644" t="s">
        <v>436</v>
      </c>
      <c r="G2872" s="606" t="s">
        <v>5455</v>
      </c>
      <c r="H2872" s="670" t="s">
        <v>139</v>
      </c>
    </row>
    <row r="2873">
      <c r="A2873" s="546" t="s">
        <v>823</v>
      </c>
      <c r="B2873" s="512" t="s">
        <v>5411</v>
      </c>
      <c r="C2873" s="605">
        <v>45988.0</v>
      </c>
      <c r="D2873" s="512">
        <v>4.2484387227E10</v>
      </c>
      <c r="E2873" s="606" t="s">
        <v>5456</v>
      </c>
      <c r="F2873" s="644" t="s">
        <v>436</v>
      </c>
      <c r="G2873" s="606" t="s">
        <v>5457</v>
      </c>
      <c r="H2873" s="608" t="s">
        <v>4558</v>
      </c>
    </row>
    <row r="2874">
      <c r="A2874" s="546" t="s">
        <v>823</v>
      </c>
      <c r="B2874" s="512" t="s">
        <v>5411</v>
      </c>
      <c r="C2874" s="605">
        <v>45988.0</v>
      </c>
      <c r="D2874" s="512">
        <v>4.0771357219E10</v>
      </c>
      <c r="E2874" s="606" t="s">
        <v>4100</v>
      </c>
      <c r="F2874" s="644" t="s">
        <v>436</v>
      </c>
      <c r="G2874" s="606" t="s">
        <v>5458</v>
      </c>
      <c r="H2874" s="608" t="s">
        <v>4558</v>
      </c>
    </row>
    <row r="2875">
      <c r="A2875" s="546" t="s">
        <v>439</v>
      </c>
      <c r="B2875" s="512" t="s">
        <v>449</v>
      </c>
      <c r="C2875" s="605">
        <v>45988.0</v>
      </c>
      <c r="D2875" s="512">
        <v>2.9805168582E10</v>
      </c>
      <c r="E2875" s="606" t="s">
        <v>5459</v>
      </c>
      <c r="F2875" s="644" t="s">
        <v>436</v>
      </c>
      <c r="G2875" s="606" t="s">
        <v>4747</v>
      </c>
      <c r="H2875" s="608" t="s">
        <v>1608</v>
      </c>
    </row>
    <row r="2876">
      <c r="A2876" s="546" t="s">
        <v>690</v>
      </c>
      <c r="B2876" s="512" t="s">
        <v>5411</v>
      </c>
      <c r="C2876" s="605">
        <v>45988.0</v>
      </c>
      <c r="D2876" s="512" t="s">
        <v>5460</v>
      </c>
      <c r="E2876" s="606" t="s">
        <v>5461</v>
      </c>
      <c r="F2876" s="644" t="s">
        <v>436</v>
      </c>
      <c r="G2876" s="606" t="s">
        <v>5462</v>
      </c>
      <c r="H2876" s="670" t="s">
        <v>139</v>
      </c>
    </row>
    <row r="2877">
      <c r="A2877" s="546" t="s">
        <v>823</v>
      </c>
      <c r="B2877" s="512" t="s">
        <v>5411</v>
      </c>
      <c r="C2877" s="605">
        <v>45988.0</v>
      </c>
      <c r="D2877" s="512">
        <v>4.3133567022E10</v>
      </c>
      <c r="E2877" s="606" t="s">
        <v>4854</v>
      </c>
      <c r="F2877" s="644" t="s">
        <v>436</v>
      </c>
      <c r="G2877" s="606" t="s">
        <v>2489</v>
      </c>
      <c r="H2877" s="608" t="s">
        <v>4558</v>
      </c>
    </row>
    <row r="2878">
      <c r="A2878" s="546" t="s">
        <v>432</v>
      </c>
      <c r="B2878" s="512" t="s">
        <v>449</v>
      </c>
      <c r="C2878" s="605">
        <v>45989.0</v>
      </c>
      <c r="D2878" s="512">
        <v>3.8439037674E10</v>
      </c>
      <c r="E2878" s="606" t="s">
        <v>5463</v>
      </c>
      <c r="F2878" s="644" t="s">
        <v>436</v>
      </c>
      <c r="G2878" s="606">
        <v>324.0</v>
      </c>
      <c r="H2878" s="608" t="s">
        <v>438</v>
      </c>
    </row>
    <row r="2879">
      <c r="A2879" s="546" t="s">
        <v>432</v>
      </c>
      <c r="B2879" s="512" t="s">
        <v>449</v>
      </c>
      <c r="C2879" s="605">
        <v>45989.0</v>
      </c>
      <c r="D2879" s="512">
        <v>4.2927564618E10</v>
      </c>
      <c r="E2879" s="606" t="s">
        <v>85</v>
      </c>
      <c r="F2879" s="644" t="s">
        <v>436</v>
      </c>
      <c r="G2879" s="606" t="s">
        <v>5464</v>
      </c>
      <c r="H2879" s="608" t="s">
        <v>438</v>
      </c>
    </row>
    <row r="2880">
      <c r="A2880" s="546" t="s">
        <v>823</v>
      </c>
      <c r="B2880" s="512" t="s">
        <v>5411</v>
      </c>
      <c r="C2880" s="605">
        <v>45989.0</v>
      </c>
      <c r="D2880" s="512">
        <v>3.8656664808E10</v>
      </c>
      <c r="E2880" s="606" t="s">
        <v>4866</v>
      </c>
      <c r="F2880" s="644" t="s">
        <v>436</v>
      </c>
      <c r="G2880" s="606" t="s">
        <v>5465</v>
      </c>
      <c r="H2880" s="608" t="s">
        <v>4558</v>
      </c>
    </row>
    <row r="2881">
      <c r="A2881" s="546" t="s">
        <v>823</v>
      </c>
      <c r="B2881" s="512" t="s">
        <v>449</v>
      </c>
      <c r="C2881" s="605">
        <v>45989.0</v>
      </c>
      <c r="D2881" s="512">
        <v>4.4703980737E10</v>
      </c>
      <c r="E2881" s="606" t="s">
        <v>5466</v>
      </c>
      <c r="F2881" s="644" t="s">
        <v>436</v>
      </c>
      <c r="G2881" s="606" t="s">
        <v>5467</v>
      </c>
      <c r="H2881" s="608" t="s">
        <v>4558</v>
      </c>
    </row>
    <row r="2882">
      <c r="A2882" s="546" t="s">
        <v>617</v>
      </c>
      <c r="B2882" s="512" t="s">
        <v>449</v>
      </c>
      <c r="C2882" s="605">
        <v>45989.0</v>
      </c>
      <c r="D2882" s="512">
        <v>3.3017548503E10</v>
      </c>
      <c r="E2882" s="606" t="s">
        <v>4974</v>
      </c>
      <c r="F2882" s="644" t="s">
        <v>436</v>
      </c>
      <c r="G2882" s="606" t="s">
        <v>5260</v>
      </c>
      <c r="H2882" s="608" t="s">
        <v>696</v>
      </c>
    </row>
    <row r="2883">
      <c r="A2883" s="546" t="s">
        <v>617</v>
      </c>
      <c r="B2883" s="512" t="s">
        <v>449</v>
      </c>
      <c r="C2883" s="605">
        <v>45989.0</v>
      </c>
      <c r="D2883" s="512">
        <v>3.3017548547E10</v>
      </c>
      <c r="E2883" s="606" t="s">
        <v>5468</v>
      </c>
      <c r="F2883" s="644" t="s">
        <v>436</v>
      </c>
      <c r="G2883" s="606" t="s">
        <v>5260</v>
      </c>
      <c r="H2883" s="608" t="s">
        <v>696</v>
      </c>
    </row>
    <row r="2884">
      <c r="A2884" s="546" t="s">
        <v>617</v>
      </c>
      <c r="B2884" s="512" t="s">
        <v>449</v>
      </c>
      <c r="C2884" s="605">
        <v>45989.0</v>
      </c>
      <c r="D2884" s="512">
        <v>3.3017548543E10</v>
      </c>
      <c r="E2884" s="606" t="s">
        <v>5469</v>
      </c>
      <c r="F2884" s="644" t="s">
        <v>436</v>
      </c>
      <c r="G2884" s="606" t="s">
        <v>5260</v>
      </c>
      <c r="H2884" s="608" t="s">
        <v>696</v>
      </c>
    </row>
    <row r="2885">
      <c r="A2885" s="546" t="s">
        <v>617</v>
      </c>
      <c r="B2885" s="512" t="s">
        <v>449</v>
      </c>
      <c r="C2885" s="605">
        <v>45989.0</v>
      </c>
      <c r="D2885" s="512">
        <v>4.1522568214E10</v>
      </c>
      <c r="E2885" s="606" t="s">
        <v>5470</v>
      </c>
      <c r="F2885" s="644" t="s">
        <v>436</v>
      </c>
      <c r="G2885" s="606" t="s">
        <v>5471</v>
      </c>
      <c r="H2885" s="608" t="s">
        <v>696</v>
      </c>
    </row>
    <row r="2886">
      <c r="A2886" s="546" t="s">
        <v>617</v>
      </c>
      <c r="B2886" s="512" t="s">
        <v>449</v>
      </c>
      <c r="C2886" s="605">
        <v>45989.0</v>
      </c>
      <c r="D2886" s="512">
        <v>4.0803184384E10</v>
      </c>
      <c r="E2886" s="606" t="s">
        <v>5469</v>
      </c>
      <c r="F2886" s="644" t="s">
        <v>436</v>
      </c>
      <c r="G2886" s="606" t="s">
        <v>1447</v>
      </c>
      <c r="H2886" s="608" t="s">
        <v>696</v>
      </c>
    </row>
    <row r="2887">
      <c r="A2887" s="546" t="s">
        <v>617</v>
      </c>
      <c r="B2887" s="512" t="s">
        <v>449</v>
      </c>
      <c r="C2887" s="605">
        <v>45989.0</v>
      </c>
      <c r="D2887" s="512">
        <v>3.8796961453E10</v>
      </c>
      <c r="E2887" s="606" t="s">
        <v>5430</v>
      </c>
      <c r="F2887" s="644" t="s">
        <v>436</v>
      </c>
      <c r="G2887" s="606" t="s">
        <v>5472</v>
      </c>
      <c r="H2887" s="608" t="s">
        <v>696</v>
      </c>
    </row>
    <row r="2888">
      <c r="A2888" s="546" t="s">
        <v>823</v>
      </c>
      <c r="B2888" s="512" t="s">
        <v>449</v>
      </c>
      <c r="C2888" s="605">
        <v>45989.0</v>
      </c>
      <c r="D2888" s="512">
        <v>3.618186671E10</v>
      </c>
      <c r="E2888" s="606" t="s">
        <v>5473</v>
      </c>
      <c r="F2888" s="644" t="s">
        <v>436</v>
      </c>
      <c r="G2888" s="606" t="s">
        <v>1263</v>
      </c>
      <c r="H2888" s="608" t="s">
        <v>4558</v>
      </c>
    </row>
    <row r="2889">
      <c r="A2889" s="546" t="s">
        <v>432</v>
      </c>
      <c r="B2889" s="512" t="s">
        <v>449</v>
      </c>
      <c r="C2889" s="605">
        <v>45989.0</v>
      </c>
      <c r="D2889" s="512">
        <v>3.9516098581E10</v>
      </c>
      <c r="E2889" s="606" t="s">
        <v>4860</v>
      </c>
      <c r="F2889" s="644" t="s">
        <v>436</v>
      </c>
      <c r="G2889" s="606" t="s">
        <v>5474</v>
      </c>
      <c r="H2889" s="608" t="s">
        <v>438</v>
      </c>
    </row>
    <row r="2890">
      <c r="A2890" s="546" t="s">
        <v>617</v>
      </c>
      <c r="B2890" s="512" t="s">
        <v>449</v>
      </c>
      <c r="C2890" s="605">
        <v>45989.0</v>
      </c>
      <c r="D2890" s="512">
        <v>4.4704134144E10</v>
      </c>
      <c r="E2890" s="606" t="s">
        <v>5345</v>
      </c>
      <c r="F2890" s="644" t="s">
        <v>436</v>
      </c>
      <c r="G2890" s="606" t="s">
        <v>5475</v>
      </c>
      <c r="H2890" s="608" t="s">
        <v>696</v>
      </c>
    </row>
    <row r="2891">
      <c r="A2891" s="546" t="s">
        <v>617</v>
      </c>
      <c r="B2891" s="512" t="s">
        <v>449</v>
      </c>
      <c r="C2891" s="605">
        <v>45989.0</v>
      </c>
      <c r="D2891" s="512">
        <v>3.486651126E10</v>
      </c>
      <c r="E2891" s="606" t="s">
        <v>4854</v>
      </c>
      <c r="F2891" s="644" t="s">
        <v>436</v>
      </c>
      <c r="G2891" s="606" t="s">
        <v>3104</v>
      </c>
      <c r="H2891" s="608" t="s">
        <v>696</v>
      </c>
    </row>
    <row r="2892">
      <c r="A2892" s="546" t="s">
        <v>617</v>
      </c>
      <c r="B2892" s="512" t="s">
        <v>3583</v>
      </c>
      <c r="C2892" s="605">
        <v>45989.0</v>
      </c>
      <c r="D2892" s="512">
        <v>4.023130739E10</v>
      </c>
      <c r="E2892" s="606" t="s">
        <v>4854</v>
      </c>
      <c r="F2892" s="644" t="s">
        <v>436</v>
      </c>
      <c r="G2892" s="606" t="s">
        <v>2550</v>
      </c>
      <c r="H2892" s="608" t="s">
        <v>696</v>
      </c>
    </row>
    <row r="2893">
      <c r="A2893" s="546" t="s">
        <v>823</v>
      </c>
      <c r="B2893" s="512" t="s">
        <v>5411</v>
      </c>
      <c r="C2893" s="605">
        <v>45989.0</v>
      </c>
      <c r="D2893" s="512">
        <v>3.9146316732E10</v>
      </c>
      <c r="E2893" s="606" t="s">
        <v>5476</v>
      </c>
      <c r="F2893" s="644" t="s">
        <v>436</v>
      </c>
      <c r="G2893" s="606" t="s">
        <v>5477</v>
      </c>
      <c r="H2893" s="608" t="s">
        <v>4558</v>
      </c>
    </row>
    <row r="2894">
      <c r="A2894" s="546" t="s">
        <v>617</v>
      </c>
      <c r="B2894" s="512" t="s">
        <v>3583</v>
      </c>
      <c r="C2894" s="605">
        <v>45990.0</v>
      </c>
      <c r="D2894" s="512">
        <v>4.0154646719E10</v>
      </c>
      <c r="E2894" s="606" t="s">
        <v>4854</v>
      </c>
      <c r="F2894" s="644" t="s">
        <v>436</v>
      </c>
      <c r="G2894" s="606" t="s">
        <v>2329</v>
      </c>
      <c r="H2894" s="608" t="s">
        <v>696</v>
      </c>
    </row>
    <row r="2895">
      <c r="A2895" s="546" t="s">
        <v>690</v>
      </c>
      <c r="B2895" s="512" t="s">
        <v>433</v>
      </c>
      <c r="C2895" s="605">
        <v>45990.0</v>
      </c>
      <c r="D2895" s="512">
        <v>3.6518831932E10</v>
      </c>
      <c r="E2895" s="606" t="s">
        <v>5315</v>
      </c>
      <c r="F2895" s="644" t="s">
        <v>436</v>
      </c>
      <c r="G2895" s="606" t="s">
        <v>4003</v>
      </c>
      <c r="H2895" s="608" t="s">
        <v>5334</v>
      </c>
    </row>
    <row r="2896">
      <c r="A2896" s="546" t="s">
        <v>690</v>
      </c>
      <c r="B2896" s="512" t="s">
        <v>449</v>
      </c>
      <c r="C2896" s="605">
        <v>45990.0</v>
      </c>
      <c r="D2896" s="512">
        <v>4.0644790659E10</v>
      </c>
      <c r="E2896" s="606" t="s">
        <v>5253</v>
      </c>
      <c r="F2896" s="644" t="s">
        <v>436</v>
      </c>
      <c r="G2896" s="606" t="s">
        <v>5478</v>
      </c>
      <c r="H2896" s="608" t="s">
        <v>5334</v>
      </c>
    </row>
    <row r="2897">
      <c r="A2897" s="546" t="s">
        <v>617</v>
      </c>
      <c r="B2897" s="512" t="s">
        <v>449</v>
      </c>
      <c r="C2897" s="605">
        <v>45990.0</v>
      </c>
      <c r="D2897" s="512">
        <v>4.0970958043E10</v>
      </c>
      <c r="E2897" s="606" t="s">
        <v>4887</v>
      </c>
      <c r="F2897" s="644" t="s">
        <v>436</v>
      </c>
      <c r="G2897" s="606" t="s">
        <v>631</v>
      </c>
      <c r="H2897" s="608" t="s">
        <v>696</v>
      </c>
    </row>
    <row r="2898">
      <c r="A2898" s="546" t="s">
        <v>617</v>
      </c>
      <c r="B2898" s="512" t="s">
        <v>3583</v>
      </c>
      <c r="C2898" s="605">
        <v>45990.0</v>
      </c>
      <c r="D2898" s="512">
        <v>3.9329091722E10</v>
      </c>
      <c r="E2898" s="606" t="s">
        <v>4854</v>
      </c>
      <c r="F2898" s="644" t="s">
        <v>436</v>
      </c>
      <c r="G2898" s="606" t="s">
        <v>5479</v>
      </c>
      <c r="H2898" s="608" t="s">
        <v>696</v>
      </c>
    </row>
    <row r="2899">
      <c r="A2899" s="546" t="s">
        <v>690</v>
      </c>
      <c r="B2899" s="512" t="s">
        <v>433</v>
      </c>
      <c r="C2899" s="605">
        <v>45990.0</v>
      </c>
      <c r="D2899" s="512">
        <v>4.2704500878E10</v>
      </c>
      <c r="E2899" s="606" t="s">
        <v>5253</v>
      </c>
      <c r="F2899" s="644" t="s">
        <v>436</v>
      </c>
      <c r="G2899" s="606" t="s">
        <v>5480</v>
      </c>
      <c r="H2899" s="608" t="s">
        <v>5334</v>
      </c>
    </row>
    <row r="2900">
      <c r="A2900" s="546" t="s">
        <v>617</v>
      </c>
      <c r="B2900" s="512" t="s">
        <v>433</v>
      </c>
      <c r="C2900" s="605">
        <v>45990.0</v>
      </c>
      <c r="D2900" s="512">
        <v>3.4549487145E10</v>
      </c>
      <c r="E2900" s="606" t="s">
        <v>5481</v>
      </c>
      <c r="F2900" s="644" t="s">
        <v>436</v>
      </c>
      <c r="G2900" s="606" t="s">
        <v>5482</v>
      </c>
      <c r="H2900" s="608" t="s">
        <v>696</v>
      </c>
    </row>
    <row r="2901">
      <c r="A2901" s="546" t="s">
        <v>690</v>
      </c>
      <c r="B2901" s="512" t="s">
        <v>449</v>
      </c>
      <c r="C2901" s="605">
        <v>45990.0</v>
      </c>
      <c r="D2901" s="512">
        <v>4.4596247393E10</v>
      </c>
      <c r="E2901" s="606" t="s">
        <v>85</v>
      </c>
      <c r="F2901" s="644" t="s">
        <v>436</v>
      </c>
      <c r="G2901" s="606" t="s">
        <v>3780</v>
      </c>
      <c r="H2901" s="608" t="s">
        <v>5334</v>
      </c>
    </row>
    <row r="2902">
      <c r="A2902" s="546" t="s">
        <v>690</v>
      </c>
      <c r="B2902" s="512" t="s">
        <v>449</v>
      </c>
      <c r="C2902" s="605">
        <v>45990.0</v>
      </c>
      <c r="D2902" s="512">
        <v>4.4596247391E10</v>
      </c>
      <c r="E2902" s="606" t="s">
        <v>85</v>
      </c>
      <c r="F2902" s="644" t="s">
        <v>436</v>
      </c>
      <c r="G2902" s="606" t="s">
        <v>3780</v>
      </c>
      <c r="H2902" s="608" t="s">
        <v>5334</v>
      </c>
    </row>
    <row r="2903">
      <c r="A2903" s="546" t="s">
        <v>690</v>
      </c>
      <c r="B2903" s="512" t="s">
        <v>449</v>
      </c>
      <c r="C2903" s="605">
        <v>45990.0</v>
      </c>
      <c r="D2903" s="512">
        <v>4.2976525209E10</v>
      </c>
      <c r="E2903" s="606" t="s">
        <v>5483</v>
      </c>
      <c r="F2903" s="644" t="s">
        <v>436</v>
      </c>
      <c r="G2903" s="606" t="s">
        <v>2984</v>
      </c>
      <c r="H2903" s="608" t="s">
        <v>5334</v>
      </c>
    </row>
    <row r="2904">
      <c r="A2904" s="546" t="s">
        <v>432</v>
      </c>
      <c r="B2904" s="512" t="s">
        <v>449</v>
      </c>
      <c r="C2904" s="605">
        <v>45990.0</v>
      </c>
      <c r="D2904" s="512">
        <v>4.0656818361E10</v>
      </c>
      <c r="E2904" s="606" t="s">
        <v>5484</v>
      </c>
      <c r="F2904" s="644" t="s">
        <v>436</v>
      </c>
      <c r="G2904" s="606" t="s">
        <v>802</v>
      </c>
      <c r="H2904" s="608" t="s">
        <v>438</v>
      </c>
    </row>
    <row r="2905">
      <c r="A2905" s="546" t="s">
        <v>617</v>
      </c>
      <c r="B2905" s="512" t="s">
        <v>433</v>
      </c>
      <c r="C2905" s="605">
        <v>45990.0</v>
      </c>
      <c r="D2905" s="512">
        <v>2.9585612331E10</v>
      </c>
      <c r="E2905" s="606" t="s">
        <v>4854</v>
      </c>
      <c r="F2905" s="644" t="s">
        <v>436</v>
      </c>
      <c r="G2905" s="606" t="s">
        <v>5485</v>
      </c>
      <c r="H2905" s="608" t="s">
        <v>696</v>
      </c>
    </row>
    <row r="2906">
      <c r="A2906" s="546" t="s">
        <v>432</v>
      </c>
      <c r="B2906" s="512" t="s">
        <v>449</v>
      </c>
      <c r="C2906" s="605">
        <v>45990.0</v>
      </c>
      <c r="D2906" s="512">
        <v>3.1186313797E10</v>
      </c>
      <c r="E2906" s="606" t="s">
        <v>85</v>
      </c>
      <c r="F2906" s="644" t="s">
        <v>436</v>
      </c>
      <c r="G2906" s="606" t="s">
        <v>5486</v>
      </c>
      <c r="H2906" s="608" t="s">
        <v>438</v>
      </c>
    </row>
    <row r="2907">
      <c r="A2907" s="546" t="s">
        <v>823</v>
      </c>
      <c r="B2907" s="512" t="s">
        <v>433</v>
      </c>
      <c r="C2907" s="605">
        <v>45991.0</v>
      </c>
      <c r="D2907" s="512">
        <v>4.4909620637E10</v>
      </c>
      <c r="E2907" s="671" t="s">
        <v>5487</v>
      </c>
      <c r="F2907" s="644" t="s">
        <v>436</v>
      </c>
      <c r="G2907" s="606" t="s">
        <v>5488</v>
      </c>
      <c r="H2907" s="608" t="s">
        <v>1175</v>
      </c>
    </row>
    <row r="2908">
      <c r="A2908" s="546" t="s">
        <v>432</v>
      </c>
      <c r="B2908" s="512" t="s">
        <v>449</v>
      </c>
      <c r="C2908" s="605">
        <v>45991.0</v>
      </c>
      <c r="D2908" s="512">
        <v>4.3022067551E10</v>
      </c>
      <c r="E2908" s="606" t="s">
        <v>5489</v>
      </c>
      <c r="F2908" s="644" t="s">
        <v>436</v>
      </c>
      <c r="G2908" s="606" t="s">
        <v>5011</v>
      </c>
      <c r="H2908" s="608" t="s">
        <v>686</v>
      </c>
    </row>
    <row r="2909">
      <c r="A2909" s="546" t="s">
        <v>617</v>
      </c>
      <c r="B2909" s="512" t="s">
        <v>449</v>
      </c>
      <c r="C2909" s="605">
        <v>45991.0</v>
      </c>
      <c r="D2909" s="512">
        <v>3.6764980549E10</v>
      </c>
      <c r="E2909" s="606" t="s">
        <v>4857</v>
      </c>
      <c r="F2909" s="644" t="s">
        <v>436</v>
      </c>
      <c r="G2909" s="606" t="s">
        <v>5490</v>
      </c>
      <c r="H2909" s="608" t="s">
        <v>696</v>
      </c>
    </row>
    <row r="2910">
      <c r="A2910" s="546" t="s">
        <v>617</v>
      </c>
      <c r="B2910" s="512" t="s">
        <v>449</v>
      </c>
      <c r="C2910" s="605">
        <v>45991.0</v>
      </c>
      <c r="D2910" s="512">
        <v>3.5280678204E10</v>
      </c>
      <c r="E2910" s="606" t="s">
        <v>5491</v>
      </c>
      <c r="F2910" s="644" t="s">
        <v>436</v>
      </c>
      <c r="G2910" s="606" t="s">
        <v>5492</v>
      </c>
      <c r="H2910" s="608" t="s">
        <v>696</v>
      </c>
    </row>
    <row r="2911">
      <c r="A2911" s="546" t="s">
        <v>617</v>
      </c>
      <c r="B2911" s="512" t="s">
        <v>449</v>
      </c>
      <c r="C2911" s="605">
        <v>45991.0</v>
      </c>
      <c r="D2911" s="512">
        <v>3.2383922871E10</v>
      </c>
      <c r="E2911" s="606" t="s">
        <v>4854</v>
      </c>
      <c r="F2911" s="644" t="s">
        <v>436</v>
      </c>
      <c r="G2911" s="606" t="s">
        <v>5493</v>
      </c>
      <c r="H2911" s="608" t="s">
        <v>696</v>
      </c>
    </row>
    <row r="2912">
      <c r="A2912" s="546" t="s">
        <v>432</v>
      </c>
      <c r="B2912" s="512" t="s">
        <v>449</v>
      </c>
      <c r="C2912" s="605">
        <v>45991.0</v>
      </c>
      <c r="D2912" s="512">
        <v>4.1952996342E10</v>
      </c>
      <c r="E2912" s="606" t="s">
        <v>5494</v>
      </c>
      <c r="F2912" s="644" t="s">
        <v>436</v>
      </c>
      <c r="G2912" s="606" t="s">
        <v>4718</v>
      </c>
      <c r="H2912" s="608" t="s">
        <v>686</v>
      </c>
    </row>
    <row r="2913">
      <c r="A2913" s="546" t="s">
        <v>617</v>
      </c>
      <c r="B2913" s="512" t="s">
        <v>449</v>
      </c>
      <c r="C2913" s="605">
        <v>45991.0</v>
      </c>
      <c r="D2913" s="512">
        <v>4.033397221E10</v>
      </c>
      <c r="E2913" s="606" t="s">
        <v>5320</v>
      </c>
      <c r="F2913" s="644" t="s">
        <v>436</v>
      </c>
      <c r="G2913" s="606" t="s">
        <v>2977</v>
      </c>
      <c r="H2913" s="608" t="s">
        <v>696</v>
      </c>
    </row>
    <row r="2914">
      <c r="A2914" s="546" t="s">
        <v>432</v>
      </c>
      <c r="B2914" s="512" t="s">
        <v>449</v>
      </c>
      <c r="C2914" s="605">
        <v>45991.0</v>
      </c>
      <c r="D2914" s="512">
        <v>3.9341942826E10</v>
      </c>
      <c r="E2914" s="606" t="s">
        <v>5495</v>
      </c>
      <c r="F2914" s="644" t="s">
        <v>436</v>
      </c>
      <c r="G2914" s="606" t="s">
        <v>5496</v>
      </c>
      <c r="H2914" s="608" t="s">
        <v>686</v>
      </c>
    </row>
    <row r="2915">
      <c r="A2915" s="546" t="s">
        <v>617</v>
      </c>
      <c r="B2915" s="512" t="s">
        <v>3583</v>
      </c>
      <c r="C2915" s="605">
        <v>45991.0</v>
      </c>
      <c r="D2915" s="512">
        <v>4.2793421626E10</v>
      </c>
      <c r="E2915" s="606" t="s">
        <v>4857</v>
      </c>
      <c r="F2915" s="644" t="s">
        <v>436</v>
      </c>
      <c r="G2915" s="606" t="s">
        <v>5497</v>
      </c>
      <c r="H2915" s="608" t="s">
        <v>696</v>
      </c>
    </row>
    <row r="2916">
      <c r="A2916" s="546" t="s">
        <v>617</v>
      </c>
      <c r="B2916" s="512" t="s">
        <v>449</v>
      </c>
      <c r="C2916" s="605">
        <v>45991.0</v>
      </c>
      <c r="D2916" s="512">
        <v>4.2564016431E10</v>
      </c>
      <c r="E2916" s="606" t="s">
        <v>4165</v>
      </c>
      <c r="F2916" s="644" t="s">
        <v>436</v>
      </c>
      <c r="G2916" s="606" t="s">
        <v>5498</v>
      </c>
      <c r="H2916" s="608" t="s">
        <v>696</v>
      </c>
    </row>
    <row r="2917">
      <c r="A2917" s="546" t="s">
        <v>432</v>
      </c>
      <c r="B2917" s="512" t="s">
        <v>1270</v>
      </c>
      <c r="C2917" s="605">
        <v>45991.0</v>
      </c>
      <c r="D2917" s="512">
        <v>4.2933260741E10</v>
      </c>
      <c r="E2917" s="606" t="s">
        <v>5499</v>
      </c>
      <c r="F2917" s="644" t="s">
        <v>436</v>
      </c>
      <c r="G2917" s="606" t="s">
        <v>3088</v>
      </c>
      <c r="H2917" s="608" t="s">
        <v>686</v>
      </c>
    </row>
    <row r="2918">
      <c r="A2918" s="546" t="s">
        <v>432</v>
      </c>
      <c r="B2918" s="512" t="s">
        <v>449</v>
      </c>
      <c r="C2918" s="605">
        <v>45991.0</v>
      </c>
      <c r="D2918" s="512">
        <v>3.3258119291E10</v>
      </c>
      <c r="E2918" s="606" t="s">
        <v>5500</v>
      </c>
      <c r="F2918" s="644" t="s">
        <v>436</v>
      </c>
      <c r="G2918" s="606" t="s">
        <v>5501</v>
      </c>
      <c r="H2918" s="608" t="s">
        <v>686</v>
      </c>
    </row>
    <row r="2919">
      <c r="A2919" s="546" t="s">
        <v>432</v>
      </c>
      <c r="B2919" s="512" t="s">
        <v>433</v>
      </c>
      <c r="C2919" s="605">
        <v>45991.0</v>
      </c>
      <c r="D2919" s="512">
        <v>3.3258119293E10</v>
      </c>
      <c r="E2919" s="619" t="s">
        <v>5500</v>
      </c>
      <c r="F2919" s="644" t="s">
        <v>436</v>
      </c>
      <c r="G2919" s="606" t="s">
        <v>5501</v>
      </c>
      <c r="H2919" s="608" t="s">
        <v>686</v>
      </c>
    </row>
    <row r="2920">
      <c r="A2920" s="546" t="s">
        <v>823</v>
      </c>
      <c r="B2920" s="512" t="s">
        <v>5502</v>
      </c>
      <c r="C2920" s="605">
        <v>45991.0</v>
      </c>
      <c r="D2920" s="512">
        <v>4.3407838281E10</v>
      </c>
      <c r="E2920" s="672" t="s">
        <v>5503</v>
      </c>
      <c r="F2920" s="644" t="s">
        <v>436</v>
      </c>
      <c r="G2920" s="606" t="s">
        <v>5504</v>
      </c>
      <c r="H2920" s="608" t="s">
        <v>1175</v>
      </c>
    </row>
    <row r="2921">
      <c r="A2921" s="546" t="s">
        <v>823</v>
      </c>
      <c r="B2921" s="512" t="s">
        <v>449</v>
      </c>
      <c r="C2921" s="605">
        <v>45991.0</v>
      </c>
      <c r="D2921" s="512">
        <v>4.3131780928E10</v>
      </c>
      <c r="E2921" s="672" t="s">
        <v>5505</v>
      </c>
      <c r="F2921" s="644" t="s">
        <v>436</v>
      </c>
      <c r="G2921" s="606" t="s">
        <v>5506</v>
      </c>
      <c r="H2921" s="608" t="s">
        <v>1175</v>
      </c>
    </row>
    <row r="2922">
      <c r="A2922" s="546" t="s">
        <v>432</v>
      </c>
      <c r="B2922" s="512" t="s">
        <v>449</v>
      </c>
      <c r="C2922" s="605">
        <v>45991.0</v>
      </c>
      <c r="D2922" s="512">
        <v>3.4344785048E10</v>
      </c>
      <c r="E2922" s="619" t="s">
        <v>5507</v>
      </c>
      <c r="F2922" s="644" t="s">
        <v>436</v>
      </c>
      <c r="G2922" s="606" t="s">
        <v>5508</v>
      </c>
      <c r="H2922" s="608" t="s">
        <v>686</v>
      </c>
    </row>
    <row r="2923">
      <c r="A2923" s="546" t="s">
        <v>432</v>
      </c>
      <c r="B2923" s="512" t="s">
        <v>433</v>
      </c>
      <c r="C2923" s="605">
        <v>45991.0</v>
      </c>
      <c r="D2923" s="512">
        <v>4.2636875064E10</v>
      </c>
      <c r="E2923" s="606" t="s">
        <v>5509</v>
      </c>
      <c r="F2923" s="644" t="s">
        <v>436</v>
      </c>
      <c r="G2923" s="606" t="s">
        <v>5510</v>
      </c>
      <c r="H2923" s="608" t="s">
        <v>686</v>
      </c>
    </row>
    <row r="2924">
      <c r="A2924" s="546" t="s">
        <v>823</v>
      </c>
      <c r="B2924" s="512" t="s">
        <v>433</v>
      </c>
      <c r="C2924" s="605">
        <v>45991.0</v>
      </c>
      <c r="D2924" s="512">
        <v>3.5108501913E10</v>
      </c>
      <c r="E2924" s="673" t="s">
        <v>5511</v>
      </c>
      <c r="F2924" s="644" t="s">
        <v>436</v>
      </c>
      <c r="G2924" s="606" t="s">
        <v>5512</v>
      </c>
      <c r="H2924" s="608" t="s">
        <v>1175</v>
      </c>
    </row>
    <row r="2925">
      <c r="A2925" s="546" t="s">
        <v>439</v>
      </c>
      <c r="B2925" s="512" t="s">
        <v>449</v>
      </c>
      <c r="C2925" s="605">
        <v>45991.0</v>
      </c>
      <c r="D2925" s="512">
        <v>3.8175474856E10</v>
      </c>
      <c r="E2925" s="606" t="s">
        <v>5356</v>
      </c>
      <c r="F2925" s="644" t="s">
        <v>436</v>
      </c>
      <c r="G2925" s="606" t="s">
        <v>5513</v>
      </c>
      <c r="H2925" s="608" t="s">
        <v>1608</v>
      </c>
    </row>
    <row r="2926">
      <c r="A2926" s="546" t="s">
        <v>823</v>
      </c>
      <c r="B2926" s="512" t="s">
        <v>449</v>
      </c>
      <c r="C2926" s="605">
        <v>45991.0</v>
      </c>
      <c r="D2926" s="512">
        <v>4.4896714943E10</v>
      </c>
      <c r="E2926" s="673" t="s">
        <v>5514</v>
      </c>
      <c r="F2926" s="644" t="s">
        <v>436</v>
      </c>
      <c r="G2926" s="606" t="s">
        <v>5515</v>
      </c>
      <c r="H2926" s="608" t="s">
        <v>1175</v>
      </c>
    </row>
    <row r="2927">
      <c r="A2927" s="546" t="s">
        <v>432</v>
      </c>
      <c r="B2927" s="512" t="s">
        <v>449</v>
      </c>
      <c r="C2927" s="605">
        <v>45991.0</v>
      </c>
      <c r="D2927" s="512">
        <v>4.4713396214E10</v>
      </c>
      <c r="E2927" s="606" t="s">
        <v>5516</v>
      </c>
      <c r="F2927" s="644" t="s">
        <v>436</v>
      </c>
      <c r="G2927" s="606" t="s">
        <v>5517</v>
      </c>
      <c r="H2927" s="608" t="s">
        <v>686</v>
      </c>
    </row>
    <row r="2928">
      <c r="A2928" s="546" t="s">
        <v>432</v>
      </c>
      <c r="B2928" s="512" t="s">
        <v>449</v>
      </c>
      <c r="C2928" s="605">
        <v>45991.0</v>
      </c>
      <c r="D2928" s="512">
        <v>2.6458459522E10</v>
      </c>
      <c r="E2928" s="606" t="s">
        <v>4902</v>
      </c>
      <c r="F2928" s="644" t="s">
        <v>436</v>
      </c>
      <c r="G2928" s="606" t="s">
        <v>5518</v>
      </c>
      <c r="H2928" s="608" t="s">
        <v>686</v>
      </c>
    </row>
    <row r="2929">
      <c r="A2929" s="546" t="s">
        <v>432</v>
      </c>
      <c r="B2929" s="512" t="s">
        <v>433</v>
      </c>
      <c r="C2929" s="605">
        <v>45991.0</v>
      </c>
      <c r="D2929" s="512">
        <v>4.0757741121E10</v>
      </c>
      <c r="E2929" s="606" t="s">
        <v>5519</v>
      </c>
      <c r="F2929" s="644" t="s">
        <v>436</v>
      </c>
      <c r="G2929" s="606" t="s">
        <v>5520</v>
      </c>
      <c r="H2929" s="608" t="s">
        <v>686</v>
      </c>
    </row>
    <row r="2930">
      <c r="A2930" s="546" t="s">
        <v>432</v>
      </c>
      <c r="B2930" s="512" t="s">
        <v>1270</v>
      </c>
      <c r="C2930" s="605">
        <v>45991.0</v>
      </c>
      <c r="D2930" s="512">
        <v>3.9925131931E10</v>
      </c>
      <c r="E2930" s="606" t="s">
        <v>5433</v>
      </c>
      <c r="F2930" s="644" t="s">
        <v>436</v>
      </c>
      <c r="G2930" s="606" t="s">
        <v>5521</v>
      </c>
      <c r="H2930" s="608" t="s">
        <v>686</v>
      </c>
    </row>
    <row r="2931">
      <c r="A2931" s="546" t="s">
        <v>432</v>
      </c>
      <c r="B2931" s="512" t="s">
        <v>433</v>
      </c>
      <c r="C2931" s="605">
        <v>45991.0</v>
      </c>
      <c r="D2931" s="512">
        <v>3.1748302579E10</v>
      </c>
      <c r="E2931" s="606" t="s">
        <v>5522</v>
      </c>
      <c r="F2931" s="644" t="s">
        <v>436</v>
      </c>
      <c r="G2931" s="606" t="s">
        <v>2322</v>
      </c>
      <c r="H2931" s="608" t="s">
        <v>686</v>
      </c>
    </row>
    <row r="2932">
      <c r="A2932" s="546" t="s">
        <v>617</v>
      </c>
      <c r="B2932" s="512" t="s">
        <v>449</v>
      </c>
      <c r="C2932" s="605">
        <v>45991.0</v>
      </c>
      <c r="D2932" s="512">
        <v>4.2644261232E10</v>
      </c>
      <c r="E2932" s="606" t="s">
        <v>4854</v>
      </c>
      <c r="F2932" s="644" t="s">
        <v>436</v>
      </c>
      <c r="G2932" s="606" t="s">
        <v>5523</v>
      </c>
      <c r="H2932" s="608" t="s">
        <v>696</v>
      </c>
    </row>
    <row r="2933">
      <c r="A2933" s="546" t="s">
        <v>617</v>
      </c>
      <c r="B2933" s="512" t="s">
        <v>5524</v>
      </c>
      <c r="C2933" s="605">
        <v>45992.0</v>
      </c>
      <c r="D2933" s="512">
        <v>4.3397320024E10</v>
      </c>
      <c r="E2933" s="606" t="s">
        <v>4857</v>
      </c>
      <c r="F2933" s="644" t="s">
        <v>436</v>
      </c>
      <c r="G2933" s="606">
        <v>2829.0</v>
      </c>
      <c r="H2933" s="608" t="s">
        <v>1096</v>
      </c>
    </row>
    <row r="2934">
      <c r="A2934" s="546" t="s">
        <v>823</v>
      </c>
      <c r="B2934" s="512" t="s">
        <v>433</v>
      </c>
      <c r="C2934" s="605">
        <v>45992.0</v>
      </c>
      <c r="D2934" s="512">
        <v>4.2989064631E10</v>
      </c>
      <c r="E2934" s="606" t="s">
        <v>5525</v>
      </c>
      <c r="F2934" s="644" t="s">
        <v>436</v>
      </c>
      <c r="G2934" s="606" t="s">
        <v>5441</v>
      </c>
      <c r="H2934" s="608" t="s">
        <v>4558</v>
      </c>
    </row>
    <row r="2935">
      <c r="A2935" s="546" t="s">
        <v>823</v>
      </c>
      <c r="B2935" s="512" t="s">
        <v>433</v>
      </c>
      <c r="C2935" s="605">
        <v>45992.0</v>
      </c>
      <c r="D2935" s="512">
        <v>3.7983766276E10</v>
      </c>
      <c r="E2935" s="606" t="s">
        <v>5526</v>
      </c>
      <c r="F2935" s="644" t="s">
        <v>436</v>
      </c>
      <c r="G2935" s="606" t="s">
        <v>1519</v>
      </c>
      <c r="H2935" s="608" t="s">
        <v>4558</v>
      </c>
    </row>
    <row r="2936">
      <c r="A2936" s="546" t="s">
        <v>823</v>
      </c>
      <c r="B2936" s="512" t="s">
        <v>449</v>
      </c>
      <c r="C2936" s="605">
        <v>45992.0</v>
      </c>
      <c r="D2936" s="512">
        <v>4.1210740668E10</v>
      </c>
      <c r="E2936" s="606" t="s">
        <v>5527</v>
      </c>
      <c r="F2936" s="644" t="s">
        <v>436</v>
      </c>
      <c r="G2936" s="606" t="s">
        <v>5528</v>
      </c>
      <c r="H2936" s="608" t="s">
        <v>4558</v>
      </c>
    </row>
    <row r="2937">
      <c r="A2937" s="546" t="s">
        <v>439</v>
      </c>
      <c r="B2937" s="512" t="s">
        <v>5524</v>
      </c>
      <c r="C2937" s="605">
        <v>45992.0</v>
      </c>
      <c r="D2937" s="512">
        <v>4.2834787984E10</v>
      </c>
      <c r="E2937" s="606" t="s">
        <v>5529</v>
      </c>
      <c r="F2937" s="644" t="s">
        <v>436</v>
      </c>
      <c r="G2937" s="606" t="s">
        <v>2348</v>
      </c>
      <c r="H2937" s="608" t="s">
        <v>5177</v>
      </c>
    </row>
    <row r="2938">
      <c r="A2938" s="546" t="s">
        <v>823</v>
      </c>
      <c r="B2938" s="512" t="s">
        <v>433</v>
      </c>
      <c r="C2938" s="605">
        <v>45992.0</v>
      </c>
      <c r="D2938" s="512">
        <v>4.2837459093E10</v>
      </c>
      <c r="E2938" s="606" t="s">
        <v>5530</v>
      </c>
      <c r="F2938" s="644" t="s">
        <v>436</v>
      </c>
      <c r="G2938" s="606" t="s">
        <v>866</v>
      </c>
      <c r="H2938" s="608" t="s">
        <v>4558</v>
      </c>
    </row>
    <row r="2939">
      <c r="A2939" s="546" t="s">
        <v>617</v>
      </c>
      <c r="B2939" s="512" t="s">
        <v>5524</v>
      </c>
      <c r="C2939" s="605">
        <v>45992.0</v>
      </c>
      <c r="D2939" s="512">
        <v>4.3226342624E10</v>
      </c>
      <c r="E2939" s="606" t="s">
        <v>5125</v>
      </c>
      <c r="F2939" s="644" t="s">
        <v>436</v>
      </c>
      <c r="G2939" s="606" t="s">
        <v>4639</v>
      </c>
      <c r="H2939" s="608" t="s">
        <v>5531</v>
      </c>
    </row>
    <row r="2940">
      <c r="A2940" s="546" t="s">
        <v>823</v>
      </c>
      <c r="B2940" s="512" t="s">
        <v>5524</v>
      </c>
      <c r="C2940" s="605">
        <v>45992.0</v>
      </c>
      <c r="D2940" s="512">
        <v>3.9664878249E10</v>
      </c>
      <c r="E2940" s="619" t="s">
        <v>5532</v>
      </c>
      <c r="F2940" s="644" t="s">
        <v>436</v>
      </c>
      <c r="G2940" s="606" t="s">
        <v>4855</v>
      </c>
      <c r="H2940" s="608" t="s">
        <v>4558</v>
      </c>
    </row>
    <row r="2941">
      <c r="A2941" s="546" t="s">
        <v>432</v>
      </c>
      <c r="B2941" s="512" t="s">
        <v>449</v>
      </c>
      <c r="C2941" s="618">
        <v>45992.0</v>
      </c>
      <c r="D2941" s="546">
        <v>4.2284643408E10</v>
      </c>
      <c r="E2941" s="619" t="s">
        <v>5533</v>
      </c>
      <c r="F2941" s="669" t="s">
        <v>436</v>
      </c>
      <c r="G2941" s="619" t="s">
        <v>1478</v>
      </c>
      <c r="H2941" s="629" t="s">
        <v>438</v>
      </c>
    </row>
    <row r="2942">
      <c r="A2942" s="546" t="s">
        <v>432</v>
      </c>
      <c r="B2942" s="512" t="s">
        <v>449</v>
      </c>
      <c r="C2942" s="605">
        <v>45992.0</v>
      </c>
      <c r="D2942" s="512">
        <v>3.5826903864E10</v>
      </c>
      <c r="E2942" s="606" t="s">
        <v>5534</v>
      </c>
      <c r="F2942" s="644" t="s">
        <v>436</v>
      </c>
      <c r="G2942" s="606" t="s">
        <v>5535</v>
      </c>
      <c r="H2942" s="608" t="s">
        <v>438</v>
      </c>
    </row>
    <row r="2943">
      <c r="A2943" s="546" t="s">
        <v>432</v>
      </c>
      <c r="B2943" s="512" t="s">
        <v>5524</v>
      </c>
      <c r="C2943" s="605">
        <v>45992.0</v>
      </c>
      <c r="D2943" s="512">
        <v>3.5826903864E10</v>
      </c>
      <c r="E2943" s="606" t="s">
        <v>5534</v>
      </c>
      <c r="F2943" s="644" t="s">
        <v>436</v>
      </c>
      <c r="G2943" s="606" t="s">
        <v>5535</v>
      </c>
      <c r="H2943" s="608" t="s">
        <v>438</v>
      </c>
    </row>
    <row r="2944">
      <c r="A2944" s="546" t="s">
        <v>823</v>
      </c>
      <c r="B2944" s="512" t="s">
        <v>433</v>
      </c>
      <c r="C2944" s="605">
        <v>45992.0</v>
      </c>
      <c r="D2944" s="512">
        <v>3.7235112314E10</v>
      </c>
      <c r="E2944" s="606" t="s">
        <v>5536</v>
      </c>
      <c r="F2944" s="644" t="s">
        <v>436</v>
      </c>
      <c r="G2944" s="606" t="s">
        <v>5477</v>
      </c>
      <c r="H2944" s="608" t="s">
        <v>4558</v>
      </c>
    </row>
    <row r="2945">
      <c r="A2945" s="546" t="s">
        <v>823</v>
      </c>
      <c r="B2945" s="512" t="s">
        <v>433</v>
      </c>
      <c r="C2945" s="605">
        <v>45993.0</v>
      </c>
      <c r="D2945" s="512">
        <v>4.279467383E10</v>
      </c>
      <c r="E2945" s="606" t="s">
        <v>5537</v>
      </c>
      <c r="F2945" s="644" t="s">
        <v>436</v>
      </c>
      <c r="G2945" s="606" t="s">
        <v>5538</v>
      </c>
      <c r="H2945" s="608" t="s">
        <v>4558</v>
      </c>
    </row>
    <row r="2946">
      <c r="A2946" s="546" t="s">
        <v>432</v>
      </c>
      <c r="B2946" s="512" t="s">
        <v>449</v>
      </c>
      <c r="C2946" s="605">
        <v>45993.0</v>
      </c>
      <c r="D2946" s="512">
        <v>3.80171379E10</v>
      </c>
      <c r="E2946" s="606" t="s">
        <v>5539</v>
      </c>
      <c r="F2946" s="644" t="s">
        <v>436</v>
      </c>
      <c r="G2946" s="606" t="s">
        <v>5540</v>
      </c>
      <c r="H2946" s="608" t="s">
        <v>438</v>
      </c>
    </row>
    <row r="2947">
      <c r="A2947" s="546" t="s">
        <v>617</v>
      </c>
      <c r="B2947" s="512" t="s">
        <v>449</v>
      </c>
      <c r="C2947" s="605">
        <v>45993.0</v>
      </c>
      <c r="D2947" s="512">
        <v>3.9600139549E10</v>
      </c>
      <c r="E2947" s="606" t="s">
        <v>5541</v>
      </c>
      <c r="F2947" s="644" t="s">
        <v>436</v>
      </c>
      <c r="G2947" s="606" t="s">
        <v>1503</v>
      </c>
      <c r="H2947" s="608" t="s">
        <v>696</v>
      </c>
    </row>
    <row r="2948">
      <c r="A2948" s="546" t="s">
        <v>432</v>
      </c>
      <c r="B2948" s="512" t="s">
        <v>449</v>
      </c>
      <c r="C2948" s="605">
        <v>45993.0</v>
      </c>
      <c r="D2948" s="512">
        <v>4.4716659773E10</v>
      </c>
      <c r="E2948" s="606" t="s">
        <v>5542</v>
      </c>
      <c r="F2948" s="644" t="s">
        <v>436</v>
      </c>
      <c r="G2948" s="606" t="s">
        <v>2903</v>
      </c>
      <c r="H2948" s="608" t="s">
        <v>438</v>
      </c>
    </row>
    <row r="2949">
      <c r="A2949" s="546" t="s">
        <v>432</v>
      </c>
      <c r="B2949" s="512" t="s">
        <v>449</v>
      </c>
      <c r="C2949" s="605">
        <v>45994.0</v>
      </c>
      <c r="D2949" s="512">
        <v>4.5054556185E10</v>
      </c>
      <c r="E2949" s="606" t="s">
        <v>5543</v>
      </c>
      <c r="F2949" s="644" t="s">
        <v>436</v>
      </c>
      <c r="G2949" s="606" t="s">
        <v>5078</v>
      </c>
      <c r="H2949" s="608" t="s">
        <v>686</v>
      </c>
    </row>
    <row r="2950">
      <c r="A2950" s="546" t="s">
        <v>432</v>
      </c>
      <c r="B2950" s="512" t="s">
        <v>449</v>
      </c>
      <c r="C2950" s="605">
        <v>45994.0</v>
      </c>
      <c r="D2950" s="512">
        <v>4.3100580927E10</v>
      </c>
      <c r="E2950" s="606" t="s">
        <v>5544</v>
      </c>
      <c r="F2950" s="644" t="s">
        <v>436</v>
      </c>
      <c r="G2950" s="606" t="s">
        <v>5545</v>
      </c>
      <c r="H2950" s="608" t="s">
        <v>686</v>
      </c>
    </row>
    <row r="2951">
      <c r="A2951" s="546" t="s">
        <v>432</v>
      </c>
      <c r="B2951" s="512" t="s">
        <v>449</v>
      </c>
      <c r="C2951" s="605">
        <v>45994.0</v>
      </c>
      <c r="D2951" s="512">
        <v>3.5823089722E10</v>
      </c>
      <c r="E2951" s="606" t="s">
        <v>5544</v>
      </c>
      <c r="F2951" s="644" t="s">
        <v>436</v>
      </c>
      <c r="G2951" s="606" t="s">
        <v>5545</v>
      </c>
      <c r="H2951" s="608" t="s">
        <v>686</v>
      </c>
    </row>
    <row r="2952">
      <c r="A2952" s="546" t="s">
        <v>432</v>
      </c>
      <c r="B2952" s="512" t="s">
        <v>433</v>
      </c>
      <c r="C2952" s="605">
        <v>45994.0</v>
      </c>
      <c r="D2952" s="512">
        <v>4.0505508303E10</v>
      </c>
      <c r="E2952" s="606" t="s">
        <v>5546</v>
      </c>
      <c r="F2952" s="644" t="s">
        <v>436</v>
      </c>
      <c r="G2952" s="606" t="s">
        <v>5547</v>
      </c>
      <c r="H2952" s="608" t="s">
        <v>686</v>
      </c>
    </row>
    <row r="2953">
      <c r="A2953" s="546" t="s">
        <v>432</v>
      </c>
      <c r="B2953" s="512" t="s">
        <v>449</v>
      </c>
      <c r="C2953" s="605">
        <v>45994.0</v>
      </c>
      <c r="D2953" s="512">
        <v>2.3012964849E10</v>
      </c>
      <c r="E2953" s="606" t="s">
        <v>5548</v>
      </c>
      <c r="F2953" s="644" t="s">
        <v>436</v>
      </c>
      <c r="G2953" s="606" t="s">
        <v>5549</v>
      </c>
      <c r="H2953" s="608" t="s">
        <v>686</v>
      </c>
    </row>
    <row r="2954">
      <c r="A2954" s="546" t="s">
        <v>432</v>
      </c>
      <c r="B2954" s="512" t="s">
        <v>433</v>
      </c>
      <c r="C2954" s="605">
        <v>45994.0</v>
      </c>
      <c r="D2954" s="512">
        <v>4.3070060024E10</v>
      </c>
      <c r="E2954" s="606" t="s">
        <v>5550</v>
      </c>
      <c r="F2954" s="644" t="s">
        <v>436</v>
      </c>
      <c r="G2954" s="606" t="s">
        <v>5551</v>
      </c>
      <c r="H2954" s="608" t="s">
        <v>686</v>
      </c>
    </row>
    <row r="2955">
      <c r="A2955" s="546" t="s">
        <v>432</v>
      </c>
      <c r="B2955" s="512" t="s">
        <v>449</v>
      </c>
      <c r="C2955" s="605">
        <v>45994.0</v>
      </c>
      <c r="D2955" s="512">
        <v>4.3194086294E10</v>
      </c>
      <c r="E2955" s="606" t="s">
        <v>5546</v>
      </c>
      <c r="F2955" s="644" t="s">
        <v>436</v>
      </c>
      <c r="G2955" s="606" t="s">
        <v>5552</v>
      </c>
      <c r="H2955" s="608" t="s">
        <v>686</v>
      </c>
    </row>
    <row r="2956">
      <c r="A2956" s="546" t="s">
        <v>432</v>
      </c>
      <c r="B2956" s="512" t="s">
        <v>433</v>
      </c>
      <c r="C2956" s="605">
        <v>45994.0</v>
      </c>
      <c r="D2956" s="512">
        <v>4.4703277635E10</v>
      </c>
      <c r="E2956" s="606" t="s">
        <v>5553</v>
      </c>
      <c r="F2956" s="644" t="s">
        <v>436</v>
      </c>
      <c r="G2956" s="606" t="s">
        <v>2949</v>
      </c>
      <c r="H2956" s="608" t="s">
        <v>686</v>
      </c>
    </row>
    <row r="2957">
      <c r="A2957" s="546" t="s">
        <v>432</v>
      </c>
      <c r="B2957" s="512" t="s">
        <v>449</v>
      </c>
      <c r="C2957" s="605">
        <v>45994.0</v>
      </c>
      <c r="D2957" s="512">
        <v>4.3637113944E10</v>
      </c>
      <c r="E2957" s="606" t="s">
        <v>5554</v>
      </c>
      <c r="F2957" s="644" t="s">
        <v>436</v>
      </c>
      <c r="G2957" s="606" t="s">
        <v>5555</v>
      </c>
      <c r="H2957" s="608" t="s">
        <v>686</v>
      </c>
    </row>
    <row r="2958">
      <c r="A2958" s="546" t="s">
        <v>432</v>
      </c>
      <c r="B2958" s="512" t="s">
        <v>433</v>
      </c>
      <c r="C2958" s="605">
        <v>45994.0</v>
      </c>
      <c r="D2958" s="512">
        <v>4.2817313218E10</v>
      </c>
      <c r="E2958" s="606" t="s">
        <v>5556</v>
      </c>
      <c r="F2958" s="644" t="s">
        <v>436</v>
      </c>
      <c r="G2958" s="606" t="s">
        <v>5557</v>
      </c>
      <c r="H2958" s="608" t="s">
        <v>686</v>
      </c>
    </row>
    <row r="2959">
      <c r="A2959" s="546" t="s">
        <v>432</v>
      </c>
      <c r="B2959" s="512" t="s">
        <v>433</v>
      </c>
      <c r="C2959" s="605">
        <v>45994.0</v>
      </c>
      <c r="D2959" s="512">
        <v>4.4703297078E10</v>
      </c>
      <c r="E2959" s="606" t="s">
        <v>5558</v>
      </c>
      <c r="F2959" s="644" t="s">
        <v>436</v>
      </c>
      <c r="G2959" s="606" t="s">
        <v>554</v>
      </c>
      <c r="H2959" s="608" t="s">
        <v>686</v>
      </c>
    </row>
    <row r="2960">
      <c r="A2960" s="546" t="s">
        <v>432</v>
      </c>
      <c r="B2960" s="512" t="s">
        <v>433</v>
      </c>
      <c r="C2960" s="605">
        <v>45994.0</v>
      </c>
      <c r="D2960" s="512">
        <v>4.4703297077E10</v>
      </c>
      <c r="E2960" s="606" t="s">
        <v>5558</v>
      </c>
      <c r="F2960" s="644" t="s">
        <v>436</v>
      </c>
      <c r="G2960" s="606" t="s">
        <v>554</v>
      </c>
      <c r="H2960" s="608" t="s">
        <v>686</v>
      </c>
    </row>
    <row r="2961">
      <c r="A2961" s="546" t="s">
        <v>432</v>
      </c>
      <c r="B2961" s="512" t="s">
        <v>449</v>
      </c>
      <c r="C2961" s="605">
        <v>45994.0</v>
      </c>
      <c r="D2961" s="674">
        <v>4.4704916038E10</v>
      </c>
      <c r="E2961" s="606" t="s">
        <v>5559</v>
      </c>
      <c r="F2961" s="644" t="s">
        <v>436</v>
      </c>
      <c r="G2961" s="606" t="s">
        <v>4858</v>
      </c>
      <c r="H2961" s="608" t="s">
        <v>686</v>
      </c>
    </row>
    <row r="2962">
      <c r="A2962" s="546" t="s">
        <v>432</v>
      </c>
      <c r="B2962" s="512" t="s">
        <v>433</v>
      </c>
      <c r="C2962" s="605">
        <v>45994.0</v>
      </c>
      <c r="D2962" s="512">
        <v>4.3120352408E10</v>
      </c>
      <c r="E2962" s="606" t="s">
        <v>5560</v>
      </c>
      <c r="F2962" s="644" t="s">
        <v>436</v>
      </c>
      <c r="G2962" s="606" t="s">
        <v>4980</v>
      </c>
      <c r="H2962" s="608" t="s">
        <v>686</v>
      </c>
    </row>
    <row r="2963">
      <c r="A2963" s="546" t="s">
        <v>432</v>
      </c>
      <c r="B2963" s="512" t="s">
        <v>449</v>
      </c>
      <c r="C2963" s="605">
        <v>45994.0</v>
      </c>
      <c r="D2963" s="512">
        <v>4.338069964E10</v>
      </c>
      <c r="E2963" s="606" t="s">
        <v>5561</v>
      </c>
      <c r="F2963" s="644" t="s">
        <v>436</v>
      </c>
      <c r="G2963" s="606" t="s">
        <v>1894</v>
      </c>
      <c r="H2963" s="608" t="s">
        <v>686</v>
      </c>
    </row>
    <row r="2964">
      <c r="A2964" s="546" t="s">
        <v>617</v>
      </c>
      <c r="B2964" s="512" t="s">
        <v>449</v>
      </c>
      <c r="C2964" s="605">
        <v>45994.0</v>
      </c>
      <c r="D2964" s="512">
        <v>4.3290077366E10</v>
      </c>
      <c r="E2964" s="606" t="s">
        <v>5025</v>
      </c>
      <c r="F2964" s="644" t="s">
        <v>436</v>
      </c>
      <c r="G2964" s="606" t="s">
        <v>2023</v>
      </c>
      <c r="H2964" s="608" t="s">
        <v>696</v>
      </c>
    </row>
    <row r="2965">
      <c r="A2965" s="546" t="s">
        <v>432</v>
      </c>
      <c r="B2965" s="512" t="s">
        <v>433</v>
      </c>
      <c r="C2965" s="605">
        <v>45994.0</v>
      </c>
      <c r="D2965" s="512">
        <v>3.4326707308E10</v>
      </c>
      <c r="E2965" s="606" t="s">
        <v>5562</v>
      </c>
      <c r="F2965" s="644" t="s">
        <v>436</v>
      </c>
      <c r="G2965" s="606" t="s">
        <v>4920</v>
      </c>
      <c r="H2965" s="608" t="s">
        <v>686</v>
      </c>
    </row>
    <row r="2966">
      <c r="A2966" s="546" t="s">
        <v>432</v>
      </c>
      <c r="B2966" s="512" t="s">
        <v>449</v>
      </c>
      <c r="C2966" s="605">
        <v>45994.0</v>
      </c>
      <c r="D2966" s="512">
        <v>4.3267914504E10</v>
      </c>
      <c r="E2966" s="606" t="s">
        <v>5563</v>
      </c>
      <c r="F2966" s="644" t="s">
        <v>436</v>
      </c>
      <c r="G2966" s="606" t="s">
        <v>5564</v>
      </c>
      <c r="H2966" s="608" t="s">
        <v>686</v>
      </c>
    </row>
    <row r="2967">
      <c r="A2967" s="546" t="s">
        <v>432</v>
      </c>
      <c r="B2967" s="512" t="s">
        <v>433</v>
      </c>
      <c r="C2967" s="605">
        <v>45995.0</v>
      </c>
      <c r="D2967" s="512">
        <v>3.1899368357E10</v>
      </c>
      <c r="E2967" s="606" t="s">
        <v>5565</v>
      </c>
      <c r="F2967" s="644" t="s">
        <v>436</v>
      </c>
      <c r="G2967" s="606" t="s">
        <v>2818</v>
      </c>
      <c r="H2967" s="608" t="s">
        <v>686</v>
      </c>
    </row>
    <row r="2968">
      <c r="A2968" s="546" t="s">
        <v>432</v>
      </c>
      <c r="B2968" s="512" t="s">
        <v>433</v>
      </c>
      <c r="C2968" s="605">
        <v>45995.0</v>
      </c>
      <c r="D2968" s="512">
        <v>4.2760429659E10</v>
      </c>
      <c r="E2968" s="606" t="s">
        <v>5566</v>
      </c>
      <c r="F2968" s="644" t="s">
        <v>436</v>
      </c>
      <c r="G2968" s="606" t="s">
        <v>5567</v>
      </c>
      <c r="H2968" s="608" t="s">
        <v>686</v>
      </c>
    </row>
    <row r="2969">
      <c r="A2969" s="546" t="s">
        <v>432</v>
      </c>
      <c r="B2969" s="512" t="s">
        <v>449</v>
      </c>
      <c r="C2969" s="605">
        <v>45995.0</v>
      </c>
      <c r="D2969" s="512">
        <v>4.5115467212E10</v>
      </c>
      <c r="E2969" s="606" t="s">
        <v>5568</v>
      </c>
      <c r="F2969" s="644" t="s">
        <v>436</v>
      </c>
      <c r="G2969" s="606" t="s">
        <v>5569</v>
      </c>
      <c r="H2969" s="608" t="s">
        <v>686</v>
      </c>
    </row>
    <row r="2970">
      <c r="A2970" s="546" t="s">
        <v>439</v>
      </c>
      <c r="B2970" s="512" t="s">
        <v>449</v>
      </c>
      <c r="C2970" s="605">
        <v>45995.0</v>
      </c>
      <c r="D2970" s="512">
        <v>4.2893822666E10</v>
      </c>
      <c r="E2970" s="606" t="s">
        <v>4866</v>
      </c>
      <c r="F2970" s="644" t="s">
        <v>436</v>
      </c>
      <c r="G2970" s="606" t="s">
        <v>5570</v>
      </c>
      <c r="H2970" s="608" t="s">
        <v>1608</v>
      </c>
    </row>
    <row r="2971">
      <c r="A2971" s="546" t="s">
        <v>432</v>
      </c>
      <c r="B2971" s="512" t="s">
        <v>688</v>
      </c>
      <c r="C2971" s="605">
        <v>45995.0</v>
      </c>
      <c r="D2971" s="512">
        <v>4.2168769734E10</v>
      </c>
      <c r="E2971" s="606" t="s">
        <v>5571</v>
      </c>
      <c r="F2971" s="644" t="s">
        <v>436</v>
      </c>
      <c r="G2971" s="606" t="s">
        <v>2275</v>
      </c>
      <c r="H2971" s="608" t="s">
        <v>686</v>
      </c>
    </row>
    <row r="2972">
      <c r="A2972" s="546" t="s">
        <v>432</v>
      </c>
      <c r="B2972" s="512" t="s">
        <v>433</v>
      </c>
      <c r="C2972" s="605">
        <v>45995.0</v>
      </c>
      <c r="D2972" s="512">
        <v>3.4326511717E10</v>
      </c>
      <c r="E2972" s="606" t="s">
        <v>5572</v>
      </c>
      <c r="F2972" s="644" t="s">
        <v>436</v>
      </c>
      <c r="G2972" s="606" t="s">
        <v>3080</v>
      </c>
      <c r="H2972" s="608" t="s">
        <v>686</v>
      </c>
    </row>
    <row r="2973">
      <c r="A2973" s="546" t="s">
        <v>432</v>
      </c>
      <c r="B2973" s="512" t="s">
        <v>433</v>
      </c>
      <c r="C2973" s="605">
        <v>45995.0</v>
      </c>
      <c r="D2973" s="512">
        <v>4.3401486822E10</v>
      </c>
      <c r="E2973" s="606" t="s">
        <v>4902</v>
      </c>
      <c r="F2973" s="644" t="s">
        <v>436</v>
      </c>
      <c r="G2973" s="606" t="s">
        <v>5573</v>
      </c>
      <c r="H2973" s="608" t="s">
        <v>686</v>
      </c>
    </row>
    <row r="2974">
      <c r="A2974" s="546" t="s">
        <v>439</v>
      </c>
      <c r="B2974" s="512" t="s">
        <v>449</v>
      </c>
      <c r="C2974" s="605">
        <v>45995.0</v>
      </c>
      <c r="D2974" s="512">
        <v>3.4468518226E10</v>
      </c>
      <c r="E2974" s="606" t="s">
        <v>5574</v>
      </c>
      <c r="F2974" s="644" t="s">
        <v>436</v>
      </c>
      <c r="G2974" s="606" t="s">
        <v>5575</v>
      </c>
      <c r="H2974" s="608" t="s">
        <v>1608</v>
      </c>
    </row>
    <row r="2975">
      <c r="A2975" s="546" t="s">
        <v>617</v>
      </c>
      <c r="B2975" s="512" t="s">
        <v>449</v>
      </c>
      <c r="C2975" s="605">
        <v>45995.0</v>
      </c>
      <c r="D2975" s="512">
        <v>4.3452433767E10</v>
      </c>
      <c r="E2975" s="606" t="s">
        <v>5430</v>
      </c>
      <c r="F2975" s="644" t="s">
        <v>436</v>
      </c>
      <c r="G2975" s="606" t="s">
        <v>5576</v>
      </c>
      <c r="H2975" s="608" t="s">
        <v>696</v>
      </c>
    </row>
    <row r="2976">
      <c r="A2976" s="546" t="s">
        <v>432</v>
      </c>
      <c r="B2976" s="512" t="s">
        <v>449</v>
      </c>
      <c r="C2976" s="605">
        <v>45995.0</v>
      </c>
      <c r="D2976" s="512">
        <v>4.2157189575E10</v>
      </c>
      <c r="E2976" s="606" t="s">
        <v>5577</v>
      </c>
      <c r="F2976" s="644" t="s">
        <v>436</v>
      </c>
      <c r="G2976" s="606" t="s">
        <v>5578</v>
      </c>
      <c r="H2976" s="608" t="s">
        <v>686</v>
      </c>
    </row>
    <row r="2977">
      <c r="A2977" s="546" t="s">
        <v>432</v>
      </c>
      <c r="B2977" s="512" t="s">
        <v>433</v>
      </c>
      <c r="C2977" s="605">
        <v>45995.0</v>
      </c>
      <c r="D2977" s="512">
        <v>4.1147027466E10</v>
      </c>
      <c r="E2977" s="606" t="s">
        <v>4833</v>
      </c>
      <c r="F2977" s="644" t="s">
        <v>436</v>
      </c>
      <c r="G2977" s="606" t="s">
        <v>5579</v>
      </c>
      <c r="H2977" s="608" t="s">
        <v>686</v>
      </c>
    </row>
    <row r="2978">
      <c r="A2978" s="546" t="s">
        <v>432</v>
      </c>
      <c r="B2978" s="512" t="s">
        <v>433</v>
      </c>
      <c r="C2978" s="605">
        <v>45995.0</v>
      </c>
      <c r="D2978" s="512">
        <v>4.2927430701E10</v>
      </c>
      <c r="E2978" s="606" t="s">
        <v>5580</v>
      </c>
      <c r="F2978" s="644" t="s">
        <v>436</v>
      </c>
      <c r="G2978" s="606" t="s">
        <v>5581</v>
      </c>
      <c r="H2978" s="608" t="s">
        <v>686</v>
      </c>
    </row>
    <row r="2979">
      <c r="A2979" s="546" t="s">
        <v>432</v>
      </c>
      <c r="B2979" s="512" t="s">
        <v>433</v>
      </c>
      <c r="C2979" s="605">
        <v>45995.0</v>
      </c>
      <c r="D2979" s="512">
        <v>3.8989516072E10</v>
      </c>
      <c r="E2979" s="606" t="s">
        <v>5582</v>
      </c>
      <c r="F2979" s="644" t="s">
        <v>436</v>
      </c>
      <c r="G2979" s="606" t="s">
        <v>5581</v>
      </c>
      <c r="H2979" s="608" t="s">
        <v>686</v>
      </c>
    </row>
    <row r="2980">
      <c r="A2980" s="546" t="s">
        <v>432</v>
      </c>
      <c r="B2980" s="512" t="s">
        <v>433</v>
      </c>
      <c r="C2980" s="605">
        <v>45995.0</v>
      </c>
      <c r="D2980" s="512">
        <v>3.9250790867E10</v>
      </c>
      <c r="E2980" s="606" t="s">
        <v>4833</v>
      </c>
      <c r="F2980" s="644" t="s">
        <v>436</v>
      </c>
      <c r="G2980" s="606" t="s">
        <v>5583</v>
      </c>
      <c r="H2980" s="608" t="s">
        <v>686</v>
      </c>
    </row>
    <row r="2981">
      <c r="A2981" s="546" t="s">
        <v>439</v>
      </c>
      <c r="B2981" s="512" t="s">
        <v>449</v>
      </c>
      <c r="C2981" s="605">
        <v>45995.0</v>
      </c>
      <c r="D2981" s="512">
        <v>4.5165639282E10</v>
      </c>
      <c r="E2981" s="606" t="s">
        <v>4741</v>
      </c>
      <c r="F2981" s="644" t="s">
        <v>436</v>
      </c>
      <c r="G2981" s="606" t="s">
        <v>2834</v>
      </c>
      <c r="H2981" s="608" t="s">
        <v>1608</v>
      </c>
    </row>
    <row r="2982">
      <c r="A2982" s="546" t="s">
        <v>432</v>
      </c>
      <c r="B2982" s="512" t="s">
        <v>449</v>
      </c>
      <c r="C2982" s="605">
        <v>45995.0</v>
      </c>
      <c r="D2982" s="512">
        <v>4.4761384432E10</v>
      </c>
      <c r="E2982" s="606" t="s">
        <v>5584</v>
      </c>
      <c r="F2982" s="644" t="s">
        <v>436</v>
      </c>
      <c r="G2982" s="606" t="s">
        <v>4307</v>
      </c>
      <c r="H2982" s="608" t="s">
        <v>686</v>
      </c>
    </row>
    <row r="2983">
      <c r="A2983" s="546" t="s">
        <v>432</v>
      </c>
      <c r="B2983" s="512" t="s">
        <v>449</v>
      </c>
      <c r="C2983" s="605">
        <v>45995.0</v>
      </c>
      <c r="D2983" s="512">
        <v>4.0844966015E10</v>
      </c>
      <c r="E2983" s="606" t="s">
        <v>5585</v>
      </c>
      <c r="F2983" s="644" t="s">
        <v>436</v>
      </c>
      <c r="G2983" s="606" t="s">
        <v>973</v>
      </c>
      <c r="H2983" s="608" t="s">
        <v>686</v>
      </c>
    </row>
    <row r="2984">
      <c r="A2984" s="546" t="s">
        <v>432</v>
      </c>
      <c r="B2984" s="512" t="s">
        <v>449</v>
      </c>
      <c r="C2984" s="605">
        <v>45996.0</v>
      </c>
      <c r="D2984" s="512">
        <v>3.2387469821E10</v>
      </c>
      <c r="E2984" s="606" t="s">
        <v>5586</v>
      </c>
      <c r="F2984" s="644" t="s">
        <v>436</v>
      </c>
      <c r="G2984" s="606">
        <v>2412.0</v>
      </c>
      <c r="H2984" s="608" t="s">
        <v>686</v>
      </c>
    </row>
    <row r="2985">
      <c r="A2985" s="546" t="s">
        <v>432</v>
      </c>
      <c r="B2985" s="512" t="s">
        <v>449</v>
      </c>
      <c r="C2985" s="605">
        <v>45996.0</v>
      </c>
      <c r="D2985" s="512">
        <v>4.3337278151E10</v>
      </c>
      <c r="E2985" s="606" t="s">
        <v>5587</v>
      </c>
      <c r="F2985" s="644" t="s">
        <v>436</v>
      </c>
      <c r="G2985" s="606" t="s">
        <v>5588</v>
      </c>
      <c r="H2985" s="608" t="s">
        <v>686</v>
      </c>
    </row>
    <row r="2986">
      <c r="A2986" s="546" t="s">
        <v>432</v>
      </c>
      <c r="B2986" s="512" t="s">
        <v>449</v>
      </c>
      <c r="C2986" s="605">
        <v>45996.0</v>
      </c>
      <c r="D2986" s="512">
        <v>4.221104442E10</v>
      </c>
      <c r="E2986" s="606" t="s">
        <v>5589</v>
      </c>
      <c r="F2986" s="644" t="s">
        <v>436</v>
      </c>
      <c r="G2986" s="606" t="s">
        <v>1654</v>
      </c>
      <c r="H2986" s="608" t="s">
        <v>686</v>
      </c>
    </row>
    <row r="2987">
      <c r="A2987" s="546" t="s">
        <v>439</v>
      </c>
      <c r="B2987" s="512" t="s">
        <v>497</v>
      </c>
      <c r="C2987" s="605">
        <v>45996.0</v>
      </c>
      <c r="D2987" s="512">
        <v>3.6939900162E10</v>
      </c>
      <c r="E2987" s="606" t="s">
        <v>5590</v>
      </c>
      <c r="F2987" s="644" t="s">
        <v>436</v>
      </c>
      <c r="G2987" s="606" t="s">
        <v>5591</v>
      </c>
      <c r="H2987" s="608" t="s">
        <v>1608</v>
      </c>
    </row>
    <row r="2988">
      <c r="A2988" s="546" t="s">
        <v>432</v>
      </c>
      <c r="B2988" s="512" t="s">
        <v>4201</v>
      </c>
      <c r="C2988" s="605">
        <v>45996.0</v>
      </c>
      <c r="D2988" s="512">
        <v>4.3490412998E10</v>
      </c>
      <c r="E2988" s="606" t="s">
        <v>5592</v>
      </c>
      <c r="F2988" s="644" t="s">
        <v>436</v>
      </c>
      <c r="G2988" s="606" t="s">
        <v>5593</v>
      </c>
      <c r="H2988" s="608" t="s">
        <v>686</v>
      </c>
    </row>
    <row r="2989">
      <c r="A2989" s="546" t="s">
        <v>432</v>
      </c>
      <c r="B2989" s="512" t="s">
        <v>433</v>
      </c>
      <c r="C2989" s="605">
        <v>45996.0</v>
      </c>
      <c r="D2989" s="512">
        <v>4.3335536281E10</v>
      </c>
      <c r="E2989" s="606" t="s">
        <v>5594</v>
      </c>
      <c r="F2989" s="644" t="s">
        <v>436</v>
      </c>
      <c r="G2989" s="606" t="s">
        <v>5595</v>
      </c>
      <c r="H2989" s="608" t="s">
        <v>686</v>
      </c>
    </row>
    <row r="2990">
      <c r="A2990" s="546" t="s">
        <v>432</v>
      </c>
      <c r="B2990" s="512" t="s">
        <v>433</v>
      </c>
      <c r="C2990" s="605">
        <v>45996.0</v>
      </c>
      <c r="D2990" s="512">
        <v>3.8884009185E10</v>
      </c>
      <c r="E2990" s="606" t="s">
        <v>5596</v>
      </c>
      <c r="F2990" s="644" t="s">
        <v>436</v>
      </c>
      <c r="G2990" s="606" t="s">
        <v>5597</v>
      </c>
      <c r="H2990" s="608" t="s">
        <v>686</v>
      </c>
    </row>
    <row r="2991">
      <c r="A2991" s="546" t="s">
        <v>439</v>
      </c>
      <c r="B2991" s="512" t="s">
        <v>433</v>
      </c>
      <c r="C2991" s="605">
        <v>45996.0</v>
      </c>
      <c r="D2991" s="512">
        <v>4.2493203583E10</v>
      </c>
      <c r="E2991" s="606" t="s">
        <v>5598</v>
      </c>
      <c r="F2991" s="644" t="s">
        <v>436</v>
      </c>
      <c r="G2991" s="606" t="s">
        <v>5599</v>
      </c>
      <c r="H2991" s="608" t="s">
        <v>1608</v>
      </c>
    </row>
    <row r="2992">
      <c r="A2992" s="546" t="s">
        <v>617</v>
      </c>
      <c r="B2992" s="512" t="s">
        <v>449</v>
      </c>
      <c r="C2992" s="605">
        <v>45996.0</v>
      </c>
      <c r="D2992" s="512">
        <v>3.0450097582E10</v>
      </c>
      <c r="E2992" s="606" t="s">
        <v>4165</v>
      </c>
      <c r="F2992" s="644" t="s">
        <v>436</v>
      </c>
      <c r="G2992" s="606" t="s">
        <v>5600</v>
      </c>
      <c r="H2992" s="608" t="s">
        <v>1096</v>
      </c>
    </row>
    <row r="2993">
      <c r="A2993" s="546" t="s">
        <v>617</v>
      </c>
      <c r="B2993" s="512" t="s">
        <v>433</v>
      </c>
      <c r="C2993" s="605">
        <v>45996.0</v>
      </c>
      <c r="D2993" s="512">
        <v>4.2757761027E10</v>
      </c>
      <c r="E2993" s="606" t="s">
        <v>4165</v>
      </c>
      <c r="F2993" s="644" t="s">
        <v>436</v>
      </c>
      <c r="G2993" s="606" t="s">
        <v>2840</v>
      </c>
      <c r="H2993" s="608" t="s">
        <v>1096</v>
      </c>
    </row>
    <row r="2994">
      <c r="A2994" s="546" t="s">
        <v>432</v>
      </c>
      <c r="B2994" s="512" t="s">
        <v>449</v>
      </c>
      <c r="C2994" s="605">
        <v>45996.0</v>
      </c>
      <c r="D2994" s="512">
        <v>3.8322141644E10</v>
      </c>
      <c r="E2994" s="606" t="s">
        <v>5601</v>
      </c>
      <c r="F2994" s="644" t="s">
        <v>436</v>
      </c>
      <c r="G2994" s="606" t="s">
        <v>5602</v>
      </c>
      <c r="H2994" s="608" t="s">
        <v>686</v>
      </c>
    </row>
    <row r="2995">
      <c r="A2995" s="546" t="s">
        <v>432</v>
      </c>
      <c r="B2995" s="512" t="s">
        <v>449</v>
      </c>
      <c r="C2995" s="605">
        <v>45996.0</v>
      </c>
      <c r="D2995" s="512">
        <v>4.2437816654E10</v>
      </c>
      <c r="E2995" s="606" t="s">
        <v>5365</v>
      </c>
      <c r="F2995" s="644" t="s">
        <v>436</v>
      </c>
      <c r="G2995" s="606" t="s">
        <v>3796</v>
      </c>
      <c r="H2995" s="608" t="s">
        <v>686</v>
      </c>
    </row>
    <row r="2996">
      <c r="A2996" s="546" t="s">
        <v>617</v>
      </c>
      <c r="B2996" s="512" t="s">
        <v>433</v>
      </c>
      <c r="C2996" s="605">
        <v>45997.0</v>
      </c>
      <c r="D2996" s="512">
        <v>3.8867417163E10</v>
      </c>
      <c r="E2996" s="675" t="s">
        <v>5603</v>
      </c>
      <c r="F2996" s="644" t="s">
        <v>436</v>
      </c>
      <c r="G2996" s="606" t="s">
        <v>5604</v>
      </c>
      <c r="H2996" s="608" t="s">
        <v>1175</v>
      </c>
    </row>
    <row r="2997">
      <c r="A2997" s="546" t="s">
        <v>617</v>
      </c>
      <c r="B2997" s="512" t="s">
        <v>433</v>
      </c>
      <c r="C2997" s="605">
        <v>45997.0</v>
      </c>
      <c r="D2997" s="512">
        <v>3.9507692155E10</v>
      </c>
      <c r="E2997" s="673" t="s">
        <v>5605</v>
      </c>
      <c r="F2997" s="644" t="s">
        <v>436</v>
      </c>
      <c r="G2997" s="606" t="s">
        <v>5606</v>
      </c>
      <c r="H2997" s="608" t="s">
        <v>1175</v>
      </c>
    </row>
    <row r="2998">
      <c r="A2998" s="546" t="s">
        <v>617</v>
      </c>
      <c r="B2998" s="512" t="s">
        <v>817</v>
      </c>
      <c r="C2998" s="605">
        <v>45997.0</v>
      </c>
      <c r="D2998" s="512">
        <v>4.3146561032E10</v>
      </c>
      <c r="E2998" s="675" t="s">
        <v>5607</v>
      </c>
      <c r="F2998" s="644" t="s">
        <v>436</v>
      </c>
      <c r="G2998" s="606" t="s">
        <v>5608</v>
      </c>
      <c r="H2998" s="608" t="s">
        <v>1175</v>
      </c>
    </row>
    <row r="2999">
      <c r="A2999" s="546" t="s">
        <v>617</v>
      </c>
      <c r="B2999" s="512" t="s">
        <v>817</v>
      </c>
      <c r="C2999" s="605">
        <v>45997.0</v>
      </c>
      <c r="D2999" s="512">
        <v>3.9340430127E10</v>
      </c>
      <c r="E2999" s="673" t="s">
        <v>5609</v>
      </c>
      <c r="F2999" s="644" t="s">
        <v>436</v>
      </c>
      <c r="G2999" s="606" t="s">
        <v>5610</v>
      </c>
      <c r="H2999" s="608" t="s">
        <v>1175</v>
      </c>
    </row>
    <row r="3000">
      <c r="A3000" s="546" t="s">
        <v>823</v>
      </c>
      <c r="B3000" s="512" t="s">
        <v>433</v>
      </c>
      <c r="C3000" s="605">
        <v>45997.0</v>
      </c>
      <c r="D3000" s="512">
        <v>3.9496679196E10</v>
      </c>
      <c r="E3000" s="606" t="s">
        <v>5611</v>
      </c>
      <c r="F3000" s="644" t="s">
        <v>436</v>
      </c>
      <c r="G3000" s="606" t="s">
        <v>3146</v>
      </c>
      <c r="H3000" s="608" t="s">
        <v>1647</v>
      </c>
    </row>
    <row r="3001">
      <c r="A3001" s="546" t="s">
        <v>439</v>
      </c>
      <c r="B3001" s="512" t="s">
        <v>817</v>
      </c>
      <c r="C3001" s="605">
        <v>45997.0</v>
      </c>
      <c r="D3001" s="512">
        <v>4.3180577804E10</v>
      </c>
      <c r="E3001" s="606" t="s">
        <v>5612</v>
      </c>
      <c r="F3001" s="644" t="s">
        <v>436</v>
      </c>
      <c r="G3001" s="606" t="s">
        <v>5613</v>
      </c>
      <c r="H3001" s="608" t="s">
        <v>5177</v>
      </c>
    </row>
    <row r="3002">
      <c r="A3002" s="546" t="s">
        <v>823</v>
      </c>
      <c r="B3002" s="512" t="s">
        <v>433</v>
      </c>
      <c r="C3002" s="605">
        <v>45997.0</v>
      </c>
      <c r="D3002" s="512">
        <v>4.516557433E10</v>
      </c>
      <c r="E3002" s="606" t="s">
        <v>5614</v>
      </c>
      <c r="F3002" s="644" t="s">
        <v>436</v>
      </c>
      <c r="G3002" s="606" t="s">
        <v>1510</v>
      </c>
      <c r="H3002" s="608" t="s">
        <v>1647</v>
      </c>
    </row>
    <row r="3003">
      <c r="A3003" s="546" t="s">
        <v>617</v>
      </c>
      <c r="B3003" s="512" t="s">
        <v>5502</v>
      </c>
      <c r="C3003" s="605">
        <v>45997.0</v>
      </c>
      <c r="D3003" s="512">
        <v>4.1509719122E10</v>
      </c>
      <c r="E3003" s="643" t="s">
        <v>5615</v>
      </c>
      <c r="F3003" s="656" t="s">
        <v>436</v>
      </c>
      <c r="G3003" s="606" t="s">
        <v>5616</v>
      </c>
      <c r="H3003" s="608" t="s">
        <v>1175</v>
      </c>
    </row>
    <row r="3004">
      <c r="A3004" s="546" t="s">
        <v>439</v>
      </c>
      <c r="B3004" s="512" t="s">
        <v>5524</v>
      </c>
      <c r="C3004" s="605">
        <v>45997.0</v>
      </c>
      <c r="D3004" s="512">
        <v>4.2738468003E10</v>
      </c>
      <c r="E3004" s="606" t="s">
        <v>5617</v>
      </c>
      <c r="F3004" s="644" t="s">
        <v>436</v>
      </c>
      <c r="G3004" s="606" t="s">
        <v>2181</v>
      </c>
      <c r="H3004" s="608" t="s">
        <v>5177</v>
      </c>
    </row>
    <row r="3005">
      <c r="A3005" s="546" t="s">
        <v>617</v>
      </c>
      <c r="B3005" s="512" t="s">
        <v>817</v>
      </c>
      <c r="C3005" s="605">
        <v>45997.0</v>
      </c>
      <c r="D3005" s="512">
        <v>4.4475076332E10</v>
      </c>
      <c r="E3005" s="673" t="s">
        <v>5618</v>
      </c>
      <c r="F3005" s="644" t="s">
        <v>436</v>
      </c>
      <c r="G3005" s="606" t="s">
        <v>5619</v>
      </c>
      <c r="H3005" s="608" t="s">
        <v>1175</v>
      </c>
    </row>
    <row r="3006">
      <c r="A3006" s="546" t="s">
        <v>617</v>
      </c>
      <c r="B3006" s="512" t="s">
        <v>433</v>
      </c>
      <c r="C3006" s="605">
        <v>45997.0</v>
      </c>
      <c r="D3006" s="512">
        <v>4.3505655948E10</v>
      </c>
      <c r="E3006" s="673" t="s">
        <v>5620</v>
      </c>
      <c r="F3006" s="644" t="s">
        <v>436</v>
      </c>
      <c r="G3006" s="606" t="s">
        <v>5621</v>
      </c>
      <c r="H3006" s="608" t="s">
        <v>1175</v>
      </c>
    </row>
    <row r="3007">
      <c r="A3007" s="546" t="s">
        <v>439</v>
      </c>
      <c r="B3007" s="512" t="s">
        <v>433</v>
      </c>
      <c r="C3007" s="605">
        <v>45998.0</v>
      </c>
      <c r="D3007" s="512">
        <v>4.0276104717E10</v>
      </c>
      <c r="E3007" s="606" t="s">
        <v>85</v>
      </c>
      <c r="F3007" s="644" t="s">
        <v>436</v>
      </c>
      <c r="G3007" s="606" t="s">
        <v>5622</v>
      </c>
      <c r="H3007" s="608" t="s">
        <v>5177</v>
      </c>
    </row>
    <row r="3008">
      <c r="A3008" s="546" t="s">
        <v>823</v>
      </c>
      <c r="B3008" s="512" t="s">
        <v>449</v>
      </c>
      <c r="C3008" s="605">
        <v>45998.0</v>
      </c>
      <c r="D3008" s="512">
        <v>4.2811164465E10</v>
      </c>
      <c r="E3008" s="606" t="s">
        <v>5623</v>
      </c>
      <c r="F3008" s="644" t="s">
        <v>436</v>
      </c>
      <c r="G3008" s="606" t="s">
        <v>2403</v>
      </c>
      <c r="H3008" s="608" t="s">
        <v>4558</v>
      </c>
    </row>
    <row r="3009">
      <c r="A3009" s="546" t="s">
        <v>823</v>
      </c>
      <c r="B3009" s="512" t="s">
        <v>449</v>
      </c>
      <c r="C3009" s="605">
        <v>45998.0</v>
      </c>
      <c r="D3009" s="512">
        <v>4.2563435031E10</v>
      </c>
      <c r="E3009" s="606" t="s">
        <v>5624</v>
      </c>
      <c r="F3009" s="644" t="s">
        <v>436</v>
      </c>
      <c r="G3009" s="606" t="s">
        <v>5625</v>
      </c>
      <c r="H3009" s="608" t="s">
        <v>4558</v>
      </c>
    </row>
    <row r="3010">
      <c r="A3010" s="546" t="s">
        <v>617</v>
      </c>
      <c r="B3010" s="512" t="s">
        <v>449</v>
      </c>
      <c r="C3010" s="605">
        <v>45998.0</v>
      </c>
      <c r="D3010" s="512">
        <v>4.2428746931E10</v>
      </c>
      <c r="E3010" s="606" t="s">
        <v>4165</v>
      </c>
      <c r="F3010" s="644" t="s">
        <v>436</v>
      </c>
      <c r="G3010" s="606" t="s">
        <v>5626</v>
      </c>
      <c r="H3010" s="608" t="s">
        <v>696</v>
      </c>
    </row>
    <row r="3011">
      <c r="A3011" s="546" t="s">
        <v>439</v>
      </c>
      <c r="B3011" s="512" t="s">
        <v>449</v>
      </c>
      <c r="C3011" s="605">
        <v>45998.0</v>
      </c>
      <c r="D3011" s="512">
        <v>3.3343428635E10</v>
      </c>
      <c r="E3011" s="606" t="s">
        <v>5627</v>
      </c>
      <c r="F3011" s="644" t="s">
        <v>436</v>
      </c>
      <c r="G3011" s="606" t="s">
        <v>5628</v>
      </c>
      <c r="H3011" s="608" t="s">
        <v>5177</v>
      </c>
      <c r="I3011" s="676"/>
    </row>
    <row r="3012">
      <c r="A3012" s="546" t="s">
        <v>823</v>
      </c>
      <c r="B3012" s="512" t="s">
        <v>433</v>
      </c>
      <c r="C3012" s="605">
        <v>45998.0</v>
      </c>
      <c r="D3012" s="512">
        <v>3.7873043686E10</v>
      </c>
      <c r="E3012" s="606" t="s">
        <v>5448</v>
      </c>
      <c r="F3012" s="644" t="s">
        <v>436</v>
      </c>
      <c r="G3012" s="606" t="s">
        <v>5629</v>
      </c>
      <c r="H3012" s="608" t="s">
        <v>4558</v>
      </c>
    </row>
    <row r="3013">
      <c r="A3013" s="546" t="s">
        <v>823</v>
      </c>
      <c r="B3013" s="512" t="s">
        <v>433</v>
      </c>
      <c r="C3013" s="605">
        <v>45998.0</v>
      </c>
      <c r="D3013" s="512">
        <v>4.2892662553E10</v>
      </c>
      <c r="E3013" s="606" t="s">
        <v>5630</v>
      </c>
      <c r="F3013" s="644" t="s">
        <v>436</v>
      </c>
      <c r="G3013" s="606" t="s">
        <v>4725</v>
      </c>
      <c r="H3013" s="608" t="s">
        <v>4558</v>
      </c>
    </row>
    <row r="3014">
      <c r="A3014" s="546" t="s">
        <v>617</v>
      </c>
      <c r="B3014" s="512" t="s">
        <v>497</v>
      </c>
      <c r="C3014" s="605">
        <v>45998.0</v>
      </c>
      <c r="D3014" s="512">
        <v>3.5005802208E10</v>
      </c>
      <c r="E3014" s="606" t="s">
        <v>5631</v>
      </c>
      <c r="F3014" s="644" t="s">
        <v>436</v>
      </c>
      <c r="G3014" s="606" t="s">
        <v>5632</v>
      </c>
      <c r="H3014" s="608" t="s">
        <v>696</v>
      </c>
    </row>
    <row r="3015">
      <c r="A3015" s="546" t="s">
        <v>439</v>
      </c>
      <c r="B3015" s="512" t="s">
        <v>449</v>
      </c>
      <c r="C3015" s="605">
        <v>45998.0</v>
      </c>
      <c r="D3015" s="512">
        <v>3.4039760507E10</v>
      </c>
      <c r="E3015" s="606" t="s">
        <v>5633</v>
      </c>
      <c r="F3015" s="644" t="s">
        <v>436</v>
      </c>
      <c r="G3015" s="606" t="s">
        <v>3285</v>
      </c>
      <c r="H3015" s="608" t="s">
        <v>5177</v>
      </c>
    </row>
    <row r="3016">
      <c r="A3016" s="546" t="s">
        <v>432</v>
      </c>
      <c r="B3016" s="512" t="s">
        <v>817</v>
      </c>
      <c r="C3016" s="605">
        <v>45998.0</v>
      </c>
      <c r="D3016" s="512">
        <v>4.3438948902E10</v>
      </c>
      <c r="E3016" s="606" t="s">
        <v>5634</v>
      </c>
      <c r="F3016" s="644" t="s">
        <v>436</v>
      </c>
      <c r="G3016" s="606" t="s">
        <v>5635</v>
      </c>
      <c r="H3016" s="608" t="s">
        <v>438</v>
      </c>
    </row>
    <row r="3017">
      <c r="A3017" s="546" t="s">
        <v>432</v>
      </c>
      <c r="B3017" s="512" t="s">
        <v>449</v>
      </c>
      <c r="C3017" s="605">
        <v>45999.0</v>
      </c>
      <c r="D3017" s="512">
        <v>4.3381211685E10</v>
      </c>
      <c r="E3017" s="606" t="s">
        <v>5636</v>
      </c>
      <c r="F3017" s="644" t="s">
        <v>436</v>
      </c>
      <c r="G3017" s="606">
        <v>1499.0</v>
      </c>
      <c r="H3017" s="608" t="s">
        <v>686</v>
      </c>
    </row>
    <row r="3018">
      <c r="A3018" s="546" t="s">
        <v>432</v>
      </c>
      <c r="B3018" s="512" t="s">
        <v>5637</v>
      </c>
      <c r="C3018" s="605">
        <v>45999.0</v>
      </c>
      <c r="D3018" s="512">
        <v>4.5258208344E10</v>
      </c>
      <c r="E3018" s="606" t="s">
        <v>5638</v>
      </c>
      <c r="F3018" s="644" t="s">
        <v>436</v>
      </c>
      <c r="G3018" s="606">
        <v>2691.0</v>
      </c>
      <c r="H3018" s="608" t="s">
        <v>686</v>
      </c>
    </row>
    <row r="3019">
      <c r="A3019" s="546" t="s">
        <v>432</v>
      </c>
      <c r="B3019" s="512" t="s">
        <v>449</v>
      </c>
      <c r="C3019" s="605">
        <v>45999.0</v>
      </c>
      <c r="D3019" s="512">
        <v>4.2926533133E10</v>
      </c>
      <c r="E3019" s="606" t="s">
        <v>5639</v>
      </c>
      <c r="F3019" s="644" t="s">
        <v>436</v>
      </c>
      <c r="G3019" s="606">
        <v>3225.0</v>
      </c>
      <c r="H3019" s="608" t="s">
        <v>686</v>
      </c>
    </row>
    <row r="3020">
      <c r="A3020" s="546" t="s">
        <v>432</v>
      </c>
      <c r="B3020" s="512" t="s">
        <v>449</v>
      </c>
      <c r="C3020" s="605">
        <v>45999.0</v>
      </c>
      <c r="D3020" s="512">
        <v>3.5865064298E10</v>
      </c>
      <c r="E3020" s="606" t="s">
        <v>5640</v>
      </c>
      <c r="F3020" s="644" t="s">
        <v>436</v>
      </c>
      <c r="G3020" s="606" t="s">
        <v>5641</v>
      </c>
      <c r="H3020" s="608" t="s">
        <v>686</v>
      </c>
    </row>
    <row r="3021">
      <c r="A3021" s="546" t="s">
        <v>432</v>
      </c>
      <c r="B3021" s="512" t="s">
        <v>449</v>
      </c>
      <c r="C3021" s="605">
        <v>45999.0</v>
      </c>
      <c r="D3021" s="512">
        <v>4.32095839E10</v>
      </c>
      <c r="E3021" s="606" t="s">
        <v>5642</v>
      </c>
      <c r="F3021" s="644" t="s">
        <v>436</v>
      </c>
      <c r="G3021" s="606" t="s">
        <v>2945</v>
      </c>
      <c r="H3021" s="608" t="s">
        <v>686</v>
      </c>
    </row>
    <row r="3022">
      <c r="A3022" s="546" t="s">
        <v>617</v>
      </c>
      <c r="B3022" s="512" t="s">
        <v>3583</v>
      </c>
      <c r="C3022" s="605">
        <v>45999.0</v>
      </c>
      <c r="D3022" s="512">
        <v>4.2981128659E10</v>
      </c>
      <c r="E3022" s="606" t="s">
        <v>4854</v>
      </c>
      <c r="F3022" s="644" t="s">
        <v>436</v>
      </c>
      <c r="G3022" s="606" t="s">
        <v>5643</v>
      </c>
      <c r="H3022" s="608" t="s">
        <v>696</v>
      </c>
    </row>
    <row r="3023">
      <c r="A3023" s="546" t="s">
        <v>432</v>
      </c>
      <c r="B3023" s="512" t="s">
        <v>449</v>
      </c>
      <c r="C3023" s="605">
        <v>45999.0</v>
      </c>
      <c r="D3023" s="512">
        <v>4.0508103232E10</v>
      </c>
      <c r="E3023" s="606" t="s">
        <v>5644</v>
      </c>
      <c r="F3023" s="644" t="s">
        <v>436</v>
      </c>
      <c r="G3023" s="606" t="s">
        <v>5645</v>
      </c>
      <c r="H3023" s="608" t="s">
        <v>686</v>
      </c>
    </row>
    <row r="3024">
      <c r="A3024" s="546" t="s">
        <v>432</v>
      </c>
      <c r="B3024" s="512" t="s">
        <v>433</v>
      </c>
      <c r="C3024" s="605">
        <v>45999.0</v>
      </c>
      <c r="D3024" s="512">
        <v>4.3146885076E10</v>
      </c>
      <c r="E3024" s="606" t="s">
        <v>5646</v>
      </c>
      <c r="F3024" s="644" t="s">
        <v>436</v>
      </c>
      <c r="G3024" s="606" t="s">
        <v>2285</v>
      </c>
      <c r="H3024" s="608" t="s">
        <v>686</v>
      </c>
    </row>
    <row r="3025">
      <c r="A3025" s="546" t="s">
        <v>617</v>
      </c>
      <c r="B3025" s="512" t="s">
        <v>449</v>
      </c>
      <c r="C3025" s="605">
        <v>45999.0</v>
      </c>
      <c r="D3025" s="512">
        <v>4.269248222E10</v>
      </c>
      <c r="E3025" s="606" t="s">
        <v>5125</v>
      </c>
      <c r="F3025" s="644" t="s">
        <v>436</v>
      </c>
      <c r="G3025" s="606" t="s">
        <v>2285</v>
      </c>
      <c r="H3025" s="608" t="s">
        <v>696</v>
      </c>
    </row>
    <row r="3026">
      <c r="A3026" s="546" t="s">
        <v>823</v>
      </c>
      <c r="B3026" s="512" t="s">
        <v>449</v>
      </c>
      <c r="C3026" s="605">
        <v>45999.0</v>
      </c>
      <c r="D3026" s="512">
        <v>8.705210421E9</v>
      </c>
      <c r="E3026" s="606" t="s">
        <v>4974</v>
      </c>
      <c r="F3026" s="644" t="s">
        <v>436</v>
      </c>
      <c r="G3026" s="606" t="s">
        <v>5647</v>
      </c>
      <c r="H3026" s="608" t="s">
        <v>4558</v>
      </c>
    </row>
    <row r="3027">
      <c r="A3027" s="546" t="s">
        <v>823</v>
      </c>
      <c r="B3027" s="512" t="s">
        <v>497</v>
      </c>
      <c r="C3027" s="605">
        <v>45999.0</v>
      </c>
      <c r="D3027" s="512">
        <v>4.3398850893E10</v>
      </c>
      <c r="E3027" s="606" t="s">
        <v>5630</v>
      </c>
      <c r="F3027" s="644" t="s">
        <v>436</v>
      </c>
      <c r="G3027" s="606" t="s">
        <v>2584</v>
      </c>
      <c r="H3027" s="608" t="s">
        <v>4558</v>
      </c>
    </row>
    <row r="3028">
      <c r="A3028" s="546" t="s">
        <v>823</v>
      </c>
      <c r="B3028" s="512" t="s">
        <v>497</v>
      </c>
      <c r="C3028" s="605">
        <v>45999.0</v>
      </c>
      <c r="D3028" s="512">
        <v>3.7717376212E10</v>
      </c>
      <c r="E3028" s="606" t="s">
        <v>5648</v>
      </c>
      <c r="F3028" s="644" t="s">
        <v>436</v>
      </c>
      <c r="G3028" s="606" t="s">
        <v>5649</v>
      </c>
      <c r="H3028" s="608" t="s">
        <v>4558</v>
      </c>
    </row>
    <row r="3029">
      <c r="A3029" s="546" t="s">
        <v>823</v>
      </c>
      <c r="B3029" s="512" t="s">
        <v>497</v>
      </c>
      <c r="C3029" s="605">
        <v>45999.0</v>
      </c>
      <c r="D3029" s="512">
        <v>4.2824629876E10</v>
      </c>
      <c r="E3029" s="606" t="s">
        <v>5630</v>
      </c>
      <c r="F3029" s="644" t="s">
        <v>436</v>
      </c>
      <c r="G3029" s="606" t="s">
        <v>5650</v>
      </c>
      <c r="H3029" s="608" t="s">
        <v>4558</v>
      </c>
    </row>
    <row r="3030">
      <c r="A3030" s="546" t="s">
        <v>432</v>
      </c>
      <c r="B3030" s="512" t="s">
        <v>5637</v>
      </c>
      <c r="C3030" s="605">
        <v>45999.0</v>
      </c>
      <c r="D3030" s="512">
        <v>4.5061485607E10</v>
      </c>
      <c r="E3030" s="606" t="s">
        <v>5638</v>
      </c>
      <c r="F3030" s="644" t="s">
        <v>436</v>
      </c>
      <c r="G3030" s="606" t="s">
        <v>5651</v>
      </c>
      <c r="H3030" s="608" t="s">
        <v>686</v>
      </c>
    </row>
    <row r="3031">
      <c r="A3031" s="546" t="s">
        <v>432</v>
      </c>
      <c r="B3031" s="512" t="s">
        <v>449</v>
      </c>
      <c r="C3031" s="605">
        <v>45999.0</v>
      </c>
      <c r="D3031" s="512">
        <v>3.6243332328E10</v>
      </c>
      <c r="E3031" s="606" t="s">
        <v>5652</v>
      </c>
      <c r="F3031" s="644" t="s">
        <v>436</v>
      </c>
      <c r="G3031" s="606" t="s">
        <v>4581</v>
      </c>
      <c r="H3031" s="608" t="s">
        <v>686</v>
      </c>
    </row>
    <row r="3032">
      <c r="A3032" s="546" t="s">
        <v>432</v>
      </c>
      <c r="B3032" s="512" t="s">
        <v>3583</v>
      </c>
      <c r="C3032" s="605">
        <v>45999.0</v>
      </c>
      <c r="D3032" s="512">
        <v>4.5345011395E10</v>
      </c>
      <c r="E3032" s="606" t="s">
        <v>5652</v>
      </c>
      <c r="F3032" s="644" t="s">
        <v>436</v>
      </c>
      <c r="G3032" s="606" t="s">
        <v>5653</v>
      </c>
      <c r="H3032" s="608" t="s">
        <v>686</v>
      </c>
    </row>
    <row r="3033">
      <c r="A3033" s="546" t="s">
        <v>432</v>
      </c>
      <c r="B3033" s="512" t="s">
        <v>449</v>
      </c>
      <c r="C3033" s="605">
        <v>45999.0</v>
      </c>
      <c r="D3033" s="512">
        <v>4.2786335707E10</v>
      </c>
      <c r="E3033" s="606" t="s">
        <v>5654</v>
      </c>
      <c r="F3033" s="644" t="s">
        <v>436</v>
      </c>
      <c r="G3033" s="606" t="s">
        <v>5655</v>
      </c>
      <c r="H3033" s="608" t="s">
        <v>686</v>
      </c>
    </row>
    <row r="3034">
      <c r="A3034" s="546" t="s">
        <v>617</v>
      </c>
      <c r="B3034" s="512" t="s">
        <v>449</v>
      </c>
      <c r="C3034" s="605">
        <v>45999.0</v>
      </c>
      <c r="D3034" s="512">
        <v>4.1148474145E10</v>
      </c>
      <c r="E3034" s="606" t="s">
        <v>5656</v>
      </c>
      <c r="F3034" s="644" t="s">
        <v>436</v>
      </c>
      <c r="G3034" s="606" t="s">
        <v>5657</v>
      </c>
      <c r="H3034" s="608" t="s">
        <v>696</v>
      </c>
    </row>
    <row r="3035">
      <c r="A3035" s="546" t="s">
        <v>617</v>
      </c>
      <c r="B3035" s="512" t="s">
        <v>449</v>
      </c>
      <c r="C3035" s="605">
        <v>45999.0</v>
      </c>
      <c r="D3035" s="512">
        <v>3.6048627305E10</v>
      </c>
      <c r="E3035" s="606" t="s">
        <v>5658</v>
      </c>
      <c r="F3035" s="644" t="s">
        <v>436</v>
      </c>
      <c r="G3035" s="606" t="s">
        <v>5144</v>
      </c>
      <c r="H3035" s="608" t="s">
        <v>696</v>
      </c>
    </row>
    <row r="3036">
      <c r="A3036" s="546" t="s">
        <v>823</v>
      </c>
      <c r="B3036" s="512" t="s">
        <v>449</v>
      </c>
      <c r="C3036" s="605">
        <v>46000.0</v>
      </c>
      <c r="D3036" s="512">
        <v>3.7161808404E10</v>
      </c>
      <c r="E3036" s="606" t="s">
        <v>5659</v>
      </c>
      <c r="F3036" s="644" t="s">
        <v>436</v>
      </c>
      <c r="G3036" s="606" t="s">
        <v>5276</v>
      </c>
      <c r="H3036" s="608" t="s">
        <v>1647</v>
      </c>
    </row>
    <row r="3037">
      <c r="A3037" s="546" t="s">
        <v>432</v>
      </c>
      <c r="B3037" s="512" t="s">
        <v>433</v>
      </c>
      <c r="C3037" s="605">
        <v>46000.0</v>
      </c>
      <c r="D3037" s="512">
        <v>4.0500769401E10</v>
      </c>
      <c r="E3037" s="606" t="s">
        <v>5660</v>
      </c>
      <c r="F3037" s="644" t="s">
        <v>436</v>
      </c>
      <c r="G3037" s="606" t="s">
        <v>1881</v>
      </c>
      <c r="H3037" s="608" t="s">
        <v>686</v>
      </c>
    </row>
    <row r="3038">
      <c r="A3038" s="546" t="s">
        <v>432</v>
      </c>
      <c r="B3038" s="512" t="s">
        <v>433</v>
      </c>
      <c r="C3038" s="605">
        <v>46000.0</v>
      </c>
      <c r="D3038" s="512">
        <v>4.3433981965E10</v>
      </c>
      <c r="E3038" s="606" t="s">
        <v>5661</v>
      </c>
      <c r="F3038" s="644" t="s">
        <v>436</v>
      </c>
      <c r="G3038" s="606" t="s">
        <v>2207</v>
      </c>
      <c r="H3038" s="608" t="s">
        <v>686</v>
      </c>
    </row>
    <row r="3039">
      <c r="A3039" s="546" t="s">
        <v>439</v>
      </c>
      <c r="B3039" s="512" t="s">
        <v>433</v>
      </c>
      <c r="C3039" s="605">
        <v>46000.0</v>
      </c>
      <c r="D3039" s="512">
        <v>4.0764093448E10</v>
      </c>
      <c r="E3039" s="606" t="s">
        <v>5630</v>
      </c>
      <c r="F3039" s="644" t="s">
        <v>436</v>
      </c>
      <c r="G3039" s="606" t="s">
        <v>5662</v>
      </c>
      <c r="H3039" s="608" t="s">
        <v>4558</v>
      </c>
    </row>
    <row r="3040">
      <c r="A3040" s="546" t="s">
        <v>439</v>
      </c>
      <c r="B3040" s="512" t="s">
        <v>433</v>
      </c>
      <c r="C3040" s="605">
        <v>46000.0</v>
      </c>
      <c r="D3040" s="512">
        <v>4.005046366E10</v>
      </c>
      <c r="E3040" s="606" t="s">
        <v>5630</v>
      </c>
      <c r="F3040" s="644" t="s">
        <v>436</v>
      </c>
      <c r="G3040" s="606" t="s">
        <v>5663</v>
      </c>
      <c r="H3040" s="608" t="s">
        <v>4558</v>
      </c>
    </row>
    <row r="3041">
      <c r="A3041" s="546" t="s">
        <v>432</v>
      </c>
      <c r="B3041" s="512" t="s">
        <v>433</v>
      </c>
      <c r="C3041" s="605">
        <v>46000.0</v>
      </c>
      <c r="D3041" s="512">
        <v>2.6138035487E10</v>
      </c>
      <c r="E3041" s="606" t="s">
        <v>5664</v>
      </c>
      <c r="F3041" s="644" t="s">
        <v>436</v>
      </c>
      <c r="G3041" s="606" t="s">
        <v>5665</v>
      </c>
      <c r="H3041" s="608" t="s">
        <v>686</v>
      </c>
    </row>
    <row r="3042">
      <c r="A3042" s="546" t="s">
        <v>432</v>
      </c>
      <c r="B3042" s="512" t="s">
        <v>433</v>
      </c>
      <c r="C3042" s="605">
        <v>46000.0</v>
      </c>
      <c r="D3042" s="512">
        <v>4.2224502215E10</v>
      </c>
      <c r="E3042" s="606" t="s">
        <v>5666</v>
      </c>
      <c r="F3042" s="644" t="s">
        <v>436</v>
      </c>
      <c r="G3042" s="606" t="s">
        <v>5667</v>
      </c>
      <c r="H3042" s="608" t="s">
        <v>686</v>
      </c>
    </row>
    <row r="3043">
      <c r="A3043" s="546" t="s">
        <v>432</v>
      </c>
      <c r="B3043" s="512" t="s">
        <v>449</v>
      </c>
      <c r="C3043" s="605">
        <v>46000.0</v>
      </c>
      <c r="D3043" s="512">
        <v>4.5467601078E10</v>
      </c>
      <c r="E3043" s="606" t="s">
        <v>5668</v>
      </c>
      <c r="F3043" s="644" t="s">
        <v>436</v>
      </c>
      <c r="G3043" s="606" t="s">
        <v>5669</v>
      </c>
      <c r="H3043" s="608" t="s">
        <v>686</v>
      </c>
    </row>
    <row r="3044">
      <c r="A3044" s="546" t="s">
        <v>432</v>
      </c>
      <c r="B3044" s="512" t="s">
        <v>5670</v>
      </c>
      <c r="C3044" s="605">
        <v>46000.0</v>
      </c>
      <c r="D3044" s="512">
        <v>4.3637324913E10</v>
      </c>
      <c r="E3044" s="606" t="s">
        <v>5671</v>
      </c>
      <c r="F3044" s="644" t="s">
        <v>436</v>
      </c>
      <c r="G3044" s="606" t="s">
        <v>4553</v>
      </c>
      <c r="H3044" s="608" t="s">
        <v>686</v>
      </c>
    </row>
    <row r="3045">
      <c r="A3045" s="546" t="s">
        <v>439</v>
      </c>
      <c r="B3045" s="512" t="s">
        <v>449</v>
      </c>
      <c r="C3045" s="605">
        <v>46000.0</v>
      </c>
      <c r="D3045" s="512">
        <v>4.3006375236E10</v>
      </c>
      <c r="E3045" s="606" t="s">
        <v>5672</v>
      </c>
      <c r="F3045" s="644" t="s">
        <v>436</v>
      </c>
      <c r="G3045" s="606" t="s">
        <v>5673</v>
      </c>
      <c r="H3045" s="608" t="s">
        <v>4558</v>
      </c>
    </row>
    <row r="3046">
      <c r="A3046" s="546" t="s">
        <v>439</v>
      </c>
      <c r="B3046" s="512" t="s">
        <v>449</v>
      </c>
      <c r="C3046" s="605">
        <v>46001.0</v>
      </c>
      <c r="D3046" s="512">
        <v>3.5035406561E10</v>
      </c>
      <c r="E3046" s="606" t="s">
        <v>5674</v>
      </c>
      <c r="F3046" s="644" t="s">
        <v>436</v>
      </c>
      <c r="G3046" s="606" t="s">
        <v>5011</v>
      </c>
      <c r="H3046" s="608" t="s">
        <v>5177</v>
      </c>
    </row>
    <row r="3047">
      <c r="A3047" s="546" t="s">
        <v>617</v>
      </c>
      <c r="B3047" s="512" t="s">
        <v>449</v>
      </c>
      <c r="C3047" s="605">
        <v>46001.0</v>
      </c>
      <c r="D3047" s="512">
        <v>4.4120556498E10</v>
      </c>
      <c r="E3047" s="606" t="s">
        <v>5242</v>
      </c>
      <c r="F3047" s="644" t="s">
        <v>436</v>
      </c>
      <c r="G3047" s="606" t="s">
        <v>5675</v>
      </c>
      <c r="H3047" s="608" t="s">
        <v>696</v>
      </c>
    </row>
    <row r="3048">
      <c r="A3048" s="546" t="s">
        <v>617</v>
      </c>
      <c r="B3048" s="512" t="s">
        <v>3583</v>
      </c>
      <c r="C3048" s="605">
        <v>46001.0</v>
      </c>
      <c r="D3048" s="512">
        <v>3.9626855084E10</v>
      </c>
      <c r="E3048" s="606" t="s">
        <v>5676</v>
      </c>
      <c r="F3048" s="644" t="s">
        <v>436</v>
      </c>
      <c r="G3048" s="606" t="s">
        <v>5677</v>
      </c>
      <c r="H3048" s="608" t="s">
        <v>696</v>
      </c>
    </row>
    <row r="3049">
      <c r="A3049" s="546" t="s">
        <v>432</v>
      </c>
      <c r="B3049" s="512" t="s">
        <v>449</v>
      </c>
      <c r="C3049" s="605">
        <v>46001.0</v>
      </c>
      <c r="D3049" s="512">
        <v>3.7000510787E10</v>
      </c>
      <c r="E3049" s="606" t="s">
        <v>5678</v>
      </c>
      <c r="F3049" s="644" t="s">
        <v>436</v>
      </c>
      <c r="G3049" s="606" t="s">
        <v>4093</v>
      </c>
      <c r="H3049" s="608" t="s">
        <v>686</v>
      </c>
    </row>
    <row r="3050">
      <c r="A3050" s="546" t="s">
        <v>432</v>
      </c>
      <c r="B3050" s="512" t="s">
        <v>433</v>
      </c>
      <c r="C3050" s="605">
        <v>46001.0</v>
      </c>
      <c r="D3050" s="512" t="s">
        <v>5679</v>
      </c>
      <c r="E3050" s="606" t="s">
        <v>5680</v>
      </c>
      <c r="F3050" s="644" t="s">
        <v>436</v>
      </c>
      <c r="G3050" s="606" t="s">
        <v>4421</v>
      </c>
      <c r="H3050" s="608" t="s">
        <v>686</v>
      </c>
    </row>
    <row r="3051">
      <c r="A3051" s="546" t="s">
        <v>432</v>
      </c>
      <c r="B3051" s="512" t="s">
        <v>433</v>
      </c>
      <c r="C3051" s="605">
        <v>46001.0</v>
      </c>
      <c r="D3051" s="512">
        <v>4.2211123723E10</v>
      </c>
      <c r="E3051" s="606" t="s">
        <v>4902</v>
      </c>
      <c r="F3051" s="644" t="s">
        <v>436</v>
      </c>
      <c r="G3051" s="606" t="s">
        <v>5681</v>
      </c>
      <c r="H3051" s="608" t="s">
        <v>686</v>
      </c>
    </row>
    <row r="3052">
      <c r="A3052" s="546" t="s">
        <v>432</v>
      </c>
      <c r="B3052" s="512" t="s">
        <v>433</v>
      </c>
      <c r="C3052" s="605">
        <v>46001.0</v>
      </c>
      <c r="D3052" s="512">
        <v>3.9547241243E10</v>
      </c>
      <c r="E3052" s="606" t="s">
        <v>5682</v>
      </c>
      <c r="F3052" s="644" t="s">
        <v>436</v>
      </c>
      <c r="G3052" s="606" t="s">
        <v>1675</v>
      </c>
      <c r="H3052" s="608" t="s">
        <v>686</v>
      </c>
    </row>
    <row r="3053">
      <c r="A3053" s="546" t="s">
        <v>617</v>
      </c>
      <c r="B3053" s="512" t="s">
        <v>3583</v>
      </c>
      <c r="C3053" s="605">
        <v>46001.0</v>
      </c>
      <c r="D3053" s="512">
        <v>3.582395488E10</v>
      </c>
      <c r="E3053" s="606" t="s">
        <v>5630</v>
      </c>
      <c r="F3053" s="644" t="s">
        <v>436</v>
      </c>
      <c r="G3053" s="606" t="s">
        <v>2848</v>
      </c>
      <c r="H3053" s="608" t="s">
        <v>696</v>
      </c>
    </row>
    <row r="3054">
      <c r="A3054" s="546" t="s">
        <v>617</v>
      </c>
      <c r="B3054" s="512" t="s">
        <v>3583</v>
      </c>
      <c r="C3054" s="605">
        <v>46001.0</v>
      </c>
      <c r="D3054" s="512">
        <v>4.3435207972E10</v>
      </c>
      <c r="E3054" s="606" t="s">
        <v>5676</v>
      </c>
      <c r="F3054" s="644" t="s">
        <v>436</v>
      </c>
      <c r="G3054" s="606" t="s">
        <v>2130</v>
      </c>
      <c r="H3054" s="608" t="s">
        <v>696</v>
      </c>
    </row>
    <row r="3055">
      <c r="A3055" s="546" t="s">
        <v>617</v>
      </c>
      <c r="B3055" s="512" t="s">
        <v>449</v>
      </c>
      <c r="C3055" s="605">
        <v>46001.0</v>
      </c>
      <c r="D3055" s="512">
        <v>3.9547913661E10</v>
      </c>
      <c r="E3055" s="606" t="s">
        <v>4857</v>
      </c>
      <c r="F3055" s="644" t="s">
        <v>436</v>
      </c>
      <c r="G3055" s="606" t="s">
        <v>5683</v>
      </c>
      <c r="H3055" s="606" t="s">
        <v>696</v>
      </c>
    </row>
    <row r="3056">
      <c r="A3056" s="546" t="s">
        <v>432</v>
      </c>
      <c r="B3056" s="512" t="s">
        <v>449</v>
      </c>
      <c r="C3056" s="605">
        <v>46001.0</v>
      </c>
      <c r="D3056" s="512">
        <v>4.2683593853E10</v>
      </c>
      <c r="E3056" s="606" t="s">
        <v>5684</v>
      </c>
      <c r="F3056" s="644" t="s">
        <v>436</v>
      </c>
      <c r="G3056" s="606" t="s">
        <v>5685</v>
      </c>
      <c r="H3056" s="608" t="s">
        <v>686</v>
      </c>
    </row>
    <row r="3057">
      <c r="A3057" s="546" t="s">
        <v>432</v>
      </c>
      <c r="B3057" s="512" t="s">
        <v>433</v>
      </c>
      <c r="C3057" s="605">
        <v>46001.0</v>
      </c>
      <c r="D3057" s="512">
        <v>2.6083381588E10</v>
      </c>
      <c r="E3057" s="606" t="s">
        <v>5686</v>
      </c>
      <c r="F3057" s="644" t="s">
        <v>436</v>
      </c>
      <c r="G3057" s="606" t="s">
        <v>5687</v>
      </c>
      <c r="H3057" s="608" t="s">
        <v>686</v>
      </c>
    </row>
    <row r="3058">
      <c r="A3058" s="546" t="s">
        <v>617</v>
      </c>
      <c r="B3058" s="512" t="s">
        <v>449</v>
      </c>
      <c r="C3058" s="605">
        <v>46001.0</v>
      </c>
      <c r="D3058" s="512">
        <v>4.2699708365E10</v>
      </c>
      <c r="E3058" s="606" t="s">
        <v>4741</v>
      </c>
      <c r="F3058" s="644" t="s">
        <v>436</v>
      </c>
      <c r="G3058" s="606" t="s">
        <v>5688</v>
      </c>
      <c r="H3058" s="608" t="s">
        <v>696</v>
      </c>
    </row>
    <row r="3059">
      <c r="A3059" s="546" t="s">
        <v>432</v>
      </c>
      <c r="B3059" s="512" t="s">
        <v>433</v>
      </c>
      <c r="C3059" s="605">
        <v>46001.0</v>
      </c>
      <c r="D3059" s="512">
        <v>4.3327977306E10</v>
      </c>
      <c r="E3059" s="606" t="s">
        <v>5689</v>
      </c>
      <c r="F3059" s="644" t="s">
        <v>436</v>
      </c>
      <c r="G3059" s="606" t="s">
        <v>5690</v>
      </c>
      <c r="H3059" s="608" t="s">
        <v>686</v>
      </c>
    </row>
    <row r="3060">
      <c r="A3060" s="546" t="s">
        <v>432</v>
      </c>
      <c r="B3060" s="512" t="s">
        <v>433</v>
      </c>
      <c r="C3060" s="605">
        <v>46001.0</v>
      </c>
      <c r="D3060" s="512">
        <v>4.0918844201E10</v>
      </c>
      <c r="E3060" s="606" t="s">
        <v>5548</v>
      </c>
      <c r="F3060" s="644" t="s">
        <v>436</v>
      </c>
      <c r="G3060" s="606" t="s">
        <v>4868</v>
      </c>
      <c r="H3060" s="608" t="s">
        <v>686</v>
      </c>
    </row>
    <row r="3061">
      <c r="A3061" s="546" t="s">
        <v>432</v>
      </c>
      <c r="B3061" s="512" t="s">
        <v>449</v>
      </c>
      <c r="C3061" s="605">
        <v>46001.0</v>
      </c>
      <c r="D3061" s="512">
        <v>4.52645796E10</v>
      </c>
      <c r="E3061" s="606" t="s">
        <v>5691</v>
      </c>
      <c r="F3061" s="644" t="s">
        <v>436</v>
      </c>
      <c r="G3061" s="606" t="s">
        <v>3827</v>
      </c>
      <c r="H3061" s="608" t="s">
        <v>686</v>
      </c>
    </row>
    <row r="3062">
      <c r="A3062" s="546" t="s">
        <v>432</v>
      </c>
      <c r="B3062" s="512" t="s">
        <v>433</v>
      </c>
      <c r="C3062" s="605">
        <v>46001.0</v>
      </c>
      <c r="D3062" s="512">
        <v>3.6702510822E10</v>
      </c>
      <c r="E3062" s="606" t="s">
        <v>5692</v>
      </c>
      <c r="F3062" s="644" t="s">
        <v>436</v>
      </c>
      <c r="G3062" s="606" t="s">
        <v>4581</v>
      </c>
      <c r="H3062" s="608" t="s">
        <v>686</v>
      </c>
    </row>
    <row r="3063">
      <c r="A3063" s="546" t="s">
        <v>617</v>
      </c>
      <c r="B3063" s="512" t="s">
        <v>449</v>
      </c>
      <c r="C3063" s="605">
        <v>46001.0</v>
      </c>
      <c r="D3063" s="512">
        <v>4.0569470242E10</v>
      </c>
      <c r="E3063" s="606" t="s">
        <v>5693</v>
      </c>
      <c r="F3063" s="644" t="s">
        <v>436</v>
      </c>
      <c r="G3063" s="606" t="s">
        <v>1265</v>
      </c>
      <c r="H3063" s="608" t="s">
        <v>696</v>
      </c>
    </row>
    <row r="3064">
      <c r="A3064" s="546" t="s">
        <v>432</v>
      </c>
      <c r="B3064" s="512" t="s">
        <v>433</v>
      </c>
      <c r="C3064" s="605">
        <v>46001.0</v>
      </c>
      <c r="D3064" s="512">
        <v>3.7707112644E10</v>
      </c>
      <c r="E3064" s="606" t="s">
        <v>5694</v>
      </c>
      <c r="F3064" s="644" t="s">
        <v>436</v>
      </c>
      <c r="G3064" s="606" t="s">
        <v>5695</v>
      </c>
      <c r="H3064" s="608" t="s">
        <v>686</v>
      </c>
    </row>
    <row r="3065">
      <c r="A3065" s="546" t="s">
        <v>432</v>
      </c>
      <c r="B3065" s="512" t="s">
        <v>433</v>
      </c>
      <c r="C3065" s="605">
        <v>46001.0</v>
      </c>
      <c r="D3065" s="512">
        <v>4.4474538203E10</v>
      </c>
      <c r="E3065" s="606" t="s">
        <v>5696</v>
      </c>
      <c r="F3065" s="644" t="s">
        <v>436</v>
      </c>
      <c r="G3065" s="606" t="s">
        <v>5697</v>
      </c>
      <c r="H3065" s="608" t="s">
        <v>686</v>
      </c>
    </row>
    <row r="3066">
      <c r="A3066" s="546" t="s">
        <v>432</v>
      </c>
      <c r="B3066" s="512" t="s">
        <v>449</v>
      </c>
      <c r="C3066" s="605">
        <v>46001.0</v>
      </c>
      <c r="D3066" s="512">
        <v>3.6183689159E10</v>
      </c>
      <c r="E3066" s="606" t="s">
        <v>5698</v>
      </c>
      <c r="F3066" s="644" t="s">
        <v>436</v>
      </c>
      <c r="G3066" s="606" t="s">
        <v>1138</v>
      </c>
      <c r="H3066" s="608" t="s">
        <v>686</v>
      </c>
    </row>
    <row r="3067">
      <c r="A3067" s="546" t="s">
        <v>617</v>
      </c>
      <c r="B3067" s="512" t="s">
        <v>449</v>
      </c>
      <c r="C3067" s="605">
        <v>46001.0</v>
      </c>
      <c r="D3067" s="512">
        <v>4.3405827036E10</v>
      </c>
      <c r="E3067" s="606" t="s">
        <v>5699</v>
      </c>
      <c r="F3067" s="644" t="s">
        <v>436</v>
      </c>
      <c r="G3067" s="606" t="s">
        <v>2550</v>
      </c>
      <c r="H3067" s="608" t="s">
        <v>696</v>
      </c>
    </row>
    <row r="3068">
      <c r="A3068" s="546" t="s">
        <v>823</v>
      </c>
      <c r="B3068" s="512" t="s">
        <v>449</v>
      </c>
      <c r="C3068" s="605">
        <v>46002.0</v>
      </c>
      <c r="D3068" s="512">
        <v>3.4078588491E10</v>
      </c>
      <c r="E3068" s="606" t="s">
        <v>4857</v>
      </c>
      <c r="F3068" s="644" t="s">
        <v>436</v>
      </c>
      <c r="G3068" s="606" t="s">
        <v>5700</v>
      </c>
      <c r="H3068" s="608" t="s">
        <v>4558</v>
      </c>
    </row>
    <row r="3069">
      <c r="A3069" s="546" t="s">
        <v>823</v>
      </c>
      <c r="B3069" s="512" t="s">
        <v>433</v>
      </c>
      <c r="C3069" s="605">
        <v>46002.0</v>
      </c>
      <c r="D3069" s="512">
        <v>4.1261723566E10</v>
      </c>
      <c r="E3069" s="606" t="s">
        <v>5466</v>
      </c>
      <c r="F3069" s="644" t="s">
        <v>436</v>
      </c>
      <c r="G3069" s="606" t="s">
        <v>5701</v>
      </c>
      <c r="H3069" s="608" t="s">
        <v>4558</v>
      </c>
    </row>
    <row r="3070">
      <c r="A3070" s="546" t="s">
        <v>439</v>
      </c>
      <c r="B3070" s="512" t="s">
        <v>449</v>
      </c>
      <c r="C3070" s="605">
        <v>46002.0</v>
      </c>
      <c r="D3070" s="512">
        <v>4.4094994083E10</v>
      </c>
      <c r="E3070" s="606" t="s">
        <v>5702</v>
      </c>
      <c r="F3070" s="644" t="s">
        <v>436</v>
      </c>
      <c r="G3070" s="606" t="s">
        <v>1975</v>
      </c>
      <c r="H3070" s="608" t="s">
        <v>5177</v>
      </c>
    </row>
    <row r="3071">
      <c r="A3071" s="546" t="s">
        <v>823</v>
      </c>
      <c r="B3071" s="512" t="s">
        <v>433</v>
      </c>
      <c r="C3071" s="605">
        <v>46002.0</v>
      </c>
      <c r="D3071" s="512">
        <v>4.2975866803E10</v>
      </c>
      <c r="E3071" s="606" t="s">
        <v>5703</v>
      </c>
      <c r="F3071" s="644" t="s">
        <v>436</v>
      </c>
      <c r="G3071" s="606" t="s">
        <v>1555</v>
      </c>
      <c r="H3071" s="608" t="s">
        <v>4558</v>
      </c>
    </row>
    <row r="3072">
      <c r="A3072" s="546" t="s">
        <v>823</v>
      </c>
      <c r="B3072" s="512" t="s">
        <v>433</v>
      </c>
      <c r="C3072" s="605">
        <v>46002.0</v>
      </c>
      <c r="D3072" s="512">
        <v>4.2807186551E10</v>
      </c>
      <c r="E3072" s="606" t="s">
        <v>5704</v>
      </c>
      <c r="F3072" s="644" t="s">
        <v>436</v>
      </c>
      <c r="G3072" s="606" t="s">
        <v>5418</v>
      </c>
      <c r="H3072" s="608" t="s">
        <v>4558</v>
      </c>
    </row>
    <row r="3073">
      <c r="A3073" s="546" t="s">
        <v>823</v>
      </c>
      <c r="B3073" s="512" t="s">
        <v>433</v>
      </c>
      <c r="C3073" s="605">
        <v>46002.0</v>
      </c>
      <c r="D3073" s="512">
        <v>4.0073909044E10</v>
      </c>
      <c r="E3073" s="606" t="s">
        <v>5630</v>
      </c>
      <c r="F3073" s="644" t="s">
        <v>436</v>
      </c>
      <c r="G3073" s="606" t="s">
        <v>5705</v>
      </c>
      <c r="H3073" s="608" t="s">
        <v>4558</v>
      </c>
    </row>
    <row r="3074">
      <c r="A3074" s="546" t="s">
        <v>432</v>
      </c>
      <c r="B3074" s="512" t="s">
        <v>433</v>
      </c>
      <c r="C3074" s="605">
        <v>46002.0</v>
      </c>
      <c r="D3074" s="512">
        <v>3.2321466763E10</v>
      </c>
      <c r="E3074" s="606" t="s">
        <v>5706</v>
      </c>
      <c r="F3074" s="644" t="s">
        <v>436</v>
      </c>
      <c r="G3074" s="606" t="s">
        <v>5707</v>
      </c>
      <c r="H3074" s="608" t="s">
        <v>438</v>
      </c>
    </row>
    <row r="3075">
      <c r="A3075" s="546" t="s">
        <v>432</v>
      </c>
      <c r="B3075" s="512" t="s">
        <v>449</v>
      </c>
      <c r="C3075" s="605">
        <v>46002.0</v>
      </c>
      <c r="D3075" s="512">
        <v>4.556893093E10</v>
      </c>
      <c r="E3075" s="606" t="s">
        <v>4860</v>
      </c>
      <c r="F3075" s="644" t="s">
        <v>436</v>
      </c>
      <c r="G3075" s="606" t="s">
        <v>3438</v>
      </c>
      <c r="H3075" s="608" t="s">
        <v>438</v>
      </c>
    </row>
    <row r="3076">
      <c r="A3076" s="546" t="s">
        <v>432</v>
      </c>
      <c r="B3076" s="512" t="s">
        <v>449</v>
      </c>
      <c r="C3076" s="605">
        <v>46002.0</v>
      </c>
      <c r="D3076" s="512">
        <v>4.2936769754E10</v>
      </c>
      <c r="E3076" s="606" t="s">
        <v>85</v>
      </c>
      <c r="F3076" s="644" t="s">
        <v>436</v>
      </c>
      <c r="G3076" s="606" t="s">
        <v>5708</v>
      </c>
      <c r="H3076" s="608" t="s">
        <v>438</v>
      </c>
    </row>
    <row r="3077">
      <c r="A3077" s="546" t="s">
        <v>432</v>
      </c>
      <c r="B3077" s="512" t="s">
        <v>433</v>
      </c>
      <c r="C3077" s="605">
        <v>46002.0</v>
      </c>
      <c r="D3077" s="512">
        <v>4.3013056111E10</v>
      </c>
      <c r="E3077" s="606" t="s">
        <v>5709</v>
      </c>
      <c r="F3077" s="644" t="s">
        <v>436</v>
      </c>
      <c r="G3077" s="606" t="s">
        <v>5710</v>
      </c>
      <c r="H3077" s="608" t="s">
        <v>438</v>
      </c>
    </row>
    <row r="3078">
      <c r="A3078" s="546" t="s">
        <v>823</v>
      </c>
      <c r="B3078" s="512" t="s">
        <v>433</v>
      </c>
      <c r="C3078" s="605">
        <v>46002.0</v>
      </c>
      <c r="D3078" s="512">
        <v>4.2895526819E10</v>
      </c>
      <c r="E3078" s="606" t="s">
        <v>5630</v>
      </c>
      <c r="F3078" s="644" t="s">
        <v>436</v>
      </c>
      <c r="G3078" s="606" t="s">
        <v>5711</v>
      </c>
      <c r="H3078" s="608" t="s">
        <v>4558</v>
      </c>
    </row>
    <row r="3079">
      <c r="A3079" s="546" t="s">
        <v>439</v>
      </c>
      <c r="B3079" s="512" t="s">
        <v>449</v>
      </c>
      <c r="C3079" s="605">
        <v>46002.0</v>
      </c>
      <c r="D3079" s="512">
        <v>3.9248981585E10</v>
      </c>
      <c r="E3079" s="606" t="s">
        <v>4860</v>
      </c>
      <c r="F3079" s="644" t="s">
        <v>436</v>
      </c>
      <c r="G3079" s="606" t="s">
        <v>4483</v>
      </c>
      <c r="H3079" s="608" t="s">
        <v>5177</v>
      </c>
    </row>
    <row r="3080">
      <c r="A3080" s="546" t="s">
        <v>432</v>
      </c>
      <c r="B3080" s="512" t="s">
        <v>449</v>
      </c>
      <c r="C3080" s="605">
        <v>46002.0</v>
      </c>
      <c r="D3080" s="512">
        <v>3.7041074075E10</v>
      </c>
      <c r="E3080" s="606" t="s">
        <v>5634</v>
      </c>
      <c r="F3080" s="644" t="s">
        <v>436</v>
      </c>
      <c r="G3080" s="606" t="s">
        <v>5712</v>
      </c>
      <c r="H3080" s="608" t="s">
        <v>438</v>
      </c>
    </row>
    <row r="3081">
      <c r="A3081" s="546" t="s">
        <v>439</v>
      </c>
      <c r="B3081" s="512" t="s">
        <v>449</v>
      </c>
      <c r="C3081" s="605">
        <v>46002.0</v>
      </c>
      <c r="D3081" s="512">
        <v>4.5536615241E10</v>
      </c>
      <c r="E3081" s="606" t="s">
        <v>4860</v>
      </c>
      <c r="F3081" s="644" t="s">
        <v>436</v>
      </c>
      <c r="G3081" s="606" t="s">
        <v>3132</v>
      </c>
      <c r="H3081" s="608" t="s">
        <v>5713</v>
      </c>
    </row>
    <row r="3082">
      <c r="A3082" s="546" t="s">
        <v>823</v>
      </c>
      <c r="B3082" s="512" t="s">
        <v>449</v>
      </c>
      <c r="C3082" s="605">
        <v>46003.0</v>
      </c>
      <c r="D3082" s="512">
        <v>3.5393840681E10</v>
      </c>
      <c r="E3082" s="606" t="s">
        <v>5714</v>
      </c>
      <c r="F3082" s="644" t="s">
        <v>436</v>
      </c>
      <c r="G3082" s="606" t="s">
        <v>3365</v>
      </c>
      <c r="H3082" s="608" t="s">
        <v>4558</v>
      </c>
    </row>
    <row r="3083">
      <c r="A3083" s="546" t="s">
        <v>823</v>
      </c>
      <c r="B3083" s="512" t="s">
        <v>433</v>
      </c>
      <c r="C3083" s="605">
        <v>46003.0</v>
      </c>
      <c r="D3083" s="512">
        <v>3.8731388516E10</v>
      </c>
      <c r="E3083" s="606" t="s">
        <v>5715</v>
      </c>
      <c r="F3083" s="644" t="s">
        <v>436</v>
      </c>
      <c r="G3083" s="606" t="s">
        <v>5716</v>
      </c>
      <c r="H3083" s="608" t="s">
        <v>4558</v>
      </c>
    </row>
    <row r="3084">
      <c r="A3084" s="546" t="s">
        <v>439</v>
      </c>
      <c r="B3084" s="512" t="s">
        <v>449</v>
      </c>
      <c r="C3084" s="605">
        <v>46003.0</v>
      </c>
      <c r="D3084" s="512">
        <v>4.5650988301E10</v>
      </c>
      <c r="E3084" s="606" t="s">
        <v>5717</v>
      </c>
      <c r="F3084" s="644" t="s">
        <v>436</v>
      </c>
      <c r="G3084" s="606" t="s">
        <v>5718</v>
      </c>
      <c r="H3084" s="608" t="s">
        <v>1608</v>
      </c>
    </row>
    <row r="3085">
      <c r="A3085" s="546" t="s">
        <v>432</v>
      </c>
      <c r="B3085" s="512" t="s">
        <v>433</v>
      </c>
      <c r="C3085" s="605">
        <v>46003.0</v>
      </c>
      <c r="D3085" s="512">
        <v>4.3221244862E10</v>
      </c>
      <c r="E3085" s="606" t="s">
        <v>4226</v>
      </c>
      <c r="F3085" s="644" t="s">
        <v>436</v>
      </c>
      <c r="G3085" s="606" t="s">
        <v>4312</v>
      </c>
      <c r="H3085" s="608" t="s">
        <v>438</v>
      </c>
    </row>
    <row r="3086">
      <c r="A3086" s="546" t="s">
        <v>617</v>
      </c>
      <c r="B3086" s="512" t="s">
        <v>3583</v>
      </c>
      <c r="C3086" s="605">
        <v>46003.0</v>
      </c>
      <c r="D3086" s="512">
        <v>4.3180488027E10</v>
      </c>
      <c r="E3086" s="606" t="s">
        <v>5719</v>
      </c>
      <c r="F3086" s="644" t="s">
        <v>436</v>
      </c>
      <c r="G3086" s="606" t="s">
        <v>4593</v>
      </c>
      <c r="H3086" s="513" t="s">
        <v>696</v>
      </c>
    </row>
    <row r="3087">
      <c r="A3087" s="546" t="s">
        <v>823</v>
      </c>
      <c r="B3087" s="512" t="s">
        <v>449</v>
      </c>
      <c r="C3087" s="605">
        <v>46003.0</v>
      </c>
      <c r="D3087" s="512">
        <v>3.3080397065E10</v>
      </c>
      <c r="E3087" s="606" t="s">
        <v>5656</v>
      </c>
      <c r="F3087" s="644" t="s">
        <v>436</v>
      </c>
      <c r="G3087" s="606" t="s">
        <v>5720</v>
      </c>
      <c r="H3087" s="608" t="s">
        <v>4558</v>
      </c>
    </row>
    <row r="3088">
      <c r="A3088" s="546" t="s">
        <v>823</v>
      </c>
      <c r="B3088" s="512" t="s">
        <v>449</v>
      </c>
      <c r="C3088" s="605">
        <v>46003.0</v>
      </c>
      <c r="D3088" s="512">
        <v>3.2941742525E10</v>
      </c>
      <c r="E3088" s="606" t="s">
        <v>4857</v>
      </c>
      <c r="F3088" s="644" t="s">
        <v>436</v>
      </c>
      <c r="G3088" s="606" t="s">
        <v>5721</v>
      </c>
      <c r="H3088" s="608" t="s">
        <v>4558</v>
      </c>
    </row>
    <row r="3089">
      <c r="A3089" s="546" t="s">
        <v>439</v>
      </c>
      <c r="B3089" s="512" t="s">
        <v>5722</v>
      </c>
      <c r="C3089" s="605">
        <v>46003.0</v>
      </c>
      <c r="D3089" s="512">
        <v>4.5768306428E10</v>
      </c>
      <c r="E3089" s="606" t="s">
        <v>5466</v>
      </c>
      <c r="F3089" s="656" t="s">
        <v>436</v>
      </c>
      <c r="G3089" s="606" t="s">
        <v>3899</v>
      </c>
      <c r="H3089" s="608" t="s">
        <v>1608</v>
      </c>
      <c r="I3089" s="119"/>
      <c r="J3089" s="119"/>
      <c r="K3089" s="119"/>
      <c r="L3089" s="119"/>
      <c r="M3089" s="119"/>
      <c r="N3089" s="119"/>
      <c r="O3089" s="119"/>
      <c r="P3089" s="119"/>
      <c r="Q3089" s="119"/>
      <c r="R3089" s="119"/>
      <c r="S3089" s="119"/>
      <c r="T3089" s="119"/>
      <c r="U3089" s="119"/>
      <c r="V3089" s="119"/>
      <c r="W3089" s="119"/>
      <c r="X3089" s="119"/>
      <c r="Y3089" s="119"/>
      <c r="Z3089" s="119"/>
      <c r="AA3089" s="119"/>
    </row>
    <row r="3090">
      <c r="A3090" s="546" t="s">
        <v>439</v>
      </c>
      <c r="B3090" s="512" t="s">
        <v>449</v>
      </c>
      <c r="C3090" s="605">
        <v>46003.0</v>
      </c>
      <c r="D3090" s="512">
        <v>4.5711056293E10</v>
      </c>
      <c r="E3090" s="606" t="s">
        <v>5055</v>
      </c>
      <c r="F3090" s="644" t="s">
        <v>436</v>
      </c>
      <c r="G3090" s="606" t="s">
        <v>5723</v>
      </c>
      <c r="H3090" s="608" t="s">
        <v>4078</v>
      </c>
    </row>
    <row r="3091">
      <c r="A3091" s="546" t="s">
        <v>823</v>
      </c>
      <c r="B3091" s="512" t="s">
        <v>449</v>
      </c>
      <c r="C3091" s="605">
        <v>46003.0</v>
      </c>
      <c r="D3091" s="512">
        <v>4.289471082E10</v>
      </c>
      <c r="E3091" s="606" t="s">
        <v>5724</v>
      </c>
      <c r="F3091" s="644" t="s">
        <v>436</v>
      </c>
      <c r="G3091" s="606" t="s">
        <v>5725</v>
      </c>
      <c r="H3091" s="608" t="s">
        <v>4558</v>
      </c>
    </row>
    <row r="3092">
      <c r="A3092" s="546" t="s">
        <v>617</v>
      </c>
      <c r="B3092" s="512" t="s">
        <v>449</v>
      </c>
      <c r="C3092" s="605">
        <v>46003.0</v>
      </c>
      <c r="D3092" s="512">
        <v>3.9083794914E10</v>
      </c>
      <c r="E3092" s="606" t="s">
        <v>5253</v>
      </c>
      <c r="F3092" s="644" t="s">
        <v>436</v>
      </c>
      <c r="G3092" s="606" t="s">
        <v>5726</v>
      </c>
      <c r="H3092" s="608" t="s">
        <v>696</v>
      </c>
    </row>
    <row r="3093">
      <c r="A3093" s="546" t="s">
        <v>432</v>
      </c>
      <c r="B3093" s="512" t="s">
        <v>449</v>
      </c>
      <c r="C3093" s="605">
        <v>46003.0</v>
      </c>
      <c r="D3093" s="512">
        <v>3.4746374549E10</v>
      </c>
      <c r="E3093" s="606" t="s">
        <v>5727</v>
      </c>
      <c r="F3093" s="644" t="s">
        <v>436</v>
      </c>
      <c r="G3093" s="606" t="s">
        <v>822</v>
      </c>
      <c r="H3093" s="608" t="s">
        <v>438</v>
      </c>
    </row>
    <row r="3094">
      <c r="A3094" s="546" t="s">
        <v>617</v>
      </c>
      <c r="B3094" s="512" t="s">
        <v>449</v>
      </c>
      <c r="C3094" s="605">
        <v>46003.0</v>
      </c>
      <c r="D3094" s="512">
        <v>4.050291827E10</v>
      </c>
      <c r="E3094" s="606" t="s">
        <v>5025</v>
      </c>
      <c r="F3094" s="644" t="s">
        <v>436</v>
      </c>
      <c r="G3094" s="606" t="s">
        <v>2838</v>
      </c>
      <c r="H3094" s="608" t="s">
        <v>696</v>
      </c>
    </row>
    <row r="3095">
      <c r="A3095" s="546" t="s">
        <v>432</v>
      </c>
      <c r="B3095" s="512" t="s">
        <v>449</v>
      </c>
      <c r="C3095" s="605">
        <v>46003.0</v>
      </c>
      <c r="D3095" s="512">
        <v>4.495684028E10</v>
      </c>
      <c r="E3095" s="606" t="s">
        <v>85</v>
      </c>
      <c r="F3095" s="644" t="s">
        <v>436</v>
      </c>
      <c r="G3095" s="606" t="s">
        <v>5535</v>
      </c>
      <c r="H3095" s="629" t="s">
        <v>438</v>
      </c>
    </row>
    <row r="3096">
      <c r="A3096" s="546" t="s">
        <v>617</v>
      </c>
      <c r="B3096" s="512" t="s">
        <v>449</v>
      </c>
      <c r="C3096" s="605">
        <v>46003.0</v>
      </c>
      <c r="D3096" s="512">
        <v>3.191883107E10</v>
      </c>
      <c r="E3096" s="606" t="s">
        <v>5728</v>
      </c>
      <c r="F3096" s="644" t="s">
        <v>436</v>
      </c>
      <c r="G3096" s="640"/>
      <c r="H3096" s="608" t="s">
        <v>696</v>
      </c>
    </row>
    <row r="3097">
      <c r="A3097" s="546" t="s">
        <v>432</v>
      </c>
      <c r="B3097" s="512" t="s">
        <v>449</v>
      </c>
      <c r="C3097" s="605">
        <v>46004.0</v>
      </c>
      <c r="D3097" s="512">
        <v>4.288974806E10</v>
      </c>
      <c r="E3097" s="606" t="s">
        <v>5729</v>
      </c>
      <c r="F3097" s="644" t="s">
        <v>436</v>
      </c>
      <c r="G3097" s="606" t="s">
        <v>5730</v>
      </c>
      <c r="H3097" s="608" t="s">
        <v>686</v>
      </c>
    </row>
    <row r="3098">
      <c r="A3098" s="546" t="s">
        <v>617</v>
      </c>
      <c r="B3098" s="512" t="s">
        <v>449</v>
      </c>
      <c r="C3098" s="605">
        <v>46004.0</v>
      </c>
      <c r="D3098" s="512">
        <v>3.4718284783E10</v>
      </c>
      <c r="E3098" s="606" t="s">
        <v>4974</v>
      </c>
      <c r="F3098" s="644" t="s">
        <v>436</v>
      </c>
      <c r="G3098" s="606" t="s">
        <v>2328</v>
      </c>
      <c r="H3098" s="608" t="s">
        <v>1096</v>
      </c>
    </row>
    <row r="3099">
      <c r="A3099" s="546" t="s">
        <v>432</v>
      </c>
      <c r="B3099" s="512" t="s">
        <v>5731</v>
      </c>
      <c r="C3099" s="605">
        <v>46004.0</v>
      </c>
      <c r="D3099" s="512">
        <v>3.826332648E10</v>
      </c>
      <c r="E3099" s="606" t="s">
        <v>5732</v>
      </c>
      <c r="F3099" s="644" t="s">
        <v>436</v>
      </c>
      <c r="G3099" s="606" t="s">
        <v>5733</v>
      </c>
      <c r="H3099" s="608" t="s">
        <v>686</v>
      </c>
    </row>
    <row r="3100">
      <c r="A3100" s="546" t="s">
        <v>432</v>
      </c>
      <c r="B3100" s="512" t="s">
        <v>433</v>
      </c>
      <c r="C3100" s="605">
        <v>46004.0</v>
      </c>
      <c r="D3100" s="512">
        <v>4.3252127375E10</v>
      </c>
      <c r="E3100" s="606" t="s">
        <v>5734</v>
      </c>
      <c r="F3100" s="644" t="s">
        <v>436</v>
      </c>
      <c r="G3100" s="606" t="s">
        <v>5735</v>
      </c>
      <c r="H3100" s="608" t="s">
        <v>686</v>
      </c>
    </row>
    <row r="3101">
      <c r="A3101" s="546" t="s">
        <v>432</v>
      </c>
      <c r="B3101" s="512" t="s">
        <v>449</v>
      </c>
      <c r="C3101" s="605">
        <v>46004.0</v>
      </c>
      <c r="D3101" s="512">
        <v>3.2713558659E10</v>
      </c>
      <c r="E3101" s="606" t="s">
        <v>5736</v>
      </c>
      <c r="F3101" s="644" t="s">
        <v>436</v>
      </c>
      <c r="G3101" s="606" t="s">
        <v>5737</v>
      </c>
      <c r="H3101" s="608" t="s">
        <v>686</v>
      </c>
    </row>
    <row r="3102">
      <c r="A3102" s="546" t="s">
        <v>432</v>
      </c>
      <c r="B3102" s="512" t="s">
        <v>433</v>
      </c>
      <c r="C3102" s="605">
        <v>46004.0</v>
      </c>
      <c r="D3102" s="512">
        <v>4.3105995054E10</v>
      </c>
      <c r="E3102" s="606" t="s">
        <v>5738</v>
      </c>
      <c r="F3102" s="644" t="s">
        <v>436</v>
      </c>
      <c r="G3102" s="606" t="s">
        <v>5739</v>
      </c>
      <c r="H3102" s="608" t="s">
        <v>686</v>
      </c>
    </row>
    <row r="3103">
      <c r="A3103" s="546" t="s">
        <v>432</v>
      </c>
      <c r="B3103" s="512" t="s">
        <v>433</v>
      </c>
      <c r="C3103" s="605">
        <v>46004.0</v>
      </c>
      <c r="D3103" s="512">
        <v>3.5995995031E10</v>
      </c>
      <c r="E3103" s="606" t="s">
        <v>5740</v>
      </c>
      <c r="F3103" s="644" t="s">
        <v>436</v>
      </c>
      <c r="G3103" s="606" t="s">
        <v>5741</v>
      </c>
      <c r="H3103" s="608" t="s">
        <v>686</v>
      </c>
    </row>
    <row r="3104">
      <c r="A3104" s="546" t="s">
        <v>617</v>
      </c>
      <c r="B3104" s="512" t="s">
        <v>449</v>
      </c>
      <c r="C3104" s="605">
        <v>46004.0</v>
      </c>
      <c r="D3104" s="512">
        <v>3.7334418116E10</v>
      </c>
      <c r="E3104" s="606" t="s">
        <v>5742</v>
      </c>
      <c r="F3104" s="644" t="s">
        <v>436</v>
      </c>
      <c r="G3104" s="606" t="s">
        <v>5743</v>
      </c>
      <c r="H3104" s="608" t="s">
        <v>1096</v>
      </c>
    </row>
    <row r="3105">
      <c r="A3105" s="546" t="s">
        <v>617</v>
      </c>
      <c r="B3105" s="512" t="s">
        <v>449</v>
      </c>
      <c r="C3105" s="605">
        <v>46004.0</v>
      </c>
      <c r="D3105" s="512">
        <v>3.6763010251E10</v>
      </c>
      <c r="E3105" s="606" t="s">
        <v>5744</v>
      </c>
      <c r="F3105" s="644" t="s">
        <v>436</v>
      </c>
      <c r="G3105" s="606" t="s">
        <v>4665</v>
      </c>
      <c r="H3105" s="608" t="s">
        <v>1096</v>
      </c>
    </row>
    <row r="3106">
      <c r="A3106" s="546" t="s">
        <v>432</v>
      </c>
      <c r="B3106" s="512" t="s">
        <v>449</v>
      </c>
      <c r="C3106" s="605">
        <v>46004.0</v>
      </c>
      <c r="D3106" s="512">
        <v>4.2217875709E10</v>
      </c>
      <c r="E3106" s="606" t="s">
        <v>5745</v>
      </c>
      <c r="F3106" s="644" t="s">
        <v>436</v>
      </c>
      <c r="G3106" s="606" t="s">
        <v>5746</v>
      </c>
      <c r="H3106" s="608" t="s">
        <v>686</v>
      </c>
    </row>
    <row r="3107">
      <c r="A3107" s="546" t="s">
        <v>432</v>
      </c>
      <c r="B3107" s="512" t="s">
        <v>449</v>
      </c>
      <c r="C3107" s="605">
        <v>46004.0</v>
      </c>
      <c r="D3107" s="512">
        <v>3.727539222E10</v>
      </c>
      <c r="E3107" s="606" t="s">
        <v>5747</v>
      </c>
      <c r="F3107" s="644" t="s">
        <v>436</v>
      </c>
      <c r="G3107" s="606" t="s">
        <v>5748</v>
      </c>
      <c r="H3107" s="608" t="s">
        <v>686</v>
      </c>
    </row>
    <row r="3108">
      <c r="A3108" s="546" t="s">
        <v>617</v>
      </c>
      <c r="B3108" s="512" t="s">
        <v>449</v>
      </c>
      <c r="C3108" s="605">
        <v>46004.0</v>
      </c>
      <c r="D3108" s="512">
        <v>4.5664890991E10</v>
      </c>
      <c r="E3108" s="606" t="s">
        <v>4165</v>
      </c>
      <c r="F3108" s="644" t="s">
        <v>436</v>
      </c>
      <c r="G3108" s="606" t="s">
        <v>1252</v>
      </c>
      <c r="H3108" s="608" t="s">
        <v>1096</v>
      </c>
    </row>
    <row r="3109">
      <c r="A3109" s="546" t="s">
        <v>432</v>
      </c>
      <c r="B3109" s="512" t="s">
        <v>433</v>
      </c>
      <c r="C3109" s="605">
        <v>46004.0</v>
      </c>
      <c r="D3109" s="512">
        <v>4.5568916898E10</v>
      </c>
      <c r="E3109" s="606" t="s">
        <v>5749</v>
      </c>
      <c r="F3109" s="644" t="s">
        <v>436</v>
      </c>
      <c r="G3109" s="606" t="s">
        <v>2000</v>
      </c>
      <c r="H3109" s="608" t="s">
        <v>686</v>
      </c>
    </row>
    <row r="3110">
      <c r="A3110" s="546" t="s">
        <v>432</v>
      </c>
      <c r="B3110" s="512" t="s">
        <v>449</v>
      </c>
      <c r="C3110" s="605">
        <v>46004.0</v>
      </c>
      <c r="D3110" s="512">
        <v>3.316329697E10</v>
      </c>
      <c r="E3110" s="606" t="s">
        <v>5750</v>
      </c>
      <c r="F3110" s="644" t="s">
        <v>436</v>
      </c>
      <c r="G3110" s="606" t="s">
        <v>980</v>
      </c>
      <c r="H3110" s="608" t="s">
        <v>686</v>
      </c>
    </row>
    <row r="3111">
      <c r="A3111" s="546" t="s">
        <v>439</v>
      </c>
      <c r="B3111" s="512" t="s">
        <v>433</v>
      </c>
      <c r="C3111" s="605">
        <v>46004.0</v>
      </c>
      <c r="D3111" s="512">
        <v>3.3912128967E10</v>
      </c>
      <c r="E3111" s="606" t="s">
        <v>5751</v>
      </c>
      <c r="F3111" s="644" t="s">
        <v>436</v>
      </c>
      <c r="G3111" s="606" t="s">
        <v>5752</v>
      </c>
      <c r="H3111" s="608" t="s">
        <v>1608</v>
      </c>
    </row>
    <row r="3112">
      <c r="A3112" s="546" t="s">
        <v>432</v>
      </c>
      <c r="B3112" s="512" t="s">
        <v>433</v>
      </c>
      <c r="C3112" s="605">
        <v>46004.0</v>
      </c>
      <c r="D3112" s="512">
        <v>4.5474015827E10</v>
      </c>
      <c r="E3112" s="606" t="s">
        <v>5753</v>
      </c>
      <c r="F3112" s="644" t="s">
        <v>436</v>
      </c>
      <c r="G3112" s="606" t="s">
        <v>5243</v>
      </c>
      <c r="H3112" s="608" t="s">
        <v>686</v>
      </c>
    </row>
    <row r="3113">
      <c r="A3113" s="546" t="s">
        <v>432</v>
      </c>
      <c r="B3113" s="512" t="s">
        <v>433</v>
      </c>
      <c r="C3113" s="605">
        <v>46004.0</v>
      </c>
      <c r="D3113" s="512">
        <v>4.2285748918E10</v>
      </c>
      <c r="E3113" s="606" t="s">
        <v>5754</v>
      </c>
      <c r="F3113" s="644" t="s">
        <v>436</v>
      </c>
      <c r="G3113" s="606" t="s">
        <v>5755</v>
      </c>
      <c r="H3113" s="608" t="s">
        <v>686</v>
      </c>
    </row>
    <row r="3114">
      <c r="A3114" s="546" t="s">
        <v>617</v>
      </c>
      <c r="B3114" s="512" t="s">
        <v>449</v>
      </c>
      <c r="C3114" s="605">
        <v>46004.0</v>
      </c>
      <c r="D3114" s="512">
        <v>4.3462196878E10</v>
      </c>
      <c r="E3114" s="606" t="s">
        <v>5756</v>
      </c>
      <c r="F3114" s="644" t="s">
        <v>436</v>
      </c>
      <c r="G3114" s="606" t="s">
        <v>5757</v>
      </c>
      <c r="H3114" s="608" t="s">
        <v>1096</v>
      </c>
    </row>
    <row r="3115">
      <c r="A3115" s="546" t="s">
        <v>432</v>
      </c>
      <c r="B3115" s="512" t="s">
        <v>433</v>
      </c>
      <c r="C3115" s="605">
        <v>46004.0</v>
      </c>
      <c r="D3115" s="512">
        <v>4.400546775E10</v>
      </c>
      <c r="E3115" s="606" t="s">
        <v>5758</v>
      </c>
      <c r="F3115" s="644" t="s">
        <v>436</v>
      </c>
      <c r="G3115" s="606" t="s">
        <v>3106</v>
      </c>
      <c r="H3115" s="608" t="s">
        <v>686</v>
      </c>
    </row>
    <row r="3116">
      <c r="A3116" s="546" t="s">
        <v>432</v>
      </c>
      <c r="B3116" s="512" t="s">
        <v>433</v>
      </c>
      <c r="C3116" s="605">
        <v>46004.0</v>
      </c>
      <c r="D3116" s="512">
        <v>3.27888941E10</v>
      </c>
      <c r="E3116" s="606" t="s">
        <v>5749</v>
      </c>
      <c r="F3116" s="644" t="s">
        <v>436</v>
      </c>
      <c r="G3116" s="606" t="s">
        <v>3733</v>
      </c>
      <c r="H3116" s="608" t="s">
        <v>686</v>
      </c>
    </row>
    <row r="3117">
      <c r="A3117" s="546" t="s">
        <v>617</v>
      </c>
      <c r="B3117" s="512" t="s">
        <v>433</v>
      </c>
      <c r="C3117" s="605">
        <v>46005.0</v>
      </c>
      <c r="D3117" s="512">
        <v>3.302190575E10</v>
      </c>
      <c r="E3117" s="606" t="s">
        <v>5759</v>
      </c>
      <c r="F3117" s="644" t="s">
        <v>436</v>
      </c>
      <c r="G3117" s="606" t="s">
        <v>1151</v>
      </c>
      <c r="H3117" s="608" t="s">
        <v>696</v>
      </c>
    </row>
    <row r="3118">
      <c r="A3118" s="546" t="s">
        <v>432</v>
      </c>
      <c r="B3118" s="512" t="s">
        <v>433</v>
      </c>
      <c r="C3118" s="605">
        <v>46005.0</v>
      </c>
      <c r="D3118" s="512">
        <v>4.3932685058E10</v>
      </c>
      <c r="E3118" s="606" t="s">
        <v>5760</v>
      </c>
      <c r="F3118" s="644" t="s">
        <v>436</v>
      </c>
      <c r="G3118" s="606" t="s">
        <v>5761</v>
      </c>
      <c r="H3118" s="608" t="s">
        <v>686</v>
      </c>
    </row>
    <row r="3119">
      <c r="A3119" s="546" t="s">
        <v>617</v>
      </c>
      <c r="B3119" s="512" t="s">
        <v>449</v>
      </c>
      <c r="C3119" s="605">
        <v>46005.0</v>
      </c>
      <c r="D3119" s="512">
        <v>4.3650937004E10</v>
      </c>
      <c r="E3119" s="606" t="s">
        <v>5693</v>
      </c>
      <c r="F3119" s="644" t="s">
        <v>436</v>
      </c>
      <c r="G3119" s="606" t="s">
        <v>4421</v>
      </c>
      <c r="H3119" s="608" t="s">
        <v>696</v>
      </c>
    </row>
    <row r="3120">
      <c r="A3120" s="546" t="s">
        <v>432</v>
      </c>
      <c r="B3120" s="512" t="s">
        <v>4201</v>
      </c>
      <c r="C3120" s="605">
        <v>46005.0</v>
      </c>
      <c r="D3120" s="512">
        <v>3.9570700724E10</v>
      </c>
      <c r="E3120" s="606" t="s">
        <v>5762</v>
      </c>
      <c r="F3120" s="644" t="s">
        <v>436</v>
      </c>
      <c r="G3120" s="606" t="s">
        <v>4587</v>
      </c>
      <c r="H3120" s="608" t="s">
        <v>686</v>
      </c>
    </row>
    <row r="3121">
      <c r="A3121" s="546" t="s">
        <v>432</v>
      </c>
      <c r="B3121" s="512" t="s">
        <v>433</v>
      </c>
      <c r="C3121" s="605">
        <v>46005.0</v>
      </c>
      <c r="D3121" s="512">
        <v>4.3358102931E10</v>
      </c>
      <c r="E3121" s="606" t="s">
        <v>5763</v>
      </c>
      <c r="F3121" s="644" t="s">
        <v>436</v>
      </c>
      <c r="G3121" s="606" t="s">
        <v>5764</v>
      </c>
      <c r="H3121" s="608" t="s">
        <v>686</v>
      </c>
    </row>
    <row r="3122">
      <c r="A3122" s="546" t="s">
        <v>432</v>
      </c>
      <c r="B3122" s="512" t="s">
        <v>433</v>
      </c>
      <c r="C3122" s="605">
        <v>46005.0</v>
      </c>
      <c r="D3122" s="512">
        <v>4.3258655232E10</v>
      </c>
      <c r="E3122" s="606" t="s">
        <v>5765</v>
      </c>
      <c r="F3122" s="644" t="s">
        <v>436</v>
      </c>
      <c r="G3122" s="606" t="s">
        <v>2945</v>
      </c>
      <c r="H3122" s="608" t="s">
        <v>686</v>
      </c>
    </row>
    <row r="3123">
      <c r="A3123" s="546" t="s">
        <v>432</v>
      </c>
      <c r="B3123" s="512" t="s">
        <v>433</v>
      </c>
      <c r="C3123" s="605">
        <v>46005.0</v>
      </c>
      <c r="D3123" s="512">
        <v>4.3405568923E10</v>
      </c>
      <c r="E3123" s="606" t="s">
        <v>5766</v>
      </c>
      <c r="F3123" s="644" t="s">
        <v>436</v>
      </c>
      <c r="G3123" s="606" t="s">
        <v>2974</v>
      </c>
      <c r="H3123" s="608" t="s">
        <v>686</v>
      </c>
    </row>
    <row r="3124">
      <c r="A3124" s="546" t="s">
        <v>432</v>
      </c>
      <c r="B3124" s="512" t="s">
        <v>449</v>
      </c>
      <c r="C3124" s="605">
        <v>46005.0</v>
      </c>
      <c r="D3124" s="512">
        <v>4.2811444048E10</v>
      </c>
      <c r="E3124" s="606" t="s">
        <v>5767</v>
      </c>
      <c r="F3124" s="644" t="s">
        <v>436</v>
      </c>
      <c r="G3124" s="606" t="s">
        <v>5768</v>
      </c>
      <c r="H3124" s="608" t="s">
        <v>686</v>
      </c>
    </row>
    <row r="3125">
      <c r="A3125" s="546" t="s">
        <v>432</v>
      </c>
      <c r="B3125" s="512" t="s">
        <v>433</v>
      </c>
      <c r="C3125" s="605">
        <v>46005.0</v>
      </c>
      <c r="D3125" s="512">
        <v>4.3390766422E10</v>
      </c>
      <c r="E3125" s="606" t="s">
        <v>5769</v>
      </c>
      <c r="F3125" s="644" t="s">
        <v>436</v>
      </c>
      <c r="G3125" s="606" t="s">
        <v>5770</v>
      </c>
      <c r="H3125" s="608" t="s">
        <v>686</v>
      </c>
    </row>
    <row r="3126">
      <c r="A3126" s="546" t="s">
        <v>432</v>
      </c>
      <c r="B3126" s="512" t="s">
        <v>433</v>
      </c>
      <c r="C3126" s="605">
        <v>46005.0</v>
      </c>
      <c r="D3126" s="512">
        <v>4.5788050908E10</v>
      </c>
      <c r="E3126" s="606" t="s">
        <v>5771</v>
      </c>
      <c r="F3126" s="644" t="s">
        <v>436</v>
      </c>
      <c r="G3126" s="606" t="s">
        <v>910</v>
      </c>
      <c r="H3126" s="608" t="s">
        <v>686</v>
      </c>
    </row>
    <row r="3127">
      <c r="A3127" s="546" t="s">
        <v>432</v>
      </c>
      <c r="B3127" s="512" t="s">
        <v>433</v>
      </c>
      <c r="C3127" s="605">
        <v>46005.0</v>
      </c>
      <c r="D3127" s="512">
        <v>3.2686705492E10</v>
      </c>
      <c r="E3127" s="606" t="s">
        <v>5772</v>
      </c>
      <c r="F3127" s="644" t="s">
        <v>436</v>
      </c>
      <c r="G3127" s="606" t="s">
        <v>4468</v>
      </c>
      <c r="H3127" s="608" t="s">
        <v>686</v>
      </c>
    </row>
    <row r="3128">
      <c r="A3128" s="546" t="s">
        <v>432</v>
      </c>
      <c r="B3128" s="512" t="s">
        <v>449</v>
      </c>
      <c r="C3128" s="605">
        <v>46005.0</v>
      </c>
      <c r="D3128" s="512">
        <v>3.6625888833E10</v>
      </c>
      <c r="E3128" s="606" t="s">
        <v>5773</v>
      </c>
      <c r="F3128" s="644" t="s">
        <v>436</v>
      </c>
      <c r="G3128" s="606" t="s">
        <v>5386</v>
      </c>
      <c r="H3128" s="608" t="s">
        <v>686</v>
      </c>
    </row>
    <row r="3129">
      <c r="A3129" s="546" t="s">
        <v>432</v>
      </c>
      <c r="B3129" s="512" t="s">
        <v>433</v>
      </c>
      <c r="C3129" s="605">
        <v>46005.0</v>
      </c>
      <c r="D3129" s="512">
        <v>2.8013703248E10</v>
      </c>
      <c r="E3129" s="606" t="s">
        <v>5774</v>
      </c>
      <c r="F3129" s="644" t="s">
        <v>436</v>
      </c>
      <c r="G3129" s="606" t="s">
        <v>1204</v>
      </c>
      <c r="H3129" s="608" t="s">
        <v>686</v>
      </c>
    </row>
    <row r="3130">
      <c r="A3130" s="546" t="s">
        <v>432</v>
      </c>
      <c r="B3130" s="512" t="s">
        <v>433</v>
      </c>
      <c r="C3130" s="605">
        <v>46005.0</v>
      </c>
      <c r="D3130" s="512">
        <v>4.4830393626E10</v>
      </c>
      <c r="E3130" s="606" t="s">
        <v>5775</v>
      </c>
      <c r="F3130" s="644" t="s">
        <v>436</v>
      </c>
      <c r="G3130" s="606" t="s">
        <v>5776</v>
      </c>
      <c r="H3130" s="608" t="s">
        <v>686</v>
      </c>
    </row>
    <row r="3131">
      <c r="A3131" s="546" t="s">
        <v>617</v>
      </c>
      <c r="B3131" s="512" t="s">
        <v>433</v>
      </c>
      <c r="C3131" s="605">
        <v>46005.0</v>
      </c>
      <c r="D3131" s="512">
        <v>4.3406009613E10</v>
      </c>
      <c r="E3131" s="606" t="s">
        <v>4857</v>
      </c>
      <c r="F3131" s="644" t="s">
        <v>436</v>
      </c>
      <c r="G3131" s="606" t="s">
        <v>5777</v>
      </c>
      <c r="H3131" s="608" t="s">
        <v>696</v>
      </c>
    </row>
    <row r="3132">
      <c r="A3132" s="546" t="s">
        <v>432</v>
      </c>
      <c r="B3132" s="512" t="s">
        <v>433</v>
      </c>
      <c r="C3132" s="605">
        <v>46005.0</v>
      </c>
      <c r="D3132" s="512">
        <v>4.5654851027E10</v>
      </c>
      <c r="E3132" s="606" t="s">
        <v>5778</v>
      </c>
      <c r="F3132" s="644" t="s">
        <v>436</v>
      </c>
      <c r="G3132" s="606" t="s">
        <v>1890</v>
      </c>
      <c r="H3132" s="608" t="s">
        <v>686</v>
      </c>
    </row>
    <row r="3133">
      <c r="A3133" s="546" t="s">
        <v>432</v>
      </c>
      <c r="B3133" s="512" t="s">
        <v>433</v>
      </c>
      <c r="C3133" s="605">
        <v>46005.0</v>
      </c>
      <c r="D3133" s="512">
        <v>4.2816228742E10</v>
      </c>
      <c r="E3133" s="606" t="s">
        <v>5779</v>
      </c>
      <c r="F3133" s="644" t="s">
        <v>436</v>
      </c>
      <c r="G3133" s="606" t="s">
        <v>3827</v>
      </c>
      <c r="H3133" s="608" t="s">
        <v>686</v>
      </c>
    </row>
    <row r="3134">
      <c r="A3134" s="546" t="s">
        <v>617</v>
      </c>
      <c r="B3134" s="512" t="s">
        <v>5780</v>
      </c>
      <c r="C3134" s="605">
        <v>46005.0</v>
      </c>
      <c r="D3134" s="512">
        <v>4.3023809871E10</v>
      </c>
      <c r="E3134" s="606" t="s">
        <v>5781</v>
      </c>
      <c r="F3134" s="644" t="s">
        <v>436</v>
      </c>
      <c r="G3134" s="606" t="s">
        <v>5782</v>
      </c>
      <c r="H3134" s="608" t="s">
        <v>696</v>
      </c>
    </row>
    <row r="3135">
      <c r="A3135" s="546" t="s">
        <v>823</v>
      </c>
      <c r="B3135" s="512" t="s">
        <v>433</v>
      </c>
      <c r="C3135" s="605">
        <v>46005.0</v>
      </c>
      <c r="D3135" s="512" t="s">
        <v>5783</v>
      </c>
      <c r="E3135" s="606" t="s">
        <v>4165</v>
      </c>
      <c r="F3135" s="644" t="s">
        <v>436</v>
      </c>
      <c r="G3135" s="606" t="s">
        <v>5784</v>
      </c>
      <c r="H3135" s="608" t="s">
        <v>1096</v>
      </c>
    </row>
    <row r="3136">
      <c r="A3136" s="546" t="s">
        <v>617</v>
      </c>
      <c r="B3136" s="512" t="s">
        <v>433</v>
      </c>
      <c r="C3136" s="605">
        <v>46005.0</v>
      </c>
      <c r="D3136" s="512">
        <v>4.0843446822E10</v>
      </c>
      <c r="E3136" s="606" t="s">
        <v>5541</v>
      </c>
      <c r="F3136" s="644" t="s">
        <v>436</v>
      </c>
      <c r="G3136" s="606" t="s">
        <v>3315</v>
      </c>
      <c r="H3136" s="608" t="s">
        <v>696</v>
      </c>
    </row>
    <row r="3137">
      <c r="A3137" s="546" t="s">
        <v>617</v>
      </c>
      <c r="B3137" s="512" t="s">
        <v>955</v>
      </c>
      <c r="C3137" s="605">
        <v>46005.0</v>
      </c>
      <c r="D3137" s="512">
        <v>4.5655220265E10</v>
      </c>
      <c r="E3137" s="606" t="s">
        <v>4165</v>
      </c>
      <c r="F3137" s="644" t="s">
        <v>436</v>
      </c>
      <c r="G3137" s="606" t="s">
        <v>1274</v>
      </c>
      <c r="H3137" s="608" t="s">
        <v>696</v>
      </c>
    </row>
    <row r="3138">
      <c r="A3138" s="546" t="s">
        <v>432</v>
      </c>
      <c r="B3138" s="512" t="s">
        <v>433</v>
      </c>
      <c r="C3138" s="605">
        <v>46005.0</v>
      </c>
      <c r="D3138" s="512">
        <v>3.8240700348E10</v>
      </c>
      <c r="E3138" s="606" t="s">
        <v>5785</v>
      </c>
      <c r="F3138" s="644" t="s">
        <v>436</v>
      </c>
      <c r="G3138" s="606" t="s">
        <v>5786</v>
      </c>
      <c r="H3138" s="608" t="s">
        <v>686</v>
      </c>
    </row>
    <row r="3139">
      <c r="A3139" s="546" t="s">
        <v>432</v>
      </c>
      <c r="B3139" s="512" t="s">
        <v>449</v>
      </c>
      <c r="C3139" s="605">
        <v>46005.0</v>
      </c>
      <c r="D3139" s="512">
        <v>4.5742452355E10</v>
      </c>
      <c r="E3139" s="606" t="s">
        <v>5787</v>
      </c>
      <c r="F3139" s="644" t="s">
        <v>436</v>
      </c>
      <c r="G3139" s="606" t="s">
        <v>5788</v>
      </c>
      <c r="H3139" s="608" t="s">
        <v>686</v>
      </c>
    </row>
    <row r="3140">
      <c r="A3140" s="546" t="s">
        <v>617</v>
      </c>
      <c r="B3140" s="512" t="s">
        <v>449</v>
      </c>
      <c r="C3140" s="605">
        <v>46005.0</v>
      </c>
      <c r="D3140" s="512">
        <v>3.0453197418E10</v>
      </c>
      <c r="E3140" s="606" t="s">
        <v>5789</v>
      </c>
      <c r="F3140" s="644" t="s">
        <v>436</v>
      </c>
      <c r="G3140" s="640"/>
      <c r="H3140" s="608" t="s">
        <v>696</v>
      </c>
    </row>
    <row r="3141">
      <c r="A3141" s="546" t="s">
        <v>432</v>
      </c>
      <c r="B3141" s="512" t="s">
        <v>449</v>
      </c>
      <c r="C3141" s="605">
        <v>46006.0</v>
      </c>
      <c r="D3141" s="512">
        <v>2.8680720007E10</v>
      </c>
      <c r="E3141" s="606" t="s">
        <v>5790</v>
      </c>
      <c r="F3141" s="644" t="s">
        <v>436</v>
      </c>
      <c r="G3141" s="606">
        <v>3410.0</v>
      </c>
      <c r="H3141" s="608" t="s">
        <v>686</v>
      </c>
    </row>
    <row r="3142">
      <c r="A3142" s="546" t="s">
        <v>439</v>
      </c>
      <c r="B3142" s="512" t="s">
        <v>449</v>
      </c>
      <c r="C3142" s="605">
        <v>46006.0</v>
      </c>
      <c r="D3142" s="512">
        <v>3.6492754367E10</v>
      </c>
      <c r="E3142" s="606" t="s">
        <v>4710</v>
      </c>
      <c r="F3142" s="644" t="s">
        <v>436</v>
      </c>
      <c r="G3142" s="606" t="s">
        <v>5791</v>
      </c>
      <c r="H3142" s="608" t="s">
        <v>5177</v>
      </c>
    </row>
    <row r="3143">
      <c r="A3143" s="546" t="s">
        <v>617</v>
      </c>
      <c r="B3143" s="512" t="s">
        <v>449</v>
      </c>
      <c r="C3143" s="605">
        <v>46006.0</v>
      </c>
      <c r="D3143" s="512">
        <v>4.2883295325E10</v>
      </c>
      <c r="E3143" s="606" t="s">
        <v>5792</v>
      </c>
      <c r="F3143" s="644" t="s">
        <v>436</v>
      </c>
      <c r="G3143" s="606" t="s">
        <v>3015</v>
      </c>
      <c r="H3143" s="608" t="s">
        <v>696</v>
      </c>
    </row>
    <row r="3144">
      <c r="A3144" s="546" t="s">
        <v>432</v>
      </c>
      <c r="B3144" s="512" t="s">
        <v>433</v>
      </c>
      <c r="C3144" s="605">
        <v>46006.0</v>
      </c>
      <c r="D3144" s="512">
        <v>4.0582533279E10</v>
      </c>
      <c r="E3144" s="606" t="s">
        <v>5793</v>
      </c>
      <c r="F3144" s="644" t="s">
        <v>436</v>
      </c>
      <c r="G3144" s="606" t="s">
        <v>5794</v>
      </c>
      <c r="H3144" s="608" t="s">
        <v>686</v>
      </c>
    </row>
    <row r="3145">
      <c r="A3145" s="546" t="s">
        <v>823</v>
      </c>
      <c r="B3145" s="512" t="s">
        <v>5780</v>
      </c>
      <c r="C3145" s="605">
        <v>46006.0</v>
      </c>
      <c r="D3145" s="512">
        <v>4.3968642566E10</v>
      </c>
      <c r="E3145" s="606" t="s">
        <v>5795</v>
      </c>
      <c r="F3145" s="644" t="s">
        <v>436</v>
      </c>
      <c r="G3145" s="606" t="s">
        <v>5796</v>
      </c>
      <c r="H3145" s="608" t="s">
        <v>4558</v>
      </c>
    </row>
    <row r="3146">
      <c r="A3146" s="546" t="s">
        <v>617</v>
      </c>
      <c r="B3146" s="512" t="s">
        <v>433</v>
      </c>
      <c r="C3146" s="605">
        <v>46006.0</v>
      </c>
      <c r="D3146" s="512">
        <v>4.3683925405E10</v>
      </c>
      <c r="E3146" s="606" t="s">
        <v>4857</v>
      </c>
      <c r="F3146" s="644" t="s">
        <v>436</v>
      </c>
      <c r="G3146" s="606" t="s">
        <v>1500</v>
      </c>
      <c r="H3146" s="608" t="s">
        <v>696</v>
      </c>
    </row>
    <row r="3147">
      <c r="A3147" s="546" t="s">
        <v>432</v>
      </c>
      <c r="B3147" s="512" t="s">
        <v>433</v>
      </c>
      <c r="C3147" s="605">
        <v>46006.0</v>
      </c>
      <c r="D3147" s="512">
        <v>4.3261283226E10</v>
      </c>
      <c r="E3147" s="606" t="s">
        <v>5797</v>
      </c>
      <c r="F3147" s="644" t="s">
        <v>436</v>
      </c>
      <c r="G3147" s="606" t="s">
        <v>5798</v>
      </c>
      <c r="H3147" s="608" t="s">
        <v>686</v>
      </c>
    </row>
    <row r="3148">
      <c r="A3148" s="546" t="s">
        <v>432</v>
      </c>
      <c r="B3148" s="512" t="s">
        <v>433</v>
      </c>
      <c r="C3148" s="605">
        <v>46006.0</v>
      </c>
      <c r="D3148" s="512">
        <v>4.5921530739E10</v>
      </c>
      <c r="E3148" s="606" t="s">
        <v>5799</v>
      </c>
      <c r="F3148" s="644" t="s">
        <v>436</v>
      </c>
      <c r="G3148" s="606" t="s">
        <v>5800</v>
      </c>
      <c r="H3148" s="608" t="s">
        <v>686</v>
      </c>
    </row>
    <row r="3149">
      <c r="A3149" s="546" t="s">
        <v>823</v>
      </c>
      <c r="B3149" s="512" t="s">
        <v>449</v>
      </c>
      <c r="C3149" s="605">
        <v>46006.0</v>
      </c>
      <c r="D3149" s="512">
        <v>3.8902561557E10</v>
      </c>
      <c r="E3149" s="606" t="s">
        <v>4974</v>
      </c>
      <c r="F3149" s="644" t="s">
        <v>436</v>
      </c>
      <c r="G3149" s="606" t="s">
        <v>1252</v>
      </c>
      <c r="H3149" s="608" t="s">
        <v>4558</v>
      </c>
    </row>
    <row r="3150">
      <c r="A3150" s="546" t="s">
        <v>823</v>
      </c>
      <c r="B3150" s="512" t="s">
        <v>433</v>
      </c>
      <c r="C3150" s="605">
        <v>46006.0</v>
      </c>
      <c r="D3150" s="512">
        <v>4.4299273157E10</v>
      </c>
      <c r="E3150" s="606" t="s">
        <v>5715</v>
      </c>
      <c r="F3150" s="644" t="s">
        <v>436</v>
      </c>
      <c r="G3150" s="606" t="s">
        <v>5801</v>
      </c>
      <c r="H3150" s="608" t="s">
        <v>4558</v>
      </c>
    </row>
    <row r="3151">
      <c r="A3151" s="546" t="s">
        <v>439</v>
      </c>
      <c r="B3151" s="512" t="s">
        <v>449</v>
      </c>
      <c r="C3151" s="605">
        <v>46006.0</v>
      </c>
      <c r="D3151" s="512">
        <v>4.5570786826E10</v>
      </c>
      <c r="E3151" s="606" t="s">
        <v>5802</v>
      </c>
      <c r="F3151" s="644" t="s">
        <v>436</v>
      </c>
      <c r="G3151" s="606" t="s">
        <v>5803</v>
      </c>
      <c r="H3151" s="608" t="s">
        <v>5177</v>
      </c>
    </row>
    <row r="3152">
      <c r="A3152" s="546" t="s">
        <v>432</v>
      </c>
      <c r="B3152" s="512" t="s">
        <v>433</v>
      </c>
      <c r="C3152" s="605">
        <v>46006.0</v>
      </c>
      <c r="D3152" s="512">
        <v>4.1435339125E10</v>
      </c>
      <c r="E3152" s="606" t="s">
        <v>5804</v>
      </c>
      <c r="F3152" s="644" t="s">
        <v>436</v>
      </c>
      <c r="G3152" s="606" t="s">
        <v>5805</v>
      </c>
      <c r="H3152" s="608" t="s">
        <v>686</v>
      </c>
    </row>
    <row r="3153">
      <c r="A3153" s="546" t="s">
        <v>617</v>
      </c>
      <c r="B3153" s="512" t="s">
        <v>3583</v>
      </c>
      <c r="C3153" s="605">
        <v>46006.0</v>
      </c>
      <c r="D3153" s="512">
        <v>4.4093100522E10</v>
      </c>
      <c r="E3153" s="606" t="s">
        <v>4887</v>
      </c>
      <c r="F3153" s="644" t="s">
        <v>436</v>
      </c>
      <c r="G3153" s="606" t="s">
        <v>2002</v>
      </c>
      <c r="H3153" s="608" t="s">
        <v>696</v>
      </c>
    </row>
    <row r="3154">
      <c r="A3154" s="546" t="s">
        <v>617</v>
      </c>
      <c r="B3154" s="512" t="s">
        <v>449</v>
      </c>
      <c r="C3154" s="605">
        <v>46006.0</v>
      </c>
      <c r="D3154" s="512">
        <v>4.3621613724E10</v>
      </c>
      <c r="E3154" s="606" t="s">
        <v>5125</v>
      </c>
      <c r="F3154" s="644" t="s">
        <v>436</v>
      </c>
      <c r="G3154" s="606" t="s">
        <v>5806</v>
      </c>
      <c r="H3154" s="608" t="s">
        <v>696</v>
      </c>
    </row>
    <row r="3155">
      <c r="A3155" s="546" t="s">
        <v>617</v>
      </c>
      <c r="B3155" s="512" t="s">
        <v>449</v>
      </c>
      <c r="C3155" s="605">
        <v>46006.0</v>
      </c>
      <c r="D3155" s="512">
        <v>3.9153344878E10</v>
      </c>
      <c r="E3155" s="606" t="s">
        <v>5807</v>
      </c>
      <c r="F3155" s="644" t="s">
        <v>436</v>
      </c>
      <c r="G3155" s="606" t="s">
        <v>3061</v>
      </c>
      <c r="H3155" s="608" t="s">
        <v>696</v>
      </c>
    </row>
    <row r="3156">
      <c r="A3156" s="546" t="s">
        <v>432</v>
      </c>
      <c r="B3156" s="512" t="s">
        <v>433</v>
      </c>
      <c r="C3156" s="605">
        <v>46006.0</v>
      </c>
      <c r="D3156" s="512">
        <v>4.3180584017E10</v>
      </c>
      <c r="E3156" s="606" t="s">
        <v>5808</v>
      </c>
      <c r="F3156" s="644" t="s">
        <v>436</v>
      </c>
      <c r="G3156" s="606" t="s">
        <v>5809</v>
      </c>
      <c r="H3156" s="608" t="s">
        <v>686</v>
      </c>
    </row>
    <row r="3157">
      <c r="A3157" s="546" t="s">
        <v>432</v>
      </c>
      <c r="B3157" s="512" t="s">
        <v>449</v>
      </c>
      <c r="C3157" s="605">
        <v>46006.0</v>
      </c>
      <c r="D3157" s="512">
        <v>3.6195920878E10</v>
      </c>
      <c r="E3157" s="606" t="s">
        <v>5810</v>
      </c>
      <c r="F3157" s="644" t="s">
        <v>436</v>
      </c>
      <c r="G3157" s="606" t="s">
        <v>5811</v>
      </c>
      <c r="H3157" s="608" t="s">
        <v>686</v>
      </c>
    </row>
    <row r="3158">
      <c r="A3158" s="546" t="s">
        <v>432</v>
      </c>
      <c r="B3158" s="512" t="s">
        <v>5780</v>
      </c>
      <c r="C3158" s="605">
        <v>46006.0</v>
      </c>
      <c r="D3158" s="512">
        <v>4.3463440272E10</v>
      </c>
      <c r="E3158" s="606" t="s">
        <v>5812</v>
      </c>
      <c r="F3158" s="644" t="s">
        <v>436</v>
      </c>
      <c r="G3158" s="606" t="s">
        <v>3110</v>
      </c>
      <c r="H3158" s="608" t="s">
        <v>686</v>
      </c>
    </row>
    <row r="3159">
      <c r="A3159" s="546" t="s">
        <v>823</v>
      </c>
      <c r="B3159" s="512" t="s">
        <v>433</v>
      </c>
      <c r="C3159" s="605">
        <v>46006.0</v>
      </c>
      <c r="D3159" s="512">
        <v>4.2678985941E10</v>
      </c>
      <c r="E3159" s="606" t="s">
        <v>5813</v>
      </c>
      <c r="F3159" s="644" t="s">
        <v>436</v>
      </c>
      <c r="G3159" s="606" t="s">
        <v>1134</v>
      </c>
      <c r="H3159" s="608" t="s">
        <v>4558</v>
      </c>
    </row>
    <row r="3160">
      <c r="A3160" s="546" t="s">
        <v>439</v>
      </c>
      <c r="B3160" s="512" t="s">
        <v>433</v>
      </c>
      <c r="C3160" s="605">
        <v>46007.0</v>
      </c>
      <c r="D3160" s="512">
        <v>4.594123231E10</v>
      </c>
      <c r="E3160" s="606" t="s">
        <v>5814</v>
      </c>
      <c r="F3160" s="644" t="s">
        <v>436</v>
      </c>
      <c r="G3160" s="606" t="s">
        <v>5815</v>
      </c>
      <c r="H3160" s="608" t="s">
        <v>1608</v>
      </c>
    </row>
    <row r="3161">
      <c r="A3161" s="546" t="s">
        <v>432</v>
      </c>
      <c r="B3161" s="512" t="s">
        <v>449</v>
      </c>
      <c r="C3161" s="605">
        <v>46007.0</v>
      </c>
      <c r="D3161" s="512">
        <v>4.3009229585E10</v>
      </c>
      <c r="E3161" s="606" t="s">
        <v>5816</v>
      </c>
      <c r="F3161" s="644" t="s">
        <v>436</v>
      </c>
      <c r="G3161" s="606" t="s">
        <v>4679</v>
      </c>
      <c r="H3161" s="608" t="s">
        <v>5817</v>
      </c>
    </row>
    <row r="3162">
      <c r="A3162" s="546" t="s">
        <v>439</v>
      </c>
      <c r="B3162" s="512" t="s">
        <v>449</v>
      </c>
      <c r="C3162" s="605">
        <v>46007.0</v>
      </c>
      <c r="D3162" s="512">
        <v>4.2504156152E10</v>
      </c>
      <c r="E3162" s="606" t="s">
        <v>5025</v>
      </c>
      <c r="F3162" s="644" t="s">
        <v>436</v>
      </c>
      <c r="G3162" s="606" t="s">
        <v>2313</v>
      </c>
      <c r="H3162" s="608" t="s">
        <v>1608</v>
      </c>
    </row>
    <row r="3163">
      <c r="A3163" s="546" t="s">
        <v>432</v>
      </c>
      <c r="B3163" s="512" t="s">
        <v>449</v>
      </c>
      <c r="C3163" s="605">
        <v>46008.0</v>
      </c>
      <c r="D3163" s="512">
        <v>3.7984212024E10</v>
      </c>
      <c r="E3163" s="606" t="s">
        <v>5818</v>
      </c>
      <c r="F3163" s="644" t="s">
        <v>436</v>
      </c>
      <c r="G3163" s="606" t="s">
        <v>5819</v>
      </c>
      <c r="H3163" s="608" t="s">
        <v>438</v>
      </c>
    </row>
    <row r="3164">
      <c r="A3164" s="546" t="s">
        <v>439</v>
      </c>
      <c r="B3164" s="512" t="s">
        <v>449</v>
      </c>
      <c r="C3164" s="605">
        <v>46008.0</v>
      </c>
      <c r="D3164" s="512">
        <v>4.2871464695E10</v>
      </c>
      <c r="E3164" s="606" t="s">
        <v>5820</v>
      </c>
      <c r="F3164" s="644" t="s">
        <v>436</v>
      </c>
      <c r="G3164" s="606" t="s">
        <v>5821</v>
      </c>
      <c r="H3164" s="608" t="s">
        <v>1608</v>
      </c>
    </row>
    <row r="3165">
      <c r="A3165" s="546" t="s">
        <v>439</v>
      </c>
      <c r="B3165" s="512" t="s">
        <v>5822</v>
      </c>
      <c r="C3165" s="605">
        <v>46008.0</v>
      </c>
      <c r="D3165" s="512">
        <v>4.3297553024E10</v>
      </c>
      <c r="E3165" s="606" t="s">
        <v>5823</v>
      </c>
      <c r="F3165" s="644" t="s">
        <v>436</v>
      </c>
      <c r="G3165" s="606" t="s">
        <v>2260</v>
      </c>
      <c r="H3165" s="608" t="s">
        <v>1608</v>
      </c>
    </row>
    <row r="3166">
      <c r="A3166" s="546" t="s">
        <v>432</v>
      </c>
      <c r="B3166" s="512" t="s">
        <v>449</v>
      </c>
      <c r="C3166" s="605">
        <v>46008.0</v>
      </c>
      <c r="D3166" s="512">
        <v>4.3951837032E10</v>
      </c>
      <c r="E3166" s="606" t="s">
        <v>5824</v>
      </c>
      <c r="F3166" s="644" t="s">
        <v>436</v>
      </c>
      <c r="G3166" s="606" t="s">
        <v>5467</v>
      </c>
      <c r="H3166" s="608" t="s">
        <v>438</v>
      </c>
    </row>
    <row r="3167">
      <c r="A3167" s="546" t="s">
        <v>432</v>
      </c>
      <c r="B3167" s="512" t="s">
        <v>449</v>
      </c>
      <c r="C3167" s="605">
        <v>46008.0</v>
      </c>
      <c r="D3167" s="512">
        <v>4.6109042346E10</v>
      </c>
      <c r="E3167" s="606" t="s">
        <v>1648</v>
      </c>
      <c r="F3167" s="644" t="s">
        <v>436</v>
      </c>
      <c r="G3167" s="606" t="s">
        <v>959</v>
      </c>
      <c r="H3167" s="608" t="s">
        <v>438</v>
      </c>
    </row>
    <row r="3168">
      <c r="A3168" s="546" t="s">
        <v>432</v>
      </c>
      <c r="B3168" s="512" t="s">
        <v>449</v>
      </c>
      <c r="C3168" s="605">
        <v>46008.0</v>
      </c>
      <c r="D3168" s="512">
        <v>4.4476668754E10</v>
      </c>
      <c r="E3168" s="606" t="s">
        <v>5825</v>
      </c>
      <c r="F3168" s="644" t="s">
        <v>436</v>
      </c>
      <c r="G3168" s="606" t="s">
        <v>5826</v>
      </c>
      <c r="H3168" s="608" t="s">
        <v>438</v>
      </c>
    </row>
    <row r="3169">
      <c r="A3169" s="546" t="s">
        <v>823</v>
      </c>
      <c r="B3169" s="512" t="s">
        <v>4201</v>
      </c>
      <c r="C3169" s="605">
        <v>46008.0</v>
      </c>
      <c r="D3169" s="512">
        <v>4.3436235868E10</v>
      </c>
      <c r="E3169" s="606" t="s">
        <v>4974</v>
      </c>
      <c r="F3169" s="644" t="s">
        <v>436</v>
      </c>
      <c r="G3169" s="606" t="s">
        <v>1669</v>
      </c>
      <c r="H3169" s="608" t="s">
        <v>1647</v>
      </c>
    </row>
    <row r="3170">
      <c r="A3170" s="546" t="s">
        <v>432</v>
      </c>
      <c r="B3170" s="512" t="s">
        <v>449</v>
      </c>
      <c r="C3170" s="605">
        <v>46008.0</v>
      </c>
      <c r="D3170" s="512">
        <v>4.3964152066E10</v>
      </c>
      <c r="E3170" s="606" t="s">
        <v>4239</v>
      </c>
      <c r="F3170" s="644" t="s">
        <v>436</v>
      </c>
      <c r="G3170" s="606" t="s">
        <v>980</v>
      </c>
      <c r="H3170" s="608" t="s">
        <v>438</v>
      </c>
    </row>
    <row r="3171">
      <c r="A3171" s="546" t="s">
        <v>432</v>
      </c>
      <c r="B3171" s="512" t="s">
        <v>433</v>
      </c>
      <c r="C3171" s="605">
        <v>46008.0</v>
      </c>
      <c r="D3171" s="512">
        <v>4.3184167408E10</v>
      </c>
      <c r="E3171" s="606" t="s">
        <v>85</v>
      </c>
      <c r="F3171" s="644" t="s">
        <v>436</v>
      </c>
      <c r="G3171" s="606" t="s">
        <v>5827</v>
      </c>
      <c r="H3171" s="608" t="s">
        <v>438</v>
      </c>
    </row>
    <row r="3172">
      <c r="A3172" s="546" t="s">
        <v>432</v>
      </c>
      <c r="B3172" s="512" t="s">
        <v>433</v>
      </c>
      <c r="C3172" s="605">
        <v>46008.0</v>
      </c>
      <c r="D3172" s="512">
        <v>4.3326564417E10</v>
      </c>
      <c r="E3172" s="606" t="s">
        <v>85</v>
      </c>
      <c r="F3172" s="644" t="s">
        <v>436</v>
      </c>
      <c r="G3172" s="606" t="s">
        <v>5828</v>
      </c>
      <c r="H3172" s="608" t="s">
        <v>438</v>
      </c>
    </row>
    <row r="3173">
      <c r="A3173" s="546" t="s">
        <v>823</v>
      </c>
      <c r="B3173" s="512" t="s">
        <v>449</v>
      </c>
      <c r="C3173" s="605">
        <v>46008.0</v>
      </c>
      <c r="D3173" s="512">
        <v>4.5921657189E10</v>
      </c>
      <c r="E3173" s="606" t="s">
        <v>5829</v>
      </c>
      <c r="F3173" s="644" t="s">
        <v>436</v>
      </c>
      <c r="G3173" s="606" t="s">
        <v>5830</v>
      </c>
      <c r="H3173" s="608" t="s">
        <v>1647</v>
      </c>
    </row>
    <row r="3174">
      <c r="A3174" s="546" t="s">
        <v>823</v>
      </c>
      <c r="B3174" s="512" t="s">
        <v>449</v>
      </c>
      <c r="C3174" s="605">
        <v>46008.0</v>
      </c>
      <c r="D3174" s="512">
        <v>4.5664558369E10</v>
      </c>
      <c r="E3174" s="606" t="s">
        <v>5831</v>
      </c>
      <c r="F3174" s="644" t="s">
        <v>436</v>
      </c>
      <c r="G3174" s="606" t="s">
        <v>1100</v>
      </c>
      <c r="H3174" s="608" t="s">
        <v>1647</v>
      </c>
    </row>
    <row r="3175">
      <c r="A3175" s="546" t="s">
        <v>432</v>
      </c>
      <c r="B3175" s="512" t="s">
        <v>433</v>
      </c>
      <c r="C3175" s="605">
        <v>46009.0</v>
      </c>
      <c r="D3175" s="512">
        <v>4.3431382629E10</v>
      </c>
      <c r="E3175" s="606" t="s">
        <v>5832</v>
      </c>
      <c r="F3175" s="644" t="s">
        <v>436</v>
      </c>
      <c r="G3175" s="606">
        <v>1317.0</v>
      </c>
      <c r="H3175" s="608" t="s">
        <v>686</v>
      </c>
    </row>
    <row r="3176">
      <c r="A3176" s="546" t="s">
        <v>432</v>
      </c>
      <c r="B3176" s="512" t="s">
        <v>433</v>
      </c>
      <c r="C3176" s="605">
        <v>46009.0</v>
      </c>
      <c r="D3176" s="512">
        <v>4.3077253566E10</v>
      </c>
      <c r="E3176" s="606" t="s">
        <v>5833</v>
      </c>
      <c r="F3176" s="644" t="s">
        <v>436</v>
      </c>
      <c r="G3176" s="606" t="s">
        <v>5834</v>
      </c>
      <c r="H3176" s="608" t="s">
        <v>686</v>
      </c>
    </row>
    <row r="3177">
      <c r="A3177" s="546" t="s">
        <v>439</v>
      </c>
      <c r="B3177" s="512" t="s">
        <v>4201</v>
      </c>
      <c r="C3177" s="605">
        <v>46009.0</v>
      </c>
      <c r="D3177" s="512">
        <v>4.2559571569E10</v>
      </c>
      <c r="E3177" s="606" t="s">
        <v>5109</v>
      </c>
      <c r="F3177" s="644" t="s">
        <v>436</v>
      </c>
      <c r="G3177" s="606" t="s">
        <v>5835</v>
      </c>
      <c r="H3177" s="608" t="s">
        <v>1608</v>
      </c>
    </row>
    <row r="3178">
      <c r="A3178" s="546" t="s">
        <v>432</v>
      </c>
      <c r="B3178" s="512" t="s">
        <v>449</v>
      </c>
      <c r="C3178" s="605">
        <v>46009.0</v>
      </c>
      <c r="D3178" s="512">
        <v>4.3384469649E10</v>
      </c>
      <c r="E3178" s="606" t="s">
        <v>5836</v>
      </c>
      <c r="F3178" s="644" t="s">
        <v>436</v>
      </c>
      <c r="G3178" s="606" t="s">
        <v>4199</v>
      </c>
      <c r="H3178" s="608" t="s">
        <v>686</v>
      </c>
    </row>
    <row r="3179">
      <c r="A3179" s="546" t="s">
        <v>432</v>
      </c>
      <c r="B3179" s="512" t="s">
        <v>433</v>
      </c>
      <c r="C3179" s="605">
        <v>46009.0</v>
      </c>
      <c r="D3179" s="512">
        <v>1.6734712968E10</v>
      </c>
      <c r="E3179" s="606" t="s">
        <v>5837</v>
      </c>
      <c r="F3179" s="644" t="s">
        <v>436</v>
      </c>
      <c r="G3179" s="606" t="s">
        <v>1699</v>
      </c>
      <c r="H3179" s="608" t="s">
        <v>686</v>
      </c>
    </row>
    <row r="3180">
      <c r="A3180" s="546" t="s">
        <v>439</v>
      </c>
      <c r="B3180" s="512" t="s">
        <v>433</v>
      </c>
      <c r="C3180" s="605">
        <v>46009.0</v>
      </c>
      <c r="D3180" s="512">
        <v>3.837753352E10</v>
      </c>
      <c r="E3180" s="606" t="s">
        <v>5838</v>
      </c>
      <c r="F3180" s="644" t="s">
        <v>436</v>
      </c>
      <c r="G3180" s="606" t="s">
        <v>5839</v>
      </c>
      <c r="H3180" s="608" t="s">
        <v>1608</v>
      </c>
    </row>
    <row r="3181">
      <c r="A3181" s="546" t="s">
        <v>432</v>
      </c>
      <c r="B3181" s="512" t="s">
        <v>449</v>
      </c>
      <c r="C3181" s="605">
        <v>46009.0</v>
      </c>
      <c r="D3181" s="512">
        <v>4.6054709378E10</v>
      </c>
      <c r="E3181" s="606" t="s">
        <v>5840</v>
      </c>
      <c r="F3181" s="644" t="s">
        <v>436</v>
      </c>
      <c r="G3181" s="606" t="s">
        <v>1299</v>
      </c>
      <c r="H3181" s="608" t="s">
        <v>686</v>
      </c>
    </row>
    <row r="3182">
      <c r="A3182" s="546" t="s">
        <v>439</v>
      </c>
      <c r="B3182" s="512" t="s">
        <v>449</v>
      </c>
      <c r="C3182" s="605">
        <v>46009.0</v>
      </c>
      <c r="D3182" s="512">
        <v>4.5975107833E10</v>
      </c>
      <c r="E3182" s="606" t="s">
        <v>5841</v>
      </c>
      <c r="F3182" s="644" t="s">
        <v>436</v>
      </c>
      <c r="G3182" s="606" t="s">
        <v>1823</v>
      </c>
      <c r="H3182" s="608" t="s">
        <v>1608</v>
      </c>
    </row>
    <row r="3183">
      <c r="A3183" s="546" t="s">
        <v>432</v>
      </c>
      <c r="B3183" s="512" t="s">
        <v>449</v>
      </c>
      <c r="C3183" s="605">
        <v>46009.0</v>
      </c>
      <c r="D3183" s="512">
        <v>4.0447330099E10</v>
      </c>
      <c r="E3183" s="606" t="s">
        <v>5842</v>
      </c>
      <c r="F3183" s="644" t="s">
        <v>436</v>
      </c>
      <c r="G3183" s="606" t="s">
        <v>4830</v>
      </c>
      <c r="H3183" s="608" t="s">
        <v>686</v>
      </c>
    </row>
    <row r="3184">
      <c r="A3184" s="546" t="s">
        <v>432</v>
      </c>
      <c r="B3184" s="512" t="s">
        <v>433</v>
      </c>
      <c r="C3184" s="605">
        <v>46009.0</v>
      </c>
      <c r="D3184" s="512">
        <v>4.0911732387E10</v>
      </c>
      <c r="E3184" s="606" t="s">
        <v>5843</v>
      </c>
      <c r="F3184" s="644" t="s">
        <v>436</v>
      </c>
      <c r="G3184" s="606" t="s">
        <v>5844</v>
      </c>
      <c r="H3184" s="608" t="s">
        <v>686</v>
      </c>
    </row>
    <row r="3185">
      <c r="A3185" s="546" t="s">
        <v>432</v>
      </c>
      <c r="B3185" s="512" t="s">
        <v>433</v>
      </c>
      <c r="C3185" s="605">
        <v>46009.0</v>
      </c>
      <c r="D3185" s="512">
        <v>4.3442262956E10</v>
      </c>
      <c r="E3185" s="606" t="s">
        <v>5845</v>
      </c>
      <c r="F3185" s="644" t="s">
        <v>436</v>
      </c>
      <c r="G3185" s="606" t="s">
        <v>925</v>
      </c>
      <c r="H3185" s="608" t="s">
        <v>686</v>
      </c>
    </row>
    <row r="3186">
      <c r="A3186" s="546" t="s">
        <v>432</v>
      </c>
      <c r="B3186" s="512" t="s">
        <v>449</v>
      </c>
      <c r="C3186" s="605">
        <v>46009.0</v>
      </c>
      <c r="D3186" s="512">
        <v>4.6047056329E10</v>
      </c>
      <c r="E3186" s="606" t="s">
        <v>5846</v>
      </c>
      <c r="F3186" s="644" t="s">
        <v>436</v>
      </c>
      <c r="G3186" s="606" t="s">
        <v>1503</v>
      </c>
      <c r="H3186" s="608" t="s">
        <v>686</v>
      </c>
    </row>
    <row r="3187">
      <c r="A3187" s="546" t="s">
        <v>432</v>
      </c>
      <c r="B3187" s="512" t="s">
        <v>433</v>
      </c>
      <c r="C3187" s="605">
        <v>46009.0</v>
      </c>
      <c r="D3187" s="512">
        <v>4.2103783934E10</v>
      </c>
      <c r="E3187" s="606" t="s">
        <v>5847</v>
      </c>
      <c r="F3187" s="644" t="s">
        <v>436</v>
      </c>
      <c r="G3187" s="606" t="s">
        <v>3249</v>
      </c>
      <c r="H3187" s="608" t="s">
        <v>686</v>
      </c>
    </row>
    <row r="3188">
      <c r="A3188" s="546" t="s">
        <v>432</v>
      </c>
      <c r="B3188" s="512" t="s">
        <v>433</v>
      </c>
      <c r="C3188" s="605">
        <v>46009.0</v>
      </c>
      <c r="D3188" s="512">
        <v>4.4130963781E10</v>
      </c>
      <c r="E3188" s="606" t="s">
        <v>5848</v>
      </c>
      <c r="F3188" s="644" t="s">
        <v>436</v>
      </c>
      <c r="G3188" s="606" t="s">
        <v>5849</v>
      </c>
      <c r="H3188" s="608" t="s">
        <v>686</v>
      </c>
    </row>
    <row r="3189">
      <c r="A3189" s="546" t="s">
        <v>823</v>
      </c>
      <c r="B3189" s="512" t="s">
        <v>449</v>
      </c>
      <c r="C3189" s="605">
        <v>46009.0</v>
      </c>
      <c r="D3189" s="512">
        <v>3.0784301389E10</v>
      </c>
      <c r="E3189" s="606" t="s">
        <v>5850</v>
      </c>
      <c r="F3189" s="644" t="s">
        <v>436</v>
      </c>
      <c r="G3189" s="606" t="s">
        <v>5851</v>
      </c>
      <c r="H3189" s="608" t="s">
        <v>1647</v>
      </c>
    </row>
    <row r="3190">
      <c r="A3190" s="546" t="s">
        <v>432</v>
      </c>
      <c r="B3190" s="512" t="s">
        <v>433</v>
      </c>
      <c r="C3190" s="605">
        <v>46009.0</v>
      </c>
      <c r="D3190" s="512">
        <v>3.7222292046E10</v>
      </c>
      <c r="E3190" s="606" t="s">
        <v>5852</v>
      </c>
      <c r="F3190" s="644" t="s">
        <v>436</v>
      </c>
      <c r="G3190" s="606" t="s">
        <v>5110</v>
      </c>
      <c r="H3190" s="608" t="s">
        <v>686</v>
      </c>
    </row>
    <row r="3191">
      <c r="A3191" s="546" t="s">
        <v>439</v>
      </c>
      <c r="B3191" s="512" t="s">
        <v>449</v>
      </c>
      <c r="C3191" s="605">
        <v>46009.0</v>
      </c>
      <c r="D3191" s="512">
        <v>4.5790758029E10</v>
      </c>
      <c r="E3191" s="606" t="s">
        <v>5470</v>
      </c>
      <c r="F3191" s="644" t="s">
        <v>436</v>
      </c>
      <c r="G3191" s="606" t="s">
        <v>5853</v>
      </c>
      <c r="H3191" s="608" t="s">
        <v>1608</v>
      </c>
    </row>
    <row r="3192">
      <c r="A3192" s="546" t="s">
        <v>617</v>
      </c>
      <c r="B3192" s="512" t="s">
        <v>449</v>
      </c>
      <c r="C3192" s="605">
        <v>46010.0</v>
      </c>
      <c r="D3192" s="512">
        <v>4.0754371293E10</v>
      </c>
      <c r="E3192" s="606" t="s">
        <v>5854</v>
      </c>
      <c r="F3192" s="644" t="s">
        <v>436</v>
      </c>
      <c r="G3192" s="606" t="s">
        <v>5855</v>
      </c>
      <c r="H3192" s="608" t="s">
        <v>696</v>
      </c>
    </row>
    <row r="3193">
      <c r="A3193" s="546" t="s">
        <v>432</v>
      </c>
      <c r="B3193" s="512" t="s">
        <v>449</v>
      </c>
      <c r="C3193" s="605">
        <v>46010.0</v>
      </c>
      <c r="D3193" s="512">
        <v>4.5608083499E10</v>
      </c>
      <c r="E3193" s="606" t="s">
        <v>5856</v>
      </c>
      <c r="F3193" s="644" t="s">
        <v>436</v>
      </c>
      <c r="G3193" s="606" t="s">
        <v>5857</v>
      </c>
      <c r="H3193" s="608" t="s">
        <v>686</v>
      </c>
    </row>
    <row r="3194">
      <c r="A3194" s="546" t="s">
        <v>690</v>
      </c>
      <c r="B3194" s="512" t="s">
        <v>433</v>
      </c>
      <c r="C3194" s="605">
        <v>46010.0</v>
      </c>
      <c r="D3194" s="512">
        <v>3.9770087878E10</v>
      </c>
      <c r="E3194" s="606" t="s">
        <v>5858</v>
      </c>
      <c r="F3194" s="644" t="s">
        <v>436</v>
      </c>
      <c r="G3194" s="606" t="s">
        <v>5761</v>
      </c>
      <c r="H3194" s="608" t="s">
        <v>5817</v>
      </c>
    </row>
    <row r="3195">
      <c r="A3195" s="546" t="s">
        <v>432</v>
      </c>
      <c r="B3195" s="512" t="s">
        <v>433</v>
      </c>
      <c r="C3195" s="605">
        <v>46010.0</v>
      </c>
      <c r="D3195" s="512">
        <v>3.1644236217E10</v>
      </c>
      <c r="E3195" s="606" t="s">
        <v>5859</v>
      </c>
      <c r="F3195" s="644" t="s">
        <v>436</v>
      </c>
      <c r="G3195" s="606" t="s">
        <v>2373</v>
      </c>
      <c r="H3195" s="608" t="s">
        <v>686</v>
      </c>
    </row>
    <row r="3196">
      <c r="A3196" s="546" t="s">
        <v>432</v>
      </c>
      <c r="B3196" s="512" t="s">
        <v>433</v>
      </c>
      <c r="C3196" s="605">
        <v>46010.0</v>
      </c>
      <c r="D3196" s="512">
        <v>3.967108507E10</v>
      </c>
      <c r="E3196" s="606" t="s">
        <v>5860</v>
      </c>
      <c r="F3196" s="644" t="s">
        <v>436</v>
      </c>
      <c r="G3196" s="606" t="s">
        <v>2373</v>
      </c>
      <c r="H3196" s="608" t="s">
        <v>686</v>
      </c>
    </row>
    <row r="3197">
      <c r="A3197" s="546" t="s">
        <v>617</v>
      </c>
      <c r="B3197" s="512" t="s">
        <v>449</v>
      </c>
      <c r="C3197" s="605">
        <v>46010.0</v>
      </c>
      <c r="D3197" s="512">
        <v>4.251265086E10</v>
      </c>
      <c r="E3197" s="606" t="s">
        <v>4857</v>
      </c>
      <c r="F3197" s="644" t="s">
        <v>436</v>
      </c>
      <c r="G3197" s="606" t="s">
        <v>5861</v>
      </c>
      <c r="H3197" s="608" t="s">
        <v>696</v>
      </c>
    </row>
    <row r="3198">
      <c r="A3198" s="546" t="s">
        <v>823</v>
      </c>
      <c r="B3198" s="512" t="s">
        <v>449</v>
      </c>
      <c r="C3198" s="605">
        <v>46010.0</v>
      </c>
      <c r="D3198" s="512">
        <v>3.940634707E10</v>
      </c>
      <c r="E3198" s="606" t="s">
        <v>5862</v>
      </c>
      <c r="F3198" s="644" t="s">
        <v>436</v>
      </c>
      <c r="G3198" s="606" t="s">
        <v>5863</v>
      </c>
      <c r="H3198" s="608" t="s">
        <v>1096</v>
      </c>
    </row>
    <row r="3199">
      <c r="A3199" s="546" t="s">
        <v>690</v>
      </c>
      <c r="B3199" s="512" t="s">
        <v>433</v>
      </c>
      <c r="C3199" s="605">
        <v>46010.0</v>
      </c>
      <c r="D3199" s="512">
        <v>4.5655873466E10</v>
      </c>
      <c r="E3199" s="606" t="s">
        <v>5541</v>
      </c>
      <c r="F3199" s="644" t="s">
        <v>436</v>
      </c>
      <c r="G3199" s="606" t="s">
        <v>4716</v>
      </c>
      <c r="H3199" s="608" t="s">
        <v>5817</v>
      </c>
    </row>
    <row r="3200">
      <c r="A3200" s="546" t="s">
        <v>617</v>
      </c>
      <c r="B3200" s="512" t="s">
        <v>449</v>
      </c>
      <c r="C3200" s="605">
        <v>46010.0</v>
      </c>
      <c r="D3200" s="512">
        <v>3.9739425482E10</v>
      </c>
      <c r="E3200" s="606" t="s">
        <v>4974</v>
      </c>
      <c r="F3200" s="644" t="s">
        <v>436</v>
      </c>
      <c r="G3200" s="606" t="s">
        <v>5864</v>
      </c>
      <c r="H3200" s="608" t="s">
        <v>696</v>
      </c>
    </row>
    <row r="3201">
      <c r="A3201" s="546" t="s">
        <v>432</v>
      </c>
      <c r="B3201" s="512" t="s">
        <v>433</v>
      </c>
      <c r="C3201" s="605">
        <v>46010.0</v>
      </c>
      <c r="D3201" s="512">
        <v>2.8518683103E10</v>
      </c>
      <c r="E3201" s="606" t="s">
        <v>5865</v>
      </c>
      <c r="F3201" s="644" t="s">
        <v>436</v>
      </c>
      <c r="G3201" s="606" t="s">
        <v>5866</v>
      </c>
      <c r="H3201" s="608" t="s">
        <v>686</v>
      </c>
    </row>
    <row r="3202">
      <c r="A3202" s="546" t="s">
        <v>432</v>
      </c>
      <c r="B3202" s="512" t="s">
        <v>4201</v>
      </c>
      <c r="C3202" s="605">
        <v>46010.0</v>
      </c>
      <c r="D3202" s="512">
        <v>3.8788644827E10</v>
      </c>
      <c r="E3202" s="606" t="s">
        <v>5867</v>
      </c>
      <c r="F3202" s="644" t="s">
        <v>436</v>
      </c>
      <c r="G3202" s="606" t="s">
        <v>5868</v>
      </c>
      <c r="H3202" s="608" t="s">
        <v>686</v>
      </c>
    </row>
    <row r="3203">
      <c r="A3203" s="546" t="s">
        <v>617</v>
      </c>
      <c r="B3203" s="512" t="s">
        <v>3583</v>
      </c>
      <c r="C3203" s="605">
        <v>46010.0</v>
      </c>
      <c r="D3203" s="512">
        <v>3.0410771908E10</v>
      </c>
      <c r="E3203" s="606" t="s">
        <v>4854</v>
      </c>
      <c r="F3203" s="644" t="s">
        <v>436</v>
      </c>
      <c r="G3203" s="606" t="s">
        <v>5869</v>
      </c>
      <c r="H3203" s="608" t="s">
        <v>696</v>
      </c>
    </row>
    <row r="3204">
      <c r="A3204" s="546" t="s">
        <v>690</v>
      </c>
      <c r="B3204" s="512" t="s">
        <v>433</v>
      </c>
      <c r="C3204" s="605">
        <v>46010.0</v>
      </c>
      <c r="D3204" s="512">
        <v>3.8891622816E10</v>
      </c>
      <c r="E3204" s="606" t="s">
        <v>5541</v>
      </c>
      <c r="F3204" s="644" t="s">
        <v>436</v>
      </c>
      <c r="G3204" s="606" t="s">
        <v>4216</v>
      </c>
      <c r="H3204" s="608" t="s">
        <v>5817</v>
      </c>
    </row>
    <row r="3205">
      <c r="A3205" s="546" t="s">
        <v>690</v>
      </c>
      <c r="B3205" s="512" t="s">
        <v>433</v>
      </c>
      <c r="C3205" s="605">
        <v>46010.0</v>
      </c>
      <c r="D3205" s="512">
        <v>4.4132060206E10</v>
      </c>
      <c r="E3205" s="606" t="s">
        <v>5630</v>
      </c>
      <c r="F3205" s="644" t="s">
        <v>436</v>
      </c>
      <c r="G3205" s="606" t="s">
        <v>5870</v>
      </c>
      <c r="H3205" s="608" t="s">
        <v>5817</v>
      </c>
    </row>
    <row r="3206">
      <c r="A3206" s="546" t="s">
        <v>432</v>
      </c>
      <c r="B3206" s="512" t="s">
        <v>433</v>
      </c>
      <c r="C3206" s="605">
        <v>46010.0</v>
      </c>
      <c r="D3206" s="512">
        <v>4.3466787206E10</v>
      </c>
      <c r="E3206" s="606" t="s">
        <v>5871</v>
      </c>
      <c r="F3206" s="644" t="s">
        <v>436</v>
      </c>
      <c r="G3206" s="606" t="s">
        <v>5872</v>
      </c>
      <c r="H3206" s="608" t="s">
        <v>686</v>
      </c>
    </row>
    <row r="3207">
      <c r="A3207" s="546" t="s">
        <v>432</v>
      </c>
      <c r="B3207" s="512" t="s">
        <v>449</v>
      </c>
      <c r="C3207" s="605">
        <v>46010.0</v>
      </c>
      <c r="D3207" s="512">
        <v>4.3354200223E10</v>
      </c>
      <c r="E3207" s="606" t="s">
        <v>5401</v>
      </c>
      <c r="F3207" s="644" t="s">
        <v>436</v>
      </c>
      <c r="G3207" s="606" t="s">
        <v>5873</v>
      </c>
      <c r="H3207" s="608" t="s">
        <v>686</v>
      </c>
    </row>
    <row r="3208">
      <c r="A3208" s="546" t="s">
        <v>690</v>
      </c>
      <c r="B3208" s="512" t="s">
        <v>433</v>
      </c>
      <c r="C3208" s="605">
        <v>46010.0</v>
      </c>
      <c r="D3208" s="512">
        <v>4.2157485642E10</v>
      </c>
      <c r="E3208" s="606" t="s">
        <v>4857</v>
      </c>
      <c r="F3208" s="644" t="s">
        <v>436</v>
      </c>
      <c r="G3208" s="606" t="s">
        <v>5222</v>
      </c>
      <c r="H3208" s="608" t="s">
        <v>5817</v>
      </c>
    </row>
    <row r="3209">
      <c r="A3209" s="546" t="s">
        <v>690</v>
      </c>
      <c r="B3209" s="512" t="s">
        <v>433</v>
      </c>
      <c r="C3209" s="605">
        <v>46010.0</v>
      </c>
      <c r="D3209" s="512">
        <v>3.3786270812E10</v>
      </c>
      <c r="E3209" s="606" t="s">
        <v>5874</v>
      </c>
      <c r="F3209" s="644" t="s">
        <v>436</v>
      </c>
      <c r="G3209" s="606" t="s">
        <v>5875</v>
      </c>
      <c r="H3209" s="608" t="s">
        <v>5817</v>
      </c>
    </row>
    <row r="3210">
      <c r="A3210" s="546" t="s">
        <v>432</v>
      </c>
      <c r="B3210" s="512" t="s">
        <v>433</v>
      </c>
      <c r="C3210" s="605">
        <v>46010.0</v>
      </c>
      <c r="D3210" s="512">
        <v>4.5122591228E10</v>
      </c>
      <c r="E3210" s="606" t="s">
        <v>5876</v>
      </c>
      <c r="F3210" s="644" t="s">
        <v>436</v>
      </c>
      <c r="G3210" s="606" t="s">
        <v>5477</v>
      </c>
      <c r="H3210" s="608" t="s">
        <v>686</v>
      </c>
    </row>
    <row r="3211">
      <c r="A3211" s="546" t="s">
        <v>432</v>
      </c>
      <c r="B3211" s="512" t="s">
        <v>433</v>
      </c>
      <c r="C3211" s="605">
        <v>46010.0</v>
      </c>
      <c r="D3211" s="512">
        <v>4.3439359341E10</v>
      </c>
      <c r="E3211" s="606" t="s">
        <v>5877</v>
      </c>
      <c r="F3211" s="644" t="s">
        <v>436</v>
      </c>
      <c r="G3211" s="606" t="s">
        <v>5477</v>
      </c>
      <c r="H3211" s="608" t="s">
        <v>686</v>
      </c>
    </row>
    <row r="3212">
      <c r="A3212" s="546" t="s">
        <v>617</v>
      </c>
      <c r="B3212" s="512" t="s">
        <v>449</v>
      </c>
      <c r="C3212" s="605">
        <v>46011.0</v>
      </c>
      <c r="D3212" s="512">
        <v>4.0787566185E10</v>
      </c>
      <c r="E3212" s="606" t="s">
        <v>5878</v>
      </c>
      <c r="F3212" s="644" t="s">
        <v>436</v>
      </c>
      <c r="G3212" s="606" t="s">
        <v>5879</v>
      </c>
      <c r="H3212" s="608" t="s">
        <v>438</v>
      </c>
    </row>
    <row r="3213">
      <c r="A3213" s="546" t="s">
        <v>432</v>
      </c>
      <c r="B3213" s="512" t="s">
        <v>433</v>
      </c>
      <c r="C3213" s="605">
        <v>46011.0</v>
      </c>
      <c r="D3213" s="512">
        <v>3.1038048554E10</v>
      </c>
      <c r="E3213" s="606" t="s">
        <v>5880</v>
      </c>
      <c r="F3213" s="644" t="s">
        <v>436</v>
      </c>
      <c r="G3213" s="606" t="s">
        <v>5881</v>
      </c>
      <c r="H3213" s="608" t="s">
        <v>686</v>
      </c>
    </row>
    <row r="3214">
      <c r="A3214" s="546" t="s">
        <v>432</v>
      </c>
      <c r="B3214" s="512" t="s">
        <v>449</v>
      </c>
      <c r="C3214" s="605">
        <v>46011.0</v>
      </c>
      <c r="D3214" s="512">
        <v>4.2428944844E10</v>
      </c>
      <c r="E3214" s="606" t="s">
        <v>5882</v>
      </c>
      <c r="F3214" s="644" t="s">
        <v>436</v>
      </c>
      <c r="G3214" s="606" t="s">
        <v>4687</v>
      </c>
      <c r="H3214" s="608" t="s">
        <v>686</v>
      </c>
    </row>
    <row r="3215">
      <c r="A3215" s="546" t="s">
        <v>823</v>
      </c>
      <c r="B3215" s="512" t="s">
        <v>449</v>
      </c>
      <c r="C3215" s="605">
        <v>46011.0</v>
      </c>
      <c r="D3215" s="512">
        <v>4.6052206302E10</v>
      </c>
      <c r="E3215" s="677" t="s">
        <v>5883</v>
      </c>
      <c r="F3215" s="644" t="s">
        <v>436</v>
      </c>
      <c r="G3215" s="606" t="s">
        <v>5884</v>
      </c>
      <c r="H3215" s="608" t="s">
        <v>5885</v>
      </c>
    </row>
    <row r="3216">
      <c r="A3216" s="546" t="s">
        <v>432</v>
      </c>
      <c r="B3216" s="512" t="s">
        <v>449</v>
      </c>
      <c r="C3216" s="605">
        <v>46011.0</v>
      </c>
      <c r="D3216" s="512">
        <v>4.34012247E10</v>
      </c>
      <c r="E3216" s="606" t="s">
        <v>5886</v>
      </c>
      <c r="F3216" s="644" t="s">
        <v>436</v>
      </c>
      <c r="G3216" s="606" t="s">
        <v>5415</v>
      </c>
      <c r="H3216" s="608" t="s">
        <v>686</v>
      </c>
    </row>
    <row r="3217">
      <c r="A3217" s="546" t="s">
        <v>432</v>
      </c>
      <c r="B3217" s="512" t="s">
        <v>449</v>
      </c>
      <c r="C3217" s="605">
        <v>46011.0</v>
      </c>
      <c r="D3217" s="512">
        <v>4.2175373039E10</v>
      </c>
      <c r="E3217" s="606" t="s">
        <v>5887</v>
      </c>
      <c r="F3217" s="644" t="s">
        <v>436</v>
      </c>
      <c r="G3217" s="606" t="s">
        <v>2139</v>
      </c>
      <c r="H3217" s="608" t="s">
        <v>686</v>
      </c>
    </row>
    <row r="3218">
      <c r="A3218" s="546" t="s">
        <v>432</v>
      </c>
      <c r="B3218" s="512" t="s">
        <v>449</v>
      </c>
      <c r="C3218" s="605">
        <v>46011.0</v>
      </c>
      <c r="D3218" s="512">
        <v>3.8793428981E10</v>
      </c>
      <c r="E3218" s="606" t="s">
        <v>5887</v>
      </c>
      <c r="F3218" s="644" t="s">
        <v>436</v>
      </c>
      <c r="G3218" s="606" t="s">
        <v>5888</v>
      </c>
      <c r="H3218" s="608" t="s">
        <v>686</v>
      </c>
    </row>
    <row r="3219">
      <c r="A3219" s="546" t="s">
        <v>432</v>
      </c>
      <c r="B3219" s="512" t="s">
        <v>433</v>
      </c>
      <c r="C3219" s="605">
        <v>46011.0</v>
      </c>
      <c r="D3219" s="512">
        <v>4.3356218412E10</v>
      </c>
      <c r="E3219" s="606" t="s">
        <v>4902</v>
      </c>
      <c r="F3219" s="644" t="s">
        <v>436</v>
      </c>
      <c r="G3219" s="606" t="s">
        <v>5889</v>
      </c>
      <c r="H3219" s="608" t="s">
        <v>686</v>
      </c>
    </row>
    <row r="3220">
      <c r="A3220" s="546" t="s">
        <v>432</v>
      </c>
      <c r="B3220" s="512" t="s">
        <v>433</v>
      </c>
      <c r="C3220" s="605">
        <v>46011.0</v>
      </c>
      <c r="D3220" s="512">
        <v>4.4407840386E10</v>
      </c>
      <c r="E3220" s="606" t="s">
        <v>5890</v>
      </c>
      <c r="F3220" s="644" t="s">
        <v>436</v>
      </c>
      <c r="G3220" s="606" t="s">
        <v>5891</v>
      </c>
      <c r="H3220" s="608" t="s">
        <v>686</v>
      </c>
    </row>
    <row r="3221">
      <c r="A3221" s="546" t="s">
        <v>432</v>
      </c>
      <c r="B3221" s="512" t="s">
        <v>449</v>
      </c>
      <c r="C3221" s="605">
        <v>46011.0</v>
      </c>
      <c r="D3221" s="512">
        <v>4.3502455659E10</v>
      </c>
      <c r="E3221" s="619" t="s">
        <v>5892</v>
      </c>
      <c r="F3221" s="644" t="s">
        <v>436</v>
      </c>
      <c r="G3221" s="606" t="s">
        <v>5318</v>
      </c>
      <c r="H3221" s="608" t="s">
        <v>686</v>
      </c>
    </row>
    <row r="3222">
      <c r="A3222" s="546" t="s">
        <v>432</v>
      </c>
      <c r="B3222" s="512" t="s">
        <v>433</v>
      </c>
      <c r="C3222" s="605">
        <v>46011.0</v>
      </c>
      <c r="D3222" s="512">
        <v>4.4333459214E10</v>
      </c>
      <c r="E3222" s="606" t="s">
        <v>5893</v>
      </c>
      <c r="F3222" s="644" t="s">
        <v>436</v>
      </c>
      <c r="G3222" s="606" t="s">
        <v>5894</v>
      </c>
      <c r="H3222" s="608" t="s">
        <v>686</v>
      </c>
    </row>
    <row r="3223">
      <c r="A3223" s="546" t="s">
        <v>690</v>
      </c>
      <c r="B3223" s="512" t="s">
        <v>433</v>
      </c>
      <c r="C3223" s="605">
        <v>46011.0</v>
      </c>
      <c r="D3223" s="512">
        <v>4.3539777095E10</v>
      </c>
      <c r="E3223" s="606" t="s">
        <v>5895</v>
      </c>
      <c r="F3223" s="644" t="s">
        <v>436</v>
      </c>
      <c r="G3223" s="606" t="s">
        <v>5896</v>
      </c>
      <c r="H3223" s="608" t="s">
        <v>5817</v>
      </c>
    </row>
    <row r="3224">
      <c r="A3224" s="546" t="s">
        <v>432</v>
      </c>
      <c r="B3224" s="512" t="s">
        <v>449</v>
      </c>
      <c r="C3224" s="605">
        <v>46011.0</v>
      </c>
      <c r="D3224" s="512">
        <v>4.3354200223E10</v>
      </c>
      <c r="E3224" s="606" t="s">
        <v>5897</v>
      </c>
      <c r="F3224" s="644" t="s">
        <v>436</v>
      </c>
      <c r="G3224" s="606" t="s">
        <v>5873</v>
      </c>
      <c r="H3224" s="608" t="s">
        <v>686</v>
      </c>
    </row>
    <row r="3225">
      <c r="A3225" s="546" t="s">
        <v>432</v>
      </c>
      <c r="B3225" s="512" t="s">
        <v>433</v>
      </c>
      <c r="C3225" s="605">
        <v>46011.0</v>
      </c>
      <c r="D3225" s="512">
        <v>4.3454052594E10</v>
      </c>
      <c r="E3225" s="606" t="s">
        <v>5898</v>
      </c>
      <c r="F3225" s="644" t="s">
        <v>436</v>
      </c>
      <c r="G3225" s="606" t="s">
        <v>5899</v>
      </c>
      <c r="H3225" s="608" t="s">
        <v>686</v>
      </c>
    </row>
    <row r="3226">
      <c r="A3226" s="546" t="s">
        <v>432</v>
      </c>
      <c r="B3226" s="512" t="s">
        <v>433</v>
      </c>
      <c r="C3226" s="605">
        <v>46011.0</v>
      </c>
      <c r="D3226" s="512">
        <v>4.0728935058E10</v>
      </c>
      <c r="E3226" s="606" t="s">
        <v>5900</v>
      </c>
      <c r="F3226" s="644" t="s">
        <v>436</v>
      </c>
      <c r="G3226" s="606" t="s">
        <v>1215</v>
      </c>
      <c r="H3226" s="608" t="s">
        <v>686</v>
      </c>
    </row>
    <row r="3227">
      <c r="A3227" s="546" t="s">
        <v>690</v>
      </c>
      <c r="B3227" s="512" t="s">
        <v>433</v>
      </c>
      <c r="C3227" s="605">
        <v>46011.0</v>
      </c>
      <c r="D3227" s="512">
        <v>2.8538373942E10</v>
      </c>
      <c r="E3227" s="606" t="s">
        <v>85</v>
      </c>
      <c r="F3227" s="644" t="s">
        <v>436</v>
      </c>
      <c r="G3227" s="606" t="s">
        <v>2361</v>
      </c>
      <c r="H3227" s="608" t="s">
        <v>5817</v>
      </c>
    </row>
    <row r="3228">
      <c r="A3228" s="546" t="s">
        <v>432</v>
      </c>
      <c r="B3228" s="512" t="s">
        <v>449</v>
      </c>
      <c r="C3228" s="605">
        <v>46011.0</v>
      </c>
      <c r="D3228" s="512">
        <v>4.6162255051E10</v>
      </c>
      <c r="E3228" s="606" t="s">
        <v>5901</v>
      </c>
      <c r="F3228" s="644" t="s">
        <v>436</v>
      </c>
      <c r="G3228" s="606" t="s">
        <v>2487</v>
      </c>
      <c r="H3228" s="608" t="s">
        <v>686</v>
      </c>
    </row>
    <row r="3229">
      <c r="A3229" s="546" t="s">
        <v>823</v>
      </c>
      <c r="B3229" s="512" t="s">
        <v>449</v>
      </c>
      <c r="C3229" s="605">
        <v>46012.0</v>
      </c>
      <c r="D3229" s="512">
        <v>4.3639245831E10</v>
      </c>
      <c r="E3229" s="606" t="s">
        <v>4974</v>
      </c>
      <c r="F3229" s="644" t="s">
        <v>436</v>
      </c>
      <c r="G3229" s="606" t="s">
        <v>1122</v>
      </c>
      <c r="H3229" s="608" t="s">
        <v>1647</v>
      </c>
    </row>
    <row r="3230">
      <c r="A3230" s="546" t="s">
        <v>823</v>
      </c>
      <c r="B3230" s="512" t="s">
        <v>449</v>
      </c>
      <c r="C3230" s="605">
        <v>46012.0</v>
      </c>
      <c r="D3230" s="512">
        <v>3.3209171222E10</v>
      </c>
      <c r="E3230" s="606" t="s">
        <v>5902</v>
      </c>
      <c r="F3230" s="644" t="s">
        <v>436</v>
      </c>
      <c r="G3230" s="606" t="s">
        <v>5903</v>
      </c>
      <c r="H3230" s="608" t="s">
        <v>1647</v>
      </c>
    </row>
    <row r="3231">
      <c r="A3231" s="546" t="s">
        <v>617</v>
      </c>
      <c r="B3231" s="512" t="s">
        <v>449</v>
      </c>
      <c r="C3231" s="605">
        <v>46012.0</v>
      </c>
      <c r="D3231" s="512">
        <v>3.8515241239E10</v>
      </c>
      <c r="E3231" s="606" t="s">
        <v>85</v>
      </c>
      <c r="F3231" s="644" t="s">
        <v>436</v>
      </c>
      <c r="G3231" s="606" t="s">
        <v>5475</v>
      </c>
      <c r="H3231" s="608" t="s">
        <v>5817</v>
      </c>
    </row>
    <row r="3232">
      <c r="A3232" s="546" t="s">
        <v>432</v>
      </c>
      <c r="B3232" s="512" t="s">
        <v>449</v>
      </c>
      <c r="C3232" s="605">
        <v>46013.0</v>
      </c>
      <c r="D3232" s="512">
        <v>4.084476801E10</v>
      </c>
      <c r="E3232" s="606" t="s">
        <v>5895</v>
      </c>
      <c r="F3232" s="607" t="s">
        <v>436</v>
      </c>
      <c r="G3232" s="606" t="s">
        <v>5904</v>
      </c>
      <c r="H3232" s="608" t="s">
        <v>438</v>
      </c>
    </row>
    <row r="3233">
      <c r="A3233" s="546" t="s">
        <v>439</v>
      </c>
      <c r="B3233" s="512" t="s">
        <v>449</v>
      </c>
      <c r="C3233" s="605">
        <v>46013.0</v>
      </c>
      <c r="D3233" s="512">
        <v>4.3297840103E10</v>
      </c>
      <c r="E3233" s="606" t="s">
        <v>5905</v>
      </c>
      <c r="F3233" s="607" t="s">
        <v>436</v>
      </c>
      <c r="G3233" s="606" t="s">
        <v>3197</v>
      </c>
      <c r="H3233" s="608" t="s">
        <v>1608</v>
      </c>
    </row>
    <row r="3234">
      <c r="A3234" s="546" t="s">
        <v>439</v>
      </c>
      <c r="B3234" s="512" t="s">
        <v>5906</v>
      </c>
      <c r="C3234" s="605">
        <v>46013.0</v>
      </c>
      <c r="D3234" s="512">
        <v>4.1197601385E10</v>
      </c>
      <c r="E3234" s="606" t="s">
        <v>5814</v>
      </c>
      <c r="F3234" s="607" t="s">
        <v>436</v>
      </c>
      <c r="G3234" s="606" t="s">
        <v>1819</v>
      </c>
      <c r="H3234" s="608" t="s">
        <v>4078</v>
      </c>
    </row>
    <row r="3235">
      <c r="A3235" s="546" t="s">
        <v>439</v>
      </c>
      <c r="B3235" s="512" t="s">
        <v>5722</v>
      </c>
      <c r="C3235" s="605">
        <v>46013.0</v>
      </c>
      <c r="D3235" s="512">
        <v>4.2837027127E10</v>
      </c>
      <c r="E3235" s="606" t="s">
        <v>5907</v>
      </c>
      <c r="F3235" s="653" t="s">
        <v>436</v>
      </c>
      <c r="G3235" s="606" t="s">
        <v>4205</v>
      </c>
      <c r="H3235" s="608" t="s">
        <v>1608</v>
      </c>
      <c r="I3235" s="678"/>
      <c r="J3235" s="678"/>
      <c r="K3235" s="678"/>
      <c r="L3235" s="678"/>
      <c r="M3235" s="678"/>
      <c r="N3235" s="678"/>
      <c r="O3235" s="678"/>
      <c r="P3235" s="678"/>
      <c r="Q3235" s="678"/>
      <c r="R3235" s="678"/>
      <c r="S3235" s="678"/>
      <c r="T3235" s="678"/>
      <c r="U3235" s="678"/>
      <c r="V3235" s="678"/>
      <c r="W3235" s="678"/>
      <c r="X3235" s="678"/>
      <c r="Y3235" s="678"/>
      <c r="Z3235" s="678"/>
      <c r="AA3235" s="678"/>
    </row>
    <row r="3236">
      <c r="A3236" s="546" t="s">
        <v>439</v>
      </c>
      <c r="B3236" s="512" t="s">
        <v>5908</v>
      </c>
      <c r="C3236" s="605">
        <v>46013.0</v>
      </c>
      <c r="D3236" s="512">
        <v>4.2300311367E10</v>
      </c>
      <c r="E3236" s="606" t="s">
        <v>5909</v>
      </c>
      <c r="F3236" s="607" t="s">
        <v>436</v>
      </c>
      <c r="G3236" s="606" t="s">
        <v>1586</v>
      </c>
      <c r="H3236" s="608" t="s">
        <v>4078</v>
      </c>
    </row>
    <row r="3237">
      <c r="A3237" s="546" t="s">
        <v>439</v>
      </c>
      <c r="B3237" s="512" t="s">
        <v>449</v>
      </c>
      <c r="C3237" s="605">
        <v>46013.0</v>
      </c>
      <c r="D3237" s="512">
        <v>4.0332859502E10</v>
      </c>
      <c r="E3237" s="606" t="s">
        <v>5055</v>
      </c>
      <c r="F3237" s="607" t="s">
        <v>436</v>
      </c>
      <c r="G3237" s="606" t="s">
        <v>5910</v>
      </c>
      <c r="H3237" s="608" t="s">
        <v>1608</v>
      </c>
    </row>
    <row r="3238">
      <c r="A3238" s="546" t="s">
        <v>439</v>
      </c>
      <c r="B3238" s="512" t="s">
        <v>5911</v>
      </c>
      <c r="C3238" s="605">
        <v>46013.0</v>
      </c>
      <c r="D3238" s="512">
        <v>4.2837027127E10</v>
      </c>
      <c r="E3238" s="606" t="s">
        <v>5055</v>
      </c>
      <c r="F3238" s="607" t="s">
        <v>436</v>
      </c>
      <c r="G3238" s="606" t="s">
        <v>5657</v>
      </c>
      <c r="H3238" s="608" t="s">
        <v>1608</v>
      </c>
    </row>
    <row r="3239">
      <c r="A3239" s="546" t="s">
        <v>439</v>
      </c>
      <c r="B3239" s="512" t="s">
        <v>5908</v>
      </c>
      <c r="C3239" s="605">
        <v>46013.0</v>
      </c>
      <c r="D3239" s="512">
        <v>4.6047270656E10</v>
      </c>
      <c r="E3239" s="606" t="s">
        <v>5055</v>
      </c>
      <c r="F3239" s="607" t="s">
        <v>436</v>
      </c>
      <c r="G3239" s="606" t="s">
        <v>5657</v>
      </c>
      <c r="H3239" s="608" t="s">
        <v>4078</v>
      </c>
    </row>
    <row r="3240">
      <c r="A3240" s="546" t="s">
        <v>432</v>
      </c>
      <c r="B3240" s="512" t="s">
        <v>449</v>
      </c>
      <c r="C3240" s="605">
        <v>46013.0</v>
      </c>
      <c r="D3240" s="512">
        <v>4.6243234274E10</v>
      </c>
      <c r="E3240" s="606" t="s">
        <v>5912</v>
      </c>
      <c r="F3240" s="607" t="s">
        <v>436</v>
      </c>
      <c r="G3240" s="606" t="s">
        <v>1242</v>
      </c>
      <c r="H3240" s="608" t="s">
        <v>438</v>
      </c>
    </row>
    <row r="3241">
      <c r="A3241" s="546" t="s">
        <v>439</v>
      </c>
      <c r="B3241" s="512" t="s">
        <v>5911</v>
      </c>
      <c r="C3241" s="605">
        <v>46013.0</v>
      </c>
      <c r="D3241" s="512">
        <v>4.448889464E10</v>
      </c>
      <c r="E3241" s="606" t="s">
        <v>5913</v>
      </c>
      <c r="F3241" s="607" t="s">
        <v>436</v>
      </c>
      <c r="G3241" s="606" t="s">
        <v>1089</v>
      </c>
      <c r="H3241" s="608" t="s">
        <v>1608</v>
      </c>
    </row>
    <row r="3242">
      <c r="A3242" s="546" t="s">
        <v>432</v>
      </c>
      <c r="B3242" s="512" t="s">
        <v>449</v>
      </c>
      <c r="C3242" s="605">
        <v>46014.0</v>
      </c>
      <c r="D3242" s="512">
        <v>4.6335806483E10</v>
      </c>
      <c r="E3242" s="606" t="s">
        <v>5914</v>
      </c>
      <c r="F3242" s="607" t="s">
        <v>436</v>
      </c>
      <c r="G3242" s="606">
        <v>1860.0</v>
      </c>
      <c r="H3242" s="608" t="s">
        <v>686</v>
      </c>
    </row>
    <row r="3243">
      <c r="A3243" s="546" t="s">
        <v>432</v>
      </c>
      <c r="B3243" s="512" t="s">
        <v>433</v>
      </c>
      <c r="C3243" s="605">
        <v>46014.0</v>
      </c>
      <c r="D3243" s="512">
        <v>4.4481193875E10</v>
      </c>
      <c r="E3243" s="606" t="s">
        <v>5915</v>
      </c>
      <c r="F3243" s="607" t="s">
        <v>436</v>
      </c>
      <c r="G3243" s="606" t="s">
        <v>2130</v>
      </c>
      <c r="H3243" s="608" t="s">
        <v>686</v>
      </c>
    </row>
    <row r="3244">
      <c r="A3244" s="546" t="s">
        <v>432</v>
      </c>
      <c r="B3244" s="512" t="s">
        <v>449</v>
      </c>
      <c r="C3244" s="605">
        <v>46014.0</v>
      </c>
      <c r="D3244" s="512">
        <v>4.6133905829E10</v>
      </c>
      <c r="E3244" s="606" t="s">
        <v>5916</v>
      </c>
      <c r="F3244" s="607" t="s">
        <v>436</v>
      </c>
      <c r="G3244" s="606" t="s">
        <v>1196</v>
      </c>
      <c r="H3244" s="608" t="s">
        <v>686</v>
      </c>
    </row>
    <row r="3245">
      <c r="A3245" s="546" t="s">
        <v>432</v>
      </c>
      <c r="B3245" s="512" t="s">
        <v>449</v>
      </c>
      <c r="C3245" s="605">
        <v>46014.0</v>
      </c>
      <c r="D3245" s="512">
        <v>4.4190670454E10</v>
      </c>
      <c r="E3245" s="606" t="s">
        <v>5762</v>
      </c>
      <c r="F3245" s="607" t="s">
        <v>436</v>
      </c>
      <c r="G3245" s="606" t="s">
        <v>5308</v>
      </c>
      <c r="H3245" s="608" t="s">
        <v>686</v>
      </c>
    </row>
    <row r="3246">
      <c r="A3246" s="546" t="s">
        <v>432</v>
      </c>
      <c r="B3246" s="512" t="s">
        <v>433</v>
      </c>
      <c r="C3246" s="605">
        <v>46014.0</v>
      </c>
      <c r="D3246" s="512">
        <v>4.6165480171E10</v>
      </c>
      <c r="E3246" s="606" t="s">
        <v>5917</v>
      </c>
      <c r="F3246" s="607" t="s">
        <v>436</v>
      </c>
      <c r="G3246" s="606" t="s">
        <v>5918</v>
      </c>
      <c r="H3246" s="608" t="s">
        <v>686</v>
      </c>
    </row>
    <row r="3247">
      <c r="A3247" s="546" t="s">
        <v>432</v>
      </c>
      <c r="B3247" s="512" t="s">
        <v>449</v>
      </c>
      <c r="C3247" s="605">
        <v>46014.0</v>
      </c>
      <c r="D3247" s="512">
        <v>4.633314464E10</v>
      </c>
      <c r="E3247" s="606" t="s">
        <v>5919</v>
      </c>
      <c r="F3247" s="607" t="s">
        <v>436</v>
      </c>
      <c r="G3247" s="606" t="s">
        <v>2476</v>
      </c>
      <c r="H3247" s="608" t="s">
        <v>686</v>
      </c>
    </row>
    <row r="3248">
      <c r="A3248" s="546" t="s">
        <v>432</v>
      </c>
      <c r="B3248" s="512" t="s">
        <v>449</v>
      </c>
      <c r="C3248" s="605">
        <v>46014.0</v>
      </c>
      <c r="D3248" s="512">
        <v>4.6333151392E10</v>
      </c>
      <c r="E3248" s="606" t="s">
        <v>5919</v>
      </c>
      <c r="F3248" s="607" t="s">
        <v>436</v>
      </c>
      <c r="G3248" s="606" t="s">
        <v>2476</v>
      </c>
      <c r="H3248" s="608" t="s">
        <v>686</v>
      </c>
    </row>
    <row r="3249">
      <c r="A3249" s="546" t="s">
        <v>432</v>
      </c>
      <c r="B3249" s="512" t="s">
        <v>449</v>
      </c>
      <c r="C3249" s="605">
        <v>46014.0</v>
      </c>
      <c r="D3249" s="512">
        <v>4.6259568525E10</v>
      </c>
      <c r="E3249" s="606" t="s">
        <v>5920</v>
      </c>
      <c r="F3249" s="607" t="s">
        <v>436</v>
      </c>
      <c r="G3249" s="606" t="s">
        <v>2181</v>
      </c>
      <c r="H3249" s="608" t="s">
        <v>686</v>
      </c>
    </row>
    <row r="3250">
      <c r="A3250" s="546" t="s">
        <v>617</v>
      </c>
      <c r="B3250" s="512" t="s">
        <v>449</v>
      </c>
      <c r="C3250" s="605">
        <v>46014.0</v>
      </c>
      <c r="D3250" s="512">
        <v>4.4417695536E10</v>
      </c>
      <c r="E3250" s="606" t="s">
        <v>4974</v>
      </c>
      <c r="F3250" s="607" t="s">
        <v>436</v>
      </c>
      <c r="G3250" s="606" t="s">
        <v>5921</v>
      </c>
      <c r="H3250" s="608" t="s">
        <v>696</v>
      </c>
    </row>
    <row r="3251">
      <c r="A3251" s="546" t="s">
        <v>617</v>
      </c>
      <c r="B3251" s="512" t="s">
        <v>449</v>
      </c>
      <c r="C3251" s="605">
        <v>46014.0</v>
      </c>
      <c r="D3251" s="512">
        <v>4.1098982596E10</v>
      </c>
      <c r="E3251" s="606" t="s">
        <v>5922</v>
      </c>
      <c r="F3251" s="607" t="s">
        <v>436</v>
      </c>
      <c r="G3251" s="606" t="s">
        <v>5923</v>
      </c>
      <c r="H3251" s="608" t="s">
        <v>696</v>
      </c>
    </row>
    <row r="3252">
      <c r="A3252" s="546" t="s">
        <v>432</v>
      </c>
      <c r="B3252" s="512" t="s">
        <v>449</v>
      </c>
      <c r="C3252" s="605">
        <v>46014.0</v>
      </c>
      <c r="D3252" s="512">
        <v>4.6156360455E10</v>
      </c>
      <c r="E3252" s="606" t="s">
        <v>5924</v>
      </c>
      <c r="F3252" s="607" t="s">
        <v>436</v>
      </c>
      <c r="G3252" s="606" t="s">
        <v>2311</v>
      </c>
      <c r="H3252" s="608" t="s">
        <v>686</v>
      </c>
    </row>
    <row r="3253">
      <c r="A3253" s="546" t="s">
        <v>432</v>
      </c>
      <c r="B3253" s="512" t="s">
        <v>433</v>
      </c>
      <c r="C3253" s="605">
        <v>46014.0</v>
      </c>
      <c r="D3253" s="512">
        <v>4.6052588158E10</v>
      </c>
      <c r="E3253" s="606" t="s">
        <v>5925</v>
      </c>
      <c r="F3253" s="607" t="s">
        <v>436</v>
      </c>
      <c r="G3253" s="606" t="s">
        <v>5926</v>
      </c>
      <c r="H3253" s="608" t="s">
        <v>686</v>
      </c>
    </row>
    <row r="3254">
      <c r="A3254" s="546" t="s">
        <v>432</v>
      </c>
      <c r="B3254" s="512" t="s">
        <v>449</v>
      </c>
      <c r="C3254" s="605">
        <v>46014.0</v>
      </c>
      <c r="D3254" s="512">
        <v>4.2571107864E10</v>
      </c>
      <c r="E3254" s="606" t="s">
        <v>5927</v>
      </c>
      <c r="F3254" s="607" t="s">
        <v>436</v>
      </c>
      <c r="G3254" s="606" t="s">
        <v>5928</v>
      </c>
      <c r="H3254" s="608" t="s">
        <v>686</v>
      </c>
    </row>
    <row r="3255">
      <c r="A3255" s="546" t="s">
        <v>617</v>
      </c>
      <c r="B3255" s="512" t="s">
        <v>449</v>
      </c>
      <c r="C3255" s="605">
        <v>46015.0</v>
      </c>
      <c r="D3255" s="512">
        <v>4.2592839272E10</v>
      </c>
      <c r="E3255" s="606" t="s">
        <v>5320</v>
      </c>
      <c r="F3255" s="607" t="s">
        <v>436</v>
      </c>
      <c r="G3255" s="606" t="s">
        <v>1166</v>
      </c>
      <c r="H3255" s="608" t="s">
        <v>696</v>
      </c>
    </row>
    <row r="3256">
      <c r="A3256" s="546" t="s">
        <v>617</v>
      </c>
      <c r="B3256" s="512" t="s">
        <v>449</v>
      </c>
      <c r="C3256" s="605">
        <v>46015.0</v>
      </c>
      <c r="D3256" s="512">
        <v>4.3249807111E10</v>
      </c>
      <c r="E3256" s="606" t="s">
        <v>5929</v>
      </c>
      <c r="F3256" s="607" t="s">
        <v>436</v>
      </c>
      <c r="G3256" s="606" t="s">
        <v>3497</v>
      </c>
      <c r="H3256" s="608" t="s">
        <v>696</v>
      </c>
    </row>
    <row r="3257">
      <c r="A3257" s="546" t="s">
        <v>439</v>
      </c>
      <c r="B3257" s="512" t="s">
        <v>433</v>
      </c>
      <c r="C3257" s="605">
        <v>46015.0</v>
      </c>
      <c r="D3257" s="512">
        <v>4.473656986E10</v>
      </c>
      <c r="E3257" s="606" t="s">
        <v>5930</v>
      </c>
      <c r="F3257" s="607" t="s">
        <v>436</v>
      </c>
      <c r="G3257" s="606" t="s">
        <v>5931</v>
      </c>
      <c r="H3257" s="608" t="s">
        <v>4078</v>
      </c>
    </row>
    <row r="3258">
      <c r="A3258" s="546" t="s">
        <v>439</v>
      </c>
      <c r="B3258" s="512" t="s">
        <v>449</v>
      </c>
      <c r="C3258" s="605">
        <v>46015.0</v>
      </c>
      <c r="D3258" s="512">
        <v>4.1145096304E10</v>
      </c>
      <c r="E3258" s="606" t="s">
        <v>5932</v>
      </c>
      <c r="F3258" s="607" t="s">
        <v>436</v>
      </c>
      <c r="G3258" s="606" t="s">
        <v>627</v>
      </c>
      <c r="H3258" s="608" t="s">
        <v>4078</v>
      </c>
    </row>
    <row r="3259">
      <c r="A3259" s="546" t="s">
        <v>823</v>
      </c>
      <c r="B3259" s="512" t="s">
        <v>449</v>
      </c>
      <c r="C3259" s="605">
        <v>46015.0</v>
      </c>
      <c r="D3259" s="512">
        <v>3.2586089496E10</v>
      </c>
      <c r="E3259" s="606" t="s">
        <v>5933</v>
      </c>
      <c r="F3259" s="607" t="s">
        <v>436</v>
      </c>
      <c r="G3259" s="606" t="s">
        <v>5934</v>
      </c>
      <c r="H3259" s="608" t="s">
        <v>4558</v>
      </c>
    </row>
    <row r="3260">
      <c r="A3260" s="546" t="s">
        <v>439</v>
      </c>
      <c r="B3260" s="512" t="s">
        <v>449</v>
      </c>
      <c r="C3260" s="605">
        <v>46015.0</v>
      </c>
      <c r="D3260" s="512">
        <v>3.9922777129E10</v>
      </c>
      <c r="E3260" s="606" t="s">
        <v>4314</v>
      </c>
      <c r="F3260" s="607" t="s">
        <v>436</v>
      </c>
      <c r="G3260" s="606" t="s">
        <v>3609</v>
      </c>
      <c r="H3260" s="608" t="s">
        <v>4078</v>
      </c>
    </row>
    <row r="3261">
      <c r="A3261" s="546" t="s">
        <v>432</v>
      </c>
      <c r="B3261" s="512" t="s">
        <v>449</v>
      </c>
      <c r="C3261" s="605">
        <v>46015.0</v>
      </c>
      <c r="D3261" s="512">
        <v>4.3496409308E10</v>
      </c>
      <c r="E3261" s="606" t="s">
        <v>5935</v>
      </c>
      <c r="F3261" s="607" t="s">
        <v>436</v>
      </c>
      <c r="G3261" s="606" t="s">
        <v>4982</v>
      </c>
      <c r="H3261" s="608" t="s">
        <v>686</v>
      </c>
    </row>
    <row r="3262">
      <c r="A3262" s="546" t="s">
        <v>432</v>
      </c>
      <c r="B3262" s="512" t="s">
        <v>433</v>
      </c>
      <c r="C3262" s="605">
        <v>46015.0</v>
      </c>
      <c r="D3262" s="512">
        <v>4.643061046E10</v>
      </c>
      <c r="E3262" s="606" t="s">
        <v>5936</v>
      </c>
      <c r="F3262" s="607" t="s">
        <v>436</v>
      </c>
      <c r="G3262" s="606" t="s">
        <v>2185</v>
      </c>
      <c r="H3262" s="608" t="s">
        <v>686</v>
      </c>
    </row>
    <row r="3263">
      <c r="A3263" s="546" t="s">
        <v>432</v>
      </c>
      <c r="B3263" s="512" t="s">
        <v>449</v>
      </c>
      <c r="C3263" s="605">
        <v>46015.0</v>
      </c>
      <c r="D3263" s="512">
        <v>4.5975218912E10</v>
      </c>
      <c r="E3263" s="606" t="s">
        <v>5937</v>
      </c>
      <c r="F3263" s="607" t="s">
        <v>436</v>
      </c>
      <c r="G3263" s="606" t="s">
        <v>4785</v>
      </c>
      <c r="H3263" s="608" t="s">
        <v>686</v>
      </c>
    </row>
    <row r="3264">
      <c r="A3264" s="546" t="s">
        <v>432</v>
      </c>
      <c r="B3264" s="512" t="s">
        <v>433</v>
      </c>
      <c r="C3264" s="605">
        <v>46015.0</v>
      </c>
      <c r="D3264" s="512">
        <v>4.4360438955E10</v>
      </c>
      <c r="E3264" s="606" t="s">
        <v>5938</v>
      </c>
      <c r="F3264" s="607" t="s">
        <v>436</v>
      </c>
      <c r="G3264" s="606" t="s">
        <v>4827</v>
      </c>
      <c r="H3264" s="608" t="s">
        <v>686</v>
      </c>
    </row>
    <row r="3265">
      <c r="A3265" s="546" t="s">
        <v>432</v>
      </c>
      <c r="B3265" s="512" t="s">
        <v>449</v>
      </c>
      <c r="C3265" s="605">
        <v>46016.0</v>
      </c>
      <c r="D3265" s="512">
        <v>3.5518139846E10</v>
      </c>
      <c r="E3265" s="606" t="s">
        <v>5939</v>
      </c>
      <c r="F3265" s="607" t="s">
        <v>436</v>
      </c>
      <c r="G3265" s="606">
        <v>111.0</v>
      </c>
      <c r="H3265" s="608" t="s">
        <v>686</v>
      </c>
    </row>
    <row r="3266">
      <c r="A3266" s="546" t="s">
        <v>432</v>
      </c>
      <c r="B3266" s="512" t="s">
        <v>449</v>
      </c>
      <c r="C3266" s="605">
        <v>46016.0</v>
      </c>
      <c r="D3266" s="512">
        <v>3.5518139806E10</v>
      </c>
      <c r="E3266" s="606" t="s">
        <v>5939</v>
      </c>
      <c r="F3266" s="607" t="s">
        <v>436</v>
      </c>
      <c r="G3266" s="606">
        <v>111.0</v>
      </c>
      <c r="H3266" s="608" t="s">
        <v>686</v>
      </c>
    </row>
    <row r="3267">
      <c r="A3267" s="546" t="s">
        <v>432</v>
      </c>
      <c r="B3267" s="512" t="s">
        <v>449</v>
      </c>
      <c r="C3267" s="605">
        <v>46016.0</v>
      </c>
      <c r="D3267" s="512">
        <v>2.860184601E10</v>
      </c>
      <c r="E3267" s="606" t="s">
        <v>5940</v>
      </c>
      <c r="F3267" s="607" t="s">
        <v>436</v>
      </c>
      <c r="G3267" s="606">
        <v>307.0</v>
      </c>
      <c r="H3267" s="608" t="s">
        <v>686</v>
      </c>
    </row>
    <row r="3268">
      <c r="A3268" s="546" t="s">
        <v>432</v>
      </c>
      <c r="B3268" s="512" t="s">
        <v>449</v>
      </c>
      <c r="C3268" s="605">
        <v>46016.0</v>
      </c>
      <c r="D3268" s="512">
        <v>4.5697749037E10</v>
      </c>
      <c r="E3268" s="606" t="s">
        <v>5941</v>
      </c>
      <c r="F3268" s="607" t="s">
        <v>436</v>
      </c>
      <c r="G3268" s="606">
        <v>330.0</v>
      </c>
      <c r="H3268" s="608" t="s">
        <v>686</v>
      </c>
    </row>
    <row r="3269">
      <c r="A3269" s="546" t="s">
        <v>432</v>
      </c>
      <c r="B3269" s="512" t="s">
        <v>449</v>
      </c>
      <c r="C3269" s="605">
        <v>46016.0</v>
      </c>
      <c r="D3269" s="512">
        <v>4.4612790869E10</v>
      </c>
      <c r="E3269" s="606" t="s">
        <v>5942</v>
      </c>
      <c r="F3269" s="607" t="s">
        <v>436</v>
      </c>
      <c r="G3269" s="606">
        <v>1434.0</v>
      </c>
      <c r="H3269" s="608" t="s">
        <v>686</v>
      </c>
    </row>
    <row r="3270">
      <c r="A3270" s="546" t="s">
        <v>432</v>
      </c>
      <c r="B3270" s="512" t="s">
        <v>449</v>
      </c>
      <c r="C3270" s="605">
        <v>46016.0</v>
      </c>
      <c r="D3270" s="512">
        <v>4.442919349E10</v>
      </c>
      <c r="E3270" s="606" t="s">
        <v>5943</v>
      </c>
      <c r="F3270" s="607" t="s">
        <v>436</v>
      </c>
      <c r="G3270" s="606">
        <v>2160.0</v>
      </c>
      <c r="H3270" s="608" t="s">
        <v>686</v>
      </c>
    </row>
    <row r="3271">
      <c r="A3271" s="546" t="s">
        <v>432</v>
      </c>
      <c r="B3271" s="512" t="s">
        <v>449</v>
      </c>
      <c r="C3271" s="605">
        <v>46016.0</v>
      </c>
      <c r="D3271" s="512">
        <v>4.432491559E10</v>
      </c>
      <c r="E3271" s="606" t="s">
        <v>5944</v>
      </c>
      <c r="F3271" s="607" t="s">
        <v>436</v>
      </c>
      <c r="G3271" s="606">
        <v>2441.0</v>
      </c>
      <c r="H3271" s="608" t="s">
        <v>686</v>
      </c>
    </row>
    <row r="3272">
      <c r="A3272" s="546" t="s">
        <v>432</v>
      </c>
      <c r="B3272" s="512" t="s">
        <v>449</v>
      </c>
      <c r="C3272" s="605">
        <v>46016.0</v>
      </c>
      <c r="D3272" s="512">
        <v>4.2820318341E10</v>
      </c>
      <c r="E3272" s="606" t="s">
        <v>5945</v>
      </c>
      <c r="F3272" s="607" t="s">
        <v>436</v>
      </c>
      <c r="G3272" s="606">
        <v>2540.0</v>
      </c>
      <c r="H3272" s="608" t="s">
        <v>686</v>
      </c>
    </row>
    <row r="3273">
      <c r="A3273" s="546" t="s">
        <v>432</v>
      </c>
      <c r="B3273" s="512" t="s">
        <v>433</v>
      </c>
      <c r="C3273" s="605">
        <v>46016.0</v>
      </c>
      <c r="D3273" s="512">
        <v>4.4420018454E10</v>
      </c>
      <c r="E3273" s="606" t="s">
        <v>5946</v>
      </c>
      <c r="F3273" s="607" t="s">
        <v>436</v>
      </c>
      <c r="G3273" s="606">
        <v>4035.0</v>
      </c>
      <c r="H3273" s="608" t="s">
        <v>686</v>
      </c>
    </row>
    <row r="3274">
      <c r="A3274" s="546" t="s">
        <v>432</v>
      </c>
      <c r="B3274" s="512" t="s">
        <v>433</v>
      </c>
      <c r="C3274" s="605">
        <v>46016.0</v>
      </c>
      <c r="D3274" s="512">
        <v>4.5640237043E10</v>
      </c>
      <c r="E3274" s="606" t="s">
        <v>5947</v>
      </c>
      <c r="F3274" s="607" t="s">
        <v>436</v>
      </c>
      <c r="G3274" s="606">
        <v>11331.0</v>
      </c>
      <c r="H3274" s="608" t="s">
        <v>686</v>
      </c>
    </row>
    <row r="3275">
      <c r="A3275" s="546" t="s">
        <v>432</v>
      </c>
      <c r="B3275" s="512" t="s">
        <v>4201</v>
      </c>
      <c r="C3275" s="605">
        <v>46016.0</v>
      </c>
      <c r="D3275" s="512">
        <v>4.4369899108E10</v>
      </c>
      <c r="E3275" s="606" t="s">
        <v>5948</v>
      </c>
      <c r="F3275" s="607" t="s">
        <v>436</v>
      </c>
      <c r="G3275" s="606" t="s">
        <v>5434</v>
      </c>
      <c r="H3275" s="608" t="s">
        <v>686</v>
      </c>
    </row>
    <row r="3276">
      <c r="A3276" s="546" t="s">
        <v>439</v>
      </c>
      <c r="B3276" s="512" t="s">
        <v>5722</v>
      </c>
      <c r="C3276" s="605">
        <v>46016.0</v>
      </c>
      <c r="D3276" s="512">
        <v>3.4198016457E10</v>
      </c>
      <c r="E3276" s="606" t="s">
        <v>4857</v>
      </c>
      <c r="F3276" s="607" t="s">
        <v>436</v>
      </c>
      <c r="G3276" s="606" t="s">
        <v>2255</v>
      </c>
      <c r="H3276" s="608" t="s">
        <v>4078</v>
      </c>
    </row>
    <row r="3277">
      <c r="A3277" s="546" t="s">
        <v>439</v>
      </c>
      <c r="B3277" s="512" t="s">
        <v>433</v>
      </c>
      <c r="C3277" s="605">
        <v>46016.0</v>
      </c>
      <c r="D3277" s="512">
        <v>4.3619601717E10</v>
      </c>
      <c r="E3277" s="606" t="s">
        <v>5949</v>
      </c>
      <c r="F3277" s="607" t="s">
        <v>436</v>
      </c>
      <c r="G3277" s="606" t="s">
        <v>915</v>
      </c>
      <c r="H3277" s="608" t="s">
        <v>4078</v>
      </c>
    </row>
    <row r="3278">
      <c r="A3278" s="546" t="s">
        <v>432</v>
      </c>
      <c r="B3278" s="512" t="s">
        <v>449</v>
      </c>
      <c r="C3278" s="605">
        <v>46016.0</v>
      </c>
      <c r="D3278" s="512">
        <v>4.2573083264E10</v>
      </c>
      <c r="E3278" s="606" t="s">
        <v>5950</v>
      </c>
      <c r="F3278" s="607" t="s">
        <v>436</v>
      </c>
      <c r="G3278" s="606" t="s">
        <v>5951</v>
      </c>
      <c r="H3278" s="608" t="s">
        <v>686</v>
      </c>
    </row>
    <row r="3279">
      <c r="A3279" s="546" t="s">
        <v>439</v>
      </c>
      <c r="B3279" s="512" t="s">
        <v>449</v>
      </c>
      <c r="C3279" s="605">
        <v>46016.0</v>
      </c>
      <c r="D3279" s="512">
        <v>4.3237818605E10</v>
      </c>
      <c r="E3279" s="606" t="s">
        <v>5952</v>
      </c>
      <c r="F3279" s="607" t="s">
        <v>436</v>
      </c>
      <c r="G3279" s="606" t="s">
        <v>5953</v>
      </c>
      <c r="H3279" s="608" t="s">
        <v>4078</v>
      </c>
    </row>
    <row r="3280">
      <c r="A3280" s="546" t="s">
        <v>617</v>
      </c>
      <c r="B3280" s="512" t="s">
        <v>449</v>
      </c>
      <c r="C3280" s="605">
        <v>46016.0</v>
      </c>
      <c r="D3280" s="512">
        <v>4.6048379619E10</v>
      </c>
      <c r="E3280" s="606" t="s">
        <v>5109</v>
      </c>
      <c r="F3280" s="607" t="s">
        <v>436</v>
      </c>
      <c r="G3280" s="606" t="s">
        <v>3157</v>
      </c>
      <c r="H3280" s="608" t="s">
        <v>5817</v>
      </c>
    </row>
    <row r="3281">
      <c r="A3281" s="546" t="s">
        <v>432</v>
      </c>
      <c r="B3281" s="512" t="s">
        <v>433</v>
      </c>
      <c r="C3281" s="605">
        <v>46017.0</v>
      </c>
      <c r="D3281" s="512">
        <v>4.0842104705E10</v>
      </c>
      <c r="E3281" s="606" t="s">
        <v>5858</v>
      </c>
      <c r="F3281" s="607" t="s">
        <v>436</v>
      </c>
      <c r="G3281" s="606" t="s">
        <v>5954</v>
      </c>
      <c r="H3281" s="608" t="s">
        <v>5817</v>
      </c>
    </row>
    <row r="3282">
      <c r="A3282" s="546" t="s">
        <v>617</v>
      </c>
      <c r="B3282" s="512" t="s">
        <v>449</v>
      </c>
      <c r="C3282" s="605">
        <v>46017.0</v>
      </c>
      <c r="D3282" s="512">
        <v>4.638195599E10</v>
      </c>
      <c r="E3282" s="606" t="s">
        <v>4165</v>
      </c>
      <c r="F3282" s="607" t="s">
        <v>436</v>
      </c>
      <c r="G3282" s="606" t="s">
        <v>5955</v>
      </c>
      <c r="H3282" s="608" t="s">
        <v>693</v>
      </c>
    </row>
    <row r="3283">
      <c r="A3283" s="546" t="s">
        <v>823</v>
      </c>
      <c r="B3283" s="512" t="s">
        <v>449</v>
      </c>
      <c r="C3283" s="605">
        <v>46017.0</v>
      </c>
      <c r="D3283" s="512">
        <v>3.5620657241E10</v>
      </c>
      <c r="E3283" s="606" t="s">
        <v>5430</v>
      </c>
      <c r="F3283" s="607" t="s">
        <v>436</v>
      </c>
      <c r="G3283" s="606" t="s">
        <v>5956</v>
      </c>
      <c r="H3283" s="608" t="s">
        <v>1647</v>
      </c>
    </row>
    <row r="3284">
      <c r="A3284" s="546" t="s">
        <v>432</v>
      </c>
      <c r="B3284" s="512" t="s">
        <v>433</v>
      </c>
      <c r="C3284" s="605">
        <v>46017.0</v>
      </c>
      <c r="D3284" s="512">
        <v>3.2295607095E10</v>
      </c>
      <c r="E3284" s="606" t="s">
        <v>5759</v>
      </c>
      <c r="F3284" s="607" t="s">
        <v>436</v>
      </c>
      <c r="G3284" s="606" t="s">
        <v>5957</v>
      </c>
      <c r="H3284" s="608" t="s">
        <v>5817</v>
      </c>
    </row>
    <row r="3285">
      <c r="A3285" s="546" t="s">
        <v>432</v>
      </c>
      <c r="B3285" s="512" t="s">
        <v>449</v>
      </c>
      <c r="C3285" s="605">
        <v>46017.0</v>
      </c>
      <c r="D3285" s="512">
        <v>4.6491052507E10</v>
      </c>
      <c r="E3285" s="606" t="s">
        <v>4165</v>
      </c>
      <c r="F3285" s="607" t="s">
        <v>436</v>
      </c>
      <c r="G3285" s="606" t="s">
        <v>1969</v>
      </c>
      <c r="H3285" s="608" t="s">
        <v>5817</v>
      </c>
    </row>
    <row r="3286">
      <c r="A3286" s="546" t="s">
        <v>432</v>
      </c>
      <c r="B3286" s="512" t="s">
        <v>433</v>
      </c>
      <c r="C3286" s="605">
        <v>46017.0</v>
      </c>
      <c r="D3286" s="512">
        <v>3.603893678E10</v>
      </c>
      <c r="E3286" s="606" t="s">
        <v>5958</v>
      </c>
      <c r="F3286" s="607" t="s">
        <v>436</v>
      </c>
      <c r="G3286" s="606" t="s">
        <v>5959</v>
      </c>
      <c r="H3286" s="608" t="s">
        <v>5817</v>
      </c>
    </row>
    <row r="3287">
      <c r="A3287" s="546" t="s">
        <v>617</v>
      </c>
      <c r="B3287" s="512" t="s">
        <v>449</v>
      </c>
      <c r="C3287" s="605">
        <v>46017.0</v>
      </c>
      <c r="D3287" s="512">
        <v>2.839272392E10</v>
      </c>
      <c r="E3287" s="606" t="s">
        <v>5960</v>
      </c>
      <c r="F3287" s="607" t="s">
        <v>436</v>
      </c>
      <c r="G3287" s="606" t="s">
        <v>1938</v>
      </c>
      <c r="H3287" s="608" t="s">
        <v>693</v>
      </c>
    </row>
    <row r="3288">
      <c r="A3288" s="546" t="s">
        <v>617</v>
      </c>
      <c r="B3288" s="512" t="s">
        <v>449</v>
      </c>
      <c r="C3288" s="605">
        <v>46017.0</v>
      </c>
      <c r="D3288" s="512">
        <v>4.6533642423E10</v>
      </c>
      <c r="E3288" s="606" t="s">
        <v>4866</v>
      </c>
      <c r="F3288" s="607" t="s">
        <v>436</v>
      </c>
      <c r="G3288" s="606" t="s">
        <v>5961</v>
      </c>
      <c r="H3288" s="608" t="s">
        <v>693</v>
      </c>
    </row>
    <row r="3289">
      <c r="A3289" s="546" t="s">
        <v>432</v>
      </c>
      <c r="B3289" s="512" t="s">
        <v>433</v>
      </c>
      <c r="C3289" s="605">
        <v>46017.0</v>
      </c>
      <c r="D3289" s="512">
        <v>4.3448504361E10</v>
      </c>
      <c r="E3289" s="606" t="s">
        <v>5874</v>
      </c>
      <c r="F3289" s="607" t="s">
        <v>436</v>
      </c>
      <c r="G3289" s="606" t="s">
        <v>1825</v>
      </c>
      <c r="H3289" s="608" t="s">
        <v>5817</v>
      </c>
    </row>
    <row r="3290">
      <c r="A3290" s="546" t="s">
        <v>823</v>
      </c>
      <c r="B3290" s="512" t="s">
        <v>449</v>
      </c>
      <c r="C3290" s="605">
        <v>46017.0</v>
      </c>
      <c r="D3290" s="512">
        <v>4.6487218403E10</v>
      </c>
      <c r="E3290" s="606" t="s">
        <v>5962</v>
      </c>
      <c r="F3290" s="607" t="s">
        <v>436</v>
      </c>
      <c r="G3290" s="606" t="s">
        <v>5963</v>
      </c>
      <c r="H3290" s="608" t="s">
        <v>1647</v>
      </c>
    </row>
    <row r="3291">
      <c r="A3291" s="546" t="s">
        <v>823</v>
      </c>
      <c r="B3291" s="512" t="s">
        <v>449</v>
      </c>
      <c r="C3291" s="605">
        <v>46017.0</v>
      </c>
      <c r="D3291" s="512">
        <v>4.2443341479E10</v>
      </c>
      <c r="E3291" s="606" t="s">
        <v>5964</v>
      </c>
      <c r="F3291" s="607" t="s">
        <v>436</v>
      </c>
      <c r="G3291" s="606" t="s">
        <v>5243</v>
      </c>
      <c r="H3291" s="608" t="s">
        <v>1647</v>
      </c>
    </row>
    <row r="3292">
      <c r="A3292" s="546" t="s">
        <v>432</v>
      </c>
      <c r="B3292" s="512" t="s">
        <v>433</v>
      </c>
      <c r="C3292" s="605">
        <v>46017.0</v>
      </c>
      <c r="D3292" s="512">
        <v>4.5876404071E10</v>
      </c>
      <c r="E3292" s="606" t="s">
        <v>4165</v>
      </c>
      <c r="F3292" s="607" t="s">
        <v>436</v>
      </c>
      <c r="G3292" s="606" t="s">
        <v>5965</v>
      </c>
      <c r="H3292" s="608" t="s">
        <v>5817</v>
      </c>
    </row>
    <row r="3293">
      <c r="A3293" s="546" t="s">
        <v>823</v>
      </c>
      <c r="B3293" s="512" t="s">
        <v>449</v>
      </c>
      <c r="C3293" s="605">
        <v>46017.0</v>
      </c>
      <c r="D3293" s="512">
        <v>4.0325690767E10</v>
      </c>
      <c r="E3293" s="606" t="s">
        <v>5966</v>
      </c>
      <c r="F3293" s="607" t="s">
        <v>436</v>
      </c>
      <c r="G3293" s="606" t="s">
        <v>5967</v>
      </c>
      <c r="H3293" s="608" t="s">
        <v>1647</v>
      </c>
    </row>
    <row r="3294">
      <c r="A3294" s="546" t="s">
        <v>432</v>
      </c>
      <c r="B3294" s="512" t="s">
        <v>433</v>
      </c>
      <c r="C3294" s="605">
        <v>46017.0</v>
      </c>
      <c r="D3294" s="512">
        <v>4.1669029552E10</v>
      </c>
      <c r="E3294" s="606" t="s">
        <v>4165</v>
      </c>
      <c r="F3294" s="607" t="s">
        <v>436</v>
      </c>
      <c r="G3294" s="606" t="s">
        <v>5968</v>
      </c>
      <c r="H3294" s="608" t="s">
        <v>5817</v>
      </c>
    </row>
    <row r="3295">
      <c r="A3295" s="546" t="s">
        <v>432</v>
      </c>
      <c r="B3295" s="512" t="s">
        <v>433</v>
      </c>
      <c r="C3295" s="605">
        <v>46017.0</v>
      </c>
      <c r="D3295" s="512">
        <v>4.3344603837E10</v>
      </c>
      <c r="E3295" s="606" t="s">
        <v>5759</v>
      </c>
      <c r="F3295" s="607" t="s">
        <v>436</v>
      </c>
      <c r="G3295" s="606" t="s">
        <v>5423</v>
      </c>
      <c r="H3295" s="608" t="s">
        <v>5817</v>
      </c>
    </row>
    <row r="3296">
      <c r="A3296" s="546" t="s">
        <v>432</v>
      </c>
      <c r="B3296" s="512" t="s">
        <v>449</v>
      </c>
      <c r="C3296" s="605">
        <v>46017.0</v>
      </c>
      <c r="D3296" s="512">
        <v>4.0913007493E10</v>
      </c>
      <c r="E3296" s="606" t="s">
        <v>5969</v>
      </c>
      <c r="F3296" s="607" t="s">
        <v>436</v>
      </c>
      <c r="G3296" s="606" t="s">
        <v>5970</v>
      </c>
      <c r="H3296" s="608" t="s">
        <v>5817</v>
      </c>
    </row>
    <row r="3297">
      <c r="A3297" s="546" t="s">
        <v>432</v>
      </c>
      <c r="B3297" s="512" t="s">
        <v>433</v>
      </c>
      <c r="C3297" s="605">
        <v>46017.0</v>
      </c>
      <c r="D3297" s="512">
        <v>4.6317281057E10</v>
      </c>
      <c r="E3297" s="606" t="s">
        <v>5960</v>
      </c>
      <c r="F3297" s="607" t="s">
        <v>436</v>
      </c>
      <c r="G3297" s="606" t="s">
        <v>2984</v>
      </c>
      <c r="H3297" s="608" t="s">
        <v>5817</v>
      </c>
    </row>
    <row r="3298">
      <c r="A3298" s="546" t="s">
        <v>432</v>
      </c>
      <c r="B3298" s="512" t="s">
        <v>433</v>
      </c>
      <c r="C3298" s="605">
        <v>46017.0</v>
      </c>
      <c r="D3298" s="512">
        <v>4.6301360835E10</v>
      </c>
      <c r="E3298" s="606" t="s">
        <v>4314</v>
      </c>
      <c r="F3298" s="607" t="s">
        <v>436</v>
      </c>
      <c r="G3298" s="606" t="s">
        <v>5971</v>
      </c>
      <c r="H3298" s="608" t="s">
        <v>5817</v>
      </c>
    </row>
    <row r="3299">
      <c r="A3299" s="546" t="s">
        <v>432</v>
      </c>
      <c r="B3299" s="512" t="s">
        <v>449</v>
      </c>
      <c r="C3299" s="605">
        <v>46017.0</v>
      </c>
      <c r="D3299" s="512">
        <v>4.0807967431E10</v>
      </c>
      <c r="E3299" s="606" t="s">
        <v>4165</v>
      </c>
      <c r="F3299" s="607" t="s">
        <v>436</v>
      </c>
      <c r="G3299" s="606" t="s">
        <v>2307</v>
      </c>
      <c r="H3299" s="608" t="s">
        <v>5817</v>
      </c>
    </row>
    <row r="3300">
      <c r="A3300" s="546" t="s">
        <v>432</v>
      </c>
      <c r="B3300" s="512" t="s">
        <v>449</v>
      </c>
      <c r="C3300" s="605">
        <v>46017.0</v>
      </c>
      <c r="D3300" s="512">
        <v>4.6429487506E10</v>
      </c>
      <c r="E3300" s="606" t="s">
        <v>5469</v>
      </c>
      <c r="F3300" s="607" t="s">
        <v>436</v>
      </c>
      <c r="G3300" s="606" t="s">
        <v>1295</v>
      </c>
      <c r="H3300" s="608" t="s">
        <v>5817</v>
      </c>
    </row>
    <row r="3301">
      <c r="A3301" s="546" t="s">
        <v>432</v>
      </c>
      <c r="B3301" s="512" t="s">
        <v>449</v>
      </c>
      <c r="C3301" s="605">
        <v>46017.0</v>
      </c>
      <c r="D3301" s="512">
        <v>4.2968502228E10</v>
      </c>
      <c r="E3301" s="606" t="s">
        <v>4165</v>
      </c>
      <c r="F3301" s="607" t="s">
        <v>436</v>
      </c>
      <c r="G3301" s="606"/>
      <c r="H3301" s="608" t="s">
        <v>5817</v>
      </c>
    </row>
    <row r="3302">
      <c r="A3302" s="546" t="s">
        <v>432</v>
      </c>
      <c r="B3302" s="512" t="s">
        <v>449</v>
      </c>
      <c r="C3302" s="605">
        <v>46018.0</v>
      </c>
      <c r="D3302" s="512">
        <v>3.9409506697E10</v>
      </c>
      <c r="E3302" s="606" t="s">
        <v>5972</v>
      </c>
      <c r="F3302" s="607" t="s">
        <v>436</v>
      </c>
      <c r="G3302" s="606">
        <v>303.0</v>
      </c>
      <c r="H3302" s="608" t="s">
        <v>686</v>
      </c>
    </row>
    <row r="3303">
      <c r="A3303" s="546" t="s">
        <v>432</v>
      </c>
      <c r="B3303" s="512" t="s">
        <v>449</v>
      </c>
      <c r="C3303" s="605">
        <v>46018.0</v>
      </c>
      <c r="D3303" s="512">
        <v>3.8900819143E10</v>
      </c>
      <c r="E3303" s="606" t="s">
        <v>5973</v>
      </c>
      <c r="F3303" s="607" t="s">
        <v>436</v>
      </c>
      <c r="G3303" s="606">
        <v>435.0</v>
      </c>
      <c r="H3303" s="608" t="s">
        <v>686</v>
      </c>
    </row>
    <row r="3304">
      <c r="A3304" s="546" t="s">
        <v>432</v>
      </c>
      <c r="B3304" s="512" t="s">
        <v>433</v>
      </c>
      <c r="C3304" s="605">
        <v>46018.0</v>
      </c>
      <c r="D3304" s="512">
        <v>4.2350029789E10</v>
      </c>
      <c r="E3304" s="606" t="s">
        <v>5974</v>
      </c>
      <c r="F3304" s="607" t="s">
        <v>436</v>
      </c>
      <c r="G3304" s="606">
        <v>2271.0</v>
      </c>
      <c r="H3304" s="608" t="s">
        <v>686</v>
      </c>
    </row>
    <row r="3305">
      <c r="A3305" s="546" t="s">
        <v>432</v>
      </c>
      <c r="B3305" s="512" t="s">
        <v>449</v>
      </c>
      <c r="C3305" s="605">
        <v>46018.0</v>
      </c>
      <c r="D3305" s="512">
        <v>4.434856207E10</v>
      </c>
      <c r="E3305" s="606" t="s">
        <v>5975</v>
      </c>
      <c r="F3305" s="607" t="s">
        <v>436</v>
      </c>
      <c r="G3305" s="606">
        <v>2898.0</v>
      </c>
      <c r="H3305" s="608" t="s">
        <v>686</v>
      </c>
    </row>
    <row r="3306">
      <c r="A3306" s="546" t="s">
        <v>432</v>
      </c>
      <c r="B3306" s="512" t="s">
        <v>433</v>
      </c>
      <c r="C3306" s="605">
        <v>46018.0</v>
      </c>
      <c r="D3306" s="512">
        <v>4.3690580548E10</v>
      </c>
      <c r="E3306" s="606" t="s">
        <v>5976</v>
      </c>
      <c r="F3306" s="607" t="s">
        <v>436</v>
      </c>
      <c r="G3306" s="606">
        <v>3056.0</v>
      </c>
      <c r="H3306" s="608" t="s">
        <v>686</v>
      </c>
    </row>
    <row r="3307">
      <c r="A3307" s="546" t="s">
        <v>823</v>
      </c>
      <c r="B3307" s="512" t="s">
        <v>433</v>
      </c>
      <c r="C3307" s="605">
        <v>46018.0</v>
      </c>
      <c r="D3307" s="512">
        <v>4.3113842736E10</v>
      </c>
      <c r="E3307" s="606" t="s">
        <v>4310</v>
      </c>
      <c r="F3307" s="607" t="s">
        <v>436</v>
      </c>
      <c r="G3307" s="606" t="s">
        <v>5977</v>
      </c>
      <c r="H3307" s="608" t="s">
        <v>4558</v>
      </c>
    </row>
    <row r="3308">
      <c r="A3308" s="546" t="s">
        <v>823</v>
      </c>
      <c r="B3308" s="512" t="s">
        <v>433</v>
      </c>
      <c r="C3308" s="605">
        <v>46018.0</v>
      </c>
      <c r="D3308" s="512">
        <v>4.0524901919E10</v>
      </c>
      <c r="E3308" s="606" t="s">
        <v>5978</v>
      </c>
      <c r="F3308" s="607" t="s">
        <v>436</v>
      </c>
      <c r="G3308" s="606" t="s">
        <v>2961</v>
      </c>
      <c r="H3308" s="608" t="s">
        <v>4558</v>
      </c>
    </row>
    <row r="3309">
      <c r="A3309" s="546" t="s">
        <v>432</v>
      </c>
      <c r="B3309" s="512" t="s">
        <v>433</v>
      </c>
      <c r="C3309" s="605">
        <v>46018.0</v>
      </c>
      <c r="D3309" s="512">
        <v>3.197370808E10</v>
      </c>
      <c r="E3309" s="606" t="s">
        <v>5979</v>
      </c>
      <c r="F3309" s="607" t="s">
        <v>436</v>
      </c>
      <c r="G3309" s="606" t="s">
        <v>4925</v>
      </c>
      <c r="H3309" s="608" t="s">
        <v>686</v>
      </c>
    </row>
    <row r="3310">
      <c r="A3310" s="546" t="s">
        <v>617</v>
      </c>
      <c r="B3310" s="512" t="s">
        <v>449</v>
      </c>
      <c r="C3310" s="605">
        <v>46018.0</v>
      </c>
      <c r="D3310" s="512">
        <v>3.6374532676E10</v>
      </c>
      <c r="E3310" s="606" t="s">
        <v>5980</v>
      </c>
      <c r="F3310" s="607" t="s">
        <v>436</v>
      </c>
      <c r="G3310" s="606" t="s">
        <v>5981</v>
      </c>
      <c r="H3310" s="608" t="s">
        <v>696</v>
      </c>
    </row>
    <row r="3311">
      <c r="A3311" s="546" t="s">
        <v>432</v>
      </c>
      <c r="B3311" s="512" t="s">
        <v>449</v>
      </c>
      <c r="C3311" s="605">
        <v>46018.0</v>
      </c>
      <c r="D3311" s="512">
        <v>3.822860839E10</v>
      </c>
      <c r="E3311" s="606" t="s">
        <v>5982</v>
      </c>
      <c r="F3311" s="607" t="s">
        <v>436</v>
      </c>
      <c r="G3311" s="606" t="s">
        <v>5983</v>
      </c>
      <c r="H3311" s="608" t="s">
        <v>686</v>
      </c>
    </row>
    <row r="3312">
      <c r="A3312" s="546" t="s">
        <v>823</v>
      </c>
      <c r="B3312" s="512" t="s">
        <v>449</v>
      </c>
      <c r="C3312" s="605">
        <v>46018.0</v>
      </c>
      <c r="D3312" s="512">
        <v>4.4856617324E10</v>
      </c>
      <c r="E3312" s="606" t="s">
        <v>5984</v>
      </c>
      <c r="F3312" s="607" t="s">
        <v>436</v>
      </c>
      <c r="G3312" s="606" t="s">
        <v>5985</v>
      </c>
      <c r="H3312" s="608" t="s">
        <v>4558</v>
      </c>
    </row>
    <row r="3313">
      <c r="A3313" s="546" t="s">
        <v>617</v>
      </c>
      <c r="B3313" s="512" t="s">
        <v>433</v>
      </c>
      <c r="C3313" s="605">
        <v>46018.0</v>
      </c>
      <c r="D3313" s="512">
        <v>4.4613606086E10</v>
      </c>
      <c r="E3313" s="606" t="s">
        <v>4314</v>
      </c>
      <c r="F3313" s="607" t="s">
        <v>436</v>
      </c>
      <c r="G3313" s="606" t="s">
        <v>3357</v>
      </c>
      <c r="H3313" s="608" t="s">
        <v>696</v>
      </c>
    </row>
    <row r="3314">
      <c r="A3314" s="546" t="s">
        <v>432</v>
      </c>
      <c r="B3314" s="512" t="s">
        <v>433</v>
      </c>
      <c r="C3314" s="605">
        <v>46018.0</v>
      </c>
      <c r="D3314" s="512">
        <v>4.3951859232E10</v>
      </c>
      <c r="E3314" s="606" t="s">
        <v>5986</v>
      </c>
      <c r="F3314" s="607" t="s">
        <v>436</v>
      </c>
      <c r="G3314" s="606" t="s">
        <v>5987</v>
      </c>
      <c r="H3314" s="608" t="s">
        <v>686</v>
      </c>
    </row>
    <row r="3315">
      <c r="A3315" s="546" t="s">
        <v>432</v>
      </c>
      <c r="B3315" s="512" t="s">
        <v>433</v>
      </c>
      <c r="C3315" s="605">
        <v>46018.0</v>
      </c>
      <c r="D3315" s="512">
        <v>4.4759238006E10</v>
      </c>
      <c r="E3315" s="606" t="s">
        <v>5988</v>
      </c>
      <c r="F3315" s="607" t="s">
        <v>436</v>
      </c>
      <c r="G3315" s="606" t="s">
        <v>5989</v>
      </c>
      <c r="H3315" s="608" t="s">
        <v>686</v>
      </c>
    </row>
    <row r="3316">
      <c r="A3316" s="546" t="s">
        <v>432</v>
      </c>
      <c r="B3316" s="512" t="s">
        <v>433</v>
      </c>
      <c r="C3316" s="605">
        <v>46018.0</v>
      </c>
      <c r="D3316" s="512">
        <v>4.3690580548E10</v>
      </c>
      <c r="E3316" s="606" t="s">
        <v>5990</v>
      </c>
      <c r="F3316" s="607" t="s">
        <v>436</v>
      </c>
      <c r="G3316" s="606" t="s">
        <v>3568</v>
      </c>
      <c r="H3316" s="608" t="s">
        <v>686</v>
      </c>
    </row>
    <row r="3317">
      <c r="A3317" s="546" t="s">
        <v>432</v>
      </c>
      <c r="B3317" s="512" t="s">
        <v>449</v>
      </c>
      <c r="C3317" s="605">
        <v>46018.0</v>
      </c>
      <c r="D3317" s="512">
        <v>4.6317157655E10</v>
      </c>
      <c r="E3317" s="606" t="s">
        <v>5991</v>
      </c>
      <c r="F3317" s="607" t="s">
        <v>436</v>
      </c>
      <c r="G3317" s="606" t="s">
        <v>1122</v>
      </c>
      <c r="H3317" s="608" t="s">
        <v>686</v>
      </c>
    </row>
    <row r="3318">
      <c r="A3318" s="546" t="s">
        <v>617</v>
      </c>
      <c r="B3318" s="512" t="s">
        <v>449</v>
      </c>
      <c r="C3318" s="605">
        <v>46018.0</v>
      </c>
      <c r="D3318" s="512">
        <v>3.2095994714E10</v>
      </c>
      <c r="E3318" s="606" t="s">
        <v>5992</v>
      </c>
      <c r="F3318" s="607" t="s">
        <v>436</v>
      </c>
      <c r="G3318" s="606" t="s">
        <v>5993</v>
      </c>
      <c r="H3318" s="608" t="s">
        <v>696</v>
      </c>
    </row>
    <row r="3319">
      <c r="A3319" s="546" t="s">
        <v>823</v>
      </c>
      <c r="B3319" s="512" t="s">
        <v>449</v>
      </c>
      <c r="C3319" s="605">
        <v>46018.0</v>
      </c>
      <c r="D3319" s="512">
        <v>4.6493330794E10</v>
      </c>
      <c r="E3319" s="606" t="s">
        <v>5994</v>
      </c>
      <c r="F3319" s="607" t="s">
        <v>436</v>
      </c>
      <c r="G3319" s="606" t="s">
        <v>2430</v>
      </c>
      <c r="H3319" s="608" t="s">
        <v>4558</v>
      </c>
    </row>
    <row r="3320">
      <c r="A3320" s="546" t="s">
        <v>823</v>
      </c>
      <c r="B3320" s="512" t="s">
        <v>449</v>
      </c>
      <c r="C3320" s="605">
        <v>46018.0</v>
      </c>
      <c r="D3320" s="512">
        <v>4.3081831428E10</v>
      </c>
      <c r="E3320" s="606" t="s">
        <v>5995</v>
      </c>
      <c r="F3320" s="607" t="s">
        <v>436</v>
      </c>
      <c r="G3320" s="606" t="s">
        <v>1128</v>
      </c>
      <c r="H3320" s="608" t="s">
        <v>4558</v>
      </c>
    </row>
    <row r="3321">
      <c r="A3321" s="546" t="s">
        <v>432</v>
      </c>
      <c r="B3321" s="512" t="s">
        <v>449</v>
      </c>
      <c r="C3321" s="605">
        <v>46018.0</v>
      </c>
      <c r="D3321" s="512">
        <v>4.3650192462E10</v>
      </c>
      <c r="E3321" s="606" t="s">
        <v>5996</v>
      </c>
      <c r="F3321" s="607" t="s">
        <v>436</v>
      </c>
      <c r="G3321" s="606" t="s">
        <v>836</v>
      </c>
      <c r="H3321" s="608" t="s">
        <v>686</v>
      </c>
    </row>
    <row r="3322">
      <c r="A3322" s="546" t="s">
        <v>823</v>
      </c>
      <c r="B3322" s="512" t="s">
        <v>449</v>
      </c>
      <c r="C3322" s="605">
        <v>46018.0</v>
      </c>
      <c r="D3322" s="512">
        <v>4.0907323627E10</v>
      </c>
      <c r="E3322" s="606" t="s">
        <v>5997</v>
      </c>
      <c r="F3322" s="607" t="s">
        <v>436</v>
      </c>
      <c r="G3322" s="606" t="s">
        <v>3510</v>
      </c>
      <c r="H3322" s="608" t="s">
        <v>4558</v>
      </c>
    </row>
    <row r="3323">
      <c r="A3323" s="546" t="s">
        <v>432</v>
      </c>
      <c r="B3323" s="512" t="s">
        <v>433</v>
      </c>
      <c r="C3323" s="605">
        <v>46018.0</v>
      </c>
      <c r="D3323" s="512">
        <v>3.6062122235E10</v>
      </c>
      <c r="E3323" s="606" t="s">
        <v>5998</v>
      </c>
      <c r="F3323" s="607" t="s">
        <v>436</v>
      </c>
      <c r="G3323" s="606" t="s">
        <v>3132</v>
      </c>
      <c r="H3323" s="608" t="s">
        <v>686</v>
      </c>
    </row>
    <row r="3324">
      <c r="A3324" s="546" t="s">
        <v>432</v>
      </c>
      <c r="B3324" s="512" t="s">
        <v>449</v>
      </c>
      <c r="C3324" s="605">
        <v>46018.0</v>
      </c>
      <c r="D3324" s="512">
        <v>4.6556373473E10</v>
      </c>
      <c r="E3324" s="606" t="s">
        <v>5999</v>
      </c>
      <c r="F3324" s="607" t="s">
        <v>436</v>
      </c>
      <c r="G3324" s="606" t="s">
        <v>1658</v>
      </c>
      <c r="H3324" s="608" t="s">
        <v>686</v>
      </c>
    </row>
    <row r="3325">
      <c r="A3325" s="546" t="s">
        <v>823</v>
      </c>
      <c r="B3325" s="512" t="s">
        <v>433</v>
      </c>
      <c r="C3325" s="605">
        <v>46018.0</v>
      </c>
      <c r="D3325" s="512">
        <v>4.210783764E10</v>
      </c>
      <c r="E3325" s="606" t="s">
        <v>5656</v>
      </c>
      <c r="F3325" s="607" t="s">
        <v>436</v>
      </c>
      <c r="G3325" s="606" t="s">
        <v>3443</v>
      </c>
      <c r="H3325" s="608" t="s">
        <v>4558</v>
      </c>
    </row>
    <row r="3326">
      <c r="A3326" s="546" t="s">
        <v>432</v>
      </c>
      <c r="B3326" s="512" t="s">
        <v>449</v>
      </c>
      <c r="C3326" s="605">
        <v>46018.0</v>
      </c>
      <c r="D3326" s="512">
        <v>4.0783683795E10</v>
      </c>
      <c r="E3326" s="606" t="s">
        <v>6000</v>
      </c>
      <c r="F3326" s="607" t="s">
        <v>436</v>
      </c>
      <c r="G3326" s="606" t="s">
        <v>3106</v>
      </c>
      <c r="H3326" s="608" t="s">
        <v>686</v>
      </c>
    </row>
    <row r="3327">
      <c r="A3327" s="546" t="s">
        <v>432</v>
      </c>
      <c r="B3327" s="512" t="s">
        <v>433</v>
      </c>
      <c r="C3327" s="605">
        <v>46018.0</v>
      </c>
      <c r="D3327" s="512">
        <v>4.4180994542E10</v>
      </c>
      <c r="E3327" s="606" t="s">
        <v>6001</v>
      </c>
      <c r="F3327" s="607" t="s">
        <v>436</v>
      </c>
      <c r="G3327" s="606" t="s">
        <v>1331</v>
      </c>
      <c r="H3327" s="608" t="s">
        <v>686</v>
      </c>
    </row>
    <row r="3328">
      <c r="A3328" s="546" t="s">
        <v>432</v>
      </c>
      <c r="B3328" s="512" t="s">
        <v>449</v>
      </c>
      <c r="C3328" s="605">
        <v>46018.0</v>
      </c>
      <c r="D3328" s="512">
        <v>4.0804029482E10</v>
      </c>
      <c r="E3328" s="606" t="s">
        <v>6002</v>
      </c>
      <c r="F3328" s="607" t="s">
        <v>436</v>
      </c>
      <c r="G3328" s="606" t="s">
        <v>3415</v>
      </c>
      <c r="H3328" s="608" t="s">
        <v>686</v>
      </c>
    </row>
    <row r="3329">
      <c r="A3329" s="546" t="s">
        <v>823</v>
      </c>
      <c r="B3329" s="512" t="s">
        <v>433</v>
      </c>
      <c r="C3329" s="605">
        <v>46018.0</v>
      </c>
      <c r="D3329" s="512">
        <v>4.4692119973E10</v>
      </c>
      <c r="E3329" s="606" t="s">
        <v>4310</v>
      </c>
      <c r="F3329" s="607" t="s">
        <v>436</v>
      </c>
      <c r="G3329" s="606" t="s">
        <v>6003</v>
      </c>
      <c r="H3329" s="608" t="s">
        <v>4558</v>
      </c>
    </row>
    <row r="3330">
      <c r="A3330" s="546" t="s">
        <v>823</v>
      </c>
      <c r="B3330" s="512" t="s">
        <v>449</v>
      </c>
      <c r="C3330" s="605">
        <v>46018.0</v>
      </c>
      <c r="D3330" s="512">
        <v>4.5891206758E10</v>
      </c>
      <c r="E3330" s="606" t="s">
        <v>6004</v>
      </c>
      <c r="F3330" s="607" t="s">
        <v>436</v>
      </c>
      <c r="G3330" s="606" t="s">
        <v>6005</v>
      </c>
      <c r="H3330" s="608" t="s">
        <v>4558</v>
      </c>
    </row>
    <row r="3331">
      <c r="A3331" s="546" t="s">
        <v>432</v>
      </c>
      <c r="B3331" s="512" t="s">
        <v>449</v>
      </c>
      <c r="C3331" s="605">
        <v>46018.0</v>
      </c>
      <c r="D3331" s="512">
        <v>4.6301087425E10</v>
      </c>
      <c r="E3331" s="606" t="s">
        <v>6006</v>
      </c>
      <c r="F3331" s="607" t="s">
        <v>436</v>
      </c>
      <c r="G3331" s="606" t="s">
        <v>6007</v>
      </c>
      <c r="H3331" s="608" t="s">
        <v>686</v>
      </c>
    </row>
    <row r="3332">
      <c r="A3332" s="546" t="s">
        <v>432</v>
      </c>
      <c r="B3332" s="512" t="s">
        <v>449</v>
      </c>
      <c r="C3332" s="605">
        <v>46019.0</v>
      </c>
      <c r="D3332" s="512">
        <v>4.5739832873E10</v>
      </c>
      <c r="E3332" s="606" t="s">
        <v>6008</v>
      </c>
      <c r="F3332" s="607" t="s">
        <v>436</v>
      </c>
      <c r="G3332" s="606">
        <v>7779.0</v>
      </c>
      <c r="H3332" s="608" t="s">
        <v>686</v>
      </c>
    </row>
    <row r="3333">
      <c r="A3333" s="546" t="s">
        <v>823</v>
      </c>
      <c r="B3333" s="512" t="s">
        <v>449</v>
      </c>
      <c r="C3333" s="605">
        <v>46019.0</v>
      </c>
      <c r="D3333" s="512">
        <v>4.0869104695E10</v>
      </c>
      <c r="E3333" s="606" t="s">
        <v>6009</v>
      </c>
      <c r="F3333" s="607" t="s">
        <v>436</v>
      </c>
      <c r="G3333" s="606" t="s">
        <v>5358</v>
      </c>
      <c r="H3333" s="608" t="s">
        <v>4558</v>
      </c>
    </row>
    <row r="3334">
      <c r="A3334" s="546" t="s">
        <v>439</v>
      </c>
      <c r="B3334" s="512" t="s">
        <v>449</v>
      </c>
      <c r="C3334" s="605">
        <v>46019.0</v>
      </c>
      <c r="D3334" s="512">
        <v>3.8903785243E10</v>
      </c>
      <c r="E3334" s="606" t="s">
        <v>6010</v>
      </c>
      <c r="F3334" s="607" t="s">
        <v>436</v>
      </c>
      <c r="G3334" s="606" t="s">
        <v>6011</v>
      </c>
      <c r="H3334" s="608" t="s">
        <v>4078</v>
      </c>
    </row>
    <row r="3335">
      <c r="A3335" s="546" t="s">
        <v>823</v>
      </c>
      <c r="B3335" s="512" t="s">
        <v>433</v>
      </c>
      <c r="C3335" s="605">
        <v>46019.0</v>
      </c>
      <c r="D3335" s="512">
        <v>4.3708030757E10</v>
      </c>
      <c r="E3335" s="606" t="s">
        <v>6012</v>
      </c>
      <c r="F3335" s="607" t="s">
        <v>436</v>
      </c>
      <c r="G3335" s="606" t="s">
        <v>1081</v>
      </c>
      <c r="H3335" s="608" t="s">
        <v>4558</v>
      </c>
    </row>
    <row r="3336">
      <c r="A3336" s="546" t="s">
        <v>439</v>
      </c>
      <c r="B3336" s="512" t="s">
        <v>433</v>
      </c>
      <c r="C3336" s="605">
        <v>46019.0</v>
      </c>
      <c r="D3336" s="512">
        <v>2.9900992513E10</v>
      </c>
      <c r="E3336" s="606" t="s">
        <v>6013</v>
      </c>
      <c r="F3336" s="607" t="s">
        <v>436</v>
      </c>
      <c r="G3336" s="606" t="s">
        <v>6014</v>
      </c>
      <c r="H3336" s="608" t="s">
        <v>4078</v>
      </c>
    </row>
    <row r="3337">
      <c r="A3337" s="546" t="s">
        <v>617</v>
      </c>
      <c r="B3337" s="512" t="s">
        <v>449</v>
      </c>
      <c r="C3337" s="605">
        <v>46019.0</v>
      </c>
      <c r="D3337" s="512">
        <v>4.6236177565E10</v>
      </c>
      <c r="E3337" s="606" t="s">
        <v>5074</v>
      </c>
      <c r="F3337" s="607" t="s">
        <v>436</v>
      </c>
      <c r="G3337" s="606" t="s">
        <v>631</v>
      </c>
      <c r="H3337" s="608" t="s">
        <v>696</v>
      </c>
    </row>
    <row r="3338">
      <c r="A3338" s="546" t="s">
        <v>432</v>
      </c>
      <c r="B3338" s="512" t="s">
        <v>449</v>
      </c>
      <c r="C3338" s="605">
        <v>46019.0</v>
      </c>
      <c r="D3338" s="512">
        <v>3.3334191677E10</v>
      </c>
      <c r="E3338" s="606" t="s">
        <v>6015</v>
      </c>
      <c r="F3338" s="607" t="s">
        <v>436</v>
      </c>
      <c r="G3338" s="606" t="s">
        <v>5889</v>
      </c>
      <c r="H3338" s="608" t="s">
        <v>686</v>
      </c>
    </row>
    <row r="3339">
      <c r="A3339" s="546" t="s">
        <v>617</v>
      </c>
      <c r="B3339" s="512" t="s">
        <v>449</v>
      </c>
      <c r="C3339" s="605">
        <v>46019.0</v>
      </c>
      <c r="D3339" s="512">
        <v>4.4698098477E10</v>
      </c>
      <c r="E3339" s="606" t="s">
        <v>6016</v>
      </c>
      <c r="F3339" s="607" t="s">
        <v>436</v>
      </c>
      <c r="G3339" s="606" t="s">
        <v>6017</v>
      </c>
      <c r="H3339" s="608" t="s">
        <v>696</v>
      </c>
    </row>
    <row r="3340">
      <c r="A3340" s="546" t="s">
        <v>823</v>
      </c>
      <c r="B3340" s="512" t="s">
        <v>449</v>
      </c>
      <c r="C3340" s="605">
        <v>46019.0</v>
      </c>
      <c r="D3340" s="512">
        <v>4.6534704351E10</v>
      </c>
      <c r="E3340" s="606" t="s">
        <v>5382</v>
      </c>
      <c r="F3340" s="607" t="s">
        <v>436</v>
      </c>
      <c r="G3340" s="606" t="s">
        <v>6018</v>
      </c>
      <c r="H3340" s="608" t="s">
        <v>4558</v>
      </c>
    </row>
    <row r="3341">
      <c r="A3341" s="546" t="s">
        <v>432</v>
      </c>
      <c r="B3341" s="512" t="s">
        <v>433</v>
      </c>
      <c r="C3341" s="605">
        <v>46019.0</v>
      </c>
      <c r="D3341" s="512">
        <v>4.447619759E10</v>
      </c>
      <c r="E3341" s="606" t="s">
        <v>6019</v>
      </c>
      <c r="F3341" s="607" t="s">
        <v>436</v>
      </c>
      <c r="G3341" s="606" t="s">
        <v>6020</v>
      </c>
      <c r="H3341" s="608" t="s">
        <v>686</v>
      </c>
    </row>
    <row r="3342">
      <c r="A3342" s="546" t="s">
        <v>823</v>
      </c>
      <c r="B3342" s="512" t="s">
        <v>433</v>
      </c>
      <c r="C3342" s="605">
        <v>46019.0</v>
      </c>
      <c r="D3342" s="512">
        <v>4.643542358E10</v>
      </c>
      <c r="E3342" s="606" t="s">
        <v>6021</v>
      </c>
      <c r="F3342" s="607" t="s">
        <v>436</v>
      </c>
      <c r="G3342" s="606" t="s">
        <v>2777</v>
      </c>
      <c r="H3342" s="608" t="s">
        <v>4558</v>
      </c>
    </row>
    <row r="3343">
      <c r="A3343" s="546" t="s">
        <v>617</v>
      </c>
      <c r="B3343" s="512" t="s">
        <v>449</v>
      </c>
      <c r="C3343" s="605">
        <v>46019.0</v>
      </c>
      <c r="D3343" s="512">
        <v>2.0149665348E10</v>
      </c>
      <c r="E3343" s="606" t="s">
        <v>4165</v>
      </c>
      <c r="F3343" s="607" t="s">
        <v>436</v>
      </c>
      <c r="G3343" s="606" t="s">
        <v>6022</v>
      </c>
      <c r="H3343" s="608" t="s">
        <v>696</v>
      </c>
    </row>
    <row r="3344">
      <c r="A3344" s="546" t="s">
        <v>823</v>
      </c>
      <c r="B3344" s="512" t="s">
        <v>449</v>
      </c>
      <c r="C3344" s="605">
        <v>46019.0</v>
      </c>
      <c r="D3344" s="512">
        <v>4.6656191915E10</v>
      </c>
      <c r="E3344" s="606" t="s">
        <v>5978</v>
      </c>
      <c r="F3344" s="607" t="s">
        <v>436</v>
      </c>
      <c r="G3344" s="606" t="s">
        <v>3702</v>
      </c>
      <c r="H3344" s="608" t="s">
        <v>4558</v>
      </c>
    </row>
    <row r="3345">
      <c r="A3345" s="546" t="s">
        <v>439</v>
      </c>
      <c r="B3345" s="512" t="s">
        <v>433</v>
      </c>
      <c r="C3345" s="605">
        <v>46019.0</v>
      </c>
      <c r="D3345" s="512">
        <v>3.8976689818E10</v>
      </c>
      <c r="E3345" s="606" t="s">
        <v>6023</v>
      </c>
      <c r="F3345" s="607" t="s">
        <v>436</v>
      </c>
      <c r="G3345" s="606" t="s">
        <v>1956</v>
      </c>
      <c r="H3345" s="608" t="s">
        <v>4078</v>
      </c>
    </row>
    <row r="3346">
      <c r="A3346" s="546" t="s">
        <v>823</v>
      </c>
      <c r="B3346" s="512" t="s">
        <v>449</v>
      </c>
      <c r="C3346" s="605">
        <v>46019.0</v>
      </c>
      <c r="D3346" s="512">
        <v>4.345971613E10</v>
      </c>
      <c r="E3346" s="606" t="s">
        <v>5382</v>
      </c>
      <c r="F3346" s="607" t="s">
        <v>436</v>
      </c>
      <c r="G3346" s="606" t="s">
        <v>6024</v>
      </c>
      <c r="H3346" s="608" t="s">
        <v>4558</v>
      </c>
    </row>
    <row r="3347">
      <c r="A3347" s="546" t="s">
        <v>617</v>
      </c>
      <c r="B3347" s="512" t="s">
        <v>449</v>
      </c>
      <c r="C3347" s="605">
        <v>46019.0</v>
      </c>
      <c r="D3347" s="512">
        <v>4.3259109539E10</v>
      </c>
      <c r="E3347" s="606" t="s">
        <v>6025</v>
      </c>
      <c r="F3347" s="607" t="s">
        <v>436</v>
      </c>
      <c r="G3347" s="606" t="s">
        <v>5757</v>
      </c>
      <c r="H3347" s="608" t="s">
        <v>696</v>
      </c>
    </row>
    <row r="3348">
      <c r="A3348" s="546" t="s">
        <v>823</v>
      </c>
      <c r="B3348" s="512" t="s">
        <v>433</v>
      </c>
      <c r="C3348" s="605">
        <v>46019.0</v>
      </c>
      <c r="D3348" s="512">
        <v>4.4296268438E10</v>
      </c>
      <c r="E3348" s="606" t="s">
        <v>6026</v>
      </c>
      <c r="F3348" s="607" t="s">
        <v>436</v>
      </c>
      <c r="G3348" s="606" t="s">
        <v>3268</v>
      </c>
      <c r="H3348" s="608" t="s">
        <v>4558</v>
      </c>
    </row>
    <row r="3349">
      <c r="A3349" s="546" t="s">
        <v>823</v>
      </c>
      <c r="B3349" s="512" t="s">
        <v>449</v>
      </c>
      <c r="C3349" s="605">
        <v>46019.0</v>
      </c>
      <c r="D3349" s="512">
        <v>4.0504388669E10</v>
      </c>
      <c r="E3349" s="606" t="s">
        <v>5253</v>
      </c>
      <c r="F3349" s="607" t="s">
        <v>436</v>
      </c>
      <c r="G3349" s="606" t="s">
        <v>6027</v>
      </c>
      <c r="H3349" s="608" t="s">
        <v>4558</v>
      </c>
    </row>
    <row r="3350">
      <c r="A3350" s="546" t="s">
        <v>439</v>
      </c>
      <c r="B3350" s="512" t="s">
        <v>5911</v>
      </c>
      <c r="C3350" s="605">
        <v>46019.0</v>
      </c>
      <c r="D3350" s="512">
        <v>4.2637134821E10</v>
      </c>
      <c r="E3350" s="606" t="s">
        <v>4165</v>
      </c>
      <c r="F3350" s="607" t="s">
        <v>436</v>
      </c>
      <c r="G3350" s="606" t="s">
        <v>3038</v>
      </c>
      <c r="H3350" s="608" t="s">
        <v>4078</v>
      </c>
    </row>
    <row r="3351">
      <c r="A3351" s="546" t="s">
        <v>823</v>
      </c>
      <c r="B3351" s="512" t="s">
        <v>433</v>
      </c>
      <c r="C3351" s="605">
        <v>46019.0</v>
      </c>
      <c r="D3351" s="512">
        <v>4.4493112552E10</v>
      </c>
      <c r="E3351" s="606" t="s">
        <v>6012</v>
      </c>
      <c r="F3351" s="607" t="s">
        <v>436</v>
      </c>
      <c r="G3351" s="606" t="s">
        <v>3761</v>
      </c>
      <c r="H3351" s="608" t="s">
        <v>4558</v>
      </c>
    </row>
    <row r="3352">
      <c r="A3352" s="546" t="s">
        <v>432</v>
      </c>
      <c r="B3352" s="512" t="s">
        <v>449</v>
      </c>
      <c r="C3352" s="605">
        <v>46019.0</v>
      </c>
      <c r="D3352" s="512">
        <v>4.3435349626E10</v>
      </c>
      <c r="E3352" s="606" t="s">
        <v>6028</v>
      </c>
      <c r="F3352" s="607" t="s">
        <v>436</v>
      </c>
      <c r="G3352" s="606" t="s">
        <v>4785</v>
      </c>
      <c r="H3352" s="608" t="s">
        <v>686</v>
      </c>
    </row>
    <row r="3353">
      <c r="A3353" s="546" t="s">
        <v>432</v>
      </c>
      <c r="B3353" s="512" t="s">
        <v>449</v>
      </c>
      <c r="C3353" s="605">
        <v>46020.0</v>
      </c>
      <c r="D3353" s="512">
        <v>3.0705857903E10</v>
      </c>
      <c r="E3353" s="606" t="s">
        <v>6029</v>
      </c>
      <c r="F3353" s="607" t="s">
        <v>436</v>
      </c>
      <c r="G3353" s="606">
        <v>384.0</v>
      </c>
      <c r="H3353" s="608" t="s">
        <v>686</v>
      </c>
    </row>
    <row r="3354">
      <c r="A3354" s="546" t="s">
        <v>432</v>
      </c>
      <c r="B3354" s="512" t="s">
        <v>449</v>
      </c>
      <c r="C3354" s="605">
        <v>46020.0</v>
      </c>
      <c r="D3354" s="512">
        <v>4.3431939236E10</v>
      </c>
      <c r="E3354" s="606" t="s">
        <v>6030</v>
      </c>
      <c r="F3354" s="607" t="s">
        <v>436</v>
      </c>
      <c r="G3354" s="606">
        <v>815.0</v>
      </c>
      <c r="H3354" s="608" t="s">
        <v>686</v>
      </c>
    </row>
    <row r="3355">
      <c r="A3355" s="546" t="s">
        <v>432</v>
      </c>
      <c r="B3355" s="512" t="s">
        <v>449</v>
      </c>
      <c r="C3355" s="605">
        <v>46020.0</v>
      </c>
      <c r="D3355" s="512">
        <v>4.3458911432E10</v>
      </c>
      <c r="E3355" s="606" t="s">
        <v>4854</v>
      </c>
      <c r="F3355" s="607" t="s">
        <v>436</v>
      </c>
      <c r="G3355" s="606">
        <v>1348.0</v>
      </c>
      <c r="H3355" s="608" t="s">
        <v>686</v>
      </c>
    </row>
    <row r="3356">
      <c r="A3356" s="546" t="s">
        <v>432</v>
      </c>
      <c r="B3356" s="512" t="s">
        <v>433</v>
      </c>
      <c r="C3356" s="605">
        <v>46020.0</v>
      </c>
      <c r="D3356" s="512">
        <v>4.3681832493E10</v>
      </c>
      <c r="E3356" s="606" t="s">
        <v>6031</v>
      </c>
      <c r="F3356" s="607" t="s">
        <v>436</v>
      </c>
      <c r="G3356" s="606">
        <v>1469.0</v>
      </c>
      <c r="H3356" s="608" t="s">
        <v>686</v>
      </c>
    </row>
    <row r="3357">
      <c r="A3357" s="546" t="s">
        <v>432</v>
      </c>
      <c r="B3357" s="512" t="s">
        <v>433</v>
      </c>
      <c r="C3357" s="605">
        <v>46020.0</v>
      </c>
      <c r="D3357" s="512">
        <v>4.3610702461E10</v>
      </c>
      <c r="E3357" s="606" t="s">
        <v>5383</v>
      </c>
      <c r="F3357" s="607" t="s">
        <v>436</v>
      </c>
      <c r="G3357" s="606">
        <v>1473.0</v>
      </c>
      <c r="H3357" s="608" t="s">
        <v>686</v>
      </c>
    </row>
    <row r="3358">
      <c r="A3358" s="546" t="s">
        <v>432</v>
      </c>
      <c r="B3358" s="512" t="s">
        <v>433</v>
      </c>
      <c r="C3358" s="605">
        <v>46020.0</v>
      </c>
      <c r="D3358" s="512">
        <v>3.6721730309E10</v>
      </c>
      <c r="E3358" s="606" t="s">
        <v>5383</v>
      </c>
      <c r="F3358" s="607" t="s">
        <v>436</v>
      </c>
      <c r="G3358" s="606">
        <v>1473.0</v>
      </c>
      <c r="H3358" s="608" t="s">
        <v>686</v>
      </c>
    </row>
    <row r="3359">
      <c r="A3359" s="546" t="s">
        <v>432</v>
      </c>
      <c r="B3359" s="512" t="s">
        <v>5722</v>
      </c>
      <c r="C3359" s="605">
        <v>46020.0</v>
      </c>
      <c r="D3359" s="512">
        <v>1.2618323044E10</v>
      </c>
      <c r="E3359" s="606" t="s">
        <v>6032</v>
      </c>
      <c r="F3359" s="607" t="s">
        <v>436</v>
      </c>
      <c r="G3359" s="606">
        <v>3194.0</v>
      </c>
      <c r="H3359" s="608" t="s">
        <v>686</v>
      </c>
    </row>
    <row r="3360">
      <c r="A3360" s="546" t="s">
        <v>617</v>
      </c>
      <c r="B3360" s="512" t="s">
        <v>449</v>
      </c>
      <c r="C3360" s="605">
        <v>46020.0</v>
      </c>
      <c r="D3360" s="512">
        <v>4.1645579775E10</v>
      </c>
      <c r="E3360" s="606" t="s">
        <v>6033</v>
      </c>
      <c r="F3360" s="607" t="s">
        <v>436</v>
      </c>
      <c r="G3360" s="606" t="s">
        <v>6034</v>
      </c>
      <c r="H3360" s="608" t="s">
        <v>693</v>
      </c>
    </row>
    <row r="3361">
      <c r="A3361" s="546" t="s">
        <v>439</v>
      </c>
      <c r="B3361" s="512" t="s">
        <v>449</v>
      </c>
      <c r="C3361" s="605">
        <v>46020.0</v>
      </c>
      <c r="D3361" s="512">
        <v>4.6685918866E10</v>
      </c>
      <c r="E3361" s="606" t="s">
        <v>6035</v>
      </c>
      <c r="F3361" s="607" t="s">
        <v>436</v>
      </c>
      <c r="G3361" s="606" t="s">
        <v>6036</v>
      </c>
      <c r="H3361" s="608" t="s">
        <v>4078</v>
      </c>
    </row>
    <row r="3362">
      <c r="A3362" s="546" t="s">
        <v>823</v>
      </c>
      <c r="B3362" s="512" t="s">
        <v>449</v>
      </c>
      <c r="C3362" s="605">
        <v>46020.0</v>
      </c>
      <c r="D3362" s="512">
        <v>3.8901960345E10</v>
      </c>
      <c r="E3362" s="606" t="s">
        <v>6037</v>
      </c>
      <c r="F3362" s="607" t="s">
        <v>436</v>
      </c>
      <c r="G3362" s="606" t="s">
        <v>3334</v>
      </c>
      <c r="H3362" s="608" t="s">
        <v>1647</v>
      </c>
    </row>
    <row r="3363">
      <c r="A3363" s="546" t="s">
        <v>617</v>
      </c>
      <c r="B3363" s="512" t="s">
        <v>449</v>
      </c>
      <c r="C3363" s="605">
        <v>46020.0</v>
      </c>
      <c r="D3363" s="512">
        <v>4.4125787785E10</v>
      </c>
      <c r="E3363" s="606" t="s">
        <v>6038</v>
      </c>
      <c r="F3363" s="607" t="s">
        <v>436</v>
      </c>
      <c r="G3363" s="606" t="s">
        <v>5226</v>
      </c>
      <c r="H3363" s="608" t="s">
        <v>693</v>
      </c>
    </row>
    <row r="3364">
      <c r="A3364" s="546" t="s">
        <v>617</v>
      </c>
      <c r="B3364" s="512" t="s">
        <v>449</v>
      </c>
      <c r="C3364" s="605">
        <v>46020.0</v>
      </c>
      <c r="D3364" s="512">
        <v>4.4458929961E10</v>
      </c>
      <c r="E3364" s="606" t="s">
        <v>5633</v>
      </c>
      <c r="F3364" s="607" t="s">
        <v>436</v>
      </c>
      <c r="G3364" s="606" t="s">
        <v>3431</v>
      </c>
      <c r="H3364" s="608" t="s">
        <v>693</v>
      </c>
    </row>
    <row r="3365">
      <c r="A3365" s="546" t="s">
        <v>617</v>
      </c>
      <c r="B3365" s="512" t="s">
        <v>449</v>
      </c>
      <c r="C3365" s="605">
        <v>46020.0</v>
      </c>
      <c r="D3365" s="512">
        <v>3.8076073963E10</v>
      </c>
      <c r="E3365" s="606" t="s">
        <v>85</v>
      </c>
      <c r="F3365" s="607" t="s">
        <v>436</v>
      </c>
      <c r="G3365" s="606" t="s">
        <v>3355</v>
      </c>
      <c r="H3365" s="608" t="s">
        <v>693</v>
      </c>
    </row>
    <row r="3366">
      <c r="A3366" s="546" t="s">
        <v>439</v>
      </c>
      <c r="B3366" s="512" t="s">
        <v>433</v>
      </c>
      <c r="C3366" s="605">
        <v>46020.0</v>
      </c>
      <c r="D3366" s="512">
        <v>4.376248068E10</v>
      </c>
      <c r="E3366" s="606" t="s">
        <v>4165</v>
      </c>
      <c r="F3366" s="607" t="s">
        <v>436</v>
      </c>
      <c r="G3366" s="606" t="s">
        <v>6039</v>
      </c>
      <c r="H3366" s="608" t="s">
        <v>4078</v>
      </c>
    </row>
    <row r="3367">
      <c r="A3367" s="546" t="s">
        <v>439</v>
      </c>
      <c r="B3367" s="512" t="s">
        <v>449</v>
      </c>
      <c r="C3367" s="605">
        <v>46020.0</v>
      </c>
      <c r="D3367" s="512">
        <v>4.5761248021E10</v>
      </c>
      <c r="E3367" s="606" t="s">
        <v>5242</v>
      </c>
      <c r="F3367" s="607" t="s">
        <v>436</v>
      </c>
      <c r="G3367" s="606" t="s">
        <v>6040</v>
      </c>
      <c r="H3367" s="608" t="s">
        <v>4078</v>
      </c>
    </row>
    <row r="3368">
      <c r="A3368" s="546" t="s">
        <v>439</v>
      </c>
      <c r="B3368" s="512" t="s">
        <v>449</v>
      </c>
      <c r="C3368" s="605">
        <v>46020.0</v>
      </c>
      <c r="D3368" s="512">
        <v>4.2565886561E10</v>
      </c>
      <c r="E3368" s="606" t="s">
        <v>6041</v>
      </c>
      <c r="F3368" s="607" t="s">
        <v>436</v>
      </c>
      <c r="G3368" s="606" t="s">
        <v>6042</v>
      </c>
      <c r="H3368" s="608" t="s">
        <v>4078</v>
      </c>
    </row>
    <row r="3369">
      <c r="A3369" s="546" t="s">
        <v>617</v>
      </c>
      <c r="B3369" s="512" t="s">
        <v>449</v>
      </c>
      <c r="C3369" s="605">
        <v>46020.0</v>
      </c>
      <c r="D3369" s="512">
        <v>4.3562683629E10</v>
      </c>
      <c r="E3369" s="606" t="s">
        <v>6043</v>
      </c>
      <c r="F3369" s="607" t="s">
        <v>436</v>
      </c>
      <c r="G3369" s="606" t="s">
        <v>6044</v>
      </c>
      <c r="H3369" s="608" t="s">
        <v>693</v>
      </c>
    </row>
    <row r="3370">
      <c r="A3370" s="546" t="s">
        <v>823</v>
      </c>
      <c r="B3370" s="512" t="s">
        <v>449</v>
      </c>
      <c r="C3370" s="605">
        <v>46020.0</v>
      </c>
      <c r="D3370" s="512">
        <v>4.5719305825E10</v>
      </c>
      <c r="E3370" s="606" t="s">
        <v>6045</v>
      </c>
      <c r="F3370" s="607" t="s">
        <v>436</v>
      </c>
      <c r="G3370" s="606" t="s">
        <v>3532</v>
      </c>
      <c r="H3370" s="608" t="s">
        <v>1647</v>
      </c>
    </row>
    <row r="3371">
      <c r="A3371" s="546" t="s">
        <v>617</v>
      </c>
      <c r="B3371" s="512" t="s">
        <v>449</v>
      </c>
      <c r="C3371" s="605">
        <v>46020.0</v>
      </c>
      <c r="D3371" s="512">
        <v>3.2637593802E10</v>
      </c>
      <c r="E3371" s="606" t="s">
        <v>6046</v>
      </c>
      <c r="F3371" s="607" t="s">
        <v>436</v>
      </c>
      <c r="G3371" s="606" t="s">
        <v>941</v>
      </c>
      <c r="H3371" s="608" t="s">
        <v>693</v>
      </c>
    </row>
    <row r="3372">
      <c r="A3372" s="546" t="s">
        <v>439</v>
      </c>
      <c r="B3372" s="512" t="s">
        <v>449</v>
      </c>
      <c r="C3372" s="605">
        <v>46020.0</v>
      </c>
      <c r="D3372" s="512">
        <v>4.1143040731E10</v>
      </c>
      <c r="E3372" s="606" t="s">
        <v>5242</v>
      </c>
      <c r="F3372" s="607" t="s">
        <v>436</v>
      </c>
      <c r="G3372" s="606" t="s">
        <v>6047</v>
      </c>
      <c r="H3372" s="608" t="s">
        <v>4078</v>
      </c>
    </row>
    <row r="3373">
      <c r="A3373" s="546" t="s">
        <v>439</v>
      </c>
      <c r="B3373" s="512" t="s">
        <v>449</v>
      </c>
      <c r="C3373" s="605">
        <v>46020.0</v>
      </c>
      <c r="D3373" s="512">
        <v>4.2500840111E10</v>
      </c>
      <c r="E3373" s="606" t="s">
        <v>6048</v>
      </c>
      <c r="F3373" s="607" t="s">
        <v>436</v>
      </c>
      <c r="G3373" s="606" t="s">
        <v>5851</v>
      </c>
      <c r="H3373" s="608" t="s">
        <v>4078</v>
      </c>
    </row>
    <row r="3374">
      <c r="A3374" s="546" t="s">
        <v>439</v>
      </c>
      <c r="B3374" s="512" t="s">
        <v>433</v>
      </c>
      <c r="C3374" s="605">
        <v>46020.0</v>
      </c>
      <c r="D3374" s="512">
        <v>4.28397292E10</v>
      </c>
      <c r="E3374" s="606" t="s">
        <v>6049</v>
      </c>
      <c r="F3374" s="607" t="s">
        <v>436</v>
      </c>
      <c r="G3374" s="606" t="s">
        <v>4161</v>
      </c>
      <c r="H3374" s="608" t="s">
        <v>4078</v>
      </c>
    </row>
    <row r="3375">
      <c r="A3375" s="546" t="s">
        <v>439</v>
      </c>
      <c r="B3375" s="512" t="s">
        <v>433</v>
      </c>
      <c r="C3375" s="605">
        <v>46020.0</v>
      </c>
      <c r="D3375" s="512">
        <v>3.3001833132E10</v>
      </c>
      <c r="E3375" s="606" t="s">
        <v>6050</v>
      </c>
      <c r="F3375" s="607" t="s">
        <v>436</v>
      </c>
      <c r="G3375" s="606" t="s">
        <v>4274</v>
      </c>
      <c r="H3375" s="608" t="s">
        <v>4078</v>
      </c>
    </row>
    <row r="3376">
      <c r="A3376" s="546" t="s">
        <v>823</v>
      </c>
      <c r="B3376" s="512" t="s">
        <v>449</v>
      </c>
      <c r="C3376" s="605">
        <v>46020.0</v>
      </c>
      <c r="D3376" s="512">
        <v>4.0803826355E10</v>
      </c>
      <c r="E3376" s="606" t="s">
        <v>6051</v>
      </c>
      <c r="F3376" s="607" t="s">
        <v>436</v>
      </c>
      <c r="G3376" s="606" t="s">
        <v>6052</v>
      </c>
      <c r="H3376" s="608" t="s">
        <v>1647</v>
      </c>
    </row>
    <row r="3377">
      <c r="A3377" s="546" t="s">
        <v>617</v>
      </c>
      <c r="B3377" s="512" t="s">
        <v>449</v>
      </c>
      <c r="C3377" s="605">
        <v>46020.0</v>
      </c>
      <c r="D3377" s="512">
        <v>4.6537742643E10</v>
      </c>
      <c r="E3377" s="606" t="s">
        <v>6053</v>
      </c>
      <c r="F3377" s="607" t="s">
        <v>436</v>
      </c>
      <c r="G3377" s="606" t="s">
        <v>2699</v>
      </c>
      <c r="H3377" s="608" t="s">
        <v>693</v>
      </c>
    </row>
    <row r="3378">
      <c r="A3378" s="546" t="s">
        <v>617</v>
      </c>
      <c r="B3378" s="512" t="s">
        <v>449</v>
      </c>
      <c r="C3378" s="605">
        <v>46020.0</v>
      </c>
      <c r="D3378" s="512">
        <v>4.1951502844E10</v>
      </c>
      <c r="E3378" s="606" t="s">
        <v>6054</v>
      </c>
      <c r="F3378" s="607" t="s">
        <v>436</v>
      </c>
      <c r="G3378" s="606" t="s">
        <v>6055</v>
      </c>
      <c r="H3378" s="608" t="s">
        <v>693</v>
      </c>
    </row>
    <row r="3379">
      <c r="A3379" s="546" t="s">
        <v>439</v>
      </c>
      <c r="B3379" s="512" t="s">
        <v>449</v>
      </c>
      <c r="C3379" s="605">
        <v>46021.0</v>
      </c>
      <c r="D3379" s="512">
        <v>4.3619858573E10</v>
      </c>
      <c r="E3379" s="606" t="s">
        <v>6056</v>
      </c>
      <c r="F3379" s="607" t="s">
        <v>436</v>
      </c>
      <c r="G3379" s="606" t="s">
        <v>3197</v>
      </c>
      <c r="H3379" s="608" t="s">
        <v>4078</v>
      </c>
    </row>
    <row r="3380">
      <c r="A3380" s="546" t="s">
        <v>432</v>
      </c>
      <c r="B3380" s="512" t="s">
        <v>449</v>
      </c>
      <c r="C3380" s="605">
        <v>46021.0</v>
      </c>
      <c r="D3380" s="512">
        <v>4.4690201079E10</v>
      </c>
      <c r="E3380" s="606" t="s">
        <v>6057</v>
      </c>
      <c r="F3380" s="607" t="s">
        <v>436</v>
      </c>
      <c r="G3380" s="606" t="s">
        <v>6058</v>
      </c>
      <c r="H3380" s="608" t="s">
        <v>5817</v>
      </c>
    </row>
    <row r="3381">
      <c r="A3381" s="546" t="s">
        <v>432</v>
      </c>
      <c r="B3381" s="512" t="s">
        <v>449</v>
      </c>
      <c r="C3381" s="605">
        <v>46021.0</v>
      </c>
      <c r="D3381" s="512">
        <v>4.3949739051E10</v>
      </c>
      <c r="E3381" s="606" t="s">
        <v>4754</v>
      </c>
      <c r="F3381" s="607" t="s">
        <v>436</v>
      </c>
      <c r="G3381" s="606" t="s">
        <v>6058</v>
      </c>
      <c r="H3381" s="608" t="s">
        <v>5817</v>
      </c>
    </row>
    <row r="3382">
      <c r="A3382" s="546" t="s">
        <v>432</v>
      </c>
      <c r="B3382" s="512" t="s">
        <v>449</v>
      </c>
      <c r="C3382" s="605">
        <v>46021.0</v>
      </c>
      <c r="D3382" s="512">
        <v>1.1405832895E10</v>
      </c>
      <c r="E3382" s="606" t="s">
        <v>6059</v>
      </c>
      <c r="F3382" s="607" t="s">
        <v>436</v>
      </c>
      <c r="G3382" s="606" t="s">
        <v>6060</v>
      </c>
      <c r="H3382" s="608" t="s">
        <v>5817</v>
      </c>
    </row>
    <row r="3383">
      <c r="A3383" s="546" t="s">
        <v>432</v>
      </c>
      <c r="B3383" s="512" t="s">
        <v>433</v>
      </c>
      <c r="C3383" s="605">
        <v>46021.0</v>
      </c>
      <c r="D3383" s="512">
        <v>4.6489661359E10</v>
      </c>
      <c r="E3383" s="606" t="s">
        <v>5383</v>
      </c>
      <c r="F3383" s="607" t="s">
        <v>436</v>
      </c>
      <c r="G3383" s="606" t="s">
        <v>6061</v>
      </c>
      <c r="H3383" s="608" t="s">
        <v>5817</v>
      </c>
    </row>
    <row r="3384">
      <c r="A3384" s="546" t="s">
        <v>432</v>
      </c>
      <c r="B3384" s="512" t="s">
        <v>433</v>
      </c>
      <c r="C3384" s="605">
        <v>46021.0</v>
      </c>
      <c r="D3384" s="512">
        <v>4.2663205707E10</v>
      </c>
      <c r="E3384" s="606" t="s">
        <v>6062</v>
      </c>
      <c r="F3384" s="607" t="s">
        <v>436</v>
      </c>
      <c r="G3384" s="606" t="s">
        <v>2288</v>
      </c>
      <c r="H3384" s="608" t="s">
        <v>5817</v>
      </c>
    </row>
    <row r="3385">
      <c r="A3385" s="546" t="s">
        <v>439</v>
      </c>
      <c r="B3385" s="512" t="s">
        <v>433</v>
      </c>
      <c r="C3385" s="605">
        <v>46021.0</v>
      </c>
      <c r="D3385" s="512">
        <v>4.3289481127E10</v>
      </c>
      <c r="E3385" s="606" t="s">
        <v>6063</v>
      </c>
      <c r="F3385" s="607" t="s">
        <v>436</v>
      </c>
      <c r="G3385" s="606" t="s">
        <v>2155</v>
      </c>
      <c r="H3385" s="608" t="s">
        <v>4078</v>
      </c>
    </row>
    <row r="3386">
      <c r="A3386" s="546" t="s">
        <v>823</v>
      </c>
      <c r="B3386" s="512" t="s">
        <v>449</v>
      </c>
      <c r="C3386" s="605">
        <v>46021.0</v>
      </c>
      <c r="D3386" s="512">
        <v>4.4429521011E10</v>
      </c>
      <c r="E3386" s="606" t="s">
        <v>6064</v>
      </c>
      <c r="F3386" s="607" t="s">
        <v>436</v>
      </c>
      <c r="G3386" s="606" t="s">
        <v>1252</v>
      </c>
      <c r="H3386" s="608" t="s">
        <v>1647</v>
      </c>
    </row>
    <row r="3387">
      <c r="A3387" s="546" t="s">
        <v>439</v>
      </c>
      <c r="B3387" s="512" t="s">
        <v>433</v>
      </c>
      <c r="C3387" s="605">
        <v>46021.0</v>
      </c>
      <c r="D3387" s="512">
        <v>4.1738753863E10</v>
      </c>
      <c r="E3387" s="606" t="s">
        <v>6065</v>
      </c>
      <c r="F3387" s="607" t="s">
        <v>436</v>
      </c>
      <c r="G3387" s="606" t="s">
        <v>6066</v>
      </c>
      <c r="H3387" s="608" t="s">
        <v>4078</v>
      </c>
    </row>
    <row r="3388">
      <c r="A3388" s="546" t="s">
        <v>439</v>
      </c>
      <c r="B3388" s="512" t="s">
        <v>433</v>
      </c>
      <c r="C3388" s="605">
        <v>46021.0</v>
      </c>
      <c r="D3388" s="512">
        <v>4.2261935343E10</v>
      </c>
      <c r="E3388" s="606" t="s">
        <v>6067</v>
      </c>
      <c r="F3388" s="607" t="s">
        <v>436</v>
      </c>
      <c r="G3388" s="606" t="s">
        <v>6066</v>
      </c>
      <c r="H3388" s="608" t="s">
        <v>4078</v>
      </c>
    </row>
    <row r="3389">
      <c r="A3389" s="546" t="s">
        <v>432</v>
      </c>
      <c r="B3389" s="512" t="s">
        <v>449</v>
      </c>
      <c r="C3389" s="605">
        <v>46021.0</v>
      </c>
      <c r="D3389" s="512">
        <v>3.8795083823E10</v>
      </c>
      <c r="E3389" s="606" t="s">
        <v>6068</v>
      </c>
      <c r="F3389" s="607" t="s">
        <v>436</v>
      </c>
      <c r="G3389" s="606" t="s">
        <v>2294</v>
      </c>
      <c r="H3389" s="608" t="s">
        <v>5817</v>
      </c>
    </row>
    <row r="3390">
      <c r="A3390" s="546" t="s">
        <v>617</v>
      </c>
      <c r="B3390" s="512" t="s">
        <v>449</v>
      </c>
      <c r="C3390" s="605">
        <v>46021.0</v>
      </c>
      <c r="D3390" s="512">
        <v>3.150973363E10</v>
      </c>
      <c r="E3390" s="606" t="s">
        <v>6069</v>
      </c>
      <c r="F3390" s="607" t="s">
        <v>436</v>
      </c>
      <c r="G3390" s="606" t="s">
        <v>2298</v>
      </c>
      <c r="H3390" s="608" t="s">
        <v>693</v>
      </c>
    </row>
    <row r="3391">
      <c r="A3391" s="546" t="s">
        <v>617</v>
      </c>
      <c r="B3391" s="512" t="s">
        <v>449</v>
      </c>
      <c r="C3391" s="605">
        <v>46021.0</v>
      </c>
      <c r="D3391" s="512">
        <v>4.5010941118E10</v>
      </c>
      <c r="E3391" s="606" t="s">
        <v>6070</v>
      </c>
      <c r="F3391" s="607" t="s">
        <v>436</v>
      </c>
      <c r="G3391" s="606" t="s">
        <v>6071</v>
      </c>
      <c r="H3391" s="608" t="s">
        <v>693</v>
      </c>
    </row>
    <row r="3392">
      <c r="A3392" s="546" t="s">
        <v>439</v>
      </c>
      <c r="B3392" s="512" t="s">
        <v>449</v>
      </c>
      <c r="C3392" s="605">
        <v>46021.0</v>
      </c>
      <c r="D3392" s="512">
        <v>4.6233780714E10</v>
      </c>
      <c r="E3392" s="606" t="s">
        <v>5025</v>
      </c>
      <c r="F3392" s="607" t="s">
        <v>436</v>
      </c>
      <c r="G3392" s="606" t="s">
        <v>1215</v>
      </c>
      <c r="H3392" s="608" t="s">
        <v>4078</v>
      </c>
    </row>
    <row r="3393">
      <c r="A3393" s="546" t="s">
        <v>432</v>
      </c>
      <c r="B3393" s="512" t="s">
        <v>433</v>
      </c>
      <c r="C3393" s="605">
        <v>46022.0</v>
      </c>
      <c r="D3393" s="512">
        <v>4.315223727E10</v>
      </c>
      <c r="E3393" s="606" t="s">
        <v>6072</v>
      </c>
      <c r="F3393" s="607" t="s">
        <v>436</v>
      </c>
      <c r="G3393" s="606">
        <v>2187.0</v>
      </c>
      <c r="H3393" s="608" t="s">
        <v>686</v>
      </c>
    </row>
    <row r="3394">
      <c r="A3394" s="546" t="s">
        <v>432</v>
      </c>
      <c r="B3394" s="512" t="s">
        <v>449</v>
      </c>
      <c r="C3394" s="605">
        <v>46022.0</v>
      </c>
      <c r="D3394" s="512">
        <v>4.3338659418E10</v>
      </c>
      <c r="E3394" s="606" t="s">
        <v>6073</v>
      </c>
      <c r="F3394" s="607" t="s">
        <v>436</v>
      </c>
      <c r="G3394" s="606">
        <v>5609.0</v>
      </c>
      <c r="H3394" s="608" t="s">
        <v>686</v>
      </c>
    </row>
    <row r="3395">
      <c r="A3395" s="546" t="s">
        <v>617</v>
      </c>
      <c r="B3395" s="512" t="s">
        <v>449</v>
      </c>
      <c r="C3395" s="605">
        <v>46022.0</v>
      </c>
      <c r="D3395" s="512">
        <v>4.7022016309E10</v>
      </c>
      <c r="E3395" s="606" t="s">
        <v>6074</v>
      </c>
      <c r="F3395" s="607" t="s">
        <v>436</v>
      </c>
      <c r="G3395" s="606" t="s">
        <v>465</v>
      </c>
      <c r="H3395" s="608" t="s">
        <v>696</v>
      </c>
    </row>
    <row r="3396">
      <c r="A3396" s="546" t="s">
        <v>439</v>
      </c>
      <c r="B3396" s="512" t="s">
        <v>433</v>
      </c>
      <c r="C3396" s="605">
        <v>46022.0</v>
      </c>
      <c r="D3396" s="512">
        <v>4.3563942545E10</v>
      </c>
      <c r="E3396" s="606" t="s">
        <v>6075</v>
      </c>
      <c r="F3396" s="607" t="s">
        <v>436</v>
      </c>
      <c r="G3396" s="606" t="s">
        <v>6076</v>
      </c>
      <c r="H3396" s="608" t="s">
        <v>4078</v>
      </c>
    </row>
    <row r="3397">
      <c r="A3397" s="546" t="s">
        <v>439</v>
      </c>
      <c r="B3397" s="512" t="s">
        <v>433</v>
      </c>
      <c r="C3397" s="605">
        <v>46022.0</v>
      </c>
      <c r="D3397" s="512">
        <v>4.3496497889E10</v>
      </c>
      <c r="E3397" s="606" t="s">
        <v>6077</v>
      </c>
      <c r="F3397" s="607" t="s">
        <v>436</v>
      </c>
      <c r="G3397" s="606" t="s">
        <v>5465</v>
      </c>
      <c r="H3397" s="608" t="s">
        <v>4078</v>
      </c>
    </row>
    <row r="3398">
      <c r="A3398" s="546" t="s">
        <v>439</v>
      </c>
      <c r="B3398" s="512" t="s">
        <v>433</v>
      </c>
      <c r="C3398" s="605">
        <v>46022.0</v>
      </c>
      <c r="D3398" s="512">
        <v>3.2586222689E10</v>
      </c>
      <c r="E3398" s="606" t="s">
        <v>6078</v>
      </c>
      <c r="F3398" s="607" t="s">
        <v>436</v>
      </c>
      <c r="G3398" s="606" t="s">
        <v>6079</v>
      </c>
      <c r="H3398" s="608" t="s">
        <v>4078</v>
      </c>
    </row>
    <row r="3399">
      <c r="A3399" s="546" t="s">
        <v>617</v>
      </c>
      <c r="B3399" s="512" t="s">
        <v>449</v>
      </c>
      <c r="C3399" s="605">
        <v>46022.0</v>
      </c>
      <c r="D3399" s="512">
        <v>4.0141481171E10</v>
      </c>
      <c r="E3399" s="606" t="s">
        <v>6080</v>
      </c>
      <c r="F3399" s="607" t="s">
        <v>436</v>
      </c>
      <c r="G3399" s="606" t="s">
        <v>5549</v>
      </c>
      <c r="H3399" s="608" t="s">
        <v>696</v>
      </c>
    </row>
    <row r="3400">
      <c r="A3400" s="546" t="s">
        <v>823</v>
      </c>
      <c r="B3400" s="512" t="s">
        <v>449</v>
      </c>
      <c r="C3400" s="605">
        <v>46022.0</v>
      </c>
      <c r="D3400" s="512">
        <v>4.681098061E10</v>
      </c>
      <c r="E3400" s="606" t="s">
        <v>6081</v>
      </c>
      <c r="F3400" s="607" t="s">
        <v>436</v>
      </c>
      <c r="G3400" s="606" t="s">
        <v>5796</v>
      </c>
      <c r="H3400" s="608" t="s">
        <v>4558</v>
      </c>
    </row>
    <row r="3401">
      <c r="A3401" s="546" t="s">
        <v>617</v>
      </c>
      <c r="B3401" s="512" t="s">
        <v>449</v>
      </c>
      <c r="C3401" s="605">
        <v>46022.0</v>
      </c>
      <c r="D3401" s="512">
        <v>4.005572284E10</v>
      </c>
      <c r="E3401" s="606" t="s">
        <v>6082</v>
      </c>
      <c r="F3401" s="607" t="s">
        <v>436</v>
      </c>
      <c r="G3401" s="606" t="s">
        <v>959</v>
      </c>
      <c r="H3401" s="608" t="s">
        <v>696</v>
      </c>
    </row>
    <row r="3402">
      <c r="A3402" s="546" t="s">
        <v>439</v>
      </c>
      <c r="B3402" s="512" t="s">
        <v>449</v>
      </c>
      <c r="C3402" s="605">
        <v>46022.0</v>
      </c>
      <c r="D3402" s="512">
        <v>4.6813138565E10</v>
      </c>
      <c r="E3402" s="606" t="s">
        <v>4165</v>
      </c>
      <c r="F3402" s="607" t="s">
        <v>436</v>
      </c>
      <c r="G3402" s="606" t="s">
        <v>1548</v>
      </c>
      <c r="H3402" s="608" t="s">
        <v>4078</v>
      </c>
    </row>
    <row r="3403">
      <c r="A3403" s="546" t="s">
        <v>439</v>
      </c>
      <c r="B3403" s="512" t="s">
        <v>433</v>
      </c>
      <c r="C3403" s="605">
        <v>46022.0</v>
      </c>
      <c r="D3403" s="512">
        <v>4.3681816086E10</v>
      </c>
      <c r="E3403" s="606" t="s">
        <v>6083</v>
      </c>
      <c r="F3403" s="607" t="s">
        <v>436</v>
      </c>
      <c r="G3403" s="606" t="s">
        <v>2878</v>
      </c>
      <c r="H3403" s="608" t="s">
        <v>4078</v>
      </c>
    </row>
    <row r="3404">
      <c r="A3404" s="546" t="s">
        <v>432</v>
      </c>
      <c r="B3404" s="512" t="s">
        <v>449</v>
      </c>
      <c r="C3404" s="605">
        <v>46022.0</v>
      </c>
      <c r="D3404" s="512">
        <v>4.4247162833E10</v>
      </c>
      <c r="E3404" s="606" t="s">
        <v>6084</v>
      </c>
      <c r="F3404" s="607" t="s">
        <v>436</v>
      </c>
      <c r="G3404" s="606" t="s">
        <v>6085</v>
      </c>
      <c r="H3404" s="608" t="s">
        <v>686</v>
      </c>
    </row>
    <row r="3405">
      <c r="A3405" s="546" t="s">
        <v>432</v>
      </c>
      <c r="B3405" s="512" t="s">
        <v>449</v>
      </c>
      <c r="C3405" s="605">
        <v>46024.0</v>
      </c>
      <c r="D3405" s="512">
        <v>3.746629321E10</v>
      </c>
      <c r="E3405" s="606" t="s">
        <v>6086</v>
      </c>
      <c r="F3405" s="607" t="s">
        <v>436</v>
      </c>
      <c r="G3405" s="606">
        <v>185.0</v>
      </c>
      <c r="H3405" s="608" t="s">
        <v>686</v>
      </c>
    </row>
    <row r="3406">
      <c r="A3406" s="546" t="s">
        <v>432</v>
      </c>
      <c r="B3406" s="512" t="s">
        <v>433</v>
      </c>
      <c r="C3406" s="605">
        <v>46024.0</v>
      </c>
      <c r="D3406" s="512">
        <v>4.4665335838E10</v>
      </c>
      <c r="E3406" s="606" t="s">
        <v>6087</v>
      </c>
      <c r="F3406" s="607" t="s">
        <v>436</v>
      </c>
      <c r="G3406" s="606">
        <v>230.0</v>
      </c>
      <c r="H3406" s="608" t="s">
        <v>686</v>
      </c>
    </row>
    <row r="3407">
      <c r="A3407" s="546" t="s">
        <v>432</v>
      </c>
      <c r="B3407" s="512" t="s">
        <v>449</v>
      </c>
      <c r="C3407" s="605">
        <v>46024.0</v>
      </c>
      <c r="D3407" s="512">
        <v>4.3897284346E10</v>
      </c>
      <c r="E3407" s="606" t="s">
        <v>6088</v>
      </c>
      <c r="F3407" s="607" t="s">
        <v>436</v>
      </c>
      <c r="G3407" s="606">
        <v>503.0</v>
      </c>
      <c r="H3407" s="608" t="s">
        <v>686</v>
      </c>
    </row>
    <row r="3408">
      <c r="A3408" s="546" t="s">
        <v>432</v>
      </c>
      <c r="B3408" s="512" t="s">
        <v>449</v>
      </c>
      <c r="C3408" s="605">
        <v>46024.0</v>
      </c>
      <c r="D3408" s="512">
        <v>4.3897284346E10</v>
      </c>
      <c r="E3408" s="606" t="s">
        <v>6089</v>
      </c>
      <c r="F3408" s="607" t="s">
        <v>436</v>
      </c>
      <c r="G3408" s="606">
        <v>503.0</v>
      </c>
      <c r="H3408" s="608" t="s">
        <v>686</v>
      </c>
    </row>
    <row r="3409">
      <c r="A3409" s="546" t="s">
        <v>432</v>
      </c>
      <c r="B3409" s="512" t="s">
        <v>449</v>
      </c>
      <c r="C3409" s="605">
        <v>46024.0</v>
      </c>
      <c r="D3409" s="512">
        <v>4.7012774837E10</v>
      </c>
      <c r="E3409" s="606" t="s">
        <v>6090</v>
      </c>
      <c r="F3409" s="607" t="s">
        <v>436</v>
      </c>
      <c r="G3409" s="606">
        <v>620.0</v>
      </c>
      <c r="H3409" s="608" t="s">
        <v>686</v>
      </c>
    </row>
    <row r="3410">
      <c r="A3410" s="546" t="s">
        <v>432</v>
      </c>
      <c r="B3410" s="512" t="s">
        <v>433</v>
      </c>
      <c r="C3410" s="605">
        <v>46024.0</v>
      </c>
      <c r="D3410" s="512">
        <v>4.4417628805E10</v>
      </c>
      <c r="E3410" s="606" t="s">
        <v>6091</v>
      </c>
      <c r="F3410" s="607" t="s">
        <v>436</v>
      </c>
      <c r="G3410" s="606">
        <v>821.0</v>
      </c>
      <c r="H3410" s="608" t="s">
        <v>686</v>
      </c>
    </row>
    <row r="3411">
      <c r="A3411" s="546" t="s">
        <v>432</v>
      </c>
      <c r="B3411" s="512" t="s">
        <v>433</v>
      </c>
      <c r="C3411" s="605">
        <v>46024.0</v>
      </c>
      <c r="D3411" s="512">
        <v>3.6282000084E10</v>
      </c>
      <c r="E3411" s="606" t="s">
        <v>6092</v>
      </c>
      <c r="F3411" s="607" t="s">
        <v>436</v>
      </c>
      <c r="G3411" s="606">
        <v>829.0</v>
      </c>
      <c r="H3411" s="608" t="s">
        <v>686</v>
      </c>
    </row>
    <row r="3412">
      <c r="A3412" s="546" t="s">
        <v>432</v>
      </c>
      <c r="B3412" s="512" t="s">
        <v>449</v>
      </c>
      <c r="C3412" s="605">
        <v>46024.0</v>
      </c>
      <c r="D3412" s="512">
        <v>4.442865388E10</v>
      </c>
      <c r="E3412" s="606" t="s">
        <v>6093</v>
      </c>
      <c r="F3412" s="607" t="s">
        <v>436</v>
      </c>
      <c r="G3412" s="606">
        <v>917.0</v>
      </c>
      <c r="H3412" s="608" t="s">
        <v>686</v>
      </c>
    </row>
    <row r="3413">
      <c r="A3413" s="546" t="s">
        <v>432</v>
      </c>
      <c r="B3413" s="512" t="s">
        <v>449</v>
      </c>
      <c r="C3413" s="605">
        <v>46024.0</v>
      </c>
      <c r="D3413" s="512">
        <v>4.3814219944E10</v>
      </c>
      <c r="E3413" s="606" t="s">
        <v>6094</v>
      </c>
      <c r="F3413" s="607" t="s">
        <v>436</v>
      </c>
      <c r="G3413" s="606">
        <v>1070.0</v>
      </c>
      <c r="H3413" s="608" t="s">
        <v>686</v>
      </c>
    </row>
    <row r="3414">
      <c r="A3414" s="546" t="s">
        <v>432</v>
      </c>
      <c r="B3414" s="512" t="s">
        <v>449</v>
      </c>
      <c r="C3414" s="605">
        <v>46024.0</v>
      </c>
      <c r="D3414" s="512">
        <v>4.0078943321E10</v>
      </c>
      <c r="E3414" s="606" t="s">
        <v>6095</v>
      </c>
      <c r="F3414" s="607" t="s">
        <v>436</v>
      </c>
      <c r="G3414" s="606">
        <v>1787.0</v>
      </c>
      <c r="H3414" s="608" t="s">
        <v>686</v>
      </c>
    </row>
    <row r="3415">
      <c r="A3415" s="546" t="s">
        <v>432</v>
      </c>
      <c r="B3415" s="512" t="s">
        <v>449</v>
      </c>
      <c r="C3415" s="605">
        <v>46024.0</v>
      </c>
      <c r="D3415" s="512">
        <v>4.0410225198E10</v>
      </c>
      <c r="E3415" s="606" t="s">
        <v>758</v>
      </c>
      <c r="F3415" s="607" t="s">
        <v>436</v>
      </c>
      <c r="G3415" s="606">
        <v>1876.0</v>
      </c>
      <c r="H3415" s="608" t="s">
        <v>686</v>
      </c>
    </row>
    <row r="3416">
      <c r="A3416" s="546" t="s">
        <v>432</v>
      </c>
      <c r="B3416" s="512" t="s">
        <v>433</v>
      </c>
      <c r="C3416" s="605">
        <v>46024.0</v>
      </c>
      <c r="D3416" s="512">
        <v>4.4090710579E10</v>
      </c>
      <c r="E3416" s="606" t="s">
        <v>6096</v>
      </c>
      <c r="F3416" s="607" t="s">
        <v>436</v>
      </c>
      <c r="G3416" s="606">
        <v>3177.0</v>
      </c>
      <c r="H3416" s="608" t="s">
        <v>686</v>
      </c>
    </row>
    <row r="3417">
      <c r="A3417" s="546" t="s">
        <v>432</v>
      </c>
      <c r="B3417" s="512" t="s">
        <v>449</v>
      </c>
      <c r="C3417" s="605">
        <v>46024.0</v>
      </c>
      <c r="D3417" s="512">
        <v>4.4734330274E10</v>
      </c>
      <c r="E3417" s="606" t="s">
        <v>6097</v>
      </c>
      <c r="F3417" s="607" t="s">
        <v>436</v>
      </c>
      <c r="G3417" s="606">
        <v>3495.0</v>
      </c>
      <c r="H3417" s="608" t="s">
        <v>686</v>
      </c>
    </row>
    <row r="3418">
      <c r="A3418" s="546" t="s">
        <v>439</v>
      </c>
      <c r="B3418" s="512" t="s">
        <v>433</v>
      </c>
      <c r="C3418" s="605">
        <v>46024.0</v>
      </c>
      <c r="D3418" s="512">
        <v>3.3133249678E10</v>
      </c>
      <c r="E3418" s="606" t="s">
        <v>6098</v>
      </c>
      <c r="F3418" s="607" t="s">
        <v>436</v>
      </c>
      <c r="G3418" s="606" t="s">
        <v>6099</v>
      </c>
      <c r="H3418" s="608" t="s">
        <v>4078</v>
      </c>
    </row>
    <row r="3419">
      <c r="A3419" s="546" t="s">
        <v>823</v>
      </c>
      <c r="B3419" s="512" t="s">
        <v>433</v>
      </c>
      <c r="C3419" s="605">
        <v>46024.0</v>
      </c>
      <c r="D3419" s="512">
        <v>3.6835655678E10</v>
      </c>
      <c r="E3419" s="606" t="s">
        <v>6100</v>
      </c>
      <c r="F3419" s="607" t="s">
        <v>436</v>
      </c>
      <c r="G3419" s="606" t="s">
        <v>5316</v>
      </c>
      <c r="H3419" s="608" t="s">
        <v>5817</v>
      </c>
    </row>
    <row r="3420">
      <c r="A3420" s="546" t="s">
        <v>439</v>
      </c>
      <c r="B3420" s="512" t="s">
        <v>433</v>
      </c>
      <c r="C3420" s="605">
        <v>46024.0</v>
      </c>
      <c r="D3420" s="512">
        <v>2.5853142241E10</v>
      </c>
      <c r="E3420" s="606" t="s">
        <v>6101</v>
      </c>
      <c r="F3420" s="607" t="s">
        <v>436</v>
      </c>
      <c r="G3420" s="606" t="s">
        <v>829</v>
      </c>
      <c r="H3420" s="608" t="s">
        <v>4078</v>
      </c>
    </row>
    <row r="3421">
      <c r="A3421" s="546" t="s">
        <v>439</v>
      </c>
      <c r="B3421" s="512" t="s">
        <v>5722</v>
      </c>
      <c r="C3421" s="605">
        <v>46024.0</v>
      </c>
      <c r="D3421" s="512">
        <v>4.5378643357E10</v>
      </c>
      <c r="E3421" s="606" t="s">
        <v>6102</v>
      </c>
      <c r="F3421" s="607" t="s">
        <v>436</v>
      </c>
      <c r="G3421" s="606" t="s">
        <v>6103</v>
      </c>
      <c r="H3421" s="608" t="s">
        <v>4078</v>
      </c>
    </row>
    <row r="3422">
      <c r="A3422" s="546" t="s">
        <v>439</v>
      </c>
      <c r="B3422" s="512" t="s">
        <v>449</v>
      </c>
      <c r="C3422" s="605">
        <v>46024.0</v>
      </c>
      <c r="D3422" s="512">
        <v>4.3397633426E10</v>
      </c>
      <c r="E3422" s="606" t="s">
        <v>5055</v>
      </c>
      <c r="F3422" s="607" t="s">
        <v>436</v>
      </c>
      <c r="G3422" s="606" t="s">
        <v>6104</v>
      </c>
      <c r="H3422" s="608" t="s">
        <v>4078</v>
      </c>
    </row>
    <row r="3423">
      <c r="A3423" s="546" t="s">
        <v>823</v>
      </c>
      <c r="B3423" s="512" t="s">
        <v>433</v>
      </c>
      <c r="C3423" s="605">
        <v>46024.0</v>
      </c>
      <c r="D3423" s="512">
        <v>4.3492727075E10</v>
      </c>
      <c r="E3423" s="606" t="s">
        <v>6105</v>
      </c>
      <c r="F3423" s="607" t="s">
        <v>436</v>
      </c>
      <c r="G3423" s="606" t="s">
        <v>6106</v>
      </c>
      <c r="H3423" s="608" t="s">
        <v>5817</v>
      </c>
    </row>
    <row r="3424">
      <c r="A3424" s="546" t="s">
        <v>439</v>
      </c>
      <c r="B3424" s="512" t="s">
        <v>449</v>
      </c>
      <c r="C3424" s="605">
        <v>46024.0</v>
      </c>
      <c r="D3424" s="512">
        <v>4.4332690994E10</v>
      </c>
      <c r="E3424" s="606" t="s">
        <v>6107</v>
      </c>
      <c r="F3424" s="607" t="s">
        <v>436</v>
      </c>
      <c r="G3424" s="606" t="s">
        <v>6108</v>
      </c>
      <c r="H3424" s="608" t="s">
        <v>4078</v>
      </c>
    </row>
    <row r="3425">
      <c r="A3425" s="546" t="s">
        <v>432</v>
      </c>
      <c r="B3425" s="512" t="s">
        <v>3963</v>
      </c>
      <c r="C3425" s="605">
        <v>46025.0</v>
      </c>
      <c r="D3425" s="512">
        <v>4.3623051366E10</v>
      </c>
      <c r="E3425" s="606" t="s">
        <v>6109</v>
      </c>
      <c r="F3425" s="607" t="s">
        <v>436</v>
      </c>
      <c r="G3425" s="606">
        <v>320.0</v>
      </c>
      <c r="H3425" s="608" t="s">
        <v>686</v>
      </c>
    </row>
    <row r="3426">
      <c r="A3426" s="546" t="s">
        <v>432</v>
      </c>
      <c r="B3426" s="512" t="s">
        <v>3963</v>
      </c>
      <c r="C3426" s="605">
        <v>46025.0</v>
      </c>
      <c r="D3426" s="512">
        <v>4.3431933339E10</v>
      </c>
      <c r="E3426" s="606" t="s">
        <v>6110</v>
      </c>
      <c r="F3426" s="607" t="s">
        <v>436</v>
      </c>
      <c r="G3426" s="606">
        <v>344.0</v>
      </c>
      <c r="H3426" s="608" t="s">
        <v>686</v>
      </c>
    </row>
    <row r="3427">
      <c r="A3427" s="546" t="s">
        <v>432</v>
      </c>
      <c r="B3427" s="512" t="s">
        <v>433</v>
      </c>
      <c r="C3427" s="605">
        <v>46025.0</v>
      </c>
      <c r="D3427" s="512">
        <v>4.6019928158E10</v>
      </c>
      <c r="E3427" s="606" t="s">
        <v>6111</v>
      </c>
      <c r="F3427" s="607" t="s">
        <v>436</v>
      </c>
      <c r="G3427" s="606">
        <v>1599.0</v>
      </c>
      <c r="H3427" s="608" t="s">
        <v>686</v>
      </c>
    </row>
    <row r="3428">
      <c r="A3428" s="546" t="s">
        <v>432</v>
      </c>
      <c r="B3428" s="512" t="s">
        <v>433</v>
      </c>
      <c r="C3428" s="605">
        <v>46025.0</v>
      </c>
      <c r="D3428" s="512">
        <v>4.432204375E10</v>
      </c>
      <c r="E3428" s="606" t="s">
        <v>6112</v>
      </c>
      <c r="F3428" s="607" t="s">
        <v>436</v>
      </c>
      <c r="G3428" s="606">
        <v>2781.0</v>
      </c>
      <c r="H3428" s="608" t="s">
        <v>686</v>
      </c>
    </row>
    <row r="3429">
      <c r="A3429" s="546" t="s">
        <v>432</v>
      </c>
      <c r="B3429" s="512" t="s">
        <v>433</v>
      </c>
      <c r="C3429" s="605">
        <v>46025.0</v>
      </c>
      <c r="D3429" s="512">
        <v>4.4741167601E10</v>
      </c>
      <c r="E3429" s="606" t="s">
        <v>6113</v>
      </c>
      <c r="F3429" s="607" t="s">
        <v>436</v>
      </c>
      <c r="G3429" s="606">
        <v>2871.0</v>
      </c>
      <c r="H3429" s="608" t="s">
        <v>686</v>
      </c>
    </row>
    <row r="3430">
      <c r="A3430" s="546" t="s">
        <v>432</v>
      </c>
      <c r="B3430" s="512" t="s">
        <v>433</v>
      </c>
      <c r="C3430" s="605">
        <v>46025.0</v>
      </c>
      <c r="D3430" s="512">
        <v>4.0579576328E10</v>
      </c>
      <c r="E3430" s="606" t="s">
        <v>6114</v>
      </c>
      <c r="F3430" s="607" t="s">
        <v>436</v>
      </c>
      <c r="G3430" s="606">
        <v>4569.0</v>
      </c>
      <c r="H3430" s="608" t="s">
        <v>686</v>
      </c>
    </row>
    <row r="3431">
      <c r="A3431" s="546" t="s">
        <v>432</v>
      </c>
      <c r="B3431" s="512" t="s">
        <v>433</v>
      </c>
      <c r="C3431" s="605">
        <v>46025.0</v>
      </c>
      <c r="D3431" s="512">
        <v>3.8843082246E10</v>
      </c>
      <c r="E3431" s="606" t="s">
        <v>6115</v>
      </c>
      <c r="F3431" s="607" t="s">
        <v>436</v>
      </c>
      <c r="G3431" s="606">
        <v>4992.0</v>
      </c>
      <c r="H3431" s="608" t="s">
        <v>686</v>
      </c>
    </row>
    <row r="3432">
      <c r="A3432" s="546" t="s">
        <v>432</v>
      </c>
      <c r="B3432" s="512" t="s">
        <v>688</v>
      </c>
      <c r="C3432" s="605">
        <v>46025.0</v>
      </c>
      <c r="D3432" s="512">
        <v>4.0819465887E10</v>
      </c>
      <c r="E3432" s="606" t="s">
        <v>6116</v>
      </c>
      <c r="F3432" s="607" t="s">
        <v>436</v>
      </c>
      <c r="G3432" s="606">
        <v>7099.0</v>
      </c>
      <c r="H3432" s="608" t="s">
        <v>686</v>
      </c>
    </row>
    <row r="3433">
      <c r="A3433" s="546" t="s">
        <v>823</v>
      </c>
      <c r="B3433" s="512" t="s">
        <v>6117</v>
      </c>
      <c r="C3433" s="605">
        <v>46025.0</v>
      </c>
      <c r="D3433" s="512">
        <v>4.284076281E10</v>
      </c>
      <c r="E3433" s="606" t="s">
        <v>5336</v>
      </c>
      <c r="F3433" s="607" t="s">
        <v>436</v>
      </c>
      <c r="G3433" s="606" t="s">
        <v>6118</v>
      </c>
      <c r="H3433" s="608" t="s">
        <v>693</v>
      </c>
    </row>
    <row r="3434">
      <c r="A3434" s="546" t="s">
        <v>823</v>
      </c>
      <c r="B3434" s="512" t="s">
        <v>449</v>
      </c>
      <c r="C3434" s="605">
        <v>46025.0</v>
      </c>
      <c r="D3434" s="512">
        <v>4.4413632348E10</v>
      </c>
      <c r="E3434" s="606" t="s">
        <v>6119</v>
      </c>
      <c r="F3434" s="607" t="s">
        <v>436</v>
      </c>
      <c r="G3434" s="606" t="s">
        <v>1887</v>
      </c>
      <c r="H3434" s="608" t="s">
        <v>693</v>
      </c>
    </row>
    <row r="3435">
      <c r="A3435" s="546" t="s">
        <v>439</v>
      </c>
      <c r="B3435" s="512" t="s">
        <v>433</v>
      </c>
      <c r="C3435" s="605">
        <v>46025.0</v>
      </c>
      <c r="D3435" s="512">
        <v>3.8716512713E10</v>
      </c>
      <c r="E3435" s="606" t="s">
        <v>6120</v>
      </c>
      <c r="F3435" s="607" t="s">
        <v>436</v>
      </c>
      <c r="G3435" s="606" t="s">
        <v>6121</v>
      </c>
      <c r="H3435" s="608" t="s">
        <v>1096</v>
      </c>
    </row>
    <row r="3436">
      <c r="A3436" s="546" t="s">
        <v>439</v>
      </c>
      <c r="B3436" s="512" t="s">
        <v>449</v>
      </c>
      <c r="C3436" s="605">
        <v>46025.0</v>
      </c>
      <c r="D3436" s="512">
        <v>4.3241184458E10</v>
      </c>
      <c r="E3436" s="606" t="s">
        <v>4165</v>
      </c>
      <c r="F3436" s="607" t="s">
        <v>436</v>
      </c>
      <c r="G3436" s="606" t="s">
        <v>5176</v>
      </c>
      <c r="H3436" s="608" t="s">
        <v>1096</v>
      </c>
    </row>
    <row r="3437">
      <c r="A3437" s="546" t="s">
        <v>617</v>
      </c>
      <c r="B3437" s="512" t="s">
        <v>433</v>
      </c>
      <c r="C3437" s="605">
        <v>46025.0</v>
      </c>
      <c r="D3437" s="512">
        <v>3.948148874E10</v>
      </c>
      <c r="E3437" s="606" t="s">
        <v>5759</v>
      </c>
      <c r="F3437" s="607" t="s">
        <v>436</v>
      </c>
      <c r="G3437" s="606" t="s">
        <v>6122</v>
      </c>
      <c r="H3437" s="608" t="s">
        <v>5817</v>
      </c>
    </row>
    <row r="3438">
      <c r="A3438" s="546" t="s">
        <v>439</v>
      </c>
      <c r="B3438" s="512" t="s">
        <v>449</v>
      </c>
      <c r="C3438" s="605">
        <v>46025.0</v>
      </c>
      <c r="D3438" s="512">
        <v>4.4189338149E10</v>
      </c>
      <c r="E3438" s="606" t="s">
        <v>4854</v>
      </c>
      <c r="F3438" s="607" t="s">
        <v>436</v>
      </c>
      <c r="G3438" s="606" t="s">
        <v>1897</v>
      </c>
      <c r="H3438" s="608" t="s">
        <v>1096</v>
      </c>
    </row>
    <row r="3439">
      <c r="A3439" s="546" t="s">
        <v>823</v>
      </c>
      <c r="B3439" s="512" t="s">
        <v>449</v>
      </c>
      <c r="C3439" s="605">
        <v>46025.0</v>
      </c>
      <c r="D3439" s="512"/>
      <c r="E3439" s="606" t="s">
        <v>4165</v>
      </c>
      <c r="F3439" s="607" t="s">
        <v>436</v>
      </c>
      <c r="G3439" s="606" t="s">
        <v>6123</v>
      </c>
      <c r="H3439" s="608" t="s">
        <v>693</v>
      </c>
    </row>
    <row r="3440">
      <c r="A3440" s="546" t="s">
        <v>617</v>
      </c>
      <c r="B3440" s="512" t="s">
        <v>433</v>
      </c>
      <c r="C3440" s="605">
        <v>46025.0</v>
      </c>
      <c r="D3440" s="512">
        <v>4.6679012525E10</v>
      </c>
      <c r="E3440" s="606" t="s">
        <v>5336</v>
      </c>
      <c r="F3440" s="607" t="s">
        <v>436</v>
      </c>
      <c r="G3440" s="606" t="s">
        <v>6124</v>
      </c>
      <c r="H3440" s="608" t="s">
        <v>5817</v>
      </c>
    </row>
    <row r="3441">
      <c r="A3441" s="546" t="s">
        <v>617</v>
      </c>
      <c r="B3441" s="512" t="s">
        <v>433</v>
      </c>
      <c r="C3441" s="605">
        <v>46025.0</v>
      </c>
      <c r="D3441" s="512">
        <v>3.2950770193E10</v>
      </c>
      <c r="E3441" s="606" t="s">
        <v>5656</v>
      </c>
      <c r="F3441" s="607" t="s">
        <v>436</v>
      </c>
      <c r="G3441" s="606" t="s">
        <v>3253</v>
      </c>
      <c r="H3441" s="608" t="s">
        <v>5817</v>
      </c>
    </row>
    <row r="3442">
      <c r="A3442" s="546" t="s">
        <v>617</v>
      </c>
      <c r="B3442" s="512" t="s">
        <v>449</v>
      </c>
      <c r="C3442" s="605">
        <v>46026.0</v>
      </c>
      <c r="D3442" s="512">
        <v>4.691765594E10</v>
      </c>
      <c r="E3442" s="606" t="s">
        <v>5109</v>
      </c>
      <c r="F3442" s="607" t="s">
        <v>436</v>
      </c>
      <c r="G3442" s="606" t="s">
        <v>1924</v>
      </c>
      <c r="H3442" s="608" t="s">
        <v>5817</v>
      </c>
    </row>
    <row r="3443">
      <c r="A3443" s="546" t="s">
        <v>432</v>
      </c>
      <c r="B3443" s="512" t="s">
        <v>433</v>
      </c>
      <c r="C3443" s="605">
        <v>46026.0</v>
      </c>
      <c r="D3443" s="512">
        <v>3.433798324E10</v>
      </c>
      <c r="E3443" s="606" t="s">
        <v>6125</v>
      </c>
      <c r="F3443" s="607" t="s">
        <v>436</v>
      </c>
      <c r="G3443" s="606" t="s">
        <v>5904</v>
      </c>
      <c r="H3443" s="608" t="s">
        <v>438</v>
      </c>
    </row>
    <row r="3444">
      <c r="A3444" s="546" t="s">
        <v>432</v>
      </c>
      <c r="B3444" s="512" t="s">
        <v>433</v>
      </c>
      <c r="C3444" s="605">
        <v>46026.0</v>
      </c>
      <c r="D3444" s="512">
        <v>4.4368388109E10</v>
      </c>
      <c r="E3444" s="606" t="s">
        <v>5228</v>
      </c>
      <c r="F3444" s="607" t="s">
        <v>436</v>
      </c>
      <c r="G3444" s="606" t="s">
        <v>6126</v>
      </c>
      <c r="H3444" s="608" t="s">
        <v>438</v>
      </c>
    </row>
    <row r="3445">
      <c r="A3445" s="546" t="s">
        <v>617</v>
      </c>
      <c r="B3445" s="512" t="s">
        <v>433</v>
      </c>
      <c r="C3445" s="605">
        <v>46026.0</v>
      </c>
      <c r="D3445" s="512">
        <v>4.2563548775E10</v>
      </c>
      <c r="E3445" s="606" t="s">
        <v>5759</v>
      </c>
      <c r="F3445" s="607" t="s">
        <v>436</v>
      </c>
      <c r="G3445" s="606" t="s">
        <v>2823</v>
      </c>
      <c r="H3445" s="608" t="s">
        <v>5817</v>
      </c>
    </row>
    <row r="3446">
      <c r="A3446" s="546" t="s">
        <v>823</v>
      </c>
      <c r="B3446" s="512" t="s">
        <v>449</v>
      </c>
      <c r="C3446" s="605">
        <v>46026.0</v>
      </c>
      <c r="D3446" s="512">
        <v>4.4571307862E10</v>
      </c>
      <c r="E3446" s="606" t="s">
        <v>6127</v>
      </c>
      <c r="F3446" s="607" t="s">
        <v>436</v>
      </c>
      <c r="G3446" s="606" t="s">
        <v>6128</v>
      </c>
      <c r="H3446" s="608" t="s">
        <v>4558</v>
      </c>
    </row>
    <row r="3447">
      <c r="A3447" s="546" t="s">
        <v>823</v>
      </c>
      <c r="B3447" s="512" t="s">
        <v>433</v>
      </c>
      <c r="C3447" s="605">
        <v>46026.0</v>
      </c>
      <c r="D3447" s="512">
        <v>4.2500948003E10</v>
      </c>
      <c r="E3447" s="606" t="s">
        <v>4165</v>
      </c>
      <c r="F3447" s="607" t="s">
        <v>436</v>
      </c>
      <c r="G3447" s="606" t="s">
        <v>3937</v>
      </c>
      <c r="H3447" s="608" t="s">
        <v>4558</v>
      </c>
    </row>
    <row r="3448">
      <c r="A3448" s="546" t="s">
        <v>432</v>
      </c>
      <c r="B3448" s="512" t="s">
        <v>449</v>
      </c>
      <c r="C3448" s="605">
        <v>46026.0</v>
      </c>
      <c r="D3448" s="512">
        <v>4.4799299356E10</v>
      </c>
      <c r="E3448" s="606" t="s">
        <v>6129</v>
      </c>
      <c r="F3448" s="607" t="s">
        <v>436</v>
      </c>
      <c r="G3448" s="606" t="s">
        <v>6130</v>
      </c>
      <c r="H3448" s="608" t="s">
        <v>438</v>
      </c>
    </row>
    <row r="3449">
      <c r="A3449" s="546" t="s">
        <v>617</v>
      </c>
      <c r="B3449" s="512" t="s">
        <v>433</v>
      </c>
      <c r="C3449" s="605">
        <v>46026.0</v>
      </c>
      <c r="D3449" s="512">
        <v>4.6927304218E10</v>
      </c>
      <c r="E3449" s="606" t="s">
        <v>6131</v>
      </c>
      <c r="F3449" s="607" t="s">
        <v>436</v>
      </c>
      <c r="G3449" s="606" t="s">
        <v>5918</v>
      </c>
      <c r="H3449" s="608" t="s">
        <v>5817</v>
      </c>
    </row>
    <row r="3450">
      <c r="A3450" s="546" t="s">
        <v>432</v>
      </c>
      <c r="B3450" s="512" t="s">
        <v>449</v>
      </c>
      <c r="C3450" s="605">
        <v>46026.0</v>
      </c>
      <c r="D3450" s="512">
        <v>4.3431933355E10</v>
      </c>
      <c r="E3450" s="606" t="s">
        <v>6132</v>
      </c>
      <c r="F3450" s="607" t="s">
        <v>436</v>
      </c>
      <c r="G3450" s="606" t="s">
        <v>1012</v>
      </c>
      <c r="H3450" s="608" t="s">
        <v>438</v>
      </c>
    </row>
    <row r="3451">
      <c r="A3451" s="546" t="s">
        <v>432</v>
      </c>
      <c r="B3451" s="512" t="s">
        <v>449</v>
      </c>
      <c r="C3451" s="605">
        <v>46026.0</v>
      </c>
      <c r="D3451" s="512">
        <v>4.143111445E10</v>
      </c>
      <c r="E3451" s="606" t="s">
        <v>4239</v>
      </c>
      <c r="F3451" s="607" t="s">
        <v>436</v>
      </c>
      <c r="G3451" s="606" t="s">
        <v>2810</v>
      </c>
      <c r="H3451" s="608" t="s">
        <v>438</v>
      </c>
    </row>
    <row r="3452">
      <c r="A3452" s="546" t="s">
        <v>617</v>
      </c>
      <c r="B3452" s="512" t="s">
        <v>449</v>
      </c>
      <c r="C3452" s="605">
        <v>46026.0</v>
      </c>
      <c r="D3452" s="512">
        <v>4.2883412274E10</v>
      </c>
      <c r="E3452" s="606" t="s">
        <v>4165</v>
      </c>
      <c r="F3452" s="607" t="s">
        <v>436</v>
      </c>
      <c r="G3452" s="606" t="s">
        <v>1427</v>
      </c>
      <c r="H3452" s="608" t="s">
        <v>5817</v>
      </c>
    </row>
    <row r="3453">
      <c r="A3453" s="546" t="s">
        <v>432</v>
      </c>
      <c r="B3453" s="512" t="s">
        <v>449</v>
      </c>
      <c r="C3453" s="605">
        <v>46026.0</v>
      </c>
      <c r="D3453" s="512">
        <v>4.4692651409E10</v>
      </c>
      <c r="E3453" s="606" t="s">
        <v>5228</v>
      </c>
      <c r="F3453" s="607" t="s">
        <v>436</v>
      </c>
      <c r="G3453" s="606" t="s">
        <v>6133</v>
      </c>
      <c r="H3453" s="608" t="s">
        <v>438</v>
      </c>
    </row>
    <row r="3454">
      <c r="A3454" s="546" t="s">
        <v>823</v>
      </c>
      <c r="B3454" s="512" t="s">
        <v>433</v>
      </c>
      <c r="C3454" s="605">
        <v>46026.0</v>
      </c>
      <c r="D3454" s="512">
        <v>4.2982584756E10</v>
      </c>
      <c r="E3454" s="606" t="s">
        <v>6134</v>
      </c>
      <c r="F3454" s="607" t="s">
        <v>436</v>
      </c>
      <c r="G3454" s="606"/>
      <c r="H3454" s="608" t="s">
        <v>4558</v>
      </c>
    </row>
    <row r="3455">
      <c r="A3455" s="546" t="s">
        <v>823</v>
      </c>
      <c r="B3455" s="512" t="s">
        <v>449</v>
      </c>
      <c r="C3455" s="605">
        <v>46027.0</v>
      </c>
      <c r="D3455" s="512">
        <v>3.5931651917E10</v>
      </c>
      <c r="E3455" s="606" t="s">
        <v>6135</v>
      </c>
      <c r="F3455" s="607" t="s">
        <v>436</v>
      </c>
      <c r="G3455" s="606" t="s">
        <v>2247</v>
      </c>
      <c r="H3455" s="608" t="s">
        <v>4558</v>
      </c>
    </row>
    <row r="3456">
      <c r="A3456" s="546" t="s">
        <v>439</v>
      </c>
      <c r="B3456" s="512" t="s">
        <v>449</v>
      </c>
      <c r="C3456" s="605">
        <v>46027.0</v>
      </c>
      <c r="D3456" s="512">
        <v>4.4353695225E10</v>
      </c>
      <c r="E3456" s="606" t="s">
        <v>6136</v>
      </c>
      <c r="F3456" s="607" t="s">
        <v>436</v>
      </c>
      <c r="G3456" s="606" t="s">
        <v>6137</v>
      </c>
      <c r="H3456" s="608" t="s">
        <v>4078</v>
      </c>
    </row>
    <row r="3457">
      <c r="A3457" s="546" t="s">
        <v>690</v>
      </c>
      <c r="B3457" s="512" t="s">
        <v>449</v>
      </c>
      <c r="C3457" s="605">
        <v>46027.0</v>
      </c>
      <c r="D3457" s="512">
        <v>3.6176971946E10</v>
      </c>
      <c r="E3457" s="606" t="s">
        <v>6138</v>
      </c>
      <c r="F3457" s="607" t="s">
        <v>436</v>
      </c>
      <c r="G3457" s="606" t="s">
        <v>6139</v>
      </c>
      <c r="H3457" s="608" t="s">
        <v>693</v>
      </c>
    </row>
    <row r="3458">
      <c r="A3458" s="546" t="s">
        <v>432</v>
      </c>
      <c r="B3458" s="512" t="s">
        <v>433</v>
      </c>
      <c r="C3458" s="605">
        <v>46028.0</v>
      </c>
      <c r="D3458" s="512">
        <v>4.2888677233E10</v>
      </c>
      <c r="E3458" s="606" t="s">
        <v>6140</v>
      </c>
      <c r="F3458" s="607" t="s">
        <v>436</v>
      </c>
      <c r="G3458" s="606">
        <v>494.0</v>
      </c>
      <c r="H3458" s="608" t="s">
        <v>686</v>
      </c>
    </row>
    <row r="3459">
      <c r="A3459" s="546" t="s">
        <v>432</v>
      </c>
      <c r="B3459" s="512" t="s">
        <v>449</v>
      </c>
      <c r="C3459" s="605">
        <v>46028.0</v>
      </c>
      <c r="D3459" s="512">
        <v>3.4549668866E10</v>
      </c>
      <c r="E3459" s="606" t="s">
        <v>6141</v>
      </c>
      <c r="F3459" s="607" t="s">
        <v>436</v>
      </c>
      <c r="G3459" s="606">
        <v>862.0</v>
      </c>
      <c r="H3459" s="608" t="s">
        <v>686</v>
      </c>
    </row>
    <row r="3460">
      <c r="A3460" s="546" t="s">
        <v>432</v>
      </c>
      <c r="B3460" s="512" t="s">
        <v>449</v>
      </c>
      <c r="C3460" s="605">
        <v>46028.0</v>
      </c>
      <c r="D3460" s="512">
        <v>4.3641020291E10</v>
      </c>
      <c r="E3460" s="606" t="s">
        <v>5946</v>
      </c>
      <c r="F3460" s="607" t="s">
        <v>436</v>
      </c>
      <c r="G3460" s="606">
        <v>1109.0</v>
      </c>
      <c r="H3460" s="608" t="s">
        <v>686</v>
      </c>
    </row>
    <row r="3461">
      <c r="A3461" s="546" t="s">
        <v>432</v>
      </c>
      <c r="B3461" s="512" t="s">
        <v>433</v>
      </c>
      <c r="C3461" s="605">
        <v>46028.0</v>
      </c>
      <c r="D3461" s="512">
        <v>4.4420478603E10</v>
      </c>
      <c r="E3461" s="606" t="s">
        <v>6142</v>
      </c>
      <c r="F3461" s="607" t="s">
        <v>436</v>
      </c>
      <c r="G3461" s="606">
        <v>1528.0</v>
      </c>
      <c r="H3461" s="608" t="s">
        <v>686</v>
      </c>
    </row>
    <row r="3462">
      <c r="A3462" s="546" t="s">
        <v>432</v>
      </c>
      <c r="B3462" s="512" t="s">
        <v>433</v>
      </c>
      <c r="C3462" s="605">
        <v>46028.0</v>
      </c>
      <c r="D3462" s="512">
        <v>4.1159577817E10</v>
      </c>
      <c r="E3462" s="606" t="s">
        <v>6143</v>
      </c>
      <c r="F3462" s="607" t="s">
        <v>436</v>
      </c>
      <c r="G3462" s="606">
        <v>3433.0</v>
      </c>
      <c r="H3462" s="608" t="s">
        <v>686</v>
      </c>
    </row>
    <row r="3463">
      <c r="A3463" s="546" t="s">
        <v>432</v>
      </c>
      <c r="B3463" s="512" t="s">
        <v>433</v>
      </c>
      <c r="C3463" s="605">
        <v>46028.0</v>
      </c>
      <c r="D3463" s="512">
        <v>4.3192395835E10</v>
      </c>
      <c r="E3463" s="606" t="s">
        <v>6144</v>
      </c>
      <c r="F3463" s="607" t="s">
        <v>436</v>
      </c>
      <c r="G3463" s="606">
        <v>6773.0</v>
      </c>
      <c r="H3463" s="608" t="s">
        <v>686</v>
      </c>
    </row>
    <row r="3464">
      <c r="A3464" s="546" t="s">
        <v>690</v>
      </c>
      <c r="B3464" s="512" t="s">
        <v>449</v>
      </c>
      <c r="C3464" s="605">
        <v>46028.0</v>
      </c>
      <c r="D3464" s="512">
        <v>4.7022555849E10</v>
      </c>
      <c r="E3464" s="606" t="s">
        <v>6145</v>
      </c>
      <c r="F3464" s="607" t="s">
        <v>436</v>
      </c>
      <c r="G3464" s="606" t="s">
        <v>6146</v>
      </c>
      <c r="H3464" s="608" t="s">
        <v>693</v>
      </c>
    </row>
    <row r="3465">
      <c r="A3465" s="546" t="s">
        <v>690</v>
      </c>
      <c r="B3465" s="512" t="s">
        <v>449</v>
      </c>
      <c r="C3465" s="605">
        <v>46029.0</v>
      </c>
      <c r="D3465" s="512">
        <v>4.4407364094E10</v>
      </c>
      <c r="E3465" s="606" t="s">
        <v>4824</v>
      </c>
      <c r="F3465" s="607" t="s">
        <v>436</v>
      </c>
      <c r="G3465" s="606">
        <v>356.0</v>
      </c>
      <c r="H3465" s="608" t="s">
        <v>6147</v>
      </c>
    </row>
    <row r="3466">
      <c r="A3466" s="546" t="s">
        <v>432</v>
      </c>
      <c r="B3466" s="512" t="s">
        <v>433</v>
      </c>
      <c r="C3466" s="605">
        <v>46029.0</v>
      </c>
      <c r="D3466" s="512">
        <v>4.6722205195E10</v>
      </c>
      <c r="E3466" s="606" t="s">
        <v>6148</v>
      </c>
      <c r="F3466" s="607" t="s">
        <v>436</v>
      </c>
      <c r="G3466" s="606">
        <v>430.0</v>
      </c>
      <c r="H3466" s="608" t="s">
        <v>686</v>
      </c>
    </row>
    <row r="3467">
      <c r="A3467" s="546" t="s">
        <v>690</v>
      </c>
      <c r="B3467" s="512" t="s">
        <v>433</v>
      </c>
      <c r="C3467" s="605">
        <v>46029.0</v>
      </c>
      <c r="D3467" s="512">
        <v>4.6795378051E10</v>
      </c>
      <c r="E3467" s="606" t="s">
        <v>6149</v>
      </c>
      <c r="F3467" s="607" t="s">
        <v>436</v>
      </c>
      <c r="G3467" s="606">
        <v>556.0</v>
      </c>
      <c r="H3467" s="608" t="s">
        <v>6147</v>
      </c>
    </row>
    <row r="3468">
      <c r="A3468" s="546" t="s">
        <v>432</v>
      </c>
      <c r="B3468" s="512" t="s">
        <v>433</v>
      </c>
      <c r="C3468" s="605">
        <v>46029.0</v>
      </c>
      <c r="D3468" s="512">
        <v>4.4668693322E10</v>
      </c>
      <c r="E3468" s="606" t="s">
        <v>6150</v>
      </c>
      <c r="F3468" s="607" t="s">
        <v>436</v>
      </c>
      <c r="G3468" s="606">
        <v>952.0</v>
      </c>
      <c r="H3468" s="608" t="s">
        <v>686</v>
      </c>
    </row>
    <row r="3469">
      <c r="A3469" s="546" t="s">
        <v>432</v>
      </c>
      <c r="B3469" s="512" t="s">
        <v>433</v>
      </c>
      <c r="C3469" s="605">
        <v>46029.0</v>
      </c>
      <c r="D3469" s="512">
        <v>4.4487332818E10</v>
      </c>
      <c r="E3469" s="606" t="s">
        <v>4979</v>
      </c>
      <c r="F3469" s="607" t="s">
        <v>436</v>
      </c>
      <c r="G3469" s="606">
        <v>1067.0</v>
      </c>
      <c r="H3469" s="608" t="s">
        <v>686</v>
      </c>
    </row>
    <row r="3470">
      <c r="A3470" s="546" t="s">
        <v>432</v>
      </c>
      <c r="B3470" s="512" t="s">
        <v>449</v>
      </c>
      <c r="C3470" s="605">
        <v>46029.0</v>
      </c>
      <c r="D3470" s="512">
        <v>4.4493766141E10</v>
      </c>
      <c r="E3470" s="606" t="s">
        <v>4866</v>
      </c>
      <c r="F3470" s="607" t="s">
        <v>436</v>
      </c>
      <c r="G3470" s="606">
        <v>3825.0</v>
      </c>
      <c r="H3470" s="608" t="s">
        <v>686</v>
      </c>
    </row>
    <row r="3471">
      <c r="A3471" s="546" t="s">
        <v>432</v>
      </c>
      <c r="B3471" s="512" t="s">
        <v>449</v>
      </c>
      <c r="C3471" s="605">
        <v>46029.0</v>
      </c>
      <c r="D3471" s="512">
        <v>4.4493766137E10</v>
      </c>
      <c r="E3471" s="606" t="s">
        <v>4866</v>
      </c>
      <c r="F3471" s="607" t="s">
        <v>436</v>
      </c>
      <c r="G3471" s="606">
        <v>3996.0</v>
      </c>
      <c r="H3471" s="608" t="s">
        <v>686</v>
      </c>
    </row>
    <row r="3472">
      <c r="A3472" s="546" t="s">
        <v>432</v>
      </c>
      <c r="B3472" s="512" t="s">
        <v>433</v>
      </c>
      <c r="C3472" s="605">
        <v>46029.0</v>
      </c>
      <c r="D3472" s="512">
        <v>4.7008404709E10</v>
      </c>
      <c r="E3472" s="606" t="s">
        <v>6151</v>
      </c>
      <c r="F3472" s="607" t="s">
        <v>436</v>
      </c>
      <c r="G3472" s="606">
        <v>4784.0</v>
      </c>
      <c r="H3472" s="608" t="s">
        <v>686</v>
      </c>
    </row>
    <row r="3473">
      <c r="A3473" s="546" t="s">
        <v>432</v>
      </c>
      <c r="B3473" s="512" t="s">
        <v>449</v>
      </c>
      <c r="C3473" s="605">
        <v>46029.0</v>
      </c>
      <c r="D3473" s="512">
        <v>4.7353851522E10</v>
      </c>
      <c r="E3473" s="606" t="s">
        <v>4866</v>
      </c>
      <c r="F3473" s="607" t="s">
        <v>436</v>
      </c>
      <c r="G3473" s="606">
        <v>6526.0</v>
      </c>
      <c r="H3473" s="608" t="s">
        <v>686</v>
      </c>
    </row>
    <row r="3474">
      <c r="A3474" s="546" t="s">
        <v>823</v>
      </c>
      <c r="B3474" s="512" t="s">
        <v>433</v>
      </c>
      <c r="C3474" s="605">
        <v>46029.0</v>
      </c>
      <c r="D3474" s="512">
        <v>4.4633772204E10</v>
      </c>
      <c r="E3474" s="606" t="s">
        <v>6068</v>
      </c>
      <c r="F3474" s="607" t="s">
        <v>436</v>
      </c>
      <c r="G3474" s="606" t="s">
        <v>6152</v>
      </c>
      <c r="H3474" s="608" t="s">
        <v>6153</v>
      </c>
    </row>
    <row r="3475">
      <c r="A3475" s="546" t="s">
        <v>617</v>
      </c>
      <c r="B3475" s="512" t="s">
        <v>688</v>
      </c>
      <c r="C3475" s="605">
        <v>46029.0</v>
      </c>
      <c r="D3475" s="512">
        <v>4.4481471278E10</v>
      </c>
      <c r="E3475" s="606" t="s">
        <v>6154</v>
      </c>
      <c r="F3475" s="607" t="s">
        <v>436</v>
      </c>
      <c r="G3475" s="606" t="s">
        <v>4227</v>
      </c>
      <c r="H3475" s="608" t="s">
        <v>5817</v>
      </c>
    </row>
    <row r="3476">
      <c r="A3476" s="546" t="s">
        <v>439</v>
      </c>
      <c r="B3476" s="512" t="s">
        <v>449</v>
      </c>
      <c r="C3476" s="605">
        <v>46029.0</v>
      </c>
      <c r="D3476" s="512">
        <v>3.91511058E10</v>
      </c>
      <c r="E3476" s="606" t="s">
        <v>6155</v>
      </c>
      <c r="F3476" s="607" t="s">
        <v>436</v>
      </c>
      <c r="G3476" s="606" t="s">
        <v>448</v>
      </c>
      <c r="H3476" s="608" t="s">
        <v>5817</v>
      </c>
    </row>
    <row r="3477">
      <c r="A3477" s="546" t="s">
        <v>617</v>
      </c>
      <c r="B3477" s="512" t="s">
        <v>433</v>
      </c>
      <c r="C3477" s="605">
        <v>46029.0</v>
      </c>
      <c r="D3477" s="512">
        <v>4.7016078809E10</v>
      </c>
      <c r="E3477" s="606" t="s">
        <v>6068</v>
      </c>
      <c r="F3477" s="607" t="s">
        <v>436</v>
      </c>
      <c r="G3477" s="606" t="s">
        <v>6156</v>
      </c>
      <c r="H3477" s="608" t="s">
        <v>5817</v>
      </c>
    </row>
    <row r="3478">
      <c r="A3478" s="546" t="s">
        <v>617</v>
      </c>
      <c r="B3478" s="512" t="s">
        <v>433</v>
      </c>
      <c r="C3478" s="605">
        <v>46029.0</v>
      </c>
      <c r="D3478" s="512">
        <v>4.1151978589E10</v>
      </c>
      <c r="E3478" s="606" t="s">
        <v>5759</v>
      </c>
      <c r="F3478" s="607" t="s">
        <v>436</v>
      </c>
      <c r="G3478" s="606" t="s">
        <v>6157</v>
      </c>
      <c r="H3478" s="608" t="s">
        <v>5817</v>
      </c>
    </row>
    <row r="3479">
      <c r="A3479" s="546" t="s">
        <v>823</v>
      </c>
      <c r="B3479" s="512" t="s">
        <v>449</v>
      </c>
      <c r="C3479" s="605">
        <v>46029.0</v>
      </c>
      <c r="D3479" s="512">
        <v>4.461545767E10</v>
      </c>
      <c r="E3479" s="606" t="s">
        <v>6158</v>
      </c>
      <c r="F3479" s="607" t="s">
        <v>436</v>
      </c>
      <c r="G3479" s="606" t="s">
        <v>1351</v>
      </c>
      <c r="H3479" s="608" t="s">
        <v>1647</v>
      </c>
    </row>
    <row r="3480">
      <c r="A3480" s="546" t="s">
        <v>690</v>
      </c>
      <c r="B3480" s="512" t="s">
        <v>449</v>
      </c>
      <c r="C3480" s="605">
        <v>46029.0</v>
      </c>
      <c r="D3480" s="512">
        <v>3.0505713093E10</v>
      </c>
      <c r="E3480" s="606" t="s">
        <v>6159</v>
      </c>
      <c r="F3480" s="607" t="s">
        <v>436</v>
      </c>
      <c r="G3480" s="606"/>
      <c r="H3480" s="608" t="s">
        <v>6147</v>
      </c>
    </row>
    <row r="3481">
      <c r="A3481" s="546" t="s">
        <v>432</v>
      </c>
      <c r="B3481" s="512" t="s">
        <v>433</v>
      </c>
      <c r="C3481" s="605">
        <v>46030.0</v>
      </c>
      <c r="D3481" s="512">
        <v>4.6234137811E10</v>
      </c>
      <c r="E3481" s="606" t="s">
        <v>6160</v>
      </c>
      <c r="F3481" s="607" t="s">
        <v>436</v>
      </c>
      <c r="G3481" s="606">
        <v>193.0</v>
      </c>
      <c r="H3481" s="608" t="s">
        <v>686</v>
      </c>
    </row>
    <row r="3482">
      <c r="A3482" s="546" t="s">
        <v>432</v>
      </c>
      <c r="B3482" s="512" t="s">
        <v>449</v>
      </c>
      <c r="C3482" s="605">
        <v>46030.0</v>
      </c>
      <c r="D3482" s="512">
        <v>4.3025489713E10</v>
      </c>
      <c r="E3482" s="606" t="s">
        <v>4824</v>
      </c>
      <c r="F3482" s="607" t="s">
        <v>436</v>
      </c>
      <c r="G3482" s="606">
        <v>409.0</v>
      </c>
      <c r="H3482" s="608" t="s">
        <v>686</v>
      </c>
    </row>
    <row r="3483">
      <c r="A3483" s="546" t="s">
        <v>432</v>
      </c>
      <c r="B3483" s="512" t="s">
        <v>449</v>
      </c>
      <c r="C3483" s="605">
        <v>46030.0</v>
      </c>
      <c r="D3483" s="512">
        <v>3.8889289639E10</v>
      </c>
      <c r="E3483" s="606" t="s">
        <v>6161</v>
      </c>
      <c r="F3483" s="607" t="s">
        <v>436</v>
      </c>
      <c r="G3483" s="606">
        <v>490.0</v>
      </c>
      <c r="H3483" s="608" t="s">
        <v>686</v>
      </c>
    </row>
    <row r="3484">
      <c r="A3484" s="546" t="s">
        <v>432</v>
      </c>
      <c r="B3484" s="512" t="s">
        <v>433</v>
      </c>
      <c r="C3484" s="605">
        <v>46030.0</v>
      </c>
      <c r="D3484" s="512">
        <v>4.2974273747E10</v>
      </c>
      <c r="E3484" s="606" t="s">
        <v>6162</v>
      </c>
      <c r="F3484" s="607" t="s">
        <v>436</v>
      </c>
      <c r="G3484" s="606">
        <v>808.0</v>
      </c>
      <c r="H3484" s="608" t="s">
        <v>686</v>
      </c>
    </row>
    <row r="3485">
      <c r="A3485" s="546" t="s">
        <v>432</v>
      </c>
      <c r="B3485" s="512" t="s">
        <v>433</v>
      </c>
      <c r="C3485" s="605">
        <v>46030.0</v>
      </c>
      <c r="D3485" s="512">
        <v>4.2969158764E10</v>
      </c>
      <c r="E3485" s="606" t="s">
        <v>6163</v>
      </c>
      <c r="F3485" s="607" t="s">
        <v>436</v>
      </c>
      <c r="G3485" s="606">
        <v>1564.0</v>
      </c>
      <c r="H3485" s="608" t="s">
        <v>686</v>
      </c>
    </row>
    <row r="3486">
      <c r="A3486" s="546" t="s">
        <v>432</v>
      </c>
      <c r="B3486" s="512" t="s">
        <v>433</v>
      </c>
      <c r="C3486" s="605">
        <v>46030.0</v>
      </c>
      <c r="D3486" s="512">
        <v>4.3534555015E10</v>
      </c>
      <c r="E3486" s="606" t="s">
        <v>6164</v>
      </c>
      <c r="F3486" s="607" t="s">
        <v>436</v>
      </c>
      <c r="G3486" s="606">
        <v>1825.0</v>
      </c>
      <c r="H3486" s="608" t="s">
        <v>686</v>
      </c>
    </row>
    <row r="3487">
      <c r="A3487" s="546" t="s">
        <v>432</v>
      </c>
      <c r="B3487" s="512" t="s">
        <v>449</v>
      </c>
      <c r="C3487" s="605">
        <v>46030.0</v>
      </c>
      <c r="D3487" s="512">
        <v>4.2759062538E10</v>
      </c>
      <c r="E3487" s="606" t="s">
        <v>6165</v>
      </c>
      <c r="F3487" s="607" t="s">
        <v>436</v>
      </c>
      <c r="G3487" s="606">
        <v>2884.0</v>
      </c>
      <c r="H3487" s="608" t="s">
        <v>686</v>
      </c>
    </row>
    <row r="3488">
      <c r="A3488" s="546" t="s">
        <v>432</v>
      </c>
      <c r="B3488" s="512" t="s">
        <v>449</v>
      </c>
      <c r="C3488" s="605">
        <v>46030.0</v>
      </c>
      <c r="D3488" s="512">
        <v>4.3235803372E10</v>
      </c>
      <c r="E3488" s="606" t="s">
        <v>6166</v>
      </c>
      <c r="F3488" s="607" t="s">
        <v>436</v>
      </c>
      <c r="G3488" s="606">
        <v>3048.0</v>
      </c>
      <c r="H3488" s="608" t="s">
        <v>686</v>
      </c>
    </row>
    <row r="3489">
      <c r="A3489" s="546" t="s">
        <v>432</v>
      </c>
      <c r="B3489" s="512" t="s">
        <v>449</v>
      </c>
      <c r="C3489" s="605">
        <v>46030.0</v>
      </c>
      <c r="D3489" s="512">
        <v>4.2267575331E10</v>
      </c>
      <c r="E3489" s="606" t="s">
        <v>6167</v>
      </c>
      <c r="F3489" s="607" t="s">
        <v>436</v>
      </c>
      <c r="G3489" s="606">
        <v>3180.0</v>
      </c>
      <c r="H3489" s="608" t="s">
        <v>686</v>
      </c>
    </row>
    <row r="3490">
      <c r="A3490" s="546" t="s">
        <v>432</v>
      </c>
      <c r="B3490" s="512" t="s">
        <v>449</v>
      </c>
      <c r="C3490" s="605">
        <v>46030.0</v>
      </c>
      <c r="D3490" s="512">
        <v>4.7385557659E10</v>
      </c>
      <c r="E3490" s="606" t="s">
        <v>6168</v>
      </c>
      <c r="F3490" s="607" t="s">
        <v>436</v>
      </c>
      <c r="G3490" s="606">
        <v>4033.0</v>
      </c>
      <c r="H3490" s="608" t="s">
        <v>686</v>
      </c>
    </row>
    <row r="3491">
      <c r="A3491" s="546" t="s">
        <v>432</v>
      </c>
      <c r="B3491" s="512" t="s">
        <v>449</v>
      </c>
      <c r="C3491" s="605">
        <v>46030.0</v>
      </c>
      <c r="D3491" s="512">
        <v>4.0988689224E10</v>
      </c>
      <c r="E3491" s="606" t="s">
        <v>6169</v>
      </c>
      <c r="F3491" s="607" t="s">
        <v>436</v>
      </c>
      <c r="G3491" s="606">
        <v>4606.0</v>
      </c>
      <c r="H3491" s="608" t="s">
        <v>686</v>
      </c>
    </row>
    <row r="3492">
      <c r="A3492" s="546" t="s">
        <v>617</v>
      </c>
      <c r="B3492" s="512" t="s">
        <v>449</v>
      </c>
      <c r="C3492" s="605">
        <v>46030.0</v>
      </c>
      <c r="D3492" s="512">
        <v>4.6687942104E10</v>
      </c>
      <c r="E3492" s="606" t="s">
        <v>5109</v>
      </c>
      <c r="F3492" s="607" t="s">
        <v>436</v>
      </c>
      <c r="G3492" s="606" t="s">
        <v>5410</v>
      </c>
      <c r="H3492" s="608" t="s">
        <v>5817</v>
      </c>
    </row>
    <row r="3493">
      <c r="A3493" s="546" t="s">
        <v>823</v>
      </c>
      <c r="B3493" s="512" t="s">
        <v>449</v>
      </c>
      <c r="C3493" s="605">
        <v>46030.0</v>
      </c>
      <c r="D3493" s="512">
        <v>4.2968667059E10</v>
      </c>
      <c r="E3493" s="606" t="s">
        <v>6170</v>
      </c>
      <c r="F3493" s="607" t="s">
        <v>436</v>
      </c>
      <c r="G3493" s="606" t="s">
        <v>6171</v>
      </c>
      <c r="H3493" s="608" t="s">
        <v>693</v>
      </c>
    </row>
    <row r="3494">
      <c r="A3494" s="546" t="s">
        <v>617</v>
      </c>
      <c r="B3494" s="512" t="s">
        <v>449</v>
      </c>
      <c r="C3494" s="605">
        <v>46030.0</v>
      </c>
      <c r="D3494" s="512">
        <v>3.6039399095E10</v>
      </c>
      <c r="E3494" s="606" t="s">
        <v>5759</v>
      </c>
      <c r="F3494" s="607" t="s">
        <v>436</v>
      </c>
      <c r="G3494" s="606" t="s">
        <v>6172</v>
      </c>
      <c r="H3494" s="608" t="s">
        <v>5817</v>
      </c>
    </row>
    <row r="3495">
      <c r="A3495" s="546" t="s">
        <v>617</v>
      </c>
      <c r="B3495" s="512" t="s">
        <v>449</v>
      </c>
      <c r="C3495" s="605">
        <v>46030.0</v>
      </c>
      <c r="D3495" s="512">
        <v>4.4433348509E10</v>
      </c>
      <c r="E3495" s="606" t="s">
        <v>5430</v>
      </c>
      <c r="F3495" s="607" t="s">
        <v>436</v>
      </c>
      <c r="G3495" s="606" t="s">
        <v>6173</v>
      </c>
      <c r="H3495" s="608" t="s">
        <v>5817</v>
      </c>
    </row>
    <row r="3496">
      <c r="A3496" s="546" t="s">
        <v>823</v>
      </c>
      <c r="B3496" s="512" t="s">
        <v>449</v>
      </c>
      <c r="C3496" s="605">
        <v>46030.0</v>
      </c>
      <c r="D3496" s="512">
        <v>4.0980727907E10</v>
      </c>
      <c r="E3496" s="606" t="s">
        <v>6174</v>
      </c>
      <c r="F3496" s="607" t="s">
        <v>436</v>
      </c>
      <c r="G3496" s="606" t="s">
        <v>1720</v>
      </c>
      <c r="H3496" s="608" t="s">
        <v>693</v>
      </c>
    </row>
    <row r="3497">
      <c r="A3497" s="546" t="s">
        <v>439</v>
      </c>
      <c r="B3497" s="512" t="s">
        <v>449</v>
      </c>
      <c r="C3497" s="605">
        <v>46030.0</v>
      </c>
      <c r="D3497" s="512">
        <v>2.9740441601E10</v>
      </c>
      <c r="E3497" s="606" t="s">
        <v>6081</v>
      </c>
      <c r="F3497" s="607" t="s">
        <v>436</v>
      </c>
      <c r="G3497" s="606" t="s">
        <v>3270</v>
      </c>
      <c r="H3497" s="608" t="s">
        <v>623</v>
      </c>
    </row>
    <row r="3498">
      <c r="A3498" s="546" t="s">
        <v>617</v>
      </c>
      <c r="B3498" s="512" t="s">
        <v>433</v>
      </c>
      <c r="C3498" s="605">
        <v>46030.0</v>
      </c>
      <c r="D3498" s="512">
        <v>4.0312695339E10</v>
      </c>
      <c r="E3498" s="606" t="s">
        <v>6068</v>
      </c>
      <c r="F3498" s="607" t="s">
        <v>436</v>
      </c>
      <c r="G3498" s="606" t="s">
        <v>6175</v>
      </c>
      <c r="H3498" s="608" t="s">
        <v>5817</v>
      </c>
    </row>
    <row r="3499">
      <c r="A3499" s="546" t="s">
        <v>432</v>
      </c>
      <c r="B3499" s="512" t="s">
        <v>433</v>
      </c>
      <c r="C3499" s="605">
        <v>46031.0</v>
      </c>
      <c r="D3499" s="512">
        <v>4.4297310822E10</v>
      </c>
      <c r="E3499" s="606" t="s">
        <v>6176</v>
      </c>
      <c r="F3499" s="607" t="s">
        <v>436</v>
      </c>
      <c r="G3499" s="606" t="s">
        <v>3657</v>
      </c>
      <c r="H3499" s="608" t="s">
        <v>438</v>
      </c>
    </row>
    <row r="3500">
      <c r="A3500" s="546" t="s">
        <v>439</v>
      </c>
      <c r="B3500" s="512" t="s">
        <v>449</v>
      </c>
      <c r="C3500" s="605">
        <v>46031.0</v>
      </c>
      <c r="D3500" s="512">
        <v>4.3082040185E10</v>
      </c>
      <c r="E3500" s="606" t="s">
        <v>6177</v>
      </c>
      <c r="F3500" s="607" t="s">
        <v>436</v>
      </c>
      <c r="G3500" s="606" t="s">
        <v>6178</v>
      </c>
      <c r="H3500" s="608" t="s">
        <v>4078</v>
      </c>
    </row>
    <row r="3501">
      <c r="A3501" s="546" t="s">
        <v>439</v>
      </c>
      <c r="B3501" s="512" t="s">
        <v>433</v>
      </c>
      <c r="C3501" s="605">
        <v>46031.0</v>
      </c>
      <c r="D3501" s="512" t="s">
        <v>6179</v>
      </c>
      <c r="E3501" s="606" t="s">
        <v>6180</v>
      </c>
      <c r="F3501" s="607" t="s">
        <v>436</v>
      </c>
      <c r="G3501" s="606" t="s">
        <v>4928</v>
      </c>
      <c r="H3501" s="608" t="s">
        <v>4078</v>
      </c>
    </row>
    <row r="3502">
      <c r="A3502" s="546" t="s">
        <v>432</v>
      </c>
      <c r="B3502" s="512" t="s">
        <v>433</v>
      </c>
      <c r="C3502" s="605">
        <v>46031.0</v>
      </c>
      <c r="D3502" s="512">
        <v>3.5622537929E10</v>
      </c>
      <c r="E3502" s="606" t="s">
        <v>85</v>
      </c>
      <c r="F3502" s="607" t="s">
        <v>436</v>
      </c>
      <c r="G3502" s="606" t="s">
        <v>5688</v>
      </c>
      <c r="H3502" s="608" t="s">
        <v>438</v>
      </c>
    </row>
    <row r="3503">
      <c r="A3503" s="546" t="s">
        <v>432</v>
      </c>
      <c r="B3503" s="512" t="s">
        <v>433</v>
      </c>
      <c r="C3503" s="605">
        <v>46031.0</v>
      </c>
      <c r="D3503" s="512">
        <v>4.3025489713E10</v>
      </c>
      <c r="E3503" s="606" t="s">
        <v>4239</v>
      </c>
      <c r="F3503" s="607" t="s">
        <v>436</v>
      </c>
      <c r="G3503" s="606" t="s">
        <v>2777</v>
      </c>
      <c r="H3503" s="608" t="s">
        <v>438</v>
      </c>
    </row>
    <row r="3504">
      <c r="A3504" s="546" t="s">
        <v>432</v>
      </c>
      <c r="B3504" s="512" t="s">
        <v>433</v>
      </c>
      <c r="C3504" s="605">
        <v>46031.0</v>
      </c>
      <c r="D3504" s="512">
        <v>4.5743813475E10</v>
      </c>
      <c r="E3504" s="606" t="s">
        <v>85</v>
      </c>
      <c r="F3504" s="607" t="s">
        <v>436</v>
      </c>
      <c r="G3504" s="606" t="s">
        <v>2739</v>
      </c>
      <c r="H3504" s="608" t="s">
        <v>438</v>
      </c>
    </row>
    <row r="3505">
      <c r="A3505" s="546" t="s">
        <v>432</v>
      </c>
      <c r="B3505" s="512" t="s">
        <v>433</v>
      </c>
      <c r="C3505" s="605">
        <v>46031.0</v>
      </c>
      <c r="D3505" s="512">
        <v>4.0809903834E10</v>
      </c>
      <c r="E3505" s="606" t="s">
        <v>5759</v>
      </c>
      <c r="F3505" s="607" t="s">
        <v>436</v>
      </c>
      <c r="G3505" s="606" t="s">
        <v>2912</v>
      </c>
      <c r="H3505" s="608" t="s">
        <v>438</v>
      </c>
    </row>
    <row r="3506">
      <c r="A3506" s="546" t="s">
        <v>432</v>
      </c>
      <c r="B3506" s="512" t="s">
        <v>449</v>
      </c>
      <c r="C3506" s="605">
        <v>46031.0</v>
      </c>
      <c r="D3506" s="512">
        <v>3.5040119545E10</v>
      </c>
      <c r="E3506" s="606" t="s">
        <v>4239</v>
      </c>
      <c r="F3506" s="607" t="s">
        <v>436</v>
      </c>
      <c r="G3506" s="606" t="s">
        <v>1257</v>
      </c>
      <c r="H3506" s="608" t="s">
        <v>438</v>
      </c>
    </row>
    <row r="3507">
      <c r="A3507" s="546" t="s">
        <v>432</v>
      </c>
      <c r="B3507" s="512" t="s">
        <v>433</v>
      </c>
      <c r="C3507" s="605">
        <v>46032.0</v>
      </c>
      <c r="D3507" s="512">
        <v>3.5920080624E10</v>
      </c>
      <c r="E3507" s="606" t="s">
        <v>5759</v>
      </c>
      <c r="F3507" s="607" t="s">
        <v>436</v>
      </c>
      <c r="G3507" s="606" t="s">
        <v>1773</v>
      </c>
      <c r="H3507" s="608" t="s">
        <v>438</v>
      </c>
    </row>
    <row r="3508">
      <c r="A3508" s="546" t="s">
        <v>823</v>
      </c>
      <c r="B3508" s="512" t="s">
        <v>449</v>
      </c>
      <c r="C3508" s="605">
        <v>46032.0</v>
      </c>
      <c r="D3508" s="512">
        <v>3.0832782627E10</v>
      </c>
      <c r="E3508" s="606" t="s">
        <v>6181</v>
      </c>
      <c r="F3508" s="607" t="s">
        <v>436</v>
      </c>
      <c r="G3508" s="606" t="s">
        <v>6182</v>
      </c>
      <c r="H3508" s="608" t="s">
        <v>1647</v>
      </c>
    </row>
    <row r="3509">
      <c r="A3509" s="546" t="s">
        <v>432</v>
      </c>
      <c r="B3509" s="512" t="s">
        <v>433</v>
      </c>
      <c r="C3509" s="605">
        <v>46033.0</v>
      </c>
      <c r="D3509" s="512">
        <v>4.4337652533E10</v>
      </c>
      <c r="E3509" s="606" t="s">
        <v>6114</v>
      </c>
      <c r="F3509" s="607" t="s">
        <v>436</v>
      </c>
      <c r="G3509" s="606">
        <v>1772.0</v>
      </c>
      <c r="H3509" s="608" t="s">
        <v>686</v>
      </c>
    </row>
    <row r="3510">
      <c r="A3510" s="546" t="s">
        <v>432</v>
      </c>
      <c r="B3510" s="512" t="s">
        <v>433</v>
      </c>
      <c r="C3510" s="605">
        <v>46033.0</v>
      </c>
      <c r="D3510" s="512">
        <v>3.9220022573E10</v>
      </c>
      <c r="E3510" s="606" t="s">
        <v>6183</v>
      </c>
      <c r="F3510" s="607" t="s">
        <v>436</v>
      </c>
      <c r="G3510" s="606">
        <v>2067.0</v>
      </c>
      <c r="H3510" s="608" t="s">
        <v>686</v>
      </c>
    </row>
    <row r="3511">
      <c r="A3511" s="546" t="s">
        <v>823</v>
      </c>
      <c r="B3511" s="512" t="s">
        <v>433</v>
      </c>
      <c r="C3511" s="605">
        <v>46033.0</v>
      </c>
      <c r="D3511" s="512">
        <v>4.4621648014E10</v>
      </c>
      <c r="E3511" s="606" t="s">
        <v>85</v>
      </c>
      <c r="F3511" s="607" t="s">
        <v>436</v>
      </c>
      <c r="G3511" s="606" t="s">
        <v>6184</v>
      </c>
      <c r="H3511" s="608" t="s">
        <v>438</v>
      </c>
    </row>
    <row r="3512">
      <c r="A3512" s="546" t="s">
        <v>617</v>
      </c>
      <c r="B3512" s="512" t="s">
        <v>433</v>
      </c>
      <c r="C3512" s="605">
        <v>46033.0</v>
      </c>
      <c r="D3512" s="512">
        <v>2.6002041996E10</v>
      </c>
      <c r="E3512" s="606" t="s">
        <v>5759</v>
      </c>
      <c r="F3512" s="607" t="s">
        <v>436</v>
      </c>
      <c r="G3512" s="606" t="s">
        <v>6185</v>
      </c>
      <c r="H3512" s="608" t="s">
        <v>5817</v>
      </c>
    </row>
    <row r="3513">
      <c r="A3513" s="546" t="s">
        <v>439</v>
      </c>
      <c r="B3513" s="512" t="s">
        <v>449</v>
      </c>
      <c r="C3513" s="605">
        <v>46033.0</v>
      </c>
      <c r="D3513" s="512">
        <v>4.570534147E10</v>
      </c>
      <c r="E3513" s="606" t="s">
        <v>6186</v>
      </c>
      <c r="F3513" s="607" t="s">
        <v>436</v>
      </c>
      <c r="G3513" s="606" t="s">
        <v>6187</v>
      </c>
      <c r="H3513" s="608" t="s">
        <v>693</v>
      </c>
    </row>
    <row r="3514">
      <c r="A3514" s="546" t="s">
        <v>617</v>
      </c>
      <c r="B3514" s="512" t="s">
        <v>433</v>
      </c>
      <c r="C3514" s="605">
        <v>46033.0</v>
      </c>
      <c r="D3514" s="512">
        <v>3.5364869042E10</v>
      </c>
      <c r="E3514" s="606" t="s">
        <v>6155</v>
      </c>
      <c r="F3514" s="607" t="s">
        <v>436</v>
      </c>
      <c r="G3514" s="606" t="s">
        <v>829</v>
      </c>
      <c r="H3514" s="608" t="s">
        <v>5817</v>
      </c>
    </row>
    <row r="3515">
      <c r="A3515" s="546" t="s">
        <v>823</v>
      </c>
      <c r="B3515" s="512" t="s">
        <v>433</v>
      </c>
      <c r="C3515" s="605">
        <v>46033.0</v>
      </c>
      <c r="D3515" s="512">
        <v>4.3105768964E10</v>
      </c>
      <c r="E3515" s="619" t="s">
        <v>1641</v>
      </c>
      <c r="F3515" s="607" t="s">
        <v>436</v>
      </c>
      <c r="G3515" s="606" t="s">
        <v>832</v>
      </c>
      <c r="H3515" s="608" t="s">
        <v>438</v>
      </c>
    </row>
    <row r="3516">
      <c r="A3516" s="546" t="s">
        <v>823</v>
      </c>
      <c r="B3516" s="512" t="s">
        <v>433</v>
      </c>
      <c r="C3516" s="605">
        <v>46033.0</v>
      </c>
      <c r="D3516" s="512">
        <v>4.0801668121E10</v>
      </c>
      <c r="E3516" s="606" t="s">
        <v>1641</v>
      </c>
      <c r="F3516" s="607" t="s">
        <v>436</v>
      </c>
      <c r="G3516" s="606" t="s">
        <v>5600</v>
      </c>
      <c r="H3516" s="608" t="s">
        <v>438</v>
      </c>
    </row>
    <row r="3517">
      <c r="A3517" s="546" t="s">
        <v>617</v>
      </c>
      <c r="B3517" s="512" t="s">
        <v>688</v>
      </c>
      <c r="C3517" s="605">
        <v>46033.0</v>
      </c>
      <c r="D3517" s="512">
        <v>3.4074775929E10</v>
      </c>
      <c r="E3517" s="606" t="s">
        <v>6188</v>
      </c>
      <c r="F3517" s="607" t="s">
        <v>436</v>
      </c>
      <c r="G3517" s="606" t="s">
        <v>870</v>
      </c>
      <c r="H3517" s="608" t="s">
        <v>5817</v>
      </c>
    </row>
    <row r="3518">
      <c r="A3518" s="546" t="s">
        <v>439</v>
      </c>
      <c r="B3518" s="512" t="s">
        <v>449</v>
      </c>
      <c r="C3518" s="605">
        <v>46033.0</v>
      </c>
      <c r="D3518" s="512">
        <v>4.7304972834E10</v>
      </c>
      <c r="E3518" s="606" t="s">
        <v>6189</v>
      </c>
      <c r="F3518" s="607" t="s">
        <v>436</v>
      </c>
      <c r="G3518" s="606" t="s">
        <v>2198</v>
      </c>
      <c r="H3518" s="608" t="s">
        <v>693</v>
      </c>
    </row>
    <row r="3519">
      <c r="A3519" s="546" t="s">
        <v>432</v>
      </c>
      <c r="B3519" s="512" t="s">
        <v>3726</v>
      </c>
      <c r="C3519" s="605">
        <v>46034.0</v>
      </c>
      <c r="D3519" s="512">
        <v>4.4463459928E10</v>
      </c>
      <c r="E3519" s="606" t="s">
        <v>6190</v>
      </c>
      <c r="F3519" s="607" t="s">
        <v>436</v>
      </c>
      <c r="G3519" s="606">
        <v>261.0</v>
      </c>
      <c r="H3519" s="608" t="s">
        <v>686</v>
      </c>
    </row>
    <row r="3520">
      <c r="A3520" s="546" t="s">
        <v>432</v>
      </c>
      <c r="B3520" s="512" t="s">
        <v>433</v>
      </c>
      <c r="C3520" s="605">
        <v>46034.0</v>
      </c>
      <c r="D3520" s="512">
        <v>4.3177516363E10</v>
      </c>
      <c r="E3520" s="606" t="s">
        <v>6191</v>
      </c>
      <c r="F3520" s="607" t="s">
        <v>436</v>
      </c>
      <c r="G3520" s="606">
        <v>398.0</v>
      </c>
      <c r="H3520" s="608" t="s">
        <v>686</v>
      </c>
    </row>
    <row r="3521">
      <c r="A3521" s="546" t="s">
        <v>432</v>
      </c>
      <c r="B3521" s="512" t="s">
        <v>3963</v>
      </c>
      <c r="C3521" s="605">
        <v>46034.0</v>
      </c>
      <c r="D3521" s="512">
        <v>4.0577636599E10</v>
      </c>
      <c r="E3521" s="606" t="s">
        <v>6192</v>
      </c>
      <c r="F3521" s="607" t="s">
        <v>436</v>
      </c>
      <c r="G3521" s="606">
        <v>406.0</v>
      </c>
      <c r="H3521" s="608" t="s">
        <v>686</v>
      </c>
    </row>
    <row r="3522">
      <c r="A3522" s="546" t="s">
        <v>432</v>
      </c>
      <c r="B3522" s="512" t="s">
        <v>433</v>
      </c>
      <c r="C3522" s="605">
        <v>46034.0</v>
      </c>
      <c r="D3522" s="512">
        <v>4.3557867615E10</v>
      </c>
      <c r="E3522" s="606" t="s">
        <v>6148</v>
      </c>
      <c r="F3522" s="607" t="s">
        <v>436</v>
      </c>
      <c r="G3522" s="606">
        <v>610.0</v>
      </c>
      <c r="H3522" s="608" t="s">
        <v>686</v>
      </c>
    </row>
    <row r="3523">
      <c r="A3523" s="546" t="s">
        <v>432</v>
      </c>
      <c r="B3523" s="512" t="s">
        <v>449</v>
      </c>
      <c r="C3523" s="605">
        <v>46034.0</v>
      </c>
      <c r="D3523" s="512">
        <v>4.7385861677E10</v>
      </c>
      <c r="E3523" s="606" t="s">
        <v>6193</v>
      </c>
      <c r="F3523" s="607" t="s">
        <v>436</v>
      </c>
      <c r="G3523" s="606">
        <v>1024.0</v>
      </c>
      <c r="H3523" s="608" t="s">
        <v>686</v>
      </c>
    </row>
    <row r="3524">
      <c r="A3524" s="546" t="s">
        <v>432</v>
      </c>
      <c r="B3524" s="512" t="s">
        <v>433</v>
      </c>
      <c r="C3524" s="605">
        <v>46034.0</v>
      </c>
      <c r="D3524" s="512">
        <v>4.4194846071E10</v>
      </c>
      <c r="E3524" s="606" t="s">
        <v>6194</v>
      </c>
      <c r="F3524" s="607" t="s">
        <v>436</v>
      </c>
      <c r="G3524" s="606">
        <v>4832.0</v>
      </c>
      <c r="H3524" s="608" t="s">
        <v>686</v>
      </c>
    </row>
    <row r="3525">
      <c r="A3525" s="546" t="s">
        <v>432</v>
      </c>
      <c r="B3525" s="512" t="s">
        <v>433</v>
      </c>
      <c r="C3525" s="605">
        <v>46034.0</v>
      </c>
      <c r="D3525" s="512">
        <v>4.7299696657E10</v>
      </c>
      <c r="E3525" s="606" t="s">
        <v>6195</v>
      </c>
      <c r="F3525" s="607" t="s">
        <v>436</v>
      </c>
      <c r="G3525" s="606">
        <v>20708.0</v>
      </c>
      <c r="H3525" s="608" t="s">
        <v>686</v>
      </c>
    </row>
    <row r="3526">
      <c r="A3526" s="546" t="s">
        <v>617</v>
      </c>
      <c r="B3526" s="512" t="s">
        <v>433</v>
      </c>
      <c r="C3526" s="605">
        <v>46034.0</v>
      </c>
      <c r="D3526" s="512">
        <v>4.542468295E10</v>
      </c>
      <c r="E3526" s="606" t="s">
        <v>6196</v>
      </c>
      <c r="F3526" s="607" t="s">
        <v>436</v>
      </c>
      <c r="G3526" s="606" t="s">
        <v>6197</v>
      </c>
      <c r="H3526" s="608" t="s">
        <v>5817</v>
      </c>
    </row>
    <row r="3527">
      <c r="A3527" s="546" t="s">
        <v>823</v>
      </c>
      <c r="B3527" s="512" t="s">
        <v>3726</v>
      </c>
      <c r="C3527" s="605">
        <v>46034.0</v>
      </c>
      <c r="D3527" s="512">
        <v>3.1056285767E10</v>
      </c>
      <c r="E3527" s="606" t="s">
        <v>6198</v>
      </c>
      <c r="F3527" s="607" t="s">
        <v>436</v>
      </c>
      <c r="G3527" s="606" t="s">
        <v>1714</v>
      </c>
      <c r="H3527" s="608" t="s">
        <v>4558</v>
      </c>
    </row>
    <row r="3528">
      <c r="A3528" s="546" t="s">
        <v>617</v>
      </c>
      <c r="B3528" s="512" t="s">
        <v>433</v>
      </c>
      <c r="C3528" s="605">
        <v>46034.0</v>
      </c>
      <c r="D3528" s="512">
        <v>3.2412498975E10</v>
      </c>
      <c r="E3528" s="606" t="s">
        <v>5630</v>
      </c>
      <c r="F3528" s="607" t="s">
        <v>436</v>
      </c>
      <c r="G3528" s="606" t="s">
        <v>3072</v>
      </c>
      <c r="H3528" s="608" t="s">
        <v>5817</v>
      </c>
    </row>
    <row r="3529">
      <c r="A3529" s="546" t="s">
        <v>617</v>
      </c>
      <c r="B3529" s="512" t="s">
        <v>433</v>
      </c>
      <c r="C3529" s="605">
        <v>46034.0</v>
      </c>
      <c r="D3529" s="512">
        <v>3.954894431E10</v>
      </c>
      <c r="E3529" s="606" t="s">
        <v>6199</v>
      </c>
      <c r="F3529" s="607" t="s">
        <v>436</v>
      </c>
      <c r="G3529" s="606" t="s">
        <v>6200</v>
      </c>
      <c r="H3529" s="608" t="s">
        <v>5817</v>
      </c>
    </row>
    <row r="3530">
      <c r="A3530" s="546" t="s">
        <v>617</v>
      </c>
      <c r="B3530" s="512" t="s">
        <v>3583</v>
      </c>
      <c r="C3530" s="605">
        <v>46034.0</v>
      </c>
      <c r="D3530" s="512">
        <v>3.9650600225E10</v>
      </c>
      <c r="E3530" s="606" t="s">
        <v>6201</v>
      </c>
      <c r="F3530" s="607" t="s">
        <v>436</v>
      </c>
      <c r="G3530" s="606" t="s">
        <v>6202</v>
      </c>
      <c r="H3530" s="608" t="s">
        <v>5817</v>
      </c>
    </row>
    <row r="3531">
      <c r="A3531" s="546" t="s">
        <v>823</v>
      </c>
      <c r="B3531" s="512" t="s">
        <v>3963</v>
      </c>
      <c r="C3531" s="605">
        <v>46034.0</v>
      </c>
      <c r="D3531" s="512">
        <v>2.599441913E10</v>
      </c>
      <c r="E3531" s="606" t="s">
        <v>5715</v>
      </c>
      <c r="F3531" s="607" t="s">
        <v>436</v>
      </c>
      <c r="G3531" s="606" t="s">
        <v>2392</v>
      </c>
      <c r="H3531" s="608" t="s">
        <v>4558</v>
      </c>
    </row>
    <row r="3532">
      <c r="A3532" s="546" t="s">
        <v>823</v>
      </c>
      <c r="B3532" s="512" t="s">
        <v>433</v>
      </c>
      <c r="C3532" s="605">
        <v>46034.0</v>
      </c>
      <c r="D3532" s="512">
        <v>4.3556847315E10</v>
      </c>
      <c r="E3532" s="606" t="s">
        <v>5383</v>
      </c>
      <c r="F3532" s="607" t="s">
        <v>436</v>
      </c>
      <c r="G3532" s="606" t="s">
        <v>6203</v>
      </c>
      <c r="H3532" s="608" t="s">
        <v>4558</v>
      </c>
    </row>
    <row r="3533">
      <c r="A3533" s="546" t="s">
        <v>823</v>
      </c>
      <c r="B3533" s="512" t="s">
        <v>3726</v>
      </c>
      <c r="C3533" s="605">
        <v>46034.0</v>
      </c>
      <c r="D3533" s="512">
        <v>4.0536646267E10</v>
      </c>
      <c r="E3533" s="606" t="s">
        <v>5228</v>
      </c>
      <c r="F3533" s="607" t="s">
        <v>436</v>
      </c>
      <c r="G3533" s="606" t="s">
        <v>6204</v>
      </c>
      <c r="H3533" s="608" t="s">
        <v>4558</v>
      </c>
    </row>
    <row r="3534">
      <c r="A3534" s="546" t="s">
        <v>432</v>
      </c>
      <c r="B3534" s="512" t="s">
        <v>433</v>
      </c>
      <c r="C3534" s="605">
        <v>46034.0</v>
      </c>
      <c r="D3534" s="512">
        <v>3.3480053399E10</v>
      </c>
      <c r="E3534" s="606" t="s">
        <v>6205</v>
      </c>
      <c r="F3534" s="607" t="s">
        <v>436</v>
      </c>
      <c r="G3534" s="606"/>
      <c r="H3534" s="608" t="s">
        <v>686</v>
      </c>
    </row>
    <row r="3535">
      <c r="A3535" s="546" t="s">
        <v>432</v>
      </c>
      <c r="B3535" s="512" t="s">
        <v>433</v>
      </c>
      <c r="C3535" s="605">
        <v>46035.0</v>
      </c>
      <c r="D3535" s="512">
        <v>3.8680058355E10</v>
      </c>
      <c r="E3535" s="606" t="s">
        <v>4165</v>
      </c>
      <c r="F3535" s="607" t="s">
        <v>436</v>
      </c>
      <c r="G3535" s="606">
        <v>191.0</v>
      </c>
      <c r="H3535" s="608" t="s">
        <v>686</v>
      </c>
    </row>
    <row r="3536">
      <c r="A3536" s="546" t="s">
        <v>432</v>
      </c>
      <c r="B3536" s="512" t="s">
        <v>433</v>
      </c>
      <c r="C3536" s="605">
        <v>46035.0</v>
      </c>
      <c r="D3536" s="512">
        <v>4.2815401275E10</v>
      </c>
      <c r="E3536" s="606" t="s">
        <v>6119</v>
      </c>
      <c r="F3536" s="607" t="s">
        <v>436</v>
      </c>
      <c r="G3536" s="606">
        <v>463.0</v>
      </c>
      <c r="H3536" s="608" t="s">
        <v>686</v>
      </c>
    </row>
    <row r="3537">
      <c r="A3537" s="546" t="s">
        <v>432</v>
      </c>
      <c r="B3537" s="512" t="s">
        <v>433</v>
      </c>
      <c r="C3537" s="605">
        <v>46035.0</v>
      </c>
      <c r="D3537" s="512">
        <v>4.2928551972E10</v>
      </c>
      <c r="E3537" s="606" t="s">
        <v>5630</v>
      </c>
      <c r="F3537" s="607" t="s">
        <v>436</v>
      </c>
      <c r="G3537" s="606">
        <v>481.0</v>
      </c>
      <c r="H3537" s="608" t="s">
        <v>686</v>
      </c>
    </row>
    <row r="3538">
      <c r="A3538" s="546" t="s">
        <v>432</v>
      </c>
      <c r="B3538" s="512" t="s">
        <v>433</v>
      </c>
      <c r="C3538" s="605">
        <v>46035.0</v>
      </c>
      <c r="D3538" s="512">
        <v>3.233190055E10</v>
      </c>
      <c r="E3538" s="606" t="s">
        <v>6119</v>
      </c>
      <c r="F3538" s="607" t="s">
        <v>436</v>
      </c>
      <c r="G3538" s="606">
        <v>944.0</v>
      </c>
      <c r="H3538" s="608" t="s">
        <v>686</v>
      </c>
    </row>
    <row r="3539">
      <c r="A3539" s="546" t="s">
        <v>432</v>
      </c>
      <c r="B3539" s="512" t="s">
        <v>433</v>
      </c>
      <c r="C3539" s="605">
        <v>46035.0</v>
      </c>
      <c r="D3539" s="512">
        <v>3.2589117029E10</v>
      </c>
      <c r="E3539" s="606" t="s">
        <v>6206</v>
      </c>
      <c r="F3539" s="607" t="s">
        <v>436</v>
      </c>
      <c r="G3539" s="606">
        <v>1489.0</v>
      </c>
      <c r="H3539" s="608" t="s">
        <v>686</v>
      </c>
    </row>
    <row r="3540">
      <c r="A3540" s="546" t="s">
        <v>432</v>
      </c>
      <c r="B3540" s="512" t="s">
        <v>433</v>
      </c>
      <c r="C3540" s="605">
        <v>46035.0</v>
      </c>
      <c r="D3540" s="512">
        <v>4.3334829342E10</v>
      </c>
      <c r="E3540" s="606" t="s">
        <v>4854</v>
      </c>
      <c r="F3540" s="607" t="s">
        <v>436</v>
      </c>
      <c r="G3540" s="606">
        <v>3309.0</v>
      </c>
      <c r="H3540" s="608" t="s">
        <v>686</v>
      </c>
    </row>
    <row r="3541">
      <c r="A3541" s="546" t="s">
        <v>432</v>
      </c>
      <c r="B3541" s="512" t="s">
        <v>449</v>
      </c>
      <c r="C3541" s="605">
        <v>46035.0</v>
      </c>
      <c r="D3541" s="512">
        <v>4.2227765247E10</v>
      </c>
      <c r="E3541" s="606" t="s">
        <v>5253</v>
      </c>
      <c r="F3541" s="607" t="s">
        <v>436</v>
      </c>
      <c r="G3541" s="606">
        <v>6255.0</v>
      </c>
      <c r="H3541" s="608" t="s">
        <v>686</v>
      </c>
    </row>
    <row r="3542">
      <c r="A3542" s="546" t="s">
        <v>432</v>
      </c>
      <c r="B3542" s="512" t="s">
        <v>449</v>
      </c>
      <c r="C3542" s="605">
        <v>46035.0</v>
      </c>
      <c r="D3542" s="512">
        <v>4.7532648125E10</v>
      </c>
      <c r="E3542" s="606" t="s">
        <v>5656</v>
      </c>
      <c r="F3542" s="607" t="s">
        <v>436</v>
      </c>
      <c r="G3542" s="606">
        <v>6800.0</v>
      </c>
      <c r="H3542" s="608" t="s">
        <v>686</v>
      </c>
    </row>
    <row r="3543">
      <c r="A3543" s="546" t="s">
        <v>823</v>
      </c>
      <c r="B3543" s="512" t="s">
        <v>433</v>
      </c>
      <c r="C3543" s="605">
        <v>46035.0</v>
      </c>
      <c r="D3543" s="512">
        <v>3.8024259084E10</v>
      </c>
      <c r="E3543" s="606" t="s">
        <v>4165</v>
      </c>
      <c r="F3543" s="607" t="s">
        <v>436</v>
      </c>
      <c r="G3543" s="606" t="s">
        <v>5250</v>
      </c>
      <c r="H3543" s="608" t="s">
        <v>4558</v>
      </c>
    </row>
    <row r="3544">
      <c r="A3544" s="546" t="s">
        <v>617</v>
      </c>
      <c r="B3544" s="512" t="s">
        <v>449</v>
      </c>
      <c r="C3544" s="605">
        <v>46035.0</v>
      </c>
      <c r="D3544" s="512">
        <v>2.5684765795E10</v>
      </c>
      <c r="E3544" s="606" t="s">
        <v>6207</v>
      </c>
      <c r="F3544" s="607" t="s">
        <v>436</v>
      </c>
      <c r="G3544" s="606" t="s">
        <v>5378</v>
      </c>
      <c r="H3544" s="608" t="s">
        <v>696</v>
      </c>
    </row>
    <row r="3545">
      <c r="A3545" s="546" t="s">
        <v>439</v>
      </c>
      <c r="B3545" s="512" t="s">
        <v>449</v>
      </c>
      <c r="C3545" s="605">
        <v>46035.0</v>
      </c>
      <c r="D3545" s="512">
        <v>4.4022560224E10</v>
      </c>
      <c r="E3545" s="606" t="s">
        <v>5242</v>
      </c>
      <c r="F3545" s="607" t="s">
        <v>436</v>
      </c>
      <c r="G3545" s="606" t="s">
        <v>3090</v>
      </c>
      <c r="H3545" s="608" t="s">
        <v>4078</v>
      </c>
    </row>
    <row r="3546">
      <c r="A3546" s="546" t="s">
        <v>439</v>
      </c>
      <c r="B3546" s="512" t="s">
        <v>6208</v>
      </c>
      <c r="C3546" s="605">
        <v>46035.0</v>
      </c>
      <c r="D3546" s="512">
        <v>4.6001247786E10</v>
      </c>
      <c r="E3546" s="606" t="s">
        <v>5055</v>
      </c>
      <c r="F3546" s="607" t="s">
        <v>436</v>
      </c>
      <c r="G3546" s="606" t="s">
        <v>4039</v>
      </c>
      <c r="H3546" s="608" t="s">
        <v>4078</v>
      </c>
    </row>
    <row r="3547">
      <c r="A3547" s="546" t="s">
        <v>617</v>
      </c>
      <c r="B3547" s="512" t="s">
        <v>449</v>
      </c>
      <c r="C3547" s="605">
        <v>46035.0</v>
      </c>
      <c r="D3547" s="512">
        <v>3.631562773E10</v>
      </c>
      <c r="E3547" s="606" t="s">
        <v>5025</v>
      </c>
      <c r="F3547" s="607" t="s">
        <v>436</v>
      </c>
      <c r="G3547" s="606"/>
      <c r="H3547" s="608" t="s">
        <v>696</v>
      </c>
    </row>
    <row r="3548">
      <c r="A3548" s="546" t="s">
        <v>432</v>
      </c>
      <c r="B3548" s="512" t="s">
        <v>433</v>
      </c>
      <c r="C3548" s="605">
        <v>46036.0</v>
      </c>
      <c r="D3548" s="512">
        <v>4.3568875846E10</v>
      </c>
      <c r="E3548" s="606" t="s">
        <v>6030</v>
      </c>
      <c r="F3548" s="607" t="s">
        <v>436</v>
      </c>
      <c r="G3548" s="606">
        <v>3017.0</v>
      </c>
      <c r="H3548" s="608" t="s">
        <v>686</v>
      </c>
    </row>
    <row r="3549">
      <c r="A3549" s="546" t="s">
        <v>432</v>
      </c>
      <c r="B3549" s="512" t="s">
        <v>433</v>
      </c>
      <c r="C3549" s="605">
        <v>46036.0</v>
      </c>
      <c r="D3549" s="512">
        <v>3.2552148588E10</v>
      </c>
      <c r="E3549" s="606" t="s">
        <v>4165</v>
      </c>
      <c r="F3549" s="607" t="s">
        <v>436</v>
      </c>
      <c r="G3549" s="606">
        <v>4164.0</v>
      </c>
      <c r="H3549" s="608" t="s">
        <v>686</v>
      </c>
    </row>
    <row r="3550">
      <c r="A3550" s="546" t="s">
        <v>432</v>
      </c>
      <c r="B3550" s="512" t="s">
        <v>433</v>
      </c>
      <c r="C3550" s="605">
        <v>46036.0</v>
      </c>
      <c r="D3550" s="512">
        <v>2.5353910394E10</v>
      </c>
      <c r="E3550" s="606" t="s">
        <v>4165</v>
      </c>
      <c r="F3550" s="607" t="s">
        <v>436</v>
      </c>
      <c r="G3550" s="606" t="s">
        <v>4062</v>
      </c>
      <c r="H3550" s="608" t="s">
        <v>438</v>
      </c>
    </row>
    <row r="3551">
      <c r="A3551" s="546" t="s">
        <v>617</v>
      </c>
      <c r="B3551" s="512" t="s">
        <v>449</v>
      </c>
      <c r="C3551" s="605">
        <v>46036.0</v>
      </c>
      <c r="D3551" s="512">
        <v>4.3434799446E10</v>
      </c>
      <c r="E3551" s="606" t="s">
        <v>6209</v>
      </c>
      <c r="F3551" s="607" t="s">
        <v>436</v>
      </c>
      <c r="G3551" s="606" t="s">
        <v>5078</v>
      </c>
      <c r="H3551" s="608" t="s">
        <v>696</v>
      </c>
    </row>
    <row r="3552">
      <c r="A3552" s="546" t="s">
        <v>439</v>
      </c>
      <c r="B3552" s="512" t="s">
        <v>433</v>
      </c>
      <c r="C3552" s="605">
        <v>46036.0</v>
      </c>
      <c r="D3552" s="512">
        <v>3.7285286945E10</v>
      </c>
      <c r="E3552" s="606" t="s">
        <v>6210</v>
      </c>
      <c r="F3552" s="607" t="s">
        <v>436</v>
      </c>
      <c r="G3552" s="606" t="s">
        <v>866</v>
      </c>
      <c r="H3552" s="608" t="s">
        <v>4078</v>
      </c>
    </row>
    <row r="3553">
      <c r="A3553" s="546" t="s">
        <v>432</v>
      </c>
      <c r="B3553" s="512" t="s">
        <v>433</v>
      </c>
      <c r="C3553" s="605">
        <v>46036.0</v>
      </c>
      <c r="D3553" s="512">
        <v>4.3507576049E10</v>
      </c>
      <c r="E3553" s="606" t="s">
        <v>5253</v>
      </c>
      <c r="F3553" s="607" t="s">
        <v>436</v>
      </c>
      <c r="G3553" s="606" t="s">
        <v>1992</v>
      </c>
      <c r="H3553" s="608" t="s">
        <v>438</v>
      </c>
    </row>
    <row r="3554">
      <c r="A3554" s="546" t="s">
        <v>432</v>
      </c>
      <c r="B3554" s="512" t="s">
        <v>433</v>
      </c>
      <c r="C3554" s="605">
        <v>46036.0</v>
      </c>
      <c r="D3554" s="512">
        <v>3.1409909435E10</v>
      </c>
      <c r="E3554" s="606" t="s">
        <v>85</v>
      </c>
      <c r="F3554" s="607" t="s">
        <v>436</v>
      </c>
      <c r="G3554" s="606" t="s">
        <v>1075</v>
      </c>
      <c r="H3554" s="608" t="s">
        <v>438</v>
      </c>
    </row>
    <row r="3555">
      <c r="A3555" s="546" t="s">
        <v>617</v>
      </c>
      <c r="B3555" s="512" t="s">
        <v>449</v>
      </c>
      <c r="C3555" s="605">
        <v>46036.0</v>
      </c>
      <c r="D3555" s="512">
        <v>4.0657101253E10</v>
      </c>
      <c r="E3555" s="606" t="s">
        <v>6198</v>
      </c>
      <c r="F3555" s="607" t="s">
        <v>436</v>
      </c>
      <c r="G3555" s="606" t="s">
        <v>4366</v>
      </c>
      <c r="H3555" s="608" t="s">
        <v>696</v>
      </c>
    </row>
    <row r="3556">
      <c r="A3556" s="546" t="s">
        <v>432</v>
      </c>
      <c r="B3556" s="512" t="s">
        <v>433</v>
      </c>
      <c r="C3556" s="605">
        <v>46036.0</v>
      </c>
      <c r="D3556" s="512">
        <v>4.0158076093E10</v>
      </c>
      <c r="E3556" s="606" t="s">
        <v>6211</v>
      </c>
      <c r="F3556" s="607" t="s">
        <v>436</v>
      </c>
      <c r="G3556" s="606" t="s">
        <v>5918</v>
      </c>
      <c r="H3556" s="608" t="s">
        <v>438</v>
      </c>
    </row>
    <row r="3557">
      <c r="A3557" s="546" t="s">
        <v>432</v>
      </c>
      <c r="B3557" s="512" t="s">
        <v>433</v>
      </c>
      <c r="C3557" s="605">
        <v>46036.0</v>
      </c>
      <c r="D3557" s="512">
        <v>3.6969301008E10</v>
      </c>
      <c r="E3557" s="606" t="s">
        <v>4226</v>
      </c>
      <c r="F3557" s="607" t="s">
        <v>436</v>
      </c>
      <c r="G3557" s="606" t="s">
        <v>1012</v>
      </c>
      <c r="H3557" s="608" t="s">
        <v>438</v>
      </c>
    </row>
    <row r="3558">
      <c r="A3558" s="546" t="s">
        <v>823</v>
      </c>
      <c r="B3558" s="512" t="s">
        <v>449</v>
      </c>
      <c r="C3558" s="605">
        <v>46036.0</v>
      </c>
      <c r="D3558" s="512">
        <v>4.7609186604E10</v>
      </c>
      <c r="E3558" s="606" t="s">
        <v>4165</v>
      </c>
      <c r="F3558" s="607" t="s">
        <v>436</v>
      </c>
      <c r="G3558" s="606" t="s">
        <v>1156</v>
      </c>
      <c r="H3558" s="608" t="s">
        <v>693</v>
      </c>
    </row>
    <row r="3559">
      <c r="A3559" s="546" t="s">
        <v>617</v>
      </c>
      <c r="B3559" s="512" t="s">
        <v>449</v>
      </c>
      <c r="C3559" s="605">
        <v>46036.0</v>
      </c>
      <c r="D3559" s="512">
        <v>3.8703657564E10</v>
      </c>
      <c r="E3559" s="606" t="s">
        <v>6212</v>
      </c>
      <c r="F3559" s="607" t="s">
        <v>436</v>
      </c>
      <c r="G3559" s="606" t="s">
        <v>1257</v>
      </c>
      <c r="H3559" s="608" t="s">
        <v>696</v>
      </c>
    </row>
    <row r="3560">
      <c r="A3560" s="546" t="s">
        <v>617</v>
      </c>
      <c r="B3560" s="512" t="s">
        <v>433</v>
      </c>
      <c r="C3560" s="605">
        <v>46037.0</v>
      </c>
      <c r="D3560" s="512">
        <v>4.1731273588E10</v>
      </c>
      <c r="E3560" s="606" t="s">
        <v>5759</v>
      </c>
      <c r="F3560" s="607" t="s">
        <v>436</v>
      </c>
      <c r="G3560" s="606" t="s">
        <v>1151</v>
      </c>
      <c r="H3560" s="608" t="s">
        <v>5817</v>
      </c>
    </row>
    <row r="3561">
      <c r="A3561" s="546" t="s">
        <v>823</v>
      </c>
      <c r="B3561" s="512" t="s">
        <v>433</v>
      </c>
      <c r="C3561" s="605">
        <v>46037.0</v>
      </c>
      <c r="D3561" s="512">
        <v>4.5848864116E10</v>
      </c>
      <c r="E3561" s="606" t="s">
        <v>6213</v>
      </c>
      <c r="F3561" s="607" t="s">
        <v>436</v>
      </c>
      <c r="G3561" s="606" t="s">
        <v>4925</v>
      </c>
      <c r="H3561" s="608" t="s">
        <v>4558</v>
      </c>
    </row>
    <row r="3562">
      <c r="A3562" s="546" t="s">
        <v>439</v>
      </c>
      <c r="B3562" s="512" t="s">
        <v>449</v>
      </c>
      <c r="C3562" s="605">
        <v>46037.0</v>
      </c>
      <c r="D3562" s="512">
        <v>4.0249791085E10</v>
      </c>
      <c r="E3562" s="606" t="s">
        <v>4165</v>
      </c>
      <c r="F3562" s="607" t="s">
        <v>436</v>
      </c>
      <c r="G3562" s="606" t="s">
        <v>757</v>
      </c>
      <c r="H3562" s="608" t="s">
        <v>693</v>
      </c>
    </row>
    <row r="3563">
      <c r="A3563" s="546" t="s">
        <v>823</v>
      </c>
      <c r="B3563" s="512" t="s">
        <v>449</v>
      </c>
      <c r="C3563" s="605">
        <v>46037.0</v>
      </c>
      <c r="D3563" s="512">
        <v>3.71773356E10</v>
      </c>
      <c r="E3563" s="606" t="s">
        <v>4857</v>
      </c>
      <c r="F3563" s="607" t="s">
        <v>436</v>
      </c>
      <c r="G3563" s="606" t="s">
        <v>6214</v>
      </c>
      <c r="H3563" s="608" t="s">
        <v>4558</v>
      </c>
    </row>
    <row r="3564">
      <c r="A3564" s="546" t="s">
        <v>439</v>
      </c>
      <c r="B3564" s="512" t="s">
        <v>449</v>
      </c>
      <c r="C3564" s="605">
        <v>46037.0</v>
      </c>
      <c r="D3564" s="512">
        <v>4.7136354137E10</v>
      </c>
      <c r="E3564" s="606" t="s">
        <v>4165</v>
      </c>
      <c r="F3564" s="607" t="s">
        <v>436</v>
      </c>
      <c r="G3564" s="606" t="s">
        <v>5688</v>
      </c>
      <c r="H3564" s="608" t="s">
        <v>693</v>
      </c>
    </row>
    <row r="3565">
      <c r="A3565" s="546" t="s">
        <v>823</v>
      </c>
      <c r="B3565" s="512" t="s">
        <v>433</v>
      </c>
      <c r="C3565" s="605">
        <v>46037.0</v>
      </c>
      <c r="D3565" s="512">
        <v>4.3436752438E10</v>
      </c>
      <c r="E3565" s="606" t="s">
        <v>6215</v>
      </c>
      <c r="F3565" s="607" t="s">
        <v>436</v>
      </c>
      <c r="G3565" s="606" t="s">
        <v>6216</v>
      </c>
      <c r="H3565" s="608" t="s">
        <v>4558</v>
      </c>
    </row>
    <row r="3566">
      <c r="A3566" s="546" t="s">
        <v>617</v>
      </c>
      <c r="B3566" s="512" t="s">
        <v>433</v>
      </c>
      <c r="C3566" s="605">
        <v>46037.0</v>
      </c>
      <c r="D3566" s="512">
        <v>4.5262463085E10</v>
      </c>
      <c r="E3566" s="606" t="s">
        <v>6199</v>
      </c>
      <c r="F3566" s="607" t="s">
        <v>436</v>
      </c>
      <c r="G3566" s="606" t="s">
        <v>6217</v>
      </c>
      <c r="H3566" s="608" t="s">
        <v>5817</v>
      </c>
    </row>
    <row r="3567">
      <c r="A3567" s="546" t="s">
        <v>617</v>
      </c>
      <c r="B3567" s="512" t="s">
        <v>449</v>
      </c>
      <c r="C3567" s="605">
        <v>46037.0</v>
      </c>
      <c r="D3567" s="512">
        <v>4.4348439432E10</v>
      </c>
      <c r="E3567" s="606" t="s">
        <v>4165</v>
      </c>
      <c r="F3567" s="607" t="s">
        <v>436</v>
      </c>
      <c r="G3567" s="606" t="s">
        <v>6218</v>
      </c>
      <c r="H3567" s="608" t="s">
        <v>5817</v>
      </c>
    </row>
    <row r="3568">
      <c r="A3568" s="546" t="s">
        <v>823</v>
      </c>
      <c r="B3568" s="512" t="s">
        <v>433</v>
      </c>
      <c r="C3568" s="605">
        <v>46037.0</v>
      </c>
      <c r="D3568" s="512">
        <v>4.4106643172E10</v>
      </c>
      <c r="E3568" s="606" t="s">
        <v>6219</v>
      </c>
      <c r="F3568" s="607" t="s">
        <v>436</v>
      </c>
      <c r="G3568" s="606" t="s">
        <v>737</v>
      </c>
      <c r="H3568" s="608" t="s">
        <v>4558</v>
      </c>
    </row>
    <row r="3569">
      <c r="A3569" s="546" t="s">
        <v>823</v>
      </c>
      <c r="B3569" s="512" t="s">
        <v>433</v>
      </c>
      <c r="C3569" s="605">
        <v>46037.0</v>
      </c>
      <c r="D3569" s="512">
        <v>4.2925638569E10</v>
      </c>
      <c r="E3569" s="606" t="s">
        <v>6068</v>
      </c>
      <c r="F3569" s="607" t="s">
        <v>436</v>
      </c>
      <c r="G3569" s="606" t="s">
        <v>6220</v>
      </c>
      <c r="H3569" s="608" t="s">
        <v>4558</v>
      </c>
    </row>
    <row r="3570">
      <c r="A3570" s="546" t="s">
        <v>432</v>
      </c>
      <c r="B3570" s="512" t="s">
        <v>449</v>
      </c>
      <c r="C3570" s="605">
        <v>46037.0</v>
      </c>
      <c r="D3570" s="512">
        <v>4.6796088708E10</v>
      </c>
      <c r="E3570" s="606" t="s">
        <v>6221</v>
      </c>
      <c r="F3570" s="607" t="s">
        <v>436</v>
      </c>
      <c r="G3570" s="606" t="s">
        <v>1563</v>
      </c>
      <c r="H3570" s="608" t="s">
        <v>438</v>
      </c>
    </row>
    <row r="3571">
      <c r="A3571" s="546" t="s">
        <v>823</v>
      </c>
      <c r="B3571" s="512" t="s">
        <v>433</v>
      </c>
      <c r="C3571" s="605">
        <v>46037.0</v>
      </c>
      <c r="D3571" s="512">
        <v>4.3833726306E10</v>
      </c>
      <c r="E3571" s="606" t="s">
        <v>6213</v>
      </c>
      <c r="F3571" s="607" t="s">
        <v>436</v>
      </c>
      <c r="G3571" s="606" t="s">
        <v>3136</v>
      </c>
      <c r="H3571" s="608" t="s">
        <v>4558</v>
      </c>
    </row>
    <row r="3572">
      <c r="A3572" s="546" t="s">
        <v>432</v>
      </c>
      <c r="B3572" s="512" t="s">
        <v>6222</v>
      </c>
      <c r="C3572" s="605">
        <v>46038.0</v>
      </c>
      <c r="D3572" s="512">
        <v>3.8173208331E10</v>
      </c>
      <c r="E3572" s="606" t="s">
        <v>6223</v>
      </c>
      <c r="F3572" s="607" t="s">
        <v>436</v>
      </c>
      <c r="G3572" s="606" t="s">
        <v>2262</v>
      </c>
      <c r="H3572" s="608" t="s">
        <v>438</v>
      </c>
    </row>
    <row r="3573">
      <c r="A3573" s="546" t="s">
        <v>432</v>
      </c>
      <c r="B3573" s="512" t="s">
        <v>449</v>
      </c>
      <c r="C3573" s="605">
        <v>46038.0</v>
      </c>
      <c r="D3573" s="512">
        <v>4.0462099418E10</v>
      </c>
      <c r="E3573" s="606" t="s">
        <v>85</v>
      </c>
      <c r="F3573" s="607" t="s">
        <v>436</v>
      </c>
      <c r="G3573" s="606" t="s">
        <v>6224</v>
      </c>
      <c r="H3573" s="608" t="s">
        <v>438</v>
      </c>
    </row>
    <row r="3574">
      <c r="A3574" s="546" t="s">
        <v>439</v>
      </c>
      <c r="B3574" s="512" t="s">
        <v>449</v>
      </c>
      <c r="C3574" s="605">
        <v>46038.0</v>
      </c>
      <c r="D3574" s="512">
        <v>4.26441572E10</v>
      </c>
      <c r="E3574" s="606" t="s">
        <v>6225</v>
      </c>
      <c r="F3574" s="607" t="s">
        <v>436</v>
      </c>
      <c r="G3574" s="606" t="s">
        <v>718</v>
      </c>
      <c r="H3574" s="608" t="s">
        <v>693</v>
      </c>
    </row>
    <row r="3575">
      <c r="A3575" s="546" t="s">
        <v>823</v>
      </c>
      <c r="B3575" s="512" t="s">
        <v>6222</v>
      </c>
      <c r="C3575" s="605">
        <v>46038.0</v>
      </c>
      <c r="D3575" s="512">
        <v>3.6254403201E10</v>
      </c>
      <c r="E3575" s="606" t="s">
        <v>5715</v>
      </c>
      <c r="F3575" s="607" t="s">
        <v>436</v>
      </c>
      <c r="G3575" s="606" t="s">
        <v>6226</v>
      </c>
      <c r="H3575" s="608" t="s">
        <v>4558</v>
      </c>
    </row>
    <row r="3576">
      <c r="A3576" s="546" t="s">
        <v>432</v>
      </c>
      <c r="B3576" s="512" t="s">
        <v>6222</v>
      </c>
      <c r="C3576" s="605">
        <v>46038.0</v>
      </c>
      <c r="D3576" s="512">
        <v>4.4115677243E10</v>
      </c>
      <c r="E3576" s="606" t="s">
        <v>4811</v>
      </c>
      <c r="F3576" s="607" t="s">
        <v>436</v>
      </c>
      <c r="G3576" s="606" t="s">
        <v>6227</v>
      </c>
      <c r="H3576" s="608" t="s">
        <v>438</v>
      </c>
    </row>
    <row r="3577">
      <c r="A3577" s="546" t="s">
        <v>432</v>
      </c>
      <c r="B3577" s="512" t="s">
        <v>449</v>
      </c>
      <c r="C3577" s="605">
        <v>46038.0</v>
      </c>
      <c r="D3577" s="512">
        <v>4.7797214638E10</v>
      </c>
      <c r="E3577" s="606" t="s">
        <v>85</v>
      </c>
      <c r="F3577" s="607" t="s">
        <v>436</v>
      </c>
      <c r="G3577" s="606" t="s">
        <v>5667</v>
      </c>
      <c r="H3577" s="608" t="s">
        <v>438</v>
      </c>
    </row>
    <row r="3578">
      <c r="A3578" s="546" t="s">
        <v>617</v>
      </c>
      <c r="B3578" s="512" t="s">
        <v>449</v>
      </c>
      <c r="C3578" s="605">
        <v>46038.0</v>
      </c>
      <c r="D3578" s="512">
        <v>3.8722412776E10</v>
      </c>
      <c r="E3578" s="606" t="s">
        <v>5590</v>
      </c>
      <c r="F3578" s="607" t="s">
        <v>436</v>
      </c>
      <c r="G3578" s="606" t="s">
        <v>1105</v>
      </c>
      <c r="H3578" s="608" t="s">
        <v>6228</v>
      </c>
    </row>
    <row r="3579">
      <c r="A3579" s="546" t="s">
        <v>439</v>
      </c>
      <c r="B3579" s="512" t="s">
        <v>449</v>
      </c>
      <c r="C3579" s="605">
        <v>46038.0</v>
      </c>
      <c r="D3579" s="512">
        <v>4.2093558294E10</v>
      </c>
      <c r="E3579" s="606" t="s">
        <v>85</v>
      </c>
      <c r="F3579" s="607" t="s">
        <v>436</v>
      </c>
      <c r="G3579" s="606" t="s">
        <v>3510</v>
      </c>
      <c r="H3579" s="608" t="s">
        <v>693</v>
      </c>
    </row>
    <row r="3580">
      <c r="A3580" s="546" t="s">
        <v>439</v>
      </c>
      <c r="B3580" s="512" t="s">
        <v>6222</v>
      </c>
      <c r="C3580" s="605">
        <v>46038.0</v>
      </c>
      <c r="D3580" s="512">
        <v>3.8789149007E10</v>
      </c>
      <c r="E3580" s="606" t="s">
        <v>6229</v>
      </c>
      <c r="F3580" s="607" t="s">
        <v>436</v>
      </c>
      <c r="G3580" s="606" t="s">
        <v>5657</v>
      </c>
      <c r="H3580" s="608" t="s">
        <v>693</v>
      </c>
    </row>
    <row r="3581">
      <c r="A3581" s="546" t="s">
        <v>823</v>
      </c>
      <c r="B3581" s="512" t="s">
        <v>449</v>
      </c>
      <c r="C3581" s="605">
        <v>46038.0</v>
      </c>
      <c r="D3581" s="512">
        <v>4.7729723174E10</v>
      </c>
      <c r="E3581" s="606" t="s">
        <v>4974</v>
      </c>
      <c r="F3581" s="607" t="s">
        <v>436</v>
      </c>
      <c r="G3581" s="606" t="s">
        <v>3110</v>
      </c>
      <c r="H3581" s="608" t="s">
        <v>4558</v>
      </c>
    </row>
    <row r="3582">
      <c r="A3582" s="546" t="s">
        <v>432</v>
      </c>
      <c r="B3582" s="512" t="s">
        <v>449</v>
      </c>
      <c r="C3582" s="605">
        <v>46038.0</v>
      </c>
      <c r="D3582" s="512">
        <v>4.0758026699E10</v>
      </c>
      <c r="E3582" s="606" t="s">
        <v>4239</v>
      </c>
      <c r="F3582" s="607" t="s">
        <v>436</v>
      </c>
      <c r="G3582" s="606" t="s">
        <v>6230</v>
      </c>
      <c r="H3582" s="608" t="s">
        <v>438</v>
      </c>
    </row>
    <row r="3583">
      <c r="A3583" s="546" t="s">
        <v>432</v>
      </c>
      <c r="B3583" s="512" t="s">
        <v>6231</v>
      </c>
      <c r="C3583" s="605">
        <v>46039.0</v>
      </c>
      <c r="D3583" s="512">
        <v>3.4729468235E10</v>
      </c>
      <c r="E3583" s="606" t="s">
        <v>4165</v>
      </c>
      <c r="F3583" s="607" t="s">
        <v>436</v>
      </c>
      <c r="G3583" s="606">
        <v>97.0</v>
      </c>
      <c r="H3583" s="608" t="s">
        <v>686</v>
      </c>
    </row>
    <row r="3584">
      <c r="A3584" s="546" t="s">
        <v>432</v>
      </c>
      <c r="B3584" s="512" t="s">
        <v>449</v>
      </c>
      <c r="C3584" s="605">
        <v>46039.0</v>
      </c>
      <c r="D3584" s="512">
        <v>3.3365236065E10</v>
      </c>
      <c r="E3584" s="606" t="s">
        <v>6119</v>
      </c>
      <c r="F3584" s="607" t="s">
        <v>436</v>
      </c>
      <c r="G3584" s="606">
        <v>125.0</v>
      </c>
      <c r="H3584" s="608" t="s">
        <v>686</v>
      </c>
    </row>
    <row r="3585">
      <c r="A3585" s="546" t="s">
        <v>432</v>
      </c>
      <c r="B3585" s="512" t="s">
        <v>6232</v>
      </c>
      <c r="C3585" s="605">
        <v>46039.0</v>
      </c>
      <c r="D3585" s="512">
        <v>2.8848256336E10</v>
      </c>
      <c r="E3585" s="606" t="s">
        <v>5253</v>
      </c>
      <c r="F3585" s="607" t="s">
        <v>436</v>
      </c>
      <c r="G3585" s="606">
        <v>655.0</v>
      </c>
      <c r="H3585" s="608" t="s">
        <v>686</v>
      </c>
    </row>
    <row r="3586">
      <c r="A3586" s="546" t="s">
        <v>432</v>
      </c>
      <c r="B3586" s="512" t="s">
        <v>6232</v>
      </c>
      <c r="C3586" s="605">
        <v>46039.0</v>
      </c>
      <c r="D3586" s="512">
        <v>4.7731699166E10</v>
      </c>
      <c r="E3586" s="606" t="s">
        <v>6233</v>
      </c>
      <c r="F3586" s="607" t="s">
        <v>436</v>
      </c>
      <c r="G3586" s="606">
        <v>714.0</v>
      </c>
      <c r="H3586" s="608" t="s">
        <v>686</v>
      </c>
    </row>
    <row r="3587">
      <c r="A3587" s="546" t="s">
        <v>432</v>
      </c>
      <c r="B3587" s="512" t="s">
        <v>6232</v>
      </c>
      <c r="C3587" s="605">
        <v>46039.0</v>
      </c>
      <c r="D3587" s="512">
        <v>4.7297152886E10</v>
      </c>
      <c r="E3587" s="606" t="s">
        <v>5656</v>
      </c>
      <c r="F3587" s="607" t="s">
        <v>436</v>
      </c>
      <c r="G3587" s="606">
        <v>843.0</v>
      </c>
      <c r="H3587" s="608" t="s">
        <v>686</v>
      </c>
    </row>
    <row r="3588">
      <c r="A3588" s="546" t="s">
        <v>432</v>
      </c>
      <c r="B3588" s="512" t="s">
        <v>6232</v>
      </c>
      <c r="C3588" s="605">
        <v>46039.0</v>
      </c>
      <c r="D3588" s="512">
        <v>4.5748894605E10</v>
      </c>
      <c r="E3588" s="606" t="s">
        <v>6234</v>
      </c>
      <c r="F3588" s="607" t="s">
        <v>436</v>
      </c>
      <c r="G3588" s="606">
        <v>957.0</v>
      </c>
      <c r="H3588" s="608" t="s">
        <v>686</v>
      </c>
    </row>
    <row r="3589">
      <c r="A3589" s="546" t="s">
        <v>432</v>
      </c>
      <c r="B3589" s="512" t="s">
        <v>6231</v>
      </c>
      <c r="C3589" s="605">
        <v>46039.0</v>
      </c>
      <c r="D3589" s="512">
        <v>3.7758042775E10</v>
      </c>
      <c r="E3589" s="606" t="s">
        <v>6235</v>
      </c>
      <c r="F3589" s="607" t="s">
        <v>436</v>
      </c>
      <c r="G3589" s="606">
        <v>1159.0</v>
      </c>
      <c r="H3589" s="608" t="s">
        <v>686</v>
      </c>
    </row>
    <row r="3590">
      <c r="A3590" s="546" t="s">
        <v>432</v>
      </c>
      <c r="B3590" s="512" t="s">
        <v>449</v>
      </c>
      <c r="C3590" s="605">
        <v>46039.0</v>
      </c>
      <c r="D3590" s="512">
        <v>3.7657966575E10</v>
      </c>
      <c r="E3590" s="606" t="s">
        <v>6081</v>
      </c>
      <c r="F3590" s="607" t="s">
        <v>436</v>
      </c>
      <c r="G3590" s="606">
        <v>1293.0</v>
      </c>
      <c r="H3590" s="608" t="s">
        <v>686</v>
      </c>
    </row>
    <row r="3591">
      <c r="A3591" s="546" t="s">
        <v>432</v>
      </c>
      <c r="B3591" s="512" t="s">
        <v>6232</v>
      </c>
      <c r="C3591" s="605">
        <v>46039.0</v>
      </c>
      <c r="D3591" s="512">
        <v>3.6677416984E10</v>
      </c>
      <c r="E3591" s="606" t="s">
        <v>4854</v>
      </c>
      <c r="F3591" s="607" t="s">
        <v>436</v>
      </c>
      <c r="G3591" s="606">
        <v>1461.0</v>
      </c>
      <c r="H3591" s="608" t="s">
        <v>686</v>
      </c>
    </row>
    <row r="3592">
      <c r="A3592" s="546" t="s">
        <v>432</v>
      </c>
      <c r="B3592" s="512" t="s">
        <v>6236</v>
      </c>
      <c r="C3592" s="605">
        <v>46039.0</v>
      </c>
      <c r="D3592" s="512">
        <v>3.7260804658E10</v>
      </c>
      <c r="E3592" s="606" t="s">
        <v>6237</v>
      </c>
      <c r="F3592" s="607" t="s">
        <v>436</v>
      </c>
      <c r="G3592" s="606">
        <v>1542.0</v>
      </c>
      <c r="H3592" s="608" t="s">
        <v>686</v>
      </c>
    </row>
    <row r="3593">
      <c r="A3593" s="546" t="s">
        <v>432</v>
      </c>
      <c r="B3593" s="512" t="s">
        <v>6232</v>
      </c>
      <c r="C3593" s="605">
        <v>46039.0</v>
      </c>
      <c r="D3593" s="512">
        <v>4.6295021082E10</v>
      </c>
      <c r="E3593" s="606" t="s">
        <v>6238</v>
      </c>
      <c r="F3593" s="607" t="s">
        <v>436</v>
      </c>
      <c r="G3593" s="606">
        <v>2000.0</v>
      </c>
      <c r="H3593" s="608" t="s">
        <v>686</v>
      </c>
    </row>
    <row r="3594">
      <c r="A3594" s="546" t="s">
        <v>432</v>
      </c>
      <c r="B3594" s="512" t="s">
        <v>6232</v>
      </c>
      <c r="C3594" s="605">
        <v>46039.0</v>
      </c>
      <c r="D3594" s="512">
        <v>4.2500760245E10</v>
      </c>
      <c r="E3594" s="606" t="s">
        <v>5383</v>
      </c>
      <c r="F3594" s="607" t="s">
        <v>436</v>
      </c>
      <c r="G3594" s="606">
        <v>3211.0</v>
      </c>
      <c r="H3594" s="608" t="s">
        <v>686</v>
      </c>
    </row>
    <row r="3595">
      <c r="A3595" s="546" t="s">
        <v>823</v>
      </c>
      <c r="B3595" s="512" t="s">
        <v>449</v>
      </c>
      <c r="C3595" s="605">
        <v>46039.0</v>
      </c>
      <c r="D3595" s="512">
        <v>4.7729974051E10</v>
      </c>
      <c r="E3595" s="606" t="s">
        <v>6239</v>
      </c>
      <c r="F3595" s="607" t="s">
        <v>436</v>
      </c>
      <c r="G3595" s="679">
        <v>6979.0</v>
      </c>
      <c r="H3595" s="608" t="s">
        <v>6153</v>
      </c>
    </row>
    <row r="3596">
      <c r="A3596" s="546" t="s">
        <v>439</v>
      </c>
      <c r="B3596" s="512" t="s">
        <v>6232</v>
      </c>
      <c r="C3596" s="605">
        <v>46039.0</v>
      </c>
      <c r="D3596" s="512">
        <v>4.4109436244E10</v>
      </c>
      <c r="E3596" s="606" t="s">
        <v>6240</v>
      </c>
      <c r="F3596" s="607" t="s">
        <v>436</v>
      </c>
      <c r="G3596" s="606" t="s">
        <v>6241</v>
      </c>
      <c r="H3596" s="608" t="s">
        <v>4078</v>
      </c>
    </row>
    <row r="3597">
      <c r="A3597" s="546" t="s">
        <v>617</v>
      </c>
      <c r="B3597" s="512" t="s">
        <v>449</v>
      </c>
      <c r="C3597" s="605">
        <v>46039.0</v>
      </c>
      <c r="D3597" s="512">
        <v>3.8006995868E10</v>
      </c>
      <c r="E3597" s="606" t="s">
        <v>4887</v>
      </c>
      <c r="F3597" s="607" t="s">
        <v>436</v>
      </c>
      <c r="G3597" s="606" t="s">
        <v>6242</v>
      </c>
      <c r="H3597" s="608" t="s">
        <v>696</v>
      </c>
    </row>
    <row r="3598">
      <c r="A3598" s="546" t="s">
        <v>439</v>
      </c>
      <c r="B3598" s="512" t="s">
        <v>449</v>
      </c>
      <c r="C3598" s="605">
        <v>46039.0</v>
      </c>
      <c r="D3598" s="512">
        <v>4.6301950586E10</v>
      </c>
      <c r="E3598" s="606" t="s">
        <v>6243</v>
      </c>
      <c r="F3598" s="607" t="s">
        <v>436</v>
      </c>
      <c r="G3598" s="606" t="s">
        <v>1289</v>
      </c>
      <c r="H3598" s="608" t="s">
        <v>4078</v>
      </c>
    </row>
    <row r="3599">
      <c r="A3599" s="546" t="s">
        <v>617</v>
      </c>
      <c r="B3599" s="512" t="s">
        <v>449</v>
      </c>
      <c r="C3599" s="605">
        <v>46039.0</v>
      </c>
      <c r="D3599" s="512">
        <v>2.8539060889E10</v>
      </c>
      <c r="E3599" s="606" t="s">
        <v>5109</v>
      </c>
      <c r="F3599" s="607" t="s">
        <v>436</v>
      </c>
      <c r="G3599" s="606" t="s">
        <v>6244</v>
      </c>
      <c r="H3599" s="608" t="s">
        <v>696</v>
      </c>
    </row>
    <row r="3600">
      <c r="A3600" s="546" t="s">
        <v>617</v>
      </c>
      <c r="B3600" s="512" t="s">
        <v>449</v>
      </c>
      <c r="C3600" s="605">
        <v>46039.0</v>
      </c>
      <c r="D3600" s="512">
        <v>4.2239186712E10</v>
      </c>
      <c r="E3600" s="606" t="s">
        <v>4887</v>
      </c>
      <c r="F3600" s="607" t="s">
        <v>436</v>
      </c>
      <c r="G3600" s="606" t="s">
        <v>6245</v>
      </c>
      <c r="H3600" s="608" t="s">
        <v>696</v>
      </c>
    </row>
    <row r="3601">
      <c r="A3601" s="546" t="s">
        <v>617</v>
      </c>
      <c r="B3601" s="512" t="s">
        <v>449</v>
      </c>
      <c r="C3601" s="605">
        <v>46039.0</v>
      </c>
      <c r="D3601" s="512">
        <v>3.6931128252E10</v>
      </c>
      <c r="E3601" s="606" t="s">
        <v>4854</v>
      </c>
      <c r="F3601" s="607" t="s">
        <v>436</v>
      </c>
      <c r="G3601" s="606" t="s">
        <v>4454</v>
      </c>
      <c r="H3601" s="608" t="s">
        <v>696</v>
      </c>
    </row>
    <row r="3602">
      <c r="A3602" s="546" t="s">
        <v>439</v>
      </c>
      <c r="B3602" s="512" t="s">
        <v>449</v>
      </c>
      <c r="C3602" s="605">
        <v>46039.0</v>
      </c>
      <c r="D3602" s="512">
        <v>3.8015133884E10</v>
      </c>
      <c r="E3602" s="606" t="s">
        <v>6246</v>
      </c>
      <c r="F3602" s="607" t="s">
        <v>436</v>
      </c>
      <c r="G3602" s="619" t="s">
        <v>5471</v>
      </c>
      <c r="H3602" s="608" t="s">
        <v>4078</v>
      </c>
    </row>
    <row r="3603">
      <c r="A3603" s="546" t="s">
        <v>617</v>
      </c>
      <c r="B3603" s="512" t="s">
        <v>449</v>
      </c>
      <c r="C3603" s="605">
        <v>46039.0</v>
      </c>
      <c r="D3603" s="512">
        <v>4.4668623629E10</v>
      </c>
      <c r="E3603" s="606" t="s">
        <v>4854</v>
      </c>
      <c r="F3603" s="607" t="s">
        <v>436</v>
      </c>
      <c r="G3603" s="606" t="s">
        <v>6247</v>
      </c>
      <c r="H3603" s="608" t="s">
        <v>696</v>
      </c>
    </row>
    <row r="3604">
      <c r="A3604" s="546" t="s">
        <v>439</v>
      </c>
      <c r="B3604" s="512" t="s">
        <v>6232</v>
      </c>
      <c r="C3604" s="605">
        <v>46039.0</v>
      </c>
      <c r="D3604" s="512">
        <v>4.4646095088E10</v>
      </c>
      <c r="E3604" s="606" t="s">
        <v>6248</v>
      </c>
      <c r="F3604" s="607" t="s">
        <v>436</v>
      </c>
      <c r="G3604" s="606" t="s">
        <v>6249</v>
      </c>
      <c r="H3604" s="608" t="s">
        <v>4078</v>
      </c>
    </row>
    <row r="3605">
      <c r="A3605" s="546" t="s">
        <v>439</v>
      </c>
      <c r="B3605" s="512" t="s">
        <v>6232</v>
      </c>
      <c r="C3605" s="605">
        <v>46039.0</v>
      </c>
      <c r="D3605" s="512">
        <v>3.9538943853E10</v>
      </c>
      <c r="E3605" s="606" t="s">
        <v>6250</v>
      </c>
      <c r="F3605" s="607" t="s">
        <v>436</v>
      </c>
      <c r="G3605" s="606" t="s">
        <v>3582</v>
      </c>
      <c r="H3605" s="608" t="s">
        <v>4078</v>
      </c>
    </row>
    <row r="3606">
      <c r="A3606" s="546" t="s">
        <v>617</v>
      </c>
      <c r="B3606" s="512" t="s">
        <v>449</v>
      </c>
      <c r="C3606" s="605">
        <v>46039.0</v>
      </c>
      <c r="D3606" s="512">
        <v>4.7020576591E10</v>
      </c>
      <c r="E3606" s="606" t="s">
        <v>4887</v>
      </c>
      <c r="F3606" s="607" t="s">
        <v>436</v>
      </c>
      <c r="G3606" s="606" t="s">
        <v>6251</v>
      </c>
      <c r="H3606" s="608" t="s">
        <v>696</v>
      </c>
    </row>
    <row r="3607">
      <c r="A3607" s="546" t="s">
        <v>432</v>
      </c>
      <c r="B3607" s="512" t="s">
        <v>6232</v>
      </c>
      <c r="C3607" s="605">
        <v>46040.0</v>
      </c>
      <c r="D3607" s="512">
        <v>4.7797591266E10</v>
      </c>
      <c r="E3607" s="606" t="s">
        <v>6252</v>
      </c>
      <c r="F3607" s="607" t="s">
        <v>436</v>
      </c>
      <c r="G3607" s="606">
        <v>103.0</v>
      </c>
      <c r="H3607" s="608" t="s">
        <v>686</v>
      </c>
    </row>
    <row r="3608">
      <c r="A3608" s="546" t="s">
        <v>432</v>
      </c>
      <c r="B3608" s="512" t="s">
        <v>646</v>
      </c>
      <c r="C3608" s="605">
        <v>46040.0</v>
      </c>
      <c r="D3608" s="512">
        <v>4.0479262228E10</v>
      </c>
      <c r="E3608" s="606" t="s">
        <v>6253</v>
      </c>
      <c r="F3608" s="607" t="s">
        <v>436</v>
      </c>
      <c r="G3608" s="606">
        <v>361.0</v>
      </c>
      <c r="H3608" s="608" t="s">
        <v>686</v>
      </c>
    </row>
    <row r="3609">
      <c r="A3609" s="546" t="s">
        <v>432</v>
      </c>
      <c r="B3609" s="512" t="s">
        <v>6232</v>
      </c>
      <c r="C3609" s="605">
        <v>46040.0</v>
      </c>
      <c r="D3609" s="512">
        <v>3.5523258745E10</v>
      </c>
      <c r="E3609" s="606" t="s">
        <v>5383</v>
      </c>
      <c r="F3609" s="607" t="s">
        <v>436</v>
      </c>
      <c r="G3609" s="606">
        <v>903.0</v>
      </c>
      <c r="H3609" s="608" t="s">
        <v>686</v>
      </c>
    </row>
    <row r="3610">
      <c r="A3610" s="546" t="s">
        <v>432</v>
      </c>
      <c r="B3610" s="512" t="s">
        <v>646</v>
      </c>
      <c r="C3610" s="605">
        <v>46040.0</v>
      </c>
      <c r="D3610" s="512">
        <v>4.455516969E10</v>
      </c>
      <c r="E3610" s="606" t="s">
        <v>4165</v>
      </c>
      <c r="F3610" s="607" t="s">
        <v>436</v>
      </c>
      <c r="G3610" s="606">
        <v>1034.0</v>
      </c>
      <c r="H3610" s="608" t="s">
        <v>686</v>
      </c>
    </row>
    <row r="3611">
      <c r="A3611" s="546" t="s">
        <v>432</v>
      </c>
      <c r="B3611" s="512" t="s">
        <v>6232</v>
      </c>
      <c r="C3611" s="605">
        <v>46040.0</v>
      </c>
      <c r="D3611" s="512">
        <v>4.582466479E10</v>
      </c>
      <c r="E3611" s="606" t="s">
        <v>5383</v>
      </c>
      <c r="F3611" s="607" t="s">
        <v>436</v>
      </c>
      <c r="G3611" s="606">
        <v>2139.0</v>
      </c>
      <c r="H3611" s="608" t="s">
        <v>686</v>
      </c>
    </row>
    <row r="3612">
      <c r="A3612" s="546" t="s">
        <v>432</v>
      </c>
      <c r="B3612" s="512" t="s">
        <v>646</v>
      </c>
      <c r="C3612" s="605">
        <v>46040.0</v>
      </c>
      <c r="D3612" s="512">
        <v>4.6845334076E10</v>
      </c>
      <c r="E3612" s="606" t="s">
        <v>6254</v>
      </c>
      <c r="F3612" s="607" t="s">
        <v>436</v>
      </c>
      <c r="G3612" s="606">
        <v>3366.0</v>
      </c>
      <c r="H3612" s="608" t="s">
        <v>686</v>
      </c>
    </row>
    <row r="3613">
      <c r="A3613" s="546" t="s">
        <v>432</v>
      </c>
      <c r="B3613" s="512" t="s">
        <v>6232</v>
      </c>
      <c r="C3613" s="605">
        <v>46040.0</v>
      </c>
      <c r="D3613" s="512">
        <v>4.3471918269E10</v>
      </c>
      <c r="E3613" s="606" t="s">
        <v>4866</v>
      </c>
      <c r="F3613" s="607" t="s">
        <v>436</v>
      </c>
      <c r="G3613" s="606">
        <v>3618.0</v>
      </c>
      <c r="H3613" s="608" t="s">
        <v>686</v>
      </c>
    </row>
    <row r="3614">
      <c r="A3614" s="546" t="s">
        <v>432</v>
      </c>
      <c r="B3614" s="512" t="s">
        <v>646</v>
      </c>
      <c r="C3614" s="605">
        <v>46040.0</v>
      </c>
      <c r="D3614" s="512">
        <v>3.1509521659E10</v>
      </c>
      <c r="E3614" s="606" t="s">
        <v>4104</v>
      </c>
      <c r="F3614" s="607" t="s">
        <v>436</v>
      </c>
      <c r="G3614" s="606">
        <v>3879.0</v>
      </c>
      <c r="H3614" s="608" t="s">
        <v>686</v>
      </c>
    </row>
    <row r="3615">
      <c r="A3615" s="546" t="s">
        <v>432</v>
      </c>
      <c r="B3615" s="512" t="s">
        <v>6232</v>
      </c>
      <c r="C3615" s="605">
        <v>46040.0</v>
      </c>
      <c r="D3615" s="512">
        <v>4.785811719E10</v>
      </c>
      <c r="E3615" s="606" t="s">
        <v>6255</v>
      </c>
      <c r="F3615" s="607" t="s">
        <v>436</v>
      </c>
      <c r="G3615" s="606">
        <v>4784.0</v>
      </c>
      <c r="H3615" s="608" t="s">
        <v>686</v>
      </c>
    </row>
    <row r="3616">
      <c r="A3616" s="546" t="s">
        <v>617</v>
      </c>
      <c r="B3616" s="512" t="s">
        <v>449</v>
      </c>
      <c r="C3616" s="605">
        <v>46040.0</v>
      </c>
      <c r="D3616" s="512">
        <v>4.1091080035E10</v>
      </c>
      <c r="E3616" s="606" t="s">
        <v>4165</v>
      </c>
      <c r="F3616" s="607" t="s">
        <v>436</v>
      </c>
      <c r="G3616" s="606" t="s">
        <v>1324</v>
      </c>
      <c r="H3616" s="608" t="s">
        <v>696</v>
      </c>
    </row>
    <row r="3617">
      <c r="A3617" s="546" t="s">
        <v>617</v>
      </c>
      <c r="B3617" s="512" t="s">
        <v>449</v>
      </c>
      <c r="C3617" s="605">
        <v>46040.0</v>
      </c>
      <c r="D3617" s="512">
        <v>3.9545752602E10</v>
      </c>
      <c r="E3617" s="606" t="s">
        <v>6207</v>
      </c>
      <c r="F3617" s="607" t="s">
        <v>436</v>
      </c>
      <c r="G3617" s="606" t="s">
        <v>2023</v>
      </c>
      <c r="H3617" s="608" t="s">
        <v>696</v>
      </c>
    </row>
    <row r="3618">
      <c r="A3618" s="546" t="s">
        <v>617</v>
      </c>
      <c r="B3618" s="512" t="s">
        <v>646</v>
      </c>
      <c r="C3618" s="605">
        <v>46040.0</v>
      </c>
      <c r="D3618" s="512">
        <v>3.5683054349E10</v>
      </c>
      <c r="E3618" s="606" t="s">
        <v>5345</v>
      </c>
      <c r="F3618" s="607" t="s">
        <v>436</v>
      </c>
      <c r="G3618" s="606" t="s">
        <v>6256</v>
      </c>
      <c r="H3618" s="608" t="s">
        <v>696</v>
      </c>
    </row>
    <row r="3619">
      <c r="A3619" s="546" t="s">
        <v>617</v>
      </c>
      <c r="B3619" s="512" t="s">
        <v>3583</v>
      </c>
      <c r="C3619" s="605">
        <v>46040.0</v>
      </c>
      <c r="D3619" s="512">
        <v>9.379202146E9</v>
      </c>
      <c r="E3619" s="606" t="s">
        <v>5345</v>
      </c>
      <c r="F3619" s="607" t="s">
        <v>436</v>
      </c>
      <c r="G3619" s="606" t="s">
        <v>6257</v>
      </c>
      <c r="H3619" s="608" t="s">
        <v>696</v>
      </c>
    </row>
    <row r="3620">
      <c r="A3620" s="546" t="s">
        <v>617</v>
      </c>
      <c r="B3620" s="512" t="s">
        <v>449</v>
      </c>
      <c r="C3620" s="605">
        <v>46040.0</v>
      </c>
      <c r="D3620" s="512">
        <v>4.2512270442E10</v>
      </c>
      <c r="E3620" s="606" t="s">
        <v>5345</v>
      </c>
      <c r="F3620" s="607" t="s">
        <v>436</v>
      </c>
      <c r="G3620" s="606"/>
      <c r="H3620" s="608" t="s">
        <v>696</v>
      </c>
    </row>
    <row r="3621">
      <c r="A3621" s="546" t="s">
        <v>432</v>
      </c>
      <c r="B3621" s="512" t="s">
        <v>6232</v>
      </c>
      <c r="C3621" s="605">
        <v>46041.0</v>
      </c>
      <c r="D3621" s="512">
        <v>2.8926677496E10</v>
      </c>
      <c r="E3621" s="606" t="s">
        <v>6258</v>
      </c>
      <c r="F3621" s="607" t="s">
        <v>436</v>
      </c>
      <c r="G3621" s="606">
        <v>146.0</v>
      </c>
      <c r="H3621" s="608" t="s">
        <v>686</v>
      </c>
    </row>
    <row r="3622">
      <c r="A3622" s="546" t="s">
        <v>432</v>
      </c>
      <c r="B3622" s="512" t="s">
        <v>6232</v>
      </c>
      <c r="C3622" s="605">
        <v>46041.0</v>
      </c>
      <c r="D3622" s="512">
        <v>4.4121726052E10</v>
      </c>
      <c r="E3622" s="606" t="s">
        <v>5630</v>
      </c>
      <c r="F3622" s="607" t="s">
        <v>436</v>
      </c>
      <c r="G3622" s="606">
        <v>2277.0</v>
      </c>
      <c r="H3622" s="608" t="s">
        <v>686</v>
      </c>
    </row>
    <row r="3623">
      <c r="A3623" s="546" t="s">
        <v>432</v>
      </c>
      <c r="B3623" s="512" t="s">
        <v>6232</v>
      </c>
      <c r="C3623" s="605">
        <v>46041.0</v>
      </c>
      <c r="D3623" s="512">
        <v>4.3782041046E10</v>
      </c>
      <c r="E3623" s="606" t="s">
        <v>6259</v>
      </c>
      <c r="F3623" s="607" t="s">
        <v>436</v>
      </c>
      <c r="G3623" s="606">
        <v>9896.0</v>
      </c>
      <c r="H3623" s="608" t="s">
        <v>686</v>
      </c>
    </row>
    <row r="3624">
      <c r="A3624" s="546" t="s">
        <v>432</v>
      </c>
      <c r="B3624" s="512" t="s">
        <v>6232</v>
      </c>
      <c r="C3624" s="605">
        <v>46041.0</v>
      </c>
      <c r="D3624" s="512">
        <v>3.9783283922E10</v>
      </c>
      <c r="E3624" s="606" t="s">
        <v>6260</v>
      </c>
      <c r="F3624" s="607" t="s">
        <v>436</v>
      </c>
      <c r="G3624" s="606">
        <v>10015.0</v>
      </c>
      <c r="H3624" s="608" t="s">
        <v>686</v>
      </c>
    </row>
    <row r="3625">
      <c r="A3625" s="546" t="s">
        <v>432</v>
      </c>
      <c r="B3625" s="512" t="s">
        <v>6232</v>
      </c>
      <c r="C3625" s="605">
        <v>46041.0</v>
      </c>
      <c r="D3625" s="512">
        <v>4.5757139332E10</v>
      </c>
      <c r="E3625" s="606" t="s">
        <v>6150</v>
      </c>
      <c r="F3625" s="607" t="s">
        <v>436</v>
      </c>
      <c r="G3625" s="606">
        <v>12324.0</v>
      </c>
      <c r="H3625" s="608" t="s">
        <v>686</v>
      </c>
    </row>
    <row r="3626">
      <c r="A3626" s="546" t="s">
        <v>823</v>
      </c>
      <c r="B3626" s="512" t="s">
        <v>6232</v>
      </c>
      <c r="C3626" s="605">
        <v>46041.0</v>
      </c>
      <c r="D3626" s="512">
        <v>4.4324260794E10</v>
      </c>
      <c r="E3626" s="606" t="s">
        <v>6261</v>
      </c>
      <c r="F3626" s="607" t="s">
        <v>436</v>
      </c>
      <c r="G3626" s="606" t="s">
        <v>6262</v>
      </c>
      <c r="H3626" s="608" t="s">
        <v>4558</v>
      </c>
    </row>
    <row r="3627">
      <c r="A3627" s="546" t="s">
        <v>617</v>
      </c>
      <c r="B3627" s="512" t="s">
        <v>646</v>
      </c>
      <c r="C3627" s="605">
        <v>46041.0</v>
      </c>
      <c r="D3627" s="512">
        <v>4.2827791541E10</v>
      </c>
      <c r="E3627" s="606" t="s">
        <v>5383</v>
      </c>
      <c r="F3627" s="607" t="s">
        <v>436</v>
      </c>
      <c r="G3627" s="606" t="s">
        <v>6263</v>
      </c>
      <c r="H3627" s="608" t="s">
        <v>5817</v>
      </c>
    </row>
    <row r="3628">
      <c r="A3628" s="546" t="s">
        <v>617</v>
      </c>
      <c r="B3628" s="512" t="s">
        <v>6232</v>
      </c>
      <c r="C3628" s="605">
        <v>46041.0</v>
      </c>
      <c r="D3628" s="512">
        <v>4.3022349272E10</v>
      </c>
      <c r="E3628" s="606" t="s">
        <v>5383</v>
      </c>
      <c r="F3628" s="607" t="s">
        <v>436</v>
      </c>
      <c r="G3628" s="606" t="s">
        <v>6264</v>
      </c>
      <c r="H3628" s="608" t="s">
        <v>5817</v>
      </c>
    </row>
    <row r="3629">
      <c r="A3629" s="546" t="s">
        <v>617</v>
      </c>
      <c r="B3629" s="512" t="s">
        <v>6232</v>
      </c>
      <c r="C3629" s="605">
        <v>46041.0</v>
      </c>
      <c r="D3629" s="512">
        <v>4.2755921491E10</v>
      </c>
      <c r="E3629" s="606" t="s">
        <v>5383</v>
      </c>
      <c r="F3629" s="607" t="s">
        <v>436</v>
      </c>
      <c r="G3629" s="606" t="s">
        <v>6265</v>
      </c>
      <c r="H3629" s="608" t="s">
        <v>5817</v>
      </c>
    </row>
    <row r="3630">
      <c r="A3630" s="546" t="s">
        <v>432</v>
      </c>
      <c r="B3630" s="512" t="s">
        <v>6232</v>
      </c>
      <c r="C3630" s="605">
        <v>46042.0</v>
      </c>
      <c r="D3630" s="512">
        <v>3.6495967525E10</v>
      </c>
      <c r="E3630" s="606" t="s">
        <v>4310</v>
      </c>
      <c r="F3630" s="607" t="s">
        <v>436</v>
      </c>
      <c r="G3630" s="606" t="s">
        <v>1928</v>
      </c>
      <c r="H3630" s="608" t="s">
        <v>438</v>
      </c>
    </row>
    <row r="3631">
      <c r="A3631" s="546" t="s">
        <v>432</v>
      </c>
      <c r="B3631" s="512" t="s">
        <v>6232</v>
      </c>
      <c r="C3631" s="605">
        <v>46042.0</v>
      </c>
      <c r="D3631" s="512">
        <v>4.3427780798E10</v>
      </c>
      <c r="E3631" s="606" t="s">
        <v>6266</v>
      </c>
      <c r="F3631" s="607" t="s">
        <v>436</v>
      </c>
      <c r="G3631" s="606" t="s">
        <v>6267</v>
      </c>
      <c r="H3631" s="608" t="s">
        <v>438</v>
      </c>
    </row>
    <row r="3632">
      <c r="A3632" s="546" t="s">
        <v>617</v>
      </c>
      <c r="B3632" s="512" t="s">
        <v>688</v>
      </c>
      <c r="C3632" s="605">
        <v>46042.0</v>
      </c>
      <c r="D3632" s="512">
        <v>4.6184092851E10</v>
      </c>
      <c r="E3632" s="606" t="s">
        <v>6268</v>
      </c>
      <c r="F3632" s="607" t="s">
        <v>436</v>
      </c>
      <c r="G3632" s="606" t="s">
        <v>882</v>
      </c>
      <c r="H3632" s="608" t="s">
        <v>5817</v>
      </c>
    </row>
    <row r="3633">
      <c r="A3633" s="546" t="s">
        <v>432</v>
      </c>
      <c r="B3633" s="512" t="s">
        <v>646</v>
      </c>
      <c r="C3633" s="605">
        <v>46042.0</v>
      </c>
      <c r="D3633" s="512">
        <v>4.8160058407E10</v>
      </c>
      <c r="E3633" s="606" t="s">
        <v>6269</v>
      </c>
      <c r="F3633" s="607" t="s">
        <v>436</v>
      </c>
      <c r="G3633" s="606" t="s">
        <v>2027</v>
      </c>
      <c r="H3633" s="608" t="s">
        <v>438</v>
      </c>
    </row>
    <row r="3634">
      <c r="A3634" s="546" t="s">
        <v>432</v>
      </c>
      <c r="B3634" s="512" t="s">
        <v>646</v>
      </c>
      <c r="C3634" s="605">
        <v>46042.0</v>
      </c>
      <c r="D3634" s="512">
        <v>4.816005841E10</v>
      </c>
      <c r="E3634" s="606" t="s">
        <v>6269</v>
      </c>
      <c r="F3634" s="607" t="s">
        <v>436</v>
      </c>
      <c r="G3634" s="606" t="s">
        <v>2027</v>
      </c>
      <c r="H3634" s="608" t="s">
        <v>438</v>
      </c>
    </row>
    <row r="3635">
      <c r="A3635" s="546" t="s">
        <v>823</v>
      </c>
      <c r="B3635" s="512" t="s">
        <v>646</v>
      </c>
      <c r="C3635" s="605">
        <v>46042.0</v>
      </c>
      <c r="D3635" s="512">
        <v>4.1956076515E10</v>
      </c>
      <c r="E3635" s="606" t="s">
        <v>4887</v>
      </c>
      <c r="F3635" s="607" t="s">
        <v>436</v>
      </c>
      <c r="G3635" s="606" t="s">
        <v>5379</v>
      </c>
      <c r="H3635" s="608" t="s">
        <v>4558</v>
      </c>
    </row>
    <row r="3636">
      <c r="A3636" s="546" t="s">
        <v>617</v>
      </c>
      <c r="B3636" s="512" t="s">
        <v>6232</v>
      </c>
      <c r="C3636" s="605">
        <v>46042.0</v>
      </c>
      <c r="D3636" s="512">
        <v>4.3126952822E10</v>
      </c>
      <c r="E3636" s="606" t="s">
        <v>1641</v>
      </c>
      <c r="F3636" s="607" t="s">
        <v>436</v>
      </c>
      <c r="G3636" s="606" t="s">
        <v>5285</v>
      </c>
      <c r="H3636" s="608" t="s">
        <v>5817</v>
      </c>
    </row>
    <row r="3637">
      <c r="A3637" s="546" t="s">
        <v>617</v>
      </c>
      <c r="B3637" s="512" t="s">
        <v>449</v>
      </c>
      <c r="C3637" s="605">
        <v>46042.0</v>
      </c>
      <c r="D3637" s="512">
        <v>4.3128920283E10</v>
      </c>
      <c r="E3637" s="606" t="s">
        <v>6270</v>
      </c>
      <c r="F3637" s="607" t="s">
        <v>436</v>
      </c>
      <c r="G3637" s="606" t="s">
        <v>6271</v>
      </c>
      <c r="H3637" s="608" t="s">
        <v>5817</v>
      </c>
    </row>
    <row r="3638">
      <c r="A3638" s="546" t="s">
        <v>617</v>
      </c>
      <c r="B3638" s="512" t="s">
        <v>6232</v>
      </c>
      <c r="C3638" s="605">
        <v>46042.0</v>
      </c>
      <c r="D3638" s="512">
        <v>4.0201688423E10</v>
      </c>
      <c r="E3638" s="606" t="s">
        <v>1641</v>
      </c>
      <c r="F3638" s="607" t="s">
        <v>436</v>
      </c>
      <c r="G3638" s="606" t="s">
        <v>1046</v>
      </c>
      <c r="H3638" s="608" t="s">
        <v>5817</v>
      </c>
    </row>
    <row r="3639">
      <c r="A3639" s="546" t="s">
        <v>432</v>
      </c>
      <c r="B3639" s="512" t="s">
        <v>6232</v>
      </c>
      <c r="C3639" s="605">
        <v>46042.0</v>
      </c>
      <c r="D3639" s="512">
        <v>4.1496399296E10</v>
      </c>
      <c r="E3639" s="606" t="s">
        <v>6272</v>
      </c>
      <c r="F3639" s="607" t="s">
        <v>436</v>
      </c>
      <c r="G3639" s="606" t="s">
        <v>6273</v>
      </c>
      <c r="H3639" s="608" t="s">
        <v>438</v>
      </c>
    </row>
    <row r="3640">
      <c r="A3640" s="546" t="s">
        <v>617</v>
      </c>
      <c r="B3640" s="512" t="s">
        <v>688</v>
      </c>
      <c r="C3640" s="605">
        <v>46042.0</v>
      </c>
      <c r="D3640" s="512">
        <v>4.1669476456E10</v>
      </c>
      <c r="E3640" s="606" t="s">
        <v>6274</v>
      </c>
      <c r="F3640" s="607" t="s">
        <v>436</v>
      </c>
      <c r="G3640" s="606" t="s">
        <v>6275</v>
      </c>
      <c r="H3640" s="608" t="s">
        <v>5817</v>
      </c>
    </row>
    <row r="3641">
      <c r="A3641" s="546" t="s">
        <v>617</v>
      </c>
      <c r="B3641" s="512" t="s">
        <v>6232</v>
      </c>
      <c r="C3641" s="605">
        <v>46042.0</v>
      </c>
      <c r="D3641" s="512">
        <v>4.6294891275E10</v>
      </c>
      <c r="E3641" s="606" t="s">
        <v>5383</v>
      </c>
      <c r="F3641" s="607" t="s">
        <v>436</v>
      </c>
      <c r="G3641" s="606" t="s">
        <v>6276</v>
      </c>
      <c r="H3641" s="608" t="s">
        <v>5817</v>
      </c>
    </row>
    <row r="3642">
      <c r="A3642" s="546" t="s">
        <v>617</v>
      </c>
      <c r="B3642" s="512" t="s">
        <v>6232</v>
      </c>
      <c r="C3642" s="605">
        <v>46042.0</v>
      </c>
      <c r="D3642" s="512">
        <v>4.1218437007E10</v>
      </c>
      <c r="E3642" s="606" t="s">
        <v>6196</v>
      </c>
      <c r="F3642" s="607" t="s">
        <v>436</v>
      </c>
      <c r="G3642" s="606" t="s">
        <v>2478</v>
      </c>
      <c r="H3642" s="608" t="s">
        <v>5817</v>
      </c>
    </row>
    <row r="3643">
      <c r="A3643" s="546" t="s">
        <v>432</v>
      </c>
      <c r="B3643" s="512" t="s">
        <v>646</v>
      </c>
      <c r="C3643" s="605">
        <v>46042.0</v>
      </c>
      <c r="D3643" s="512">
        <v>3.3009899483E10</v>
      </c>
      <c r="E3643" s="606" t="s">
        <v>85</v>
      </c>
      <c r="F3643" s="607" t="s">
        <v>436</v>
      </c>
      <c r="G3643" s="606" t="s">
        <v>3470</v>
      </c>
      <c r="H3643" s="608" t="s">
        <v>438</v>
      </c>
    </row>
    <row r="3644">
      <c r="A3644" s="546" t="s">
        <v>823</v>
      </c>
      <c r="B3644" s="512" t="s">
        <v>646</v>
      </c>
      <c r="C3644" s="605">
        <v>46042.0</v>
      </c>
      <c r="D3644" s="512">
        <v>4.0871642475E10</v>
      </c>
      <c r="E3644" s="606" t="s">
        <v>6277</v>
      </c>
      <c r="F3644" s="607" t="s">
        <v>436</v>
      </c>
      <c r="G3644" s="606" t="s">
        <v>890</v>
      </c>
      <c r="H3644" s="608" t="s">
        <v>4558</v>
      </c>
    </row>
    <row r="3645">
      <c r="A3645" s="546" t="s">
        <v>617</v>
      </c>
      <c r="B3645" s="512" t="s">
        <v>646</v>
      </c>
      <c r="C3645" s="605">
        <v>46042.0</v>
      </c>
      <c r="D3645" s="512">
        <v>2.3733590581E10</v>
      </c>
      <c r="E3645" s="606" t="s">
        <v>5630</v>
      </c>
      <c r="F3645" s="607" t="s">
        <v>436</v>
      </c>
      <c r="G3645" s="606" t="s">
        <v>1659</v>
      </c>
      <c r="H3645" s="608" t="s">
        <v>5817</v>
      </c>
    </row>
    <row r="3646">
      <c r="A3646" s="546" t="s">
        <v>617</v>
      </c>
      <c r="B3646" s="512" t="s">
        <v>688</v>
      </c>
      <c r="C3646" s="605">
        <v>46042.0</v>
      </c>
      <c r="D3646" s="512">
        <v>4.2994122488E10</v>
      </c>
      <c r="E3646" s="606" t="s">
        <v>6154</v>
      </c>
      <c r="F3646" s="607" t="s">
        <v>436</v>
      </c>
      <c r="G3646" s="606" t="s">
        <v>4785</v>
      </c>
      <c r="H3646" s="608" t="s">
        <v>5817</v>
      </c>
    </row>
    <row r="3647">
      <c r="A3647" s="546" t="s">
        <v>617</v>
      </c>
      <c r="B3647" s="512" t="s">
        <v>6232</v>
      </c>
      <c r="C3647" s="605">
        <v>46042.0</v>
      </c>
      <c r="D3647" s="512">
        <v>4.4180379974E10</v>
      </c>
      <c r="E3647" s="606" t="s">
        <v>5383</v>
      </c>
      <c r="F3647" s="607" t="s">
        <v>436</v>
      </c>
      <c r="G3647" s="606" t="s">
        <v>6263</v>
      </c>
      <c r="H3647" s="608" t="s">
        <v>5817</v>
      </c>
    </row>
    <row r="3648">
      <c r="A3648" s="546" t="s">
        <v>432</v>
      </c>
      <c r="B3648" s="512" t="s">
        <v>449</v>
      </c>
      <c r="C3648" s="605">
        <v>46043.0</v>
      </c>
      <c r="D3648" s="512">
        <v>4.3386735841E10</v>
      </c>
      <c r="E3648" s="606" t="s">
        <v>4226</v>
      </c>
      <c r="F3648" s="607" t="s">
        <v>436</v>
      </c>
      <c r="G3648" s="606" t="s">
        <v>6278</v>
      </c>
      <c r="H3648" s="608" t="s">
        <v>438</v>
      </c>
    </row>
    <row r="3649">
      <c r="A3649" s="546" t="s">
        <v>432</v>
      </c>
      <c r="B3649" s="512" t="s">
        <v>6232</v>
      </c>
      <c r="C3649" s="605">
        <v>46043.0</v>
      </c>
      <c r="D3649" s="512">
        <v>4.8033769378E10</v>
      </c>
      <c r="E3649" s="606" t="s">
        <v>6279</v>
      </c>
      <c r="F3649" s="607" t="s">
        <v>436</v>
      </c>
      <c r="G3649" s="606" t="s">
        <v>4290</v>
      </c>
      <c r="H3649" s="608" t="s">
        <v>438</v>
      </c>
    </row>
    <row r="3650">
      <c r="A3650" s="546" t="s">
        <v>617</v>
      </c>
      <c r="B3650" s="512" t="s">
        <v>497</v>
      </c>
      <c r="C3650" s="605">
        <v>46043.0</v>
      </c>
      <c r="D3650" s="512">
        <v>4.5824266033E10</v>
      </c>
      <c r="E3650" s="606" t="s">
        <v>4979</v>
      </c>
      <c r="F3650" s="607" t="s">
        <v>436</v>
      </c>
      <c r="G3650" s="606" t="s">
        <v>5757</v>
      </c>
      <c r="H3650" s="608" t="s">
        <v>696</v>
      </c>
    </row>
    <row r="3651">
      <c r="A3651" s="546" t="s">
        <v>432</v>
      </c>
      <c r="B3651" s="512" t="s">
        <v>6232</v>
      </c>
      <c r="C3651" s="605">
        <v>46043.0</v>
      </c>
      <c r="D3651" s="512">
        <v>1.7044084841E10</v>
      </c>
      <c r="E3651" s="606" t="s">
        <v>4226</v>
      </c>
      <c r="F3651" s="607" t="s">
        <v>436</v>
      </c>
      <c r="G3651" s="606" t="s">
        <v>6280</v>
      </c>
      <c r="H3651" s="608" t="s">
        <v>438</v>
      </c>
    </row>
    <row r="3652">
      <c r="A3652" s="546" t="s">
        <v>617</v>
      </c>
      <c r="B3652" s="512" t="s">
        <v>449</v>
      </c>
      <c r="C3652" s="605">
        <v>46043.0</v>
      </c>
      <c r="D3652" s="512">
        <v>4.3496686024E10</v>
      </c>
      <c r="E3652" s="606" t="s">
        <v>5693</v>
      </c>
      <c r="F3652" s="607" t="s">
        <v>436</v>
      </c>
      <c r="G3652" s="606" t="s">
        <v>3270</v>
      </c>
      <c r="H3652" s="608" t="s">
        <v>696</v>
      </c>
    </row>
    <row r="3653">
      <c r="A3653" s="546" t="s">
        <v>432</v>
      </c>
      <c r="B3653" s="512" t="s">
        <v>449</v>
      </c>
      <c r="C3653" s="605">
        <v>46044.0</v>
      </c>
      <c r="D3653" s="512">
        <v>4.7531247776E10</v>
      </c>
      <c r="E3653" s="606" t="s">
        <v>4824</v>
      </c>
      <c r="F3653" s="607" t="s">
        <v>436</v>
      </c>
      <c r="G3653" s="606">
        <v>103.0</v>
      </c>
      <c r="H3653" s="608" t="s">
        <v>686</v>
      </c>
    </row>
    <row r="3654">
      <c r="A3654" s="546" t="s">
        <v>432</v>
      </c>
      <c r="B3654" s="512" t="s">
        <v>449</v>
      </c>
      <c r="C3654" s="605">
        <v>46044.0</v>
      </c>
      <c r="D3654" s="512">
        <v>4.5757153004E10</v>
      </c>
      <c r="E3654" s="606" t="s">
        <v>4866</v>
      </c>
      <c r="F3654" s="607" t="s">
        <v>436</v>
      </c>
      <c r="G3654" s="606">
        <v>152.0</v>
      </c>
      <c r="H3654" s="608" t="s">
        <v>686</v>
      </c>
    </row>
    <row r="3655">
      <c r="A3655" s="546" t="s">
        <v>432</v>
      </c>
      <c r="B3655" s="512" t="s">
        <v>6232</v>
      </c>
      <c r="C3655" s="605">
        <v>46044.0</v>
      </c>
      <c r="D3655" s="512">
        <v>4.8110446754E10</v>
      </c>
      <c r="E3655" s="606" t="s">
        <v>6281</v>
      </c>
      <c r="F3655" s="607" t="s">
        <v>436</v>
      </c>
      <c r="G3655" s="606">
        <v>300.0</v>
      </c>
      <c r="H3655" s="608" t="s">
        <v>686</v>
      </c>
    </row>
    <row r="3656">
      <c r="A3656" s="546" t="s">
        <v>432</v>
      </c>
      <c r="B3656" s="512" t="s">
        <v>449</v>
      </c>
      <c r="C3656" s="605">
        <v>46044.0</v>
      </c>
      <c r="D3656" s="512">
        <v>4.2823884247E10</v>
      </c>
      <c r="E3656" s="606" t="s">
        <v>6260</v>
      </c>
      <c r="F3656" s="607" t="s">
        <v>436</v>
      </c>
      <c r="G3656" s="606">
        <v>458.0</v>
      </c>
      <c r="H3656" s="608" t="s">
        <v>686</v>
      </c>
    </row>
    <row r="3657">
      <c r="A3657" s="546" t="s">
        <v>432</v>
      </c>
      <c r="B3657" s="512" t="s">
        <v>449</v>
      </c>
      <c r="C3657" s="605">
        <v>46044.0</v>
      </c>
      <c r="D3657" s="512">
        <v>3.5998017958E10</v>
      </c>
      <c r="E3657" s="606" t="s">
        <v>6282</v>
      </c>
      <c r="F3657" s="607" t="s">
        <v>436</v>
      </c>
      <c r="G3657" s="606">
        <v>480.0</v>
      </c>
      <c r="H3657" s="608" t="s">
        <v>686</v>
      </c>
    </row>
    <row r="3658">
      <c r="A3658" s="546" t="s">
        <v>432</v>
      </c>
      <c r="B3658" s="512" t="s">
        <v>449</v>
      </c>
      <c r="C3658" s="605">
        <v>46044.0</v>
      </c>
      <c r="D3658" s="512">
        <v>4.2567673565E10</v>
      </c>
      <c r="E3658" s="606" t="s">
        <v>5383</v>
      </c>
      <c r="F3658" s="607" t="s">
        <v>436</v>
      </c>
      <c r="G3658" s="606">
        <v>709.0</v>
      </c>
      <c r="H3658" s="608" t="s">
        <v>686</v>
      </c>
    </row>
    <row r="3659">
      <c r="A3659" s="546" t="s">
        <v>432</v>
      </c>
      <c r="B3659" s="512" t="s">
        <v>449</v>
      </c>
      <c r="C3659" s="605">
        <v>46044.0</v>
      </c>
      <c r="D3659" s="512">
        <v>2.8507810639E10</v>
      </c>
      <c r="E3659" s="606" t="s">
        <v>5383</v>
      </c>
      <c r="F3659" s="607" t="s">
        <v>436</v>
      </c>
      <c r="G3659" s="606">
        <v>709.0</v>
      </c>
      <c r="H3659" s="608" t="s">
        <v>686</v>
      </c>
    </row>
    <row r="3660">
      <c r="A3660" s="546" t="s">
        <v>432</v>
      </c>
      <c r="B3660" s="512" t="s">
        <v>6232</v>
      </c>
      <c r="C3660" s="605">
        <v>46044.0</v>
      </c>
      <c r="D3660" s="512">
        <v>3.8480878485E10</v>
      </c>
      <c r="E3660" s="606" t="s">
        <v>5630</v>
      </c>
      <c r="F3660" s="607" t="s">
        <v>436</v>
      </c>
      <c r="G3660" s="606">
        <v>892.0</v>
      </c>
      <c r="H3660" s="608" t="s">
        <v>686</v>
      </c>
    </row>
    <row r="3661">
      <c r="A3661" s="546" t="s">
        <v>432</v>
      </c>
      <c r="B3661" s="512" t="s">
        <v>449</v>
      </c>
      <c r="C3661" s="605">
        <v>46044.0</v>
      </c>
      <c r="D3661" s="512">
        <v>4.4102907341E10</v>
      </c>
      <c r="E3661" s="606" t="s">
        <v>5630</v>
      </c>
      <c r="F3661" s="607" t="s">
        <v>436</v>
      </c>
      <c r="G3661" s="606">
        <v>895.0</v>
      </c>
      <c r="H3661" s="608" t="s">
        <v>686</v>
      </c>
    </row>
    <row r="3662">
      <c r="A3662" s="546" t="s">
        <v>432</v>
      </c>
      <c r="B3662" s="512" t="s">
        <v>449</v>
      </c>
      <c r="C3662" s="605">
        <v>46044.0</v>
      </c>
      <c r="D3662" s="512">
        <v>4.2028670448E10</v>
      </c>
      <c r="E3662" s="606" t="s">
        <v>6283</v>
      </c>
      <c r="F3662" s="607" t="s">
        <v>436</v>
      </c>
      <c r="G3662" s="606">
        <v>1293.0</v>
      </c>
      <c r="H3662" s="608" t="s">
        <v>686</v>
      </c>
    </row>
    <row r="3663">
      <c r="A3663" s="546" t="s">
        <v>432</v>
      </c>
      <c r="B3663" s="512" t="s">
        <v>6232</v>
      </c>
      <c r="C3663" s="605">
        <v>46044.0</v>
      </c>
      <c r="D3663" s="512">
        <v>4.4754806237E10</v>
      </c>
      <c r="E3663" s="606" t="s">
        <v>6284</v>
      </c>
      <c r="F3663" s="607" t="s">
        <v>436</v>
      </c>
      <c r="G3663" s="606">
        <v>1604.0</v>
      </c>
      <c r="H3663" s="608" t="s">
        <v>686</v>
      </c>
    </row>
    <row r="3664">
      <c r="A3664" s="546" t="s">
        <v>432</v>
      </c>
      <c r="B3664" s="512" t="s">
        <v>6232</v>
      </c>
      <c r="C3664" s="605">
        <v>46044.0</v>
      </c>
      <c r="D3664" s="512">
        <v>4.5686596814E10</v>
      </c>
      <c r="E3664" s="606" t="s">
        <v>5598</v>
      </c>
      <c r="F3664" s="607" t="s">
        <v>436</v>
      </c>
      <c r="G3664" s="606">
        <v>2954.0</v>
      </c>
      <c r="H3664" s="608" t="s">
        <v>686</v>
      </c>
    </row>
    <row r="3665">
      <c r="A3665" s="546" t="s">
        <v>432</v>
      </c>
      <c r="B3665" s="512" t="s">
        <v>6232</v>
      </c>
      <c r="C3665" s="605">
        <v>46044.0</v>
      </c>
      <c r="D3665" s="512">
        <v>4.3043312627E10</v>
      </c>
      <c r="E3665" s="606" t="s">
        <v>6258</v>
      </c>
      <c r="F3665" s="607" t="s">
        <v>436</v>
      </c>
      <c r="G3665" s="606">
        <v>3484.0</v>
      </c>
      <c r="H3665" s="608" t="s">
        <v>686</v>
      </c>
    </row>
    <row r="3666">
      <c r="A3666" s="546" t="s">
        <v>617</v>
      </c>
      <c r="B3666" s="512" t="s">
        <v>3583</v>
      </c>
      <c r="C3666" s="605">
        <v>46044.0</v>
      </c>
      <c r="D3666" s="512">
        <v>3.103431883E10</v>
      </c>
      <c r="E3666" s="606" t="s">
        <v>4165</v>
      </c>
      <c r="F3666" s="607" t="s">
        <v>436</v>
      </c>
      <c r="G3666" s="606" t="s">
        <v>6285</v>
      </c>
      <c r="H3666" s="608" t="s">
        <v>696</v>
      </c>
    </row>
    <row r="3667">
      <c r="A3667" s="546" t="s">
        <v>439</v>
      </c>
      <c r="B3667" s="512" t="s">
        <v>449</v>
      </c>
      <c r="C3667" s="605">
        <v>46044.0</v>
      </c>
      <c r="D3667" s="512">
        <v>4.3822242764E10</v>
      </c>
      <c r="E3667" s="606" t="s">
        <v>5820</v>
      </c>
      <c r="F3667" s="607" t="s">
        <v>436</v>
      </c>
      <c r="G3667" s="606" t="s">
        <v>3753</v>
      </c>
      <c r="H3667" s="608" t="s">
        <v>4078</v>
      </c>
    </row>
    <row r="3668">
      <c r="A3668" s="546" t="s">
        <v>617</v>
      </c>
      <c r="B3668" s="512" t="s">
        <v>449</v>
      </c>
      <c r="C3668" s="605">
        <v>46044.0</v>
      </c>
      <c r="D3668" s="512">
        <v>3.5902614506E10</v>
      </c>
      <c r="E3668" s="606" t="s">
        <v>4824</v>
      </c>
      <c r="F3668" s="607" t="s">
        <v>436</v>
      </c>
      <c r="G3668" s="606" t="s">
        <v>3268</v>
      </c>
      <c r="H3668" s="608" t="s">
        <v>696</v>
      </c>
    </row>
    <row r="3669">
      <c r="A3669" s="546" t="s">
        <v>432</v>
      </c>
      <c r="B3669" s="512" t="s">
        <v>449</v>
      </c>
      <c r="C3669" s="605">
        <v>46045.0</v>
      </c>
      <c r="D3669" s="512">
        <v>4.5733030785E10</v>
      </c>
      <c r="E3669" s="606" t="s">
        <v>6282</v>
      </c>
      <c r="F3669" s="607" t="s">
        <v>436</v>
      </c>
      <c r="G3669" s="606">
        <v>265.0</v>
      </c>
      <c r="H3669" s="608" t="s">
        <v>686</v>
      </c>
    </row>
    <row r="3670">
      <c r="A3670" s="546" t="s">
        <v>432</v>
      </c>
      <c r="B3670" s="512" t="s">
        <v>6232</v>
      </c>
      <c r="C3670" s="605">
        <v>46045.0</v>
      </c>
      <c r="D3670" s="512">
        <v>4.6866402576E10</v>
      </c>
      <c r="E3670" s="606" t="s">
        <v>6286</v>
      </c>
      <c r="F3670" s="607" t="s">
        <v>436</v>
      </c>
      <c r="G3670" s="606">
        <v>526.0</v>
      </c>
      <c r="H3670" s="608" t="s">
        <v>686</v>
      </c>
    </row>
    <row r="3671">
      <c r="A3671" s="546" t="s">
        <v>432</v>
      </c>
      <c r="B3671" s="512" t="s">
        <v>6232</v>
      </c>
      <c r="C3671" s="605">
        <v>46045.0</v>
      </c>
      <c r="D3671" s="512">
        <v>4.2591707764E10</v>
      </c>
      <c r="E3671" s="606" t="s">
        <v>6287</v>
      </c>
      <c r="F3671" s="607" t="s">
        <v>436</v>
      </c>
      <c r="G3671" s="606">
        <v>530.0</v>
      </c>
      <c r="H3671" s="608" t="s">
        <v>686</v>
      </c>
    </row>
    <row r="3672">
      <c r="A3672" s="546" t="s">
        <v>432</v>
      </c>
      <c r="B3672" s="512" t="s">
        <v>6232</v>
      </c>
      <c r="C3672" s="605">
        <v>46045.0</v>
      </c>
      <c r="D3672" s="512">
        <v>4.4624777924E10</v>
      </c>
      <c r="E3672" s="606" t="s">
        <v>5630</v>
      </c>
      <c r="F3672" s="607" t="s">
        <v>436</v>
      </c>
      <c r="G3672" s="606">
        <v>1017.0</v>
      </c>
      <c r="H3672" s="608" t="s">
        <v>686</v>
      </c>
    </row>
    <row r="3673">
      <c r="A3673" s="546" t="s">
        <v>432</v>
      </c>
      <c r="B3673" s="512" t="s">
        <v>6232</v>
      </c>
      <c r="C3673" s="605">
        <v>46045.0</v>
      </c>
      <c r="D3673" s="512">
        <v>4.2650142226E10</v>
      </c>
      <c r="E3673" s="606" t="s">
        <v>5383</v>
      </c>
      <c r="F3673" s="607" t="s">
        <v>436</v>
      </c>
      <c r="G3673" s="606">
        <v>1167.0</v>
      </c>
      <c r="H3673" s="608" t="s">
        <v>686</v>
      </c>
    </row>
    <row r="3674">
      <c r="A3674" s="546" t="s">
        <v>432</v>
      </c>
      <c r="B3674" s="512" t="s">
        <v>6232</v>
      </c>
      <c r="C3674" s="605">
        <v>46045.0</v>
      </c>
      <c r="D3674" s="512">
        <v>4.7875010131E10</v>
      </c>
      <c r="E3674" s="606" t="s">
        <v>6252</v>
      </c>
      <c r="F3674" s="607" t="s">
        <v>436</v>
      </c>
      <c r="G3674" s="606">
        <v>1339.0</v>
      </c>
      <c r="H3674" s="608" t="s">
        <v>686</v>
      </c>
    </row>
    <row r="3675">
      <c r="A3675" s="546" t="s">
        <v>617</v>
      </c>
      <c r="B3675" s="512" t="s">
        <v>6232</v>
      </c>
      <c r="C3675" s="605">
        <v>46045.0</v>
      </c>
      <c r="D3675" s="512">
        <v>3.4960765256E10</v>
      </c>
      <c r="E3675" s="606" t="s">
        <v>6288</v>
      </c>
      <c r="F3675" s="607" t="s">
        <v>436</v>
      </c>
      <c r="G3675" s="606" t="s">
        <v>6289</v>
      </c>
      <c r="H3675" s="608" t="s">
        <v>5817</v>
      </c>
    </row>
    <row r="3676">
      <c r="A3676" s="546" t="s">
        <v>617</v>
      </c>
      <c r="B3676" s="512" t="s">
        <v>6232</v>
      </c>
      <c r="C3676" s="605">
        <v>46045.0</v>
      </c>
      <c r="D3676" s="512">
        <v>4.1146534991E10</v>
      </c>
      <c r="E3676" s="606" t="s">
        <v>5383</v>
      </c>
      <c r="F3676" s="607" t="s">
        <v>436</v>
      </c>
      <c r="G3676" s="606" t="s">
        <v>6290</v>
      </c>
      <c r="H3676" s="608" t="s">
        <v>5817</v>
      </c>
    </row>
    <row r="3677">
      <c r="A3677" s="546" t="s">
        <v>617</v>
      </c>
      <c r="B3677" s="512" t="s">
        <v>449</v>
      </c>
      <c r="C3677" s="605">
        <v>46045.0</v>
      </c>
      <c r="D3677" s="512">
        <v>4.4325887503E10</v>
      </c>
      <c r="E3677" s="606" t="s">
        <v>6131</v>
      </c>
      <c r="F3677" s="607" t="s">
        <v>436</v>
      </c>
      <c r="G3677" s="606" t="s">
        <v>2114</v>
      </c>
      <c r="H3677" s="608" t="s">
        <v>5817</v>
      </c>
    </row>
    <row r="3678">
      <c r="A3678" s="546" t="s">
        <v>823</v>
      </c>
      <c r="B3678" s="512" t="s">
        <v>449</v>
      </c>
      <c r="C3678" s="605">
        <v>46045.0</v>
      </c>
      <c r="D3678" s="512">
        <v>2.7257515875E10</v>
      </c>
      <c r="E3678" s="606" t="s">
        <v>4857</v>
      </c>
      <c r="F3678" s="607" t="s">
        <v>436</v>
      </c>
      <c r="G3678" s="606" t="s">
        <v>3845</v>
      </c>
      <c r="H3678" s="608" t="s">
        <v>4558</v>
      </c>
    </row>
    <row r="3679">
      <c r="A3679" s="546" t="s">
        <v>617</v>
      </c>
      <c r="B3679" s="512" t="s">
        <v>6232</v>
      </c>
      <c r="C3679" s="605">
        <v>46045.0</v>
      </c>
      <c r="D3679" s="512">
        <v>4.3969123618E10</v>
      </c>
      <c r="E3679" s="606" t="s">
        <v>5656</v>
      </c>
      <c r="F3679" s="607" t="s">
        <v>436</v>
      </c>
      <c r="G3679" s="606" t="s">
        <v>2860</v>
      </c>
      <c r="H3679" s="608" t="s">
        <v>5817</v>
      </c>
    </row>
    <row r="3680">
      <c r="A3680" s="546" t="s">
        <v>617</v>
      </c>
      <c r="B3680" s="512" t="s">
        <v>6232</v>
      </c>
      <c r="C3680" s="605">
        <v>46045.0</v>
      </c>
      <c r="D3680" s="512">
        <v>4.8206203668E10</v>
      </c>
      <c r="E3680" s="606" t="s">
        <v>6291</v>
      </c>
      <c r="F3680" s="607" t="s">
        <v>436</v>
      </c>
      <c r="G3680" s="606" t="s">
        <v>6292</v>
      </c>
      <c r="H3680" s="608" t="s">
        <v>5817</v>
      </c>
    </row>
    <row r="3681">
      <c r="A3681" s="546" t="s">
        <v>823</v>
      </c>
      <c r="B3681" s="512" t="s">
        <v>449</v>
      </c>
      <c r="C3681" s="605">
        <v>46045.0</v>
      </c>
      <c r="D3681" s="512">
        <v>4.3355610179E10</v>
      </c>
      <c r="E3681" s="606" t="s">
        <v>6287</v>
      </c>
      <c r="F3681" s="607" t="s">
        <v>436</v>
      </c>
      <c r="G3681" s="606" t="s">
        <v>6293</v>
      </c>
      <c r="H3681" s="608" t="s">
        <v>4558</v>
      </c>
    </row>
    <row r="3682">
      <c r="A3682" s="546" t="s">
        <v>617</v>
      </c>
      <c r="B3682" s="512" t="s">
        <v>6232</v>
      </c>
      <c r="C3682" s="605">
        <v>46045.0</v>
      </c>
      <c r="D3682" s="512">
        <v>4.8203427129E10</v>
      </c>
      <c r="E3682" s="606" t="s">
        <v>4165</v>
      </c>
      <c r="F3682" s="607" t="s">
        <v>436</v>
      </c>
      <c r="G3682" s="606" t="s">
        <v>2743</v>
      </c>
      <c r="H3682" s="608" t="s">
        <v>5817</v>
      </c>
    </row>
    <row r="3683">
      <c r="A3683" s="546" t="s">
        <v>617</v>
      </c>
      <c r="B3683" s="512" t="s">
        <v>6232</v>
      </c>
      <c r="C3683" s="605">
        <v>46045.0</v>
      </c>
      <c r="D3683" s="512">
        <v>4.798929466E10</v>
      </c>
      <c r="E3683" s="606" t="s">
        <v>6288</v>
      </c>
      <c r="F3683" s="607" t="s">
        <v>436</v>
      </c>
      <c r="G3683" s="606" t="s">
        <v>6294</v>
      </c>
      <c r="H3683" s="608" t="s">
        <v>5817</v>
      </c>
    </row>
    <row r="3684">
      <c r="A3684" s="546" t="s">
        <v>432</v>
      </c>
      <c r="B3684" s="512" t="s">
        <v>449</v>
      </c>
      <c r="C3684" s="605">
        <v>46046.0</v>
      </c>
      <c r="D3684" s="512">
        <v>4.652584733E10</v>
      </c>
      <c r="E3684" s="606" t="s">
        <v>6119</v>
      </c>
      <c r="F3684" s="607" t="s">
        <v>436</v>
      </c>
      <c r="G3684" s="606">
        <v>79.0</v>
      </c>
      <c r="H3684" s="608" t="s">
        <v>686</v>
      </c>
    </row>
    <row r="3685">
      <c r="A3685" s="546" t="s">
        <v>432</v>
      </c>
      <c r="B3685" s="512" t="s">
        <v>449</v>
      </c>
      <c r="C3685" s="605">
        <v>46046.0</v>
      </c>
      <c r="D3685" s="512">
        <v>3.9686241064E10</v>
      </c>
      <c r="E3685" s="606" t="s">
        <v>6119</v>
      </c>
      <c r="F3685" s="607" t="s">
        <v>436</v>
      </c>
      <c r="G3685" s="606">
        <v>125.0</v>
      </c>
      <c r="H3685" s="608" t="s">
        <v>686</v>
      </c>
    </row>
    <row r="3686">
      <c r="A3686" s="546" t="s">
        <v>432</v>
      </c>
      <c r="B3686" s="512" t="s">
        <v>449</v>
      </c>
      <c r="C3686" s="605">
        <v>46046.0</v>
      </c>
      <c r="D3686" s="512">
        <v>4.7736617952E10</v>
      </c>
      <c r="E3686" s="606" t="s">
        <v>4165</v>
      </c>
      <c r="F3686" s="607" t="s">
        <v>436</v>
      </c>
      <c r="G3686" s="606">
        <v>159.0</v>
      </c>
      <c r="H3686" s="608" t="s">
        <v>686</v>
      </c>
    </row>
    <row r="3687">
      <c r="A3687" s="546" t="s">
        <v>432</v>
      </c>
      <c r="B3687" s="512" t="s">
        <v>6232</v>
      </c>
      <c r="C3687" s="605">
        <v>46046.0</v>
      </c>
      <c r="D3687" s="512">
        <v>4.2265879995E10</v>
      </c>
      <c r="E3687" s="606" t="s">
        <v>6295</v>
      </c>
      <c r="F3687" s="607" t="s">
        <v>436</v>
      </c>
      <c r="G3687" s="606">
        <v>1872.0</v>
      </c>
      <c r="H3687" s="608" t="s">
        <v>686</v>
      </c>
    </row>
    <row r="3688">
      <c r="A3688" s="546" t="s">
        <v>432</v>
      </c>
      <c r="B3688" s="512" t="s">
        <v>6232</v>
      </c>
      <c r="C3688" s="605">
        <v>46046.0</v>
      </c>
      <c r="D3688" s="512">
        <v>4.4312513065E10</v>
      </c>
      <c r="E3688" s="606" t="s">
        <v>6295</v>
      </c>
      <c r="F3688" s="607" t="s">
        <v>436</v>
      </c>
      <c r="G3688" s="606">
        <v>1872.0</v>
      </c>
      <c r="H3688" s="608" t="s">
        <v>686</v>
      </c>
    </row>
    <row r="3689">
      <c r="A3689" s="546" t="s">
        <v>432</v>
      </c>
      <c r="B3689" s="512" t="s">
        <v>3963</v>
      </c>
      <c r="C3689" s="605">
        <v>46046.0</v>
      </c>
      <c r="D3689" s="512">
        <v>4.4619933088E10</v>
      </c>
      <c r="E3689" s="606" t="s">
        <v>4165</v>
      </c>
      <c r="F3689" s="607" t="s">
        <v>436</v>
      </c>
      <c r="G3689" s="606">
        <v>1943.0</v>
      </c>
      <c r="H3689" s="608" t="s">
        <v>686</v>
      </c>
    </row>
    <row r="3690">
      <c r="A3690" s="546" t="s">
        <v>432</v>
      </c>
      <c r="B3690" s="512" t="s">
        <v>449</v>
      </c>
      <c r="C3690" s="605">
        <v>46046.0</v>
      </c>
      <c r="D3690" s="512">
        <v>3.3812695555E10</v>
      </c>
      <c r="E3690" s="606" t="s">
        <v>4222</v>
      </c>
      <c r="F3690" s="607" t="s">
        <v>436</v>
      </c>
      <c r="G3690" s="606">
        <v>2356.0</v>
      </c>
      <c r="H3690" s="608" t="s">
        <v>686</v>
      </c>
    </row>
    <row r="3691">
      <c r="A3691" s="546" t="s">
        <v>432</v>
      </c>
      <c r="B3691" s="512" t="s">
        <v>449</v>
      </c>
      <c r="C3691" s="605">
        <v>46046.0</v>
      </c>
      <c r="D3691" s="512">
        <v>4.2591907568E10</v>
      </c>
      <c r="E3691" s="606" t="s">
        <v>5383</v>
      </c>
      <c r="F3691" s="607" t="s">
        <v>436</v>
      </c>
      <c r="G3691" s="606">
        <v>2356.0</v>
      </c>
      <c r="H3691" s="608" t="s">
        <v>686</v>
      </c>
    </row>
    <row r="3692">
      <c r="A3692" s="546" t="s">
        <v>432</v>
      </c>
      <c r="B3692" s="512" t="s">
        <v>449</v>
      </c>
      <c r="C3692" s="605">
        <v>46046.0</v>
      </c>
      <c r="D3692" s="512">
        <v>4.3338568937E10</v>
      </c>
      <c r="E3692" s="606" t="s">
        <v>4222</v>
      </c>
      <c r="F3692" s="607" t="s">
        <v>436</v>
      </c>
      <c r="G3692" s="606">
        <v>2356.0</v>
      </c>
      <c r="H3692" s="608" t="s">
        <v>686</v>
      </c>
    </row>
    <row r="3693">
      <c r="A3693" s="546" t="s">
        <v>432</v>
      </c>
      <c r="B3693" s="512" t="s">
        <v>449</v>
      </c>
      <c r="C3693" s="605">
        <v>46046.0</v>
      </c>
      <c r="D3693" s="512">
        <v>4.4625374021E10</v>
      </c>
      <c r="E3693" s="606" t="s">
        <v>4222</v>
      </c>
      <c r="F3693" s="607" t="s">
        <v>436</v>
      </c>
      <c r="G3693" s="606">
        <v>2356.0</v>
      </c>
      <c r="H3693" s="608" t="s">
        <v>686</v>
      </c>
    </row>
    <row r="3694">
      <c r="A3694" s="546" t="s">
        <v>432</v>
      </c>
      <c r="B3694" s="512" t="s">
        <v>449</v>
      </c>
      <c r="C3694" s="605">
        <v>46046.0</v>
      </c>
      <c r="D3694" s="512">
        <v>4.4342230705E10</v>
      </c>
      <c r="E3694" s="606" t="s">
        <v>5929</v>
      </c>
      <c r="F3694" s="607" t="s">
        <v>436</v>
      </c>
      <c r="G3694" s="606">
        <v>2716.0</v>
      </c>
      <c r="H3694" s="608" t="s">
        <v>686</v>
      </c>
    </row>
    <row r="3695">
      <c r="A3695" s="546" t="s">
        <v>617</v>
      </c>
      <c r="B3695" s="512" t="s">
        <v>6232</v>
      </c>
      <c r="C3695" s="605">
        <v>46046.0</v>
      </c>
      <c r="D3695" s="512">
        <v>3.9957753967E10</v>
      </c>
      <c r="E3695" s="606" t="s">
        <v>5630</v>
      </c>
      <c r="F3695" s="607" t="s">
        <v>436</v>
      </c>
      <c r="G3695" s="606" t="s">
        <v>1872</v>
      </c>
      <c r="H3695" s="608" t="s">
        <v>5817</v>
      </c>
    </row>
    <row r="3696">
      <c r="A3696" s="546" t="s">
        <v>617</v>
      </c>
      <c r="B3696" s="512" t="s">
        <v>6232</v>
      </c>
      <c r="C3696" s="605">
        <v>46046.0</v>
      </c>
      <c r="D3696" s="512">
        <v>4.5835548567E10</v>
      </c>
      <c r="E3696" s="606" t="s">
        <v>4165</v>
      </c>
      <c r="F3696" s="607" t="s">
        <v>436</v>
      </c>
      <c r="G3696" s="606" t="s">
        <v>6296</v>
      </c>
      <c r="H3696" s="608" t="s">
        <v>5817</v>
      </c>
    </row>
    <row r="3697">
      <c r="A3697" s="546" t="s">
        <v>617</v>
      </c>
      <c r="B3697" s="512" t="s">
        <v>688</v>
      </c>
      <c r="C3697" s="605">
        <v>46046.0</v>
      </c>
      <c r="D3697" s="512">
        <v>4.2211598807E10</v>
      </c>
      <c r="E3697" s="606" t="s">
        <v>6297</v>
      </c>
      <c r="F3697" s="607" t="s">
        <v>436</v>
      </c>
      <c r="G3697" s="606" t="s">
        <v>2336</v>
      </c>
      <c r="H3697" s="608" t="s">
        <v>5817</v>
      </c>
    </row>
    <row r="3698">
      <c r="A3698" s="546" t="s">
        <v>617</v>
      </c>
      <c r="B3698" s="512" t="s">
        <v>449</v>
      </c>
      <c r="C3698" s="605">
        <v>46046.0</v>
      </c>
      <c r="D3698" s="512">
        <v>4.3401292404E10</v>
      </c>
      <c r="E3698" s="606" t="s">
        <v>6298</v>
      </c>
      <c r="F3698" s="607" t="s">
        <v>436</v>
      </c>
      <c r="G3698" s="606" t="s">
        <v>3684</v>
      </c>
      <c r="H3698" s="608" t="s">
        <v>5817</v>
      </c>
    </row>
    <row r="3699">
      <c r="A3699" s="546" t="s">
        <v>617</v>
      </c>
      <c r="B3699" s="512" t="s">
        <v>6232</v>
      </c>
      <c r="C3699" s="605">
        <v>46046.0</v>
      </c>
      <c r="D3699" s="512">
        <v>4.3832210593E10</v>
      </c>
      <c r="E3699" s="606" t="s">
        <v>6299</v>
      </c>
      <c r="F3699" s="607" t="s">
        <v>436</v>
      </c>
      <c r="G3699" s="606" t="s">
        <v>6300</v>
      </c>
      <c r="H3699" s="608" t="s">
        <v>5817</v>
      </c>
    </row>
    <row r="3700">
      <c r="A3700" s="546" t="s">
        <v>617</v>
      </c>
      <c r="B3700" s="512" t="s">
        <v>6232</v>
      </c>
      <c r="C3700" s="605">
        <v>46046.0</v>
      </c>
      <c r="D3700" s="512">
        <v>3.5265184527E10</v>
      </c>
      <c r="E3700" s="606" t="s">
        <v>6196</v>
      </c>
      <c r="F3700" s="607" t="s">
        <v>436</v>
      </c>
      <c r="G3700" s="606" t="s">
        <v>2739</v>
      </c>
      <c r="H3700" s="608" t="s">
        <v>5817</v>
      </c>
    </row>
    <row r="3701">
      <c r="A3701" s="546" t="s">
        <v>617</v>
      </c>
      <c r="B3701" s="512" t="s">
        <v>449</v>
      </c>
      <c r="C3701" s="605">
        <v>46046.0</v>
      </c>
      <c r="D3701" s="512">
        <v>4.064441495E10</v>
      </c>
      <c r="E3701" s="606" t="s">
        <v>6068</v>
      </c>
      <c r="F3701" s="607" t="s">
        <v>436</v>
      </c>
      <c r="G3701" s="606" t="s">
        <v>1274</v>
      </c>
      <c r="H3701" s="608" t="s">
        <v>5817</v>
      </c>
    </row>
    <row r="3702">
      <c r="A3702" s="546" t="s">
        <v>823</v>
      </c>
      <c r="B3702" s="512" t="s">
        <v>449</v>
      </c>
      <c r="C3702" s="605">
        <v>46046.0</v>
      </c>
      <c r="D3702" s="512">
        <v>4.8199264124E10</v>
      </c>
      <c r="E3702" s="606" t="s">
        <v>6301</v>
      </c>
      <c r="F3702" s="607" t="s">
        <v>436</v>
      </c>
      <c r="G3702" s="606" t="s">
        <v>2189</v>
      </c>
      <c r="H3702" s="608" t="s">
        <v>4558</v>
      </c>
    </row>
    <row r="3703">
      <c r="A3703" s="546" t="s">
        <v>617</v>
      </c>
      <c r="B3703" s="512" t="s">
        <v>449</v>
      </c>
      <c r="C3703" s="605">
        <v>46047.0</v>
      </c>
      <c r="D3703" s="512">
        <v>4.8265909101E10</v>
      </c>
      <c r="E3703" s="606" t="s">
        <v>6302</v>
      </c>
      <c r="F3703" s="607" t="s">
        <v>436</v>
      </c>
      <c r="G3703" s="606" t="s">
        <v>1762</v>
      </c>
      <c r="H3703" s="608" t="s">
        <v>696</v>
      </c>
    </row>
    <row r="3704">
      <c r="A3704" s="546" t="s">
        <v>617</v>
      </c>
      <c r="B3704" s="512" t="s">
        <v>449</v>
      </c>
      <c r="C3704" s="605">
        <v>46047.0</v>
      </c>
      <c r="D3704" s="512">
        <v>4.8358453477E10</v>
      </c>
      <c r="E3704" s="606" t="s">
        <v>4824</v>
      </c>
      <c r="F3704" s="607" t="s">
        <v>436</v>
      </c>
      <c r="G3704" s="606" t="s">
        <v>6303</v>
      </c>
      <c r="H3704" s="608" t="s">
        <v>696</v>
      </c>
    </row>
    <row r="3705">
      <c r="A3705" s="546" t="s">
        <v>617</v>
      </c>
      <c r="B3705" s="512" t="s">
        <v>449</v>
      </c>
      <c r="C3705" s="605">
        <v>46047.0</v>
      </c>
      <c r="D3705" s="512">
        <v>4.2239903976E10</v>
      </c>
      <c r="E3705" s="606" t="s">
        <v>6260</v>
      </c>
      <c r="F3705" s="607" t="s">
        <v>436</v>
      </c>
      <c r="G3705" s="606" t="s">
        <v>6304</v>
      </c>
      <c r="H3705" s="608" t="s">
        <v>696</v>
      </c>
    </row>
    <row r="3706">
      <c r="A3706" s="546" t="s">
        <v>432</v>
      </c>
      <c r="B3706" s="512" t="s">
        <v>6305</v>
      </c>
      <c r="C3706" s="605">
        <v>46047.0</v>
      </c>
      <c r="D3706" s="512">
        <v>3.5862936008E10</v>
      </c>
      <c r="E3706" s="606" t="s">
        <v>5759</v>
      </c>
      <c r="F3706" s="607" t="s">
        <v>436</v>
      </c>
      <c r="G3706" s="606" t="s">
        <v>3359</v>
      </c>
      <c r="H3706" s="608" t="s">
        <v>438</v>
      </c>
    </row>
    <row r="3707">
      <c r="A3707" s="546" t="s">
        <v>432</v>
      </c>
      <c r="B3707" s="512" t="s">
        <v>6232</v>
      </c>
      <c r="C3707" s="605">
        <v>46047.0</v>
      </c>
      <c r="D3707" s="512">
        <v>3.3412505646E10</v>
      </c>
      <c r="E3707" s="606" t="s">
        <v>5253</v>
      </c>
      <c r="F3707" s="607" t="s">
        <v>436</v>
      </c>
      <c r="G3707" s="606" t="s">
        <v>6306</v>
      </c>
      <c r="H3707" s="608" t="s">
        <v>438</v>
      </c>
    </row>
    <row r="3708">
      <c r="A3708" s="546" t="s">
        <v>432</v>
      </c>
      <c r="B3708" s="512" t="s">
        <v>6305</v>
      </c>
      <c r="C3708" s="605">
        <v>46047.0</v>
      </c>
      <c r="D3708" s="512">
        <v>4.8179020376E10</v>
      </c>
      <c r="E3708" s="606" t="s">
        <v>6307</v>
      </c>
      <c r="F3708" s="607" t="s">
        <v>436</v>
      </c>
      <c r="G3708" s="606" t="s">
        <v>6308</v>
      </c>
      <c r="H3708" s="608" t="s">
        <v>438</v>
      </c>
    </row>
    <row r="3709">
      <c r="A3709" s="546" t="s">
        <v>617</v>
      </c>
      <c r="B3709" s="512" t="s">
        <v>3583</v>
      </c>
      <c r="C3709" s="605">
        <v>46047.0</v>
      </c>
      <c r="D3709" s="512">
        <v>4.2775445245E10</v>
      </c>
      <c r="E3709" s="606" t="s">
        <v>6309</v>
      </c>
      <c r="F3709" s="607" t="s">
        <v>436</v>
      </c>
      <c r="G3709" s="606" t="s">
        <v>6310</v>
      </c>
      <c r="H3709" s="608" t="s">
        <v>696</v>
      </c>
    </row>
    <row r="3710">
      <c r="A3710" s="546" t="s">
        <v>432</v>
      </c>
      <c r="B3710" s="512" t="s">
        <v>6232</v>
      </c>
      <c r="C3710" s="605">
        <v>46047.0</v>
      </c>
      <c r="D3710" s="512">
        <v>4.4730044728E10</v>
      </c>
      <c r="E3710" s="606" t="s">
        <v>5759</v>
      </c>
      <c r="F3710" s="607" t="s">
        <v>436</v>
      </c>
      <c r="G3710" s="606" t="s">
        <v>6311</v>
      </c>
      <c r="H3710" s="608" t="s">
        <v>438</v>
      </c>
    </row>
    <row r="3711">
      <c r="A3711" s="546" t="s">
        <v>823</v>
      </c>
      <c r="B3711" s="512" t="s">
        <v>6305</v>
      </c>
      <c r="C3711" s="605">
        <v>46047.0</v>
      </c>
      <c r="D3711" s="512">
        <v>3.9468087854E10</v>
      </c>
      <c r="E3711" s="606" t="s">
        <v>6312</v>
      </c>
      <c r="F3711" s="607" t="s">
        <v>436</v>
      </c>
      <c r="G3711" s="606" t="s">
        <v>472</v>
      </c>
      <c r="H3711" s="608" t="s">
        <v>6153</v>
      </c>
    </row>
    <row r="3712">
      <c r="A3712" s="546" t="s">
        <v>432</v>
      </c>
      <c r="B3712" s="512" t="s">
        <v>6232</v>
      </c>
      <c r="C3712" s="605">
        <v>46047.0</v>
      </c>
      <c r="D3712" s="512">
        <v>4.458692798E10</v>
      </c>
      <c r="E3712" s="606" t="s">
        <v>5630</v>
      </c>
      <c r="F3712" s="607" t="s">
        <v>436</v>
      </c>
      <c r="G3712" s="606" t="s">
        <v>6313</v>
      </c>
      <c r="H3712" s="608" t="s">
        <v>438</v>
      </c>
    </row>
    <row r="3713">
      <c r="A3713" s="546" t="s">
        <v>432</v>
      </c>
      <c r="B3713" s="512" t="s">
        <v>449</v>
      </c>
      <c r="C3713" s="605">
        <v>46047.0</v>
      </c>
      <c r="D3713" s="512">
        <v>4.281639293E10</v>
      </c>
      <c r="E3713" s="606" t="s">
        <v>6314</v>
      </c>
      <c r="F3713" s="607" t="s">
        <v>436</v>
      </c>
      <c r="G3713" s="606" t="s">
        <v>3211</v>
      </c>
      <c r="H3713" s="608" t="s">
        <v>438</v>
      </c>
    </row>
    <row r="3714">
      <c r="A3714" s="546" t="s">
        <v>823</v>
      </c>
      <c r="B3714" s="512" t="s">
        <v>6305</v>
      </c>
      <c r="C3714" s="605">
        <v>46047.0</v>
      </c>
      <c r="D3714" s="512">
        <v>4.3134622365E10</v>
      </c>
      <c r="E3714" s="606" t="s">
        <v>6315</v>
      </c>
      <c r="F3714" s="607" t="s">
        <v>436</v>
      </c>
      <c r="G3714" s="606" t="s">
        <v>1956</v>
      </c>
      <c r="H3714" s="608" t="s">
        <v>6153</v>
      </c>
    </row>
    <row r="3715">
      <c r="A3715" s="546" t="s">
        <v>432</v>
      </c>
      <c r="B3715" s="512" t="s">
        <v>6305</v>
      </c>
      <c r="C3715" s="605">
        <v>46047.0</v>
      </c>
      <c r="D3715" s="512">
        <v>4.6824103105E10</v>
      </c>
      <c r="E3715" s="606" t="s">
        <v>6316</v>
      </c>
      <c r="F3715" s="607" t="s">
        <v>436</v>
      </c>
      <c r="G3715" s="606" t="s">
        <v>6317</v>
      </c>
      <c r="H3715" s="608" t="s">
        <v>438</v>
      </c>
    </row>
    <row r="3716">
      <c r="A3716" s="546" t="s">
        <v>823</v>
      </c>
      <c r="B3716" s="512" t="s">
        <v>6305</v>
      </c>
      <c r="C3716" s="605">
        <v>46047.0</v>
      </c>
      <c r="D3716" s="512">
        <v>4.2476842722E10</v>
      </c>
      <c r="E3716" s="606" t="s">
        <v>6316</v>
      </c>
      <c r="F3716" s="607" t="s">
        <v>436</v>
      </c>
      <c r="G3716" s="606" t="s">
        <v>4982</v>
      </c>
      <c r="H3716" s="608" t="s">
        <v>6153</v>
      </c>
    </row>
    <row r="3717">
      <c r="A3717" s="546" t="s">
        <v>432</v>
      </c>
      <c r="B3717" s="512" t="s">
        <v>688</v>
      </c>
      <c r="C3717" s="605">
        <v>46047.0</v>
      </c>
      <c r="D3717" s="512">
        <v>4.1155370772E10</v>
      </c>
      <c r="E3717" s="606" t="s">
        <v>6318</v>
      </c>
      <c r="F3717" s="607" t="s">
        <v>436</v>
      </c>
      <c r="G3717" s="606" t="s">
        <v>4747</v>
      </c>
      <c r="H3717" s="608" t="s">
        <v>438</v>
      </c>
    </row>
    <row r="3718">
      <c r="A3718" s="546" t="s">
        <v>432</v>
      </c>
      <c r="B3718" s="512" t="s">
        <v>6232</v>
      </c>
      <c r="C3718" s="605">
        <v>46047.0</v>
      </c>
      <c r="D3718" s="512">
        <v>4.0843753537E10</v>
      </c>
      <c r="E3718" s="606" t="s">
        <v>5759</v>
      </c>
      <c r="F3718" s="607" t="s">
        <v>436</v>
      </c>
      <c r="G3718" s="606" t="s">
        <v>4920</v>
      </c>
      <c r="H3718" s="608" t="s">
        <v>438</v>
      </c>
    </row>
    <row r="3719">
      <c r="A3719" s="546" t="s">
        <v>823</v>
      </c>
      <c r="B3719" s="512" t="s">
        <v>688</v>
      </c>
      <c r="C3719" s="605">
        <v>46047.0</v>
      </c>
      <c r="D3719" s="512">
        <v>4.7871461524E10</v>
      </c>
      <c r="E3719" s="606" t="s">
        <v>5699</v>
      </c>
      <c r="F3719" s="607" t="s">
        <v>436</v>
      </c>
      <c r="G3719" s="606" t="s">
        <v>1710</v>
      </c>
      <c r="H3719" s="608" t="s">
        <v>6153</v>
      </c>
    </row>
    <row r="3720">
      <c r="A3720" s="546" t="s">
        <v>432</v>
      </c>
      <c r="B3720" s="512" t="s">
        <v>449</v>
      </c>
      <c r="C3720" s="605">
        <v>46048.0</v>
      </c>
      <c r="D3720" s="512">
        <v>4.1129495124E10</v>
      </c>
      <c r="E3720" s="606" t="s">
        <v>6199</v>
      </c>
      <c r="F3720" s="607" t="s">
        <v>436</v>
      </c>
      <c r="G3720" s="606">
        <v>515.0</v>
      </c>
      <c r="H3720" s="608" t="s">
        <v>686</v>
      </c>
    </row>
    <row r="3721">
      <c r="A3721" s="546" t="s">
        <v>432</v>
      </c>
      <c r="B3721" s="512" t="s">
        <v>6232</v>
      </c>
      <c r="C3721" s="605">
        <v>46048.0</v>
      </c>
      <c r="D3721" s="512">
        <v>3.2339592765E10</v>
      </c>
      <c r="E3721" s="606" t="s">
        <v>5630</v>
      </c>
      <c r="F3721" s="607" t="s">
        <v>436</v>
      </c>
      <c r="G3721" s="606">
        <v>796.0</v>
      </c>
      <c r="H3721" s="608" t="s">
        <v>686</v>
      </c>
    </row>
    <row r="3722">
      <c r="A3722" s="546" t="s">
        <v>432</v>
      </c>
      <c r="B3722" s="512" t="s">
        <v>6232</v>
      </c>
      <c r="C3722" s="605">
        <v>46048.0</v>
      </c>
      <c r="D3722" s="512">
        <v>4.3875824978E10</v>
      </c>
      <c r="E3722" s="606" t="s">
        <v>4165</v>
      </c>
      <c r="F3722" s="607" t="s">
        <v>436</v>
      </c>
      <c r="G3722" s="606">
        <v>920.0</v>
      </c>
      <c r="H3722" s="608" t="s">
        <v>686</v>
      </c>
    </row>
    <row r="3723">
      <c r="A3723" s="546" t="s">
        <v>432</v>
      </c>
      <c r="B3723" s="512" t="s">
        <v>6232</v>
      </c>
      <c r="C3723" s="605">
        <v>46048.0</v>
      </c>
      <c r="D3723" s="512">
        <v>3.3998066945E10</v>
      </c>
      <c r="E3723" s="606" t="s">
        <v>6252</v>
      </c>
      <c r="F3723" s="607" t="s">
        <v>436</v>
      </c>
      <c r="G3723" s="606">
        <v>1857.0</v>
      </c>
      <c r="H3723" s="608" t="s">
        <v>686</v>
      </c>
    </row>
    <row r="3724">
      <c r="A3724" s="546" t="s">
        <v>432</v>
      </c>
      <c r="B3724" s="512" t="s">
        <v>6232</v>
      </c>
      <c r="C3724" s="605">
        <v>46048.0</v>
      </c>
      <c r="D3724" s="512">
        <v>4.4640271558E10</v>
      </c>
      <c r="E3724" s="606" t="s">
        <v>6319</v>
      </c>
      <c r="F3724" s="607" t="s">
        <v>436</v>
      </c>
      <c r="G3724" s="606">
        <v>3151.0</v>
      </c>
      <c r="H3724" s="608" t="s">
        <v>686</v>
      </c>
    </row>
    <row r="3725">
      <c r="A3725" s="546" t="s">
        <v>432</v>
      </c>
      <c r="B3725" s="512" t="s">
        <v>6232</v>
      </c>
      <c r="C3725" s="605">
        <v>46048.0</v>
      </c>
      <c r="D3725" s="512">
        <v>4.4190297671E10</v>
      </c>
      <c r="E3725" s="606" t="s">
        <v>6319</v>
      </c>
      <c r="F3725" s="607" t="s">
        <v>436</v>
      </c>
      <c r="G3725" s="606">
        <v>3151.0</v>
      </c>
      <c r="H3725" s="608" t="s">
        <v>686</v>
      </c>
    </row>
    <row r="3726">
      <c r="A3726" s="546" t="s">
        <v>432</v>
      </c>
      <c r="B3726" s="512" t="s">
        <v>449</v>
      </c>
      <c r="C3726" s="605">
        <v>46048.0</v>
      </c>
      <c r="D3726" s="512">
        <v>4.0982409402E10</v>
      </c>
      <c r="E3726" s="606" t="s">
        <v>4165</v>
      </c>
      <c r="F3726" s="607" t="s">
        <v>436</v>
      </c>
      <c r="G3726" s="606">
        <v>4242.0</v>
      </c>
      <c r="H3726" s="608" t="s">
        <v>686</v>
      </c>
    </row>
    <row r="3727">
      <c r="A3727" s="546" t="s">
        <v>823</v>
      </c>
      <c r="B3727" s="512" t="s">
        <v>3583</v>
      </c>
      <c r="C3727" s="605">
        <v>46048.0</v>
      </c>
      <c r="D3727" s="512">
        <v>4.3446087096E10</v>
      </c>
      <c r="E3727" s="606" t="s">
        <v>6320</v>
      </c>
      <c r="F3727" s="607" t="s">
        <v>436</v>
      </c>
      <c r="G3727" s="606" t="s">
        <v>6321</v>
      </c>
      <c r="H3727" s="608" t="s">
        <v>6153</v>
      </c>
    </row>
    <row r="3728">
      <c r="A3728" s="546" t="s">
        <v>617</v>
      </c>
      <c r="B3728" s="512" t="s">
        <v>3583</v>
      </c>
      <c r="C3728" s="605">
        <v>46048.0</v>
      </c>
      <c r="D3728" s="512">
        <v>4.4553229688E10</v>
      </c>
      <c r="E3728" s="606" t="s">
        <v>6322</v>
      </c>
      <c r="F3728" s="607" t="s">
        <v>436</v>
      </c>
      <c r="G3728" s="606" t="s">
        <v>6323</v>
      </c>
      <c r="H3728" s="608" t="s">
        <v>696</v>
      </c>
    </row>
    <row r="3729">
      <c r="A3729" s="546" t="s">
        <v>823</v>
      </c>
      <c r="B3729" s="512" t="s">
        <v>6305</v>
      </c>
      <c r="C3729" s="605">
        <v>46048.0</v>
      </c>
      <c r="D3729" s="512">
        <v>4.3293736294E10</v>
      </c>
      <c r="E3729" s="606" t="s">
        <v>6324</v>
      </c>
      <c r="F3729" s="607" t="s">
        <v>436</v>
      </c>
      <c r="G3729" s="606" t="s">
        <v>6039</v>
      </c>
      <c r="H3729" s="608" t="s">
        <v>6153</v>
      </c>
    </row>
    <row r="3730">
      <c r="A3730" s="546" t="s">
        <v>617</v>
      </c>
      <c r="B3730" s="512" t="s">
        <v>3583</v>
      </c>
      <c r="C3730" s="605">
        <v>46048.0</v>
      </c>
      <c r="D3730" s="512">
        <v>3.9451482478E10</v>
      </c>
      <c r="E3730" s="606" t="s">
        <v>6325</v>
      </c>
      <c r="F3730" s="607" t="s">
        <v>436</v>
      </c>
      <c r="G3730" s="606" t="s">
        <v>5931</v>
      </c>
      <c r="H3730" s="608" t="s">
        <v>696</v>
      </c>
    </row>
    <row r="3731">
      <c r="A3731" s="546" t="s">
        <v>439</v>
      </c>
      <c r="B3731" s="512" t="s">
        <v>449</v>
      </c>
      <c r="C3731" s="605">
        <v>46048.0</v>
      </c>
      <c r="D3731" s="512">
        <v>4.2830035646E10</v>
      </c>
      <c r="E3731" s="606" t="s">
        <v>6326</v>
      </c>
      <c r="F3731" s="607" t="s">
        <v>436</v>
      </c>
      <c r="G3731" s="606" t="s">
        <v>6327</v>
      </c>
      <c r="H3731" s="608" t="s">
        <v>4078</v>
      </c>
    </row>
    <row r="3732">
      <c r="A3732" s="546" t="s">
        <v>823</v>
      </c>
      <c r="B3732" s="512" t="s">
        <v>6305</v>
      </c>
      <c r="C3732" s="605">
        <v>46048.0</v>
      </c>
      <c r="D3732" s="512">
        <v>4.256293732E10</v>
      </c>
      <c r="E3732" s="606" t="s">
        <v>6328</v>
      </c>
      <c r="F3732" s="607" t="s">
        <v>436</v>
      </c>
      <c r="G3732" s="606" t="s">
        <v>4151</v>
      </c>
      <c r="H3732" s="608" t="s">
        <v>6153</v>
      </c>
    </row>
    <row r="3733">
      <c r="A3733" s="546" t="s">
        <v>439</v>
      </c>
      <c r="B3733" s="512" t="s">
        <v>6232</v>
      </c>
      <c r="C3733" s="605">
        <v>46048.0</v>
      </c>
      <c r="D3733" s="512">
        <v>4.6395879177E10</v>
      </c>
      <c r="E3733" s="606" t="s">
        <v>6329</v>
      </c>
      <c r="F3733" s="607" t="s">
        <v>436</v>
      </c>
      <c r="G3733" s="606" t="s">
        <v>3092</v>
      </c>
      <c r="H3733" s="608" t="s">
        <v>4078</v>
      </c>
    </row>
    <row r="3734">
      <c r="A3734" s="546" t="s">
        <v>823</v>
      </c>
      <c r="B3734" s="512" t="s">
        <v>6305</v>
      </c>
      <c r="C3734" s="605">
        <v>46048.0</v>
      </c>
      <c r="D3734" s="512">
        <v>4.0574352888E10</v>
      </c>
      <c r="E3734" s="606" t="s">
        <v>4165</v>
      </c>
      <c r="F3734" s="607" t="s">
        <v>436</v>
      </c>
      <c r="G3734" s="606" t="s">
        <v>5651</v>
      </c>
      <c r="H3734" s="608" t="s">
        <v>6153</v>
      </c>
    </row>
    <row r="3735">
      <c r="A3735" s="546" t="s">
        <v>617</v>
      </c>
      <c r="B3735" s="512" t="s">
        <v>3583</v>
      </c>
      <c r="C3735" s="605">
        <v>46048.0</v>
      </c>
      <c r="D3735" s="512">
        <v>3.9327086553E10</v>
      </c>
      <c r="E3735" s="606" t="s">
        <v>5719</v>
      </c>
      <c r="F3735" s="607" t="s">
        <v>436</v>
      </c>
      <c r="G3735" s="606" t="s">
        <v>5875</v>
      </c>
      <c r="H3735" s="608" t="s">
        <v>696</v>
      </c>
    </row>
    <row r="3736">
      <c r="A3736" s="546" t="s">
        <v>432</v>
      </c>
      <c r="B3736" s="512" t="s">
        <v>6305</v>
      </c>
      <c r="C3736" s="605">
        <v>46049.0</v>
      </c>
      <c r="D3736" s="512">
        <v>4.8204144946E10</v>
      </c>
      <c r="E3736" s="606" t="s">
        <v>6330</v>
      </c>
      <c r="F3736" s="607" t="s">
        <v>436</v>
      </c>
      <c r="G3736" s="606">
        <v>197.0</v>
      </c>
      <c r="H3736" s="608" t="s">
        <v>686</v>
      </c>
    </row>
    <row r="3737">
      <c r="A3737" s="546" t="s">
        <v>432</v>
      </c>
      <c r="B3737" s="512" t="s">
        <v>6232</v>
      </c>
      <c r="C3737" s="605">
        <v>46049.0</v>
      </c>
      <c r="D3737" s="512">
        <v>4.7897400817E10</v>
      </c>
      <c r="E3737" s="606" t="s">
        <v>6331</v>
      </c>
      <c r="F3737" s="607" t="s">
        <v>436</v>
      </c>
      <c r="G3737" s="606">
        <v>270.0</v>
      </c>
      <c r="H3737" s="608" t="s">
        <v>686</v>
      </c>
    </row>
    <row r="3738">
      <c r="A3738" s="546" t="s">
        <v>432</v>
      </c>
      <c r="B3738" s="512" t="s">
        <v>6232</v>
      </c>
      <c r="C3738" s="605">
        <v>46049.0</v>
      </c>
      <c r="D3738" s="512">
        <v>4.7897400822E10</v>
      </c>
      <c r="E3738" s="606" t="s">
        <v>6331</v>
      </c>
      <c r="F3738" s="607" t="s">
        <v>436</v>
      </c>
      <c r="G3738" s="606">
        <v>272.0</v>
      </c>
      <c r="H3738" s="608" t="s">
        <v>686</v>
      </c>
    </row>
    <row r="3739">
      <c r="A3739" s="546" t="s">
        <v>432</v>
      </c>
      <c r="B3739" s="512" t="s">
        <v>6232</v>
      </c>
      <c r="C3739" s="605">
        <v>46049.0</v>
      </c>
      <c r="D3739" s="512">
        <v>4.7897400827E10</v>
      </c>
      <c r="E3739" s="606" t="s">
        <v>6331</v>
      </c>
      <c r="F3739" s="607" t="s">
        <v>436</v>
      </c>
      <c r="G3739" s="606">
        <v>274.0</v>
      </c>
      <c r="H3739" s="608" t="s">
        <v>686</v>
      </c>
    </row>
    <row r="3740">
      <c r="A3740" s="546" t="s">
        <v>432</v>
      </c>
      <c r="B3740" s="512" t="s">
        <v>6232</v>
      </c>
      <c r="C3740" s="605">
        <v>46049.0</v>
      </c>
      <c r="D3740" s="512">
        <v>4.7897400844E10</v>
      </c>
      <c r="E3740" s="606" t="s">
        <v>6331</v>
      </c>
      <c r="F3740" s="607" t="s">
        <v>436</v>
      </c>
      <c r="G3740" s="606">
        <v>315.0</v>
      </c>
      <c r="H3740" s="608" t="s">
        <v>686</v>
      </c>
    </row>
    <row r="3741">
      <c r="A3741" s="546" t="s">
        <v>432</v>
      </c>
      <c r="B3741" s="512" t="s">
        <v>6305</v>
      </c>
      <c r="C3741" s="605">
        <v>46049.0</v>
      </c>
      <c r="D3741" s="512">
        <v>4.5851203915E10</v>
      </c>
      <c r="E3741" s="606" t="s">
        <v>4857</v>
      </c>
      <c r="F3741" s="607" t="s">
        <v>436</v>
      </c>
      <c r="G3741" s="606">
        <v>497.0</v>
      </c>
      <c r="H3741" s="608" t="s">
        <v>686</v>
      </c>
    </row>
    <row r="3742">
      <c r="A3742" s="546" t="s">
        <v>432</v>
      </c>
      <c r="B3742" s="512" t="s">
        <v>6305</v>
      </c>
      <c r="C3742" s="605">
        <v>46049.0</v>
      </c>
      <c r="D3742" s="512">
        <v>4.5824273515E10</v>
      </c>
      <c r="E3742" s="606" t="s">
        <v>4854</v>
      </c>
      <c r="F3742" s="607" t="s">
        <v>436</v>
      </c>
      <c r="G3742" s="606">
        <v>511.0</v>
      </c>
      <c r="H3742" s="608" t="s">
        <v>686</v>
      </c>
    </row>
    <row r="3743">
      <c r="A3743" s="546" t="s">
        <v>432</v>
      </c>
      <c r="B3743" s="512" t="s">
        <v>6305</v>
      </c>
      <c r="C3743" s="605">
        <v>46049.0</v>
      </c>
      <c r="D3743" s="512">
        <v>4.6466086668E10</v>
      </c>
      <c r="E3743" s="606" t="s">
        <v>4857</v>
      </c>
      <c r="F3743" s="607" t="s">
        <v>436</v>
      </c>
      <c r="G3743" s="606">
        <v>1073.0</v>
      </c>
      <c r="H3743" s="608" t="s">
        <v>686</v>
      </c>
    </row>
    <row r="3744">
      <c r="A3744" s="546" t="s">
        <v>432</v>
      </c>
      <c r="B3744" s="512" t="s">
        <v>6305</v>
      </c>
      <c r="C3744" s="605">
        <v>46049.0</v>
      </c>
      <c r="D3744" s="512">
        <v>3.84680282E10</v>
      </c>
      <c r="E3744" s="606" t="s">
        <v>6259</v>
      </c>
      <c r="F3744" s="607" t="s">
        <v>436</v>
      </c>
      <c r="G3744" s="606">
        <v>1269.0</v>
      </c>
      <c r="H3744" s="608" t="s">
        <v>686</v>
      </c>
    </row>
    <row r="3745">
      <c r="A3745" s="546" t="s">
        <v>432</v>
      </c>
      <c r="B3745" s="512" t="s">
        <v>6232</v>
      </c>
      <c r="C3745" s="605">
        <v>46049.0</v>
      </c>
      <c r="D3745" s="512">
        <v>4.4497418453E10</v>
      </c>
      <c r="E3745" s="606" t="s">
        <v>4104</v>
      </c>
      <c r="F3745" s="607" t="s">
        <v>436</v>
      </c>
      <c r="G3745" s="606">
        <v>1825.0</v>
      </c>
      <c r="H3745" s="608" t="s">
        <v>686</v>
      </c>
    </row>
    <row r="3746">
      <c r="A3746" s="546" t="s">
        <v>432</v>
      </c>
      <c r="B3746" s="512" t="s">
        <v>6305</v>
      </c>
      <c r="C3746" s="605">
        <v>46049.0</v>
      </c>
      <c r="D3746" s="512">
        <v>4.3348245836E10</v>
      </c>
      <c r="E3746" s="606" t="s">
        <v>4854</v>
      </c>
      <c r="F3746" s="607" t="s">
        <v>436</v>
      </c>
      <c r="G3746" s="606">
        <v>2039.0</v>
      </c>
      <c r="H3746" s="608" t="s">
        <v>686</v>
      </c>
    </row>
    <row r="3747">
      <c r="A3747" s="546" t="s">
        <v>432</v>
      </c>
      <c r="B3747" s="512" t="s">
        <v>6232</v>
      </c>
      <c r="C3747" s="605">
        <v>46049.0</v>
      </c>
      <c r="D3747" s="512">
        <v>4.3468952546E10</v>
      </c>
      <c r="E3747" s="606" t="s">
        <v>4854</v>
      </c>
      <c r="F3747" s="607" t="s">
        <v>436</v>
      </c>
      <c r="G3747" s="606">
        <v>5624.0</v>
      </c>
      <c r="H3747" s="608" t="s">
        <v>686</v>
      </c>
    </row>
    <row r="3748">
      <c r="A3748" s="546" t="s">
        <v>432</v>
      </c>
      <c r="B3748" s="512" t="s">
        <v>6232</v>
      </c>
      <c r="C3748" s="605">
        <v>46049.0</v>
      </c>
      <c r="D3748" s="512">
        <v>4.0919629881E10</v>
      </c>
      <c r="E3748" s="606" t="s">
        <v>4854</v>
      </c>
      <c r="F3748" s="607" t="s">
        <v>436</v>
      </c>
      <c r="G3748" s="606">
        <v>6486.0</v>
      </c>
      <c r="H3748" s="608" t="s">
        <v>686</v>
      </c>
    </row>
    <row r="3749">
      <c r="A3749" s="546" t="s">
        <v>617</v>
      </c>
      <c r="B3749" s="512" t="s">
        <v>6305</v>
      </c>
      <c r="C3749" s="605">
        <v>46049.0</v>
      </c>
      <c r="D3749" s="512">
        <v>3.9158041293E10</v>
      </c>
      <c r="E3749" s="606" t="s">
        <v>6332</v>
      </c>
      <c r="F3749" s="607" t="s">
        <v>436</v>
      </c>
      <c r="G3749" s="606" t="s">
        <v>2247</v>
      </c>
      <c r="H3749" s="608" t="s">
        <v>5817</v>
      </c>
    </row>
    <row r="3750">
      <c r="A3750" s="546" t="s">
        <v>617</v>
      </c>
      <c r="B3750" s="512" t="s">
        <v>6232</v>
      </c>
      <c r="C3750" s="605">
        <v>46049.0</v>
      </c>
      <c r="D3750" s="512">
        <v>4.3194786066E10</v>
      </c>
      <c r="E3750" s="606" t="s">
        <v>5759</v>
      </c>
      <c r="F3750" s="607" t="s">
        <v>436</v>
      </c>
      <c r="G3750" s="606" t="s">
        <v>5226</v>
      </c>
      <c r="H3750" s="608" t="s">
        <v>5817</v>
      </c>
    </row>
    <row r="3751">
      <c r="A3751" s="546" t="s">
        <v>617</v>
      </c>
      <c r="B3751" s="512" t="s">
        <v>6232</v>
      </c>
      <c r="C3751" s="605">
        <v>46049.0</v>
      </c>
      <c r="D3751" s="512">
        <v>4.3456577193E10</v>
      </c>
      <c r="E3751" s="606" t="s">
        <v>6260</v>
      </c>
      <c r="F3751" s="607" t="s">
        <v>436</v>
      </c>
      <c r="G3751" s="606" t="s">
        <v>6333</v>
      </c>
      <c r="H3751" s="608" t="s">
        <v>5817</v>
      </c>
    </row>
    <row r="3752">
      <c r="A3752" s="546" t="s">
        <v>617</v>
      </c>
      <c r="B3752" s="512" t="s">
        <v>6232</v>
      </c>
      <c r="C3752" s="605">
        <v>46049.0</v>
      </c>
      <c r="D3752" s="512">
        <v>3.7025661231E10</v>
      </c>
      <c r="E3752" s="606" t="s">
        <v>4129</v>
      </c>
      <c r="F3752" s="607" t="s">
        <v>436</v>
      </c>
      <c r="G3752" s="606" t="s">
        <v>6334</v>
      </c>
      <c r="H3752" s="608" t="s">
        <v>5817</v>
      </c>
    </row>
    <row r="3753">
      <c r="A3753" s="546" t="s">
        <v>617</v>
      </c>
      <c r="B3753" s="512" t="s">
        <v>6305</v>
      </c>
      <c r="C3753" s="605">
        <v>46049.0</v>
      </c>
      <c r="D3753" s="512">
        <v>4.6408646572E10</v>
      </c>
      <c r="E3753" s="606" t="s">
        <v>6335</v>
      </c>
      <c r="F3753" s="607" t="s">
        <v>436</v>
      </c>
      <c r="G3753" s="606" t="s">
        <v>6336</v>
      </c>
      <c r="H3753" s="608" t="s">
        <v>5817</v>
      </c>
    </row>
    <row r="3754">
      <c r="A3754" s="546" t="s">
        <v>617</v>
      </c>
      <c r="B3754" s="512" t="s">
        <v>6232</v>
      </c>
      <c r="C3754" s="605">
        <v>46049.0</v>
      </c>
      <c r="D3754" s="512">
        <v>3.0902263113E10</v>
      </c>
      <c r="E3754" s="606" t="s">
        <v>6068</v>
      </c>
      <c r="F3754" s="607" t="s">
        <v>436</v>
      </c>
      <c r="G3754" s="606" t="s">
        <v>6337</v>
      </c>
      <c r="H3754" s="608" t="s">
        <v>5817</v>
      </c>
    </row>
    <row r="3755">
      <c r="A3755" s="546" t="s">
        <v>617</v>
      </c>
      <c r="B3755" s="512" t="s">
        <v>6305</v>
      </c>
      <c r="C3755" s="605">
        <v>46049.0</v>
      </c>
      <c r="D3755" s="512">
        <v>4.5743437702E10</v>
      </c>
      <c r="E3755" s="606" t="s">
        <v>6068</v>
      </c>
      <c r="F3755" s="607" t="s">
        <v>436</v>
      </c>
      <c r="G3755" s="606" t="s">
        <v>6338</v>
      </c>
      <c r="H3755" s="608" t="s">
        <v>5817</v>
      </c>
    </row>
    <row r="3756">
      <c r="A3756" s="546" t="s">
        <v>617</v>
      </c>
      <c r="B3756" s="512" t="s">
        <v>6232</v>
      </c>
      <c r="C3756" s="605">
        <v>46049.0</v>
      </c>
      <c r="D3756" s="512">
        <v>9.19551496E9</v>
      </c>
      <c r="E3756" s="606" t="s">
        <v>4165</v>
      </c>
      <c r="F3756" s="607" t="s">
        <v>436</v>
      </c>
      <c r="G3756" s="606" t="s">
        <v>6339</v>
      </c>
      <c r="H3756" s="608" t="s">
        <v>5817</v>
      </c>
    </row>
    <row r="3757">
      <c r="A3757" s="546" t="s">
        <v>823</v>
      </c>
      <c r="B3757" s="512" t="s">
        <v>6305</v>
      </c>
      <c r="C3757" s="605">
        <v>46050.0</v>
      </c>
      <c r="D3757" s="512">
        <v>4.6183239148E10</v>
      </c>
      <c r="E3757" s="606" t="s">
        <v>6340</v>
      </c>
      <c r="F3757" s="607" t="s">
        <v>436</v>
      </c>
      <c r="G3757" s="606">
        <v>326.0</v>
      </c>
      <c r="H3757" s="608" t="s">
        <v>4558</v>
      </c>
    </row>
    <row r="3758">
      <c r="A3758" s="546" t="s">
        <v>617</v>
      </c>
      <c r="B3758" s="512" t="s">
        <v>6305</v>
      </c>
      <c r="C3758" s="605">
        <v>46050.0</v>
      </c>
      <c r="D3758" s="512">
        <v>4.4474975176E10</v>
      </c>
      <c r="E3758" s="606" t="s">
        <v>6341</v>
      </c>
      <c r="F3758" s="607" t="s">
        <v>436</v>
      </c>
      <c r="G3758" s="606" t="s">
        <v>6342</v>
      </c>
      <c r="H3758" s="608" t="s">
        <v>5817</v>
      </c>
    </row>
    <row r="3759">
      <c r="A3759" s="546" t="s">
        <v>823</v>
      </c>
      <c r="B3759" s="512" t="s">
        <v>6305</v>
      </c>
      <c r="C3759" s="605">
        <v>46050.0</v>
      </c>
      <c r="D3759" s="512">
        <v>4.2547211643E10</v>
      </c>
      <c r="E3759" s="606" t="s">
        <v>4974</v>
      </c>
      <c r="F3759" s="607" t="s">
        <v>436</v>
      </c>
      <c r="G3759" s="606" t="s">
        <v>767</v>
      </c>
      <c r="H3759" s="608" t="s">
        <v>4558</v>
      </c>
    </row>
    <row r="3760">
      <c r="A3760" s="546" t="s">
        <v>617</v>
      </c>
      <c r="B3760" s="512" t="s">
        <v>6232</v>
      </c>
      <c r="C3760" s="605">
        <v>46050.0</v>
      </c>
      <c r="D3760" s="512">
        <v>4.4347602937E10</v>
      </c>
      <c r="E3760" s="606" t="s">
        <v>6131</v>
      </c>
      <c r="F3760" s="607" t="s">
        <v>436</v>
      </c>
      <c r="G3760" s="606" t="s">
        <v>6343</v>
      </c>
      <c r="H3760" s="608" t="s">
        <v>5817</v>
      </c>
    </row>
    <row r="3761">
      <c r="A3761" s="546" t="s">
        <v>617</v>
      </c>
      <c r="B3761" s="512" t="s">
        <v>6232</v>
      </c>
      <c r="C3761" s="605">
        <v>46050.0</v>
      </c>
      <c r="D3761" s="512">
        <v>4.3230420975E10</v>
      </c>
      <c r="E3761" s="606" t="s">
        <v>6344</v>
      </c>
      <c r="F3761" s="607" t="s">
        <v>436</v>
      </c>
      <c r="G3761" s="606" t="s">
        <v>6345</v>
      </c>
      <c r="H3761" s="608" t="s">
        <v>5817</v>
      </c>
    </row>
    <row r="3762">
      <c r="A3762" s="546" t="s">
        <v>617</v>
      </c>
      <c r="B3762" s="512" t="s">
        <v>6305</v>
      </c>
      <c r="C3762" s="605">
        <v>46050.0</v>
      </c>
      <c r="D3762" s="512">
        <v>4.7645669847E10</v>
      </c>
      <c r="E3762" s="606" t="s">
        <v>5759</v>
      </c>
      <c r="F3762" s="607" t="s">
        <v>436</v>
      </c>
      <c r="G3762" s="606" t="s">
        <v>6346</v>
      </c>
      <c r="H3762" s="608" t="s">
        <v>5817</v>
      </c>
    </row>
    <row r="3763">
      <c r="A3763" s="546" t="s">
        <v>617</v>
      </c>
      <c r="B3763" s="512" t="s">
        <v>6232</v>
      </c>
      <c r="C3763" s="605">
        <v>46050.0</v>
      </c>
      <c r="D3763" s="512">
        <v>4.6375109904E10</v>
      </c>
      <c r="E3763" s="606" t="s">
        <v>6131</v>
      </c>
      <c r="F3763" s="607" t="s">
        <v>436</v>
      </c>
      <c r="G3763" s="606" t="s">
        <v>2163</v>
      </c>
      <c r="H3763" s="608" t="s">
        <v>5817</v>
      </c>
    </row>
    <row r="3764">
      <c r="A3764" s="546" t="s">
        <v>617</v>
      </c>
      <c r="B3764" s="512" t="s">
        <v>6305</v>
      </c>
      <c r="C3764" s="605">
        <v>46050.0</v>
      </c>
      <c r="D3764" s="512">
        <v>4.6034844931E10</v>
      </c>
      <c r="E3764" s="606" t="s">
        <v>5109</v>
      </c>
      <c r="F3764" s="607" t="s">
        <v>436</v>
      </c>
      <c r="G3764" s="606" t="s">
        <v>2542</v>
      </c>
      <c r="H3764" s="608" t="s">
        <v>5817</v>
      </c>
    </row>
    <row r="3765">
      <c r="A3765" s="546" t="s">
        <v>617</v>
      </c>
      <c r="B3765" s="512" t="s">
        <v>6232</v>
      </c>
      <c r="C3765" s="605">
        <v>46050.0</v>
      </c>
      <c r="D3765" s="512">
        <v>4.7010676996E10</v>
      </c>
      <c r="E3765" s="606" t="s">
        <v>6199</v>
      </c>
      <c r="F3765" s="607" t="s">
        <v>436</v>
      </c>
      <c r="G3765" s="606" t="s">
        <v>6347</v>
      </c>
      <c r="H3765" s="608" t="s">
        <v>5817</v>
      </c>
    </row>
    <row r="3766">
      <c r="A3766" s="546" t="s">
        <v>617</v>
      </c>
      <c r="B3766" s="512" t="s">
        <v>6232</v>
      </c>
      <c r="C3766" s="605">
        <v>46050.0</v>
      </c>
      <c r="D3766" s="512">
        <v>4.8526227109E10</v>
      </c>
      <c r="E3766" s="606" t="s">
        <v>6348</v>
      </c>
      <c r="F3766" s="607" t="s">
        <v>436</v>
      </c>
      <c r="G3766" s="606" t="s">
        <v>5830</v>
      </c>
      <c r="H3766" s="608" t="s">
        <v>5817</v>
      </c>
    </row>
    <row r="3767">
      <c r="A3767" s="546" t="s">
        <v>432</v>
      </c>
      <c r="B3767" s="512" t="s">
        <v>6305</v>
      </c>
      <c r="C3767" s="605">
        <v>46050.0</v>
      </c>
      <c r="D3767" s="512" t="s">
        <v>6349</v>
      </c>
      <c r="E3767" s="606" t="s">
        <v>4165</v>
      </c>
      <c r="F3767" s="607" t="s">
        <v>436</v>
      </c>
      <c r="G3767" s="606" t="s">
        <v>6350</v>
      </c>
      <c r="H3767" s="608" t="s">
        <v>693</v>
      </c>
    </row>
    <row r="3768">
      <c r="A3768" s="546" t="s">
        <v>617</v>
      </c>
      <c r="B3768" s="512" t="s">
        <v>6305</v>
      </c>
      <c r="C3768" s="605">
        <v>46050.0</v>
      </c>
      <c r="D3768" s="512">
        <v>4.5733147758E10</v>
      </c>
      <c r="E3768" s="606" t="s">
        <v>5055</v>
      </c>
      <c r="F3768" s="607" t="s">
        <v>436</v>
      </c>
      <c r="G3768" s="606" t="s">
        <v>6351</v>
      </c>
      <c r="H3768" s="608" t="s">
        <v>5817</v>
      </c>
    </row>
    <row r="3769">
      <c r="A3769" s="546" t="s">
        <v>617</v>
      </c>
      <c r="B3769" s="512" t="s">
        <v>6232</v>
      </c>
      <c r="C3769" s="605">
        <v>46050.0</v>
      </c>
      <c r="D3769" s="512">
        <v>4.3682767623E10</v>
      </c>
      <c r="E3769" s="606" t="s">
        <v>6196</v>
      </c>
      <c r="F3769" s="607" t="s">
        <v>436</v>
      </c>
      <c r="G3769" s="606" t="s">
        <v>3114</v>
      </c>
      <c r="H3769" s="608" t="s">
        <v>5817</v>
      </c>
    </row>
    <row r="3770">
      <c r="A3770" s="546" t="s">
        <v>617</v>
      </c>
      <c r="B3770" s="512" t="s">
        <v>6232</v>
      </c>
      <c r="C3770" s="605">
        <v>46050.0</v>
      </c>
      <c r="D3770" s="512">
        <v>3.7041988549E10</v>
      </c>
      <c r="E3770" s="606" t="s">
        <v>6131</v>
      </c>
      <c r="F3770" s="607" t="s">
        <v>436</v>
      </c>
      <c r="G3770" s="606" t="s">
        <v>5926</v>
      </c>
      <c r="H3770" s="608" t="s">
        <v>5817</v>
      </c>
    </row>
    <row r="3771">
      <c r="A3771" s="546" t="s">
        <v>823</v>
      </c>
      <c r="B3771" s="512" t="s">
        <v>4923</v>
      </c>
      <c r="C3771" s="605">
        <v>46051.0</v>
      </c>
      <c r="D3771" s="512">
        <v>4.6893222308E10</v>
      </c>
      <c r="E3771" s="606" t="s">
        <v>6352</v>
      </c>
      <c r="F3771" s="607" t="s">
        <v>436</v>
      </c>
      <c r="G3771" s="606">
        <v>2282.0</v>
      </c>
      <c r="H3771" s="608" t="s">
        <v>6153</v>
      </c>
    </row>
    <row r="3772">
      <c r="A3772" s="546" t="s">
        <v>432</v>
      </c>
      <c r="B3772" s="512" t="s">
        <v>6305</v>
      </c>
      <c r="C3772" s="605">
        <v>46051.0</v>
      </c>
      <c r="D3772" s="512">
        <v>3.3437283165E10</v>
      </c>
      <c r="E3772" s="606" t="s">
        <v>6353</v>
      </c>
      <c r="F3772" s="607" t="s">
        <v>436</v>
      </c>
      <c r="G3772" s="606" t="s">
        <v>5358</v>
      </c>
      <c r="H3772" s="608" t="s">
        <v>693</v>
      </c>
    </row>
    <row r="3773">
      <c r="A3773" s="546" t="s">
        <v>432</v>
      </c>
      <c r="B3773" s="512" t="s">
        <v>6305</v>
      </c>
      <c r="C3773" s="605">
        <v>46051.0</v>
      </c>
      <c r="D3773" s="512">
        <v>4.6890841281E10</v>
      </c>
      <c r="E3773" s="606" t="s">
        <v>6354</v>
      </c>
      <c r="F3773" s="607" t="s">
        <v>436</v>
      </c>
      <c r="G3773" s="606" t="s">
        <v>1613</v>
      </c>
      <c r="H3773" s="608" t="s">
        <v>693</v>
      </c>
    </row>
    <row r="3774">
      <c r="A3774" s="546" t="s">
        <v>439</v>
      </c>
      <c r="B3774" s="512" t="s">
        <v>6305</v>
      </c>
      <c r="C3774" s="605">
        <v>46051.0</v>
      </c>
      <c r="D3774" s="512">
        <v>4.3389318333E10</v>
      </c>
      <c r="E3774" s="606" t="s">
        <v>5382</v>
      </c>
      <c r="F3774" s="607" t="s">
        <v>436</v>
      </c>
      <c r="G3774" s="606" t="s">
        <v>2118</v>
      </c>
      <c r="H3774" s="608" t="s">
        <v>4078</v>
      </c>
    </row>
    <row r="3775">
      <c r="A3775" s="546" t="s">
        <v>617</v>
      </c>
      <c r="B3775" s="512" t="s">
        <v>449</v>
      </c>
      <c r="C3775" s="605">
        <v>46051.0</v>
      </c>
      <c r="D3775" s="512">
        <v>4.0768568367E10</v>
      </c>
      <c r="E3775" s="606" t="s">
        <v>4741</v>
      </c>
      <c r="F3775" s="607" t="s">
        <v>436</v>
      </c>
      <c r="G3775" s="606" t="s">
        <v>5650</v>
      </c>
      <c r="H3775" s="608" t="s">
        <v>696</v>
      </c>
    </row>
    <row r="3776">
      <c r="A3776" s="546" t="s">
        <v>439</v>
      </c>
      <c r="B3776" s="512" t="s">
        <v>6305</v>
      </c>
      <c r="C3776" s="605">
        <v>46051.0</v>
      </c>
      <c r="D3776" s="512">
        <v>3.4741753707E10</v>
      </c>
      <c r="E3776" s="606" t="s">
        <v>6355</v>
      </c>
      <c r="F3776" s="607" t="s">
        <v>436</v>
      </c>
      <c r="G3776" s="606" t="s">
        <v>1658</v>
      </c>
      <c r="H3776" s="608" t="s">
        <v>4078</v>
      </c>
    </row>
    <row r="3777">
      <c r="A3777" s="546" t="s">
        <v>617</v>
      </c>
      <c r="B3777" s="512" t="s">
        <v>433</v>
      </c>
      <c r="C3777" s="605">
        <v>46051.0</v>
      </c>
      <c r="D3777" s="512">
        <v>3.9078757136E10</v>
      </c>
      <c r="E3777" s="606" t="s">
        <v>4165</v>
      </c>
      <c r="F3777" s="607" t="s">
        <v>436</v>
      </c>
      <c r="G3777" s="606" t="s">
        <v>4274</v>
      </c>
      <c r="H3777" s="608" t="s">
        <v>696</v>
      </c>
    </row>
    <row r="3778">
      <c r="A3778" s="546" t="s">
        <v>823</v>
      </c>
      <c r="B3778" s="512" t="s">
        <v>6305</v>
      </c>
      <c r="C3778" s="605">
        <v>46051.0</v>
      </c>
      <c r="D3778" s="512">
        <v>4.852952886E10</v>
      </c>
      <c r="E3778" s="606" t="s">
        <v>6155</v>
      </c>
      <c r="F3778" s="607" t="s">
        <v>436</v>
      </c>
      <c r="G3778" s="606" t="s">
        <v>2782</v>
      </c>
      <c r="H3778" s="608" t="s">
        <v>6153</v>
      </c>
    </row>
    <row r="3779">
      <c r="A3779" s="546" t="s">
        <v>617</v>
      </c>
      <c r="B3779" s="512" t="s">
        <v>433</v>
      </c>
      <c r="C3779" s="605">
        <v>46052.0</v>
      </c>
      <c r="D3779" s="512">
        <v>4.4576110024E10</v>
      </c>
      <c r="E3779" s="606" t="s">
        <v>5253</v>
      </c>
      <c r="F3779" s="607" t="s">
        <v>436</v>
      </c>
      <c r="G3779" s="606" t="s">
        <v>3537</v>
      </c>
      <c r="H3779" s="608" t="s">
        <v>696</v>
      </c>
    </row>
    <row r="3780">
      <c r="A3780" s="546" t="s">
        <v>617</v>
      </c>
      <c r="B3780" s="512" t="s">
        <v>433</v>
      </c>
      <c r="C3780" s="605">
        <v>46052.0</v>
      </c>
      <c r="D3780" s="512">
        <v>4.6987951644E10</v>
      </c>
      <c r="E3780" s="606" t="s">
        <v>4857</v>
      </c>
      <c r="F3780" s="607" t="s">
        <v>436</v>
      </c>
      <c r="G3780" s="606" t="s">
        <v>3537</v>
      </c>
      <c r="H3780" s="608" t="s">
        <v>696</v>
      </c>
    </row>
    <row r="3781">
      <c r="A3781" s="546" t="s">
        <v>432</v>
      </c>
      <c r="B3781" s="512" t="s">
        <v>449</v>
      </c>
      <c r="C3781" s="605">
        <v>46052.0</v>
      </c>
      <c r="D3781" s="512">
        <v>4.2267575672E10</v>
      </c>
      <c r="E3781" s="606" t="s">
        <v>6356</v>
      </c>
      <c r="F3781" s="607" t="s">
        <v>436</v>
      </c>
      <c r="G3781" s="606" t="s">
        <v>2207</v>
      </c>
      <c r="H3781" s="608" t="s">
        <v>438</v>
      </c>
    </row>
    <row r="3782">
      <c r="A3782" s="546" t="s">
        <v>617</v>
      </c>
      <c r="B3782" s="512" t="s">
        <v>3583</v>
      </c>
      <c r="C3782" s="605">
        <v>46052.0</v>
      </c>
      <c r="D3782" s="512">
        <v>4.3831894884E10</v>
      </c>
      <c r="E3782" s="606" t="s">
        <v>6335</v>
      </c>
      <c r="F3782" s="607" t="s">
        <v>436</v>
      </c>
      <c r="G3782" s="606" t="s">
        <v>6357</v>
      </c>
      <c r="H3782" s="608" t="s">
        <v>696</v>
      </c>
    </row>
    <row r="3783">
      <c r="A3783" s="546" t="s">
        <v>439</v>
      </c>
      <c r="B3783" s="512" t="s">
        <v>433</v>
      </c>
      <c r="C3783" s="605">
        <v>46052.0</v>
      </c>
      <c r="D3783" s="512">
        <v>4.5956132769E10</v>
      </c>
      <c r="E3783" s="606" t="s">
        <v>4222</v>
      </c>
      <c r="F3783" s="607" t="s">
        <v>436</v>
      </c>
      <c r="G3783" s="606" t="s">
        <v>1669</v>
      </c>
      <c r="H3783" s="608" t="s">
        <v>4078</v>
      </c>
    </row>
    <row r="3784">
      <c r="A3784" s="546" t="s">
        <v>432</v>
      </c>
      <c r="B3784" s="512" t="s">
        <v>449</v>
      </c>
      <c r="C3784" s="605">
        <v>46052.0</v>
      </c>
      <c r="D3784" s="512">
        <v>4.3402180071E10</v>
      </c>
      <c r="E3784" s="606" t="s">
        <v>4860</v>
      </c>
      <c r="F3784" s="607" t="s">
        <v>436</v>
      </c>
      <c r="G3784" s="606" t="s">
        <v>3490</v>
      </c>
      <c r="H3784" s="608" t="s">
        <v>438</v>
      </c>
    </row>
    <row r="3785">
      <c r="A3785" s="546" t="s">
        <v>617</v>
      </c>
      <c r="B3785" s="512" t="s">
        <v>449</v>
      </c>
      <c r="C3785" s="605">
        <v>46052.0</v>
      </c>
      <c r="D3785" s="512">
        <v>4.0976889344E10</v>
      </c>
      <c r="E3785" s="606" t="s">
        <v>4222</v>
      </c>
      <c r="F3785" s="607" t="s">
        <v>436</v>
      </c>
      <c r="G3785" s="606" t="s">
        <v>6358</v>
      </c>
      <c r="H3785" s="608" t="s">
        <v>696</v>
      </c>
    </row>
    <row r="3786">
      <c r="A3786" s="546" t="s">
        <v>617</v>
      </c>
      <c r="B3786" s="512" t="s">
        <v>449</v>
      </c>
      <c r="C3786" s="605">
        <v>46052.0</v>
      </c>
      <c r="D3786" s="512">
        <v>4.097688934E10</v>
      </c>
      <c r="E3786" s="606" t="s">
        <v>4222</v>
      </c>
      <c r="F3786" s="607" t="s">
        <v>436</v>
      </c>
      <c r="G3786" s="606" t="s">
        <v>6358</v>
      </c>
      <c r="H3786" s="608" t="s">
        <v>696</v>
      </c>
    </row>
    <row r="3787">
      <c r="A3787" s="546" t="s">
        <v>432</v>
      </c>
      <c r="B3787" s="512" t="s">
        <v>433</v>
      </c>
      <c r="C3787" s="605">
        <v>46052.0</v>
      </c>
      <c r="D3787" s="512">
        <v>3.4009681373E10</v>
      </c>
      <c r="E3787" s="606" t="s">
        <v>1648</v>
      </c>
      <c r="F3787" s="607" t="s">
        <v>436</v>
      </c>
      <c r="G3787" s="606" t="s">
        <v>6359</v>
      </c>
      <c r="H3787" s="608" t="s">
        <v>438</v>
      </c>
    </row>
    <row r="3788">
      <c r="A3788" s="546" t="s">
        <v>432</v>
      </c>
      <c r="B3788" s="512" t="s">
        <v>449</v>
      </c>
      <c r="C3788" s="605">
        <v>46053.0</v>
      </c>
      <c r="D3788" s="512">
        <v>1.2618212123E10</v>
      </c>
      <c r="E3788" s="606" t="s">
        <v>5699</v>
      </c>
      <c r="F3788" s="607" t="s">
        <v>436</v>
      </c>
      <c r="G3788" s="606">
        <v>258.0</v>
      </c>
      <c r="H3788" s="608" t="s">
        <v>686</v>
      </c>
    </row>
    <row r="3789">
      <c r="A3789" s="546" t="s">
        <v>432</v>
      </c>
      <c r="B3789" s="512" t="s">
        <v>744</v>
      </c>
      <c r="C3789" s="605">
        <v>46053.0</v>
      </c>
      <c r="D3789" s="512">
        <v>4.8649064493E10</v>
      </c>
      <c r="E3789" s="606" t="s">
        <v>4887</v>
      </c>
      <c r="F3789" s="607" t="s">
        <v>436</v>
      </c>
      <c r="G3789" s="606">
        <v>756.0</v>
      </c>
      <c r="H3789" s="608" t="s">
        <v>686</v>
      </c>
    </row>
    <row r="3790">
      <c r="A3790" s="546" t="s">
        <v>432</v>
      </c>
      <c r="B3790" s="512" t="s">
        <v>449</v>
      </c>
      <c r="C3790" s="605">
        <v>46053.0</v>
      </c>
      <c r="D3790" s="674">
        <v>4.6698381315E10</v>
      </c>
      <c r="E3790" s="606" t="s">
        <v>6360</v>
      </c>
      <c r="F3790" s="607" t="s">
        <v>436</v>
      </c>
      <c r="G3790" s="606">
        <v>1054.0</v>
      </c>
      <c r="H3790" s="608" t="s">
        <v>686</v>
      </c>
    </row>
    <row r="3791">
      <c r="A3791" s="546" t="s">
        <v>432</v>
      </c>
      <c r="B3791" s="512" t="s">
        <v>433</v>
      </c>
      <c r="C3791" s="605">
        <v>46053.0</v>
      </c>
      <c r="D3791" s="512">
        <v>4.4343019514E10</v>
      </c>
      <c r="E3791" s="606" t="s">
        <v>6252</v>
      </c>
      <c r="F3791" s="607" t="s">
        <v>436</v>
      </c>
      <c r="G3791" s="606">
        <v>1317.0</v>
      </c>
      <c r="H3791" s="608" t="s">
        <v>686</v>
      </c>
    </row>
    <row r="3792">
      <c r="A3792" s="546" t="s">
        <v>432</v>
      </c>
      <c r="B3792" s="512" t="s">
        <v>433</v>
      </c>
      <c r="C3792" s="605">
        <v>46053.0</v>
      </c>
      <c r="D3792" s="512">
        <v>3.6868329954E10</v>
      </c>
      <c r="E3792" s="606" t="s">
        <v>5630</v>
      </c>
      <c r="F3792" s="607" t="s">
        <v>436</v>
      </c>
      <c r="G3792" s="606">
        <v>1467.0</v>
      </c>
      <c r="H3792" s="608" t="s">
        <v>686</v>
      </c>
    </row>
    <row r="3793">
      <c r="A3793" s="546" t="s">
        <v>432</v>
      </c>
      <c r="B3793" s="512" t="s">
        <v>433</v>
      </c>
      <c r="C3793" s="605">
        <v>46053.0</v>
      </c>
      <c r="D3793" s="512">
        <v>4.5809653215E10</v>
      </c>
      <c r="E3793" s="606" t="s">
        <v>5383</v>
      </c>
      <c r="F3793" s="607" t="s">
        <v>436</v>
      </c>
      <c r="G3793" s="606">
        <v>2060.0</v>
      </c>
      <c r="H3793" s="608" t="s">
        <v>686</v>
      </c>
    </row>
    <row r="3794">
      <c r="A3794" s="546" t="s">
        <v>432</v>
      </c>
      <c r="B3794" s="512" t="s">
        <v>433</v>
      </c>
      <c r="C3794" s="605">
        <v>46053.0</v>
      </c>
      <c r="D3794" s="512">
        <v>4.3190003518E10</v>
      </c>
      <c r="E3794" s="606" t="s">
        <v>5383</v>
      </c>
      <c r="F3794" s="607" t="s">
        <v>436</v>
      </c>
      <c r="G3794" s="606">
        <v>2065.0</v>
      </c>
      <c r="H3794" s="608" t="s">
        <v>686</v>
      </c>
    </row>
    <row r="3795">
      <c r="A3795" s="546" t="s">
        <v>432</v>
      </c>
      <c r="B3795" s="512" t="s">
        <v>433</v>
      </c>
      <c r="C3795" s="605">
        <v>46053.0</v>
      </c>
      <c r="D3795" s="512">
        <v>4.305665142E10</v>
      </c>
      <c r="E3795" s="606" t="s">
        <v>5383</v>
      </c>
      <c r="F3795" s="607" t="s">
        <v>436</v>
      </c>
      <c r="G3795" s="606">
        <v>2386.0</v>
      </c>
      <c r="H3795" s="608" t="s">
        <v>686</v>
      </c>
    </row>
    <row r="3796">
      <c r="A3796" s="546" t="s">
        <v>432</v>
      </c>
      <c r="B3796" s="512" t="s">
        <v>433</v>
      </c>
      <c r="C3796" s="605">
        <v>46053.0</v>
      </c>
      <c r="D3796" s="512">
        <v>4.3780564237E10</v>
      </c>
      <c r="E3796" s="606" t="s">
        <v>5630</v>
      </c>
      <c r="F3796" s="607" t="s">
        <v>436</v>
      </c>
      <c r="G3796" s="606">
        <v>2495.0</v>
      </c>
      <c r="H3796" s="608" t="s">
        <v>686</v>
      </c>
    </row>
    <row r="3797">
      <c r="A3797" s="546" t="s">
        <v>432</v>
      </c>
      <c r="B3797" s="512" t="s">
        <v>433</v>
      </c>
      <c r="C3797" s="605">
        <v>46053.0</v>
      </c>
      <c r="D3797" s="512">
        <v>4.3382377466E10</v>
      </c>
      <c r="E3797" s="606" t="s">
        <v>5630</v>
      </c>
      <c r="F3797" s="607" t="s">
        <v>436</v>
      </c>
      <c r="G3797" s="606">
        <v>2726.0</v>
      </c>
      <c r="H3797" s="608" t="s">
        <v>686</v>
      </c>
    </row>
    <row r="3798">
      <c r="A3798" s="546" t="s">
        <v>617</v>
      </c>
      <c r="B3798" s="512" t="s">
        <v>433</v>
      </c>
      <c r="C3798" s="605">
        <v>46053.0</v>
      </c>
      <c r="D3798" s="512">
        <v>3.5956458175E10</v>
      </c>
      <c r="E3798" s="606" t="s">
        <v>5759</v>
      </c>
      <c r="F3798" s="607" t="s">
        <v>436</v>
      </c>
      <c r="G3798" s="606" t="s">
        <v>6361</v>
      </c>
      <c r="H3798" s="608" t="s">
        <v>5817</v>
      </c>
    </row>
    <row r="3799">
      <c r="A3799" s="546" t="s">
        <v>823</v>
      </c>
      <c r="B3799" s="512" t="s">
        <v>449</v>
      </c>
      <c r="C3799" s="605">
        <v>46053.0</v>
      </c>
      <c r="D3799" s="512">
        <v>4.6986799485E10</v>
      </c>
      <c r="E3799" s="606" t="s">
        <v>4887</v>
      </c>
      <c r="F3799" s="607" t="s">
        <v>436</v>
      </c>
      <c r="G3799" s="606" t="s">
        <v>6244</v>
      </c>
      <c r="H3799" s="608" t="s">
        <v>4558</v>
      </c>
    </row>
    <row r="3800">
      <c r="A3800" s="546" t="s">
        <v>617</v>
      </c>
      <c r="B3800" s="512" t="s">
        <v>433</v>
      </c>
      <c r="C3800" s="605">
        <v>46053.0</v>
      </c>
      <c r="D3800" s="512">
        <v>3.4462957471E10</v>
      </c>
      <c r="E3800" s="606" t="s">
        <v>4165</v>
      </c>
      <c r="F3800" s="607" t="s">
        <v>436</v>
      </c>
      <c r="G3800" s="606" t="s">
        <v>1120</v>
      </c>
      <c r="H3800" s="608" t="s">
        <v>5817</v>
      </c>
    </row>
    <row r="3801">
      <c r="A3801" s="546" t="s">
        <v>617</v>
      </c>
      <c r="B3801" s="512" t="s">
        <v>433</v>
      </c>
      <c r="C3801" s="605">
        <v>46053.0</v>
      </c>
      <c r="D3801" s="512">
        <v>3.6716473837E10</v>
      </c>
      <c r="E3801" s="606" t="s">
        <v>6131</v>
      </c>
      <c r="F3801" s="607" t="s">
        <v>436</v>
      </c>
      <c r="G3801" s="606" t="s">
        <v>6362</v>
      </c>
      <c r="H3801" s="608" t="s">
        <v>5817</v>
      </c>
    </row>
    <row r="3802">
      <c r="A3802" s="546" t="s">
        <v>617</v>
      </c>
      <c r="B3802" s="512" t="s">
        <v>433</v>
      </c>
      <c r="C3802" s="605">
        <v>46053.0</v>
      </c>
      <c r="D3802" s="512">
        <v>3.5798592729E10</v>
      </c>
      <c r="E3802" s="606" t="s">
        <v>5759</v>
      </c>
      <c r="F3802" s="607" t="s">
        <v>436</v>
      </c>
      <c r="G3802" s="606" t="s">
        <v>6363</v>
      </c>
      <c r="H3802" s="608" t="s">
        <v>5817</v>
      </c>
    </row>
    <row r="3803">
      <c r="A3803" s="546" t="s">
        <v>617</v>
      </c>
      <c r="B3803" s="512" t="s">
        <v>433</v>
      </c>
      <c r="C3803" s="605">
        <v>46053.0</v>
      </c>
      <c r="D3803" s="512">
        <v>4.3834584816E10</v>
      </c>
      <c r="E3803" s="606" t="s">
        <v>5759</v>
      </c>
      <c r="F3803" s="607" t="s">
        <v>436</v>
      </c>
      <c r="G3803" s="606" t="s">
        <v>6364</v>
      </c>
      <c r="H3803" s="608" t="s">
        <v>5817</v>
      </c>
    </row>
    <row r="3804">
      <c r="A3804" s="546" t="s">
        <v>617</v>
      </c>
      <c r="B3804" s="512" t="s">
        <v>3583</v>
      </c>
      <c r="C3804" s="605">
        <v>46053.0</v>
      </c>
      <c r="D3804" s="512">
        <v>3.600831839E10</v>
      </c>
      <c r="E3804" s="606" t="s">
        <v>5759</v>
      </c>
      <c r="F3804" s="607" t="s">
        <v>436</v>
      </c>
      <c r="G3804" s="606" t="s">
        <v>6364</v>
      </c>
      <c r="H3804" s="608" t="s">
        <v>5817</v>
      </c>
    </row>
    <row r="3805">
      <c r="A3805" s="546" t="s">
        <v>617</v>
      </c>
      <c r="B3805" s="512" t="s">
        <v>449</v>
      </c>
      <c r="C3805" s="605">
        <v>46053.0</v>
      </c>
      <c r="D3805" s="512">
        <v>4.4348306045E10</v>
      </c>
      <c r="E3805" s="606" t="s">
        <v>6365</v>
      </c>
      <c r="F3805" s="607" t="s">
        <v>436</v>
      </c>
      <c r="G3805" s="606" t="s">
        <v>3506</v>
      </c>
      <c r="H3805" s="608" t="s">
        <v>5817</v>
      </c>
    </row>
    <row r="3806">
      <c r="A3806" s="546" t="s">
        <v>617</v>
      </c>
      <c r="B3806" s="512" t="s">
        <v>433</v>
      </c>
      <c r="C3806" s="605">
        <v>46053.0</v>
      </c>
      <c r="D3806" s="512">
        <v>4.4363152898E10</v>
      </c>
      <c r="E3806" s="606" t="s">
        <v>5759</v>
      </c>
      <c r="F3806" s="607" t="s">
        <v>436</v>
      </c>
      <c r="G3806" s="606" t="s">
        <v>6366</v>
      </c>
      <c r="H3806" s="608" t="s">
        <v>5817</v>
      </c>
    </row>
    <row r="3807">
      <c r="A3807" s="546" t="s">
        <v>823</v>
      </c>
      <c r="B3807" s="512" t="s">
        <v>433</v>
      </c>
      <c r="C3807" s="605">
        <v>46053.0</v>
      </c>
      <c r="D3807" s="512">
        <v>4.6474366151E10</v>
      </c>
      <c r="E3807" s="606" t="s">
        <v>6367</v>
      </c>
      <c r="F3807" s="607" t="s">
        <v>436</v>
      </c>
      <c r="G3807" s="606" t="s">
        <v>2302</v>
      </c>
      <c r="H3807" s="608" t="s">
        <v>4558</v>
      </c>
    </row>
    <row r="3808">
      <c r="A3808" s="546" t="s">
        <v>439</v>
      </c>
      <c r="B3808" s="512" t="s">
        <v>449</v>
      </c>
      <c r="C3808" s="605">
        <v>46053.0</v>
      </c>
      <c r="D3808" s="512">
        <v>4.6407454466E10</v>
      </c>
      <c r="E3808" s="606" t="s">
        <v>5699</v>
      </c>
      <c r="F3808" s="607" t="s">
        <v>436</v>
      </c>
      <c r="G3808" s="606" t="s">
        <v>6368</v>
      </c>
      <c r="H3808" s="608" t="s">
        <v>6369</v>
      </c>
    </row>
    <row r="3809">
      <c r="A3809" s="546" t="s">
        <v>823</v>
      </c>
      <c r="B3809" s="512" t="s">
        <v>449</v>
      </c>
      <c r="C3809" s="605">
        <v>46053.0</v>
      </c>
      <c r="D3809" s="512">
        <v>4.8601810997E10</v>
      </c>
      <c r="E3809" s="606" t="s">
        <v>5109</v>
      </c>
      <c r="F3809" s="607" t="s">
        <v>436</v>
      </c>
      <c r="G3809" s="606" t="s">
        <v>1274</v>
      </c>
      <c r="H3809" s="608" t="s">
        <v>4558</v>
      </c>
    </row>
    <row r="3810">
      <c r="A3810" s="546" t="s">
        <v>823</v>
      </c>
      <c r="B3810" s="512" t="s">
        <v>433</v>
      </c>
      <c r="C3810" s="605">
        <v>46053.0</v>
      </c>
      <c r="D3810" s="512">
        <v>4.3209872666E10</v>
      </c>
      <c r="E3810" s="606" t="s">
        <v>6367</v>
      </c>
      <c r="F3810" s="607" t="s">
        <v>436</v>
      </c>
      <c r="G3810" s="606" t="s">
        <v>6370</v>
      </c>
      <c r="H3810" s="608" t="s">
        <v>4558</v>
      </c>
    </row>
    <row r="3811">
      <c r="A3811" s="546" t="s">
        <v>432</v>
      </c>
      <c r="B3811" s="512" t="s">
        <v>449</v>
      </c>
      <c r="C3811" s="605">
        <v>46054.0</v>
      </c>
      <c r="D3811" s="512">
        <v>4.3406009932E10</v>
      </c>
      <c r="E3811" s="606" t="s">
        <v>4222</v>
      </c>
      <c r="F3811" s="607" t="s">
        <v>436</v>
      </c>
      <c r="G3811" s="606">
        <v>764.0</v>
      </c>
      <c r="H3811" s="608" t="s">
        <v>686</v>
      </c>
    </row>
    <row r="3812">
      <c r="A3812" s="546" t="s">
        <v>432</v>
      </c>
      <c r="B3812" s="512" t="s">
        <v>433</v>
      </c>
      <c r="C3812" s="605">
        <v>46054.0</v>
      </c>
      <c r="D3812" s="512">
        <v>4.8603176729E10</v>
      </c>
      <c r="E3812" s="606" t="s">
        <v>6252</v>
      </c>
      <c r="F3812" s="607" t="s">
        <v>436</v>
      </c>
      <c r="G3812" s="606">
        <v>920.0</v>
      </c>
      <c r="H3812" s="608" t="s">
        <v>686</v>
      </c>
    </row>
    <row r="3813">
      <c r="A3813" s="546" t="s">
        <v>432</v>
      </c>
      <c r="B3813" s="512" t="s">
        <v>433</v>
      </c>
      <c r="C3813" s="605">
        <v>46054.0</v>
      </c>
      <c r="D3813" s="512">
        <v>4.8603176727E10</v>
      </c>
      <c r="E3813" s="606" t="s">
        <v>6252</v>
      </c>
      <c r="F3813" s="607" t="s">
        <v>436</v>
      </c>
      <c r="G3813" s="606">
        <v>920.0</v>
      </c>
      <c r="H3813" s="608" t="s">
        <v>686</v>
      </c>
    </row>
    <row r="3814">
      <c r="A3814" s="546" t="s">
        <v>432</v>
      </c>
      <c r="B3814" s="512" t="s">
        <v>433</v>
      </c>
      <c r="C3814" s="605">
        <v>46054.0</v>
      </c>
      <c r="D3814" s="512">
        <v>4.8864311999E10</v>
      </c>
      <c r="E3814" s="606" t="s">
        <v>5320</v>
      </c>
      <c r="F3814" s="607" t="s">
        <v>436</v>
      </c>
      <c r="G3814" s="606">
        <v>1061.0</v>
      </c>
      <c r="H3814" s="608" t="s">
        <v>686</v>
      </c>
    </row>
    <row r="3815">
      <c r="A3815" s="546" t="s">
        <v>432</v>
      </c>
      <c r="B3815" s="512" t="s">
        <v>433</v>
      </c>
      <c r="C3815" s="605">
        <v>46054.0</v>
      </c>
      <c r="D3815" s="512">
        <v>3.5206123253E10</v>
      </c>
      <c r="E3815" s="606" t="s">
        <v>4854</v>
      </c>
      <c r="F3815" s="607" t="s">
        <v>436</v>
      </c>
      <c r="G3815" s="606">
        <v>1132.0</v>
      </c>
      <c r="H3815" s="608" t="s">
        <v>686</v>
      </c>
    </row>
    <row r="3816">
      <c r="A3816" s="546" t="s">
        <v>432</v>
      </c>
      <c r="B3816" s="512" t="s">
        <v>449</v>
      </c>
      <c r="C3816" s="605">
        <v>46054.0</v>
      </c>
      <c r="D3816" s="512">
        <v>4.6830142653E10</v>
      </c>
      <c r="E3816" s="606" t="s">
        <v>6371</v>
      </c>
      <c r="F3816" s="607" t="s">
        <v>436</v>
      </c>
      <c r="G3816" s="606">
        <v>1187.0</v>
      </c>
      <c r="H3816" s="608" t="s">
        <v>686</v>
      </c>
    </row>
    <row r="3817">
      <c r="A3817" s="546" t="s">
        <v>432</v>
      </c>
      <c r="B3817" s="512" t="s">
        <v>3726</v>
      </c>
      <c r="C3817" s="605">
        <v>46054.0</v>
      </c>
      <c r="D3817" s="512">
        <v>3.8230961787E10</v>
      </c>
      <c r="E3817" s="606" t="s">
        <v>4165</v>
      </c>
      <c r="F3817" s="607" t="s">
        <v>436</v>
      </c>
      <c r="G3817" s="606">
        <v>6556.0</v>
      </c>
      <c r="H3817" s="608" t="s">
        <v>686</v>
      </c>
    </row>
    <row r="3818">
      <c r="A3818" s="546" t="s">
        <v>617</v>
      </c>
      <c r="B3818" s="512" t="s">
        <v>433</v>
      </c>
      <c r="C3818" s="605">
        <v>46054.0</v>
      </c>
      <c r="D3818" s="512">
        <v>4.8665933606E10</v>
      </c>
      <c r="E3818" s="606" t="s">
        <v>5656</v>
      </c>
      <c r="F3818" s="607" t="s">
        <v>436</v>
      </c>
      <c r="G3818" s="606" t="s">
        <v>6372</v>
      </c>
      <c r="H3818" s="608" t="s">
        <v>5817</v>
      </c>
    </row>
    <row r="3819">
      <c r="A3819" s="546" t="s">
        <v>617</v>
      </c>
      <c r="B3819" s="512" t="s">
        <v>433</v>
      </c>
      <c r="C3819" s="605">
        <v>46054.0</v>
      </c>
      <c r="D3819" s="512">
        <v>4.376929821E10</v>
      </c>
      <c r="E3819" s="606" t="s">
        <v>5383</v>
      </c>
      <c r="F3819" s="607" t="s">
        <v>436</v>
      </c>
      <c r="G3819" s="606" t="s">
        <v>2563</v>
      </c>
      <c r="H3819" s="608" t="s">
        <v>5817</v>
      </c>
    </row>
    <row r="3820">
      <c r="A3820" s="546" t="s">
        <v>617</v>
      </c>
      <c r="B3820" s="512" t="s">
        <v>449</v>
      </c>
      <c r="C3820" s="605">
        <v>46054.0</v>
      </c>
      <c r="D3820" s="512">
        <v>4.8587125503E10</v>
      </c>
      <c r="E3820" s="606" t="s">
        <v>4887</v>
      </c>
      <c r="F3820" s="607" t="s">
        <v>436</v>
      </c>
      <c r="G3820" s="606" t="s">
        <v>6373</v>
      </c>
      <c r="H3820" s="608" t="s">
        <v>5817</v>
      </c>
    </row>
    <row r="3821">
      <c r="A3821" s="546" t="s">
        <v>617</v>
      </c>
      <c r="B3821" s="512" t="s">
        <v>449</v>
      </c>
      <c r="C3821" s="605">
        <v>46054.0</v>
      </c>
      <c r="D3821" s="512">
        <v>4.5822561431E10</v>
      </c>
      <c r="E3821" s="606" t="s">
        <v>5468</v>
      </c>
      <c r="F3821" s="607" t="s">
        <v>436</v>
      </c>
      <c r="G3821" s="606" t="s">
        <v>6374</v>
      </c>
      <c r="H3821" s="608" t="s">
        <v>5817</v>
      </c>
    </row>
    <row r="3822">
      <c r="A3822" s="546" t="s">
        <v>617</v>
      </c>
      <c r="B3822" s="512" t="s">
        <v>433</v>
      </c>
      <c r="C3822" s="605">
        <v>46054.0</v>
      </c>
      <c r="D3822" s="512">
        <v>3.5993143082E10</v>
      </c>
      <c r="E3822" s="606" t="s">
        <v>5759</v>
      </c>
      <c r="F3822" s="607" t="s">
        <v>436</v>
      </c>
      <c r="G3822" s="606" t="s">
        <v>6375</v>
      </c>
      <c r="H3822" s="608" t="s">
        <v>5817</v>
      </c>
    </row>
    <row r="3823">
      <c r="A3823" s="546" t="s">
        <v>617</v>
      </c>
      <c r="B3823" s="512" t="s">
        <v>433</v>
      </c>
      <c r="C3823" s="605">
        <v>46054.0</v>
      </c>
      <c r="D3823" s="512">
        <v>4.7992959305E10</v>
      </c>
      <c r="E3823" s="606" t="s">
        <v>6376</v>
      </c>
      <c r="F3823" s="607" t="s">
        <v>436</v>
      </c>
      <c r="G3823" s="606" t="s">
        <v>1825</v>
      </c>
      <c r="H3823" s="608" t="s">
        <v>5817</v>
      </c>
    </row>
    <row r="3824">
      <c r="A3824" s="546" t="s">
        <v>617</v>
      </c>
      <c r="B3824" s="512" t="s">
        <v>3583</v>
      </c>
      <c r="C3824" s="605">
        <v>46054.0</v>
      </c>
      <c r="D3824" s="512">
        <v>3.899863268E10</v>
      </c>
      <c r="E3824" s="606" t="s">
        <v>6377</v>
      </c>
      <c r="F3824" s="607" t="s">
        <v>436</v>
      </c>
      <c r="G3824" s="606" t="s">
        <v>6378</v>
      </c>
      <c r="H3824" s="608" t="s">
        <v>5817</v>
      </c>
    </row>
    <row r="3825">
      <c r="A3825" s="546" t="s">
        <v>617</v>
      </c>
      <c r="B3825" s="512" t="s">
        <v>433</v>
      </c>
      <c r="C3825" s="605">
        <v>46054.0</v>
      </c>
      <c r="D3825" s="512">
        <v>4.3554552446E10</v>
      </c>
      <c r="E3825" s="606" t="s">
        <v>5383</v>
      </c>
      <c r="F3825" s="607" t="s">
        <v>436</v>
      </c>
      <c r="G3825" s="606" t="s">
        <v>6379</v>
      </c>
      <c r="H3825" s="608" t="s">
        <v>5817</v>
      </c>
    </row>
    <row r="3826">
      <c r="A3826" s="546" t="s">
        <v>617</v>
      </c>
      <c r="B3826" s="512" t="s">
        <v>433</v>
      </c>
      <c r="C3826" s="605">
        <v>46054.0</v>
      </c>
      <c r="D3826" s="512">
        <v>4.355455245E10</v>
      </c>
      <c r="E3826" s="606" t="s">
        <v>5383</v>
      </c>
      <c r="F3826" s="607" t="s">
        <v>436</v>
      </c>
      <c r="G3826" s="606" t="s">
        <v>6380</v>
      </c>
      <c r="H3826" s="608" t="s">
        <v>5817</v>
      </c>
    </row>
    <row r="3827">
      <c r="A3827" s="546" t="s">
        <v>617</v>
      </c>
      <c r="B3827" s="512" t="s">
        <v>433</v>
      </c>
      <c r="C3827" s="605">
        <v>46054.0</v>
      </c>
      <c r="D3827" s="512">
        <v>4.0770570938E10</v>
      </c>
      <c r="E3827" s="606" t="s">
        <v>5630</v>
      </c>
      <c r="F3827" s="607" t="s">
        <v>436</v>
      </c>
      <c r="G3827" s="606" t="s">
        <v>6381</v>
      </c>
      <c r="H3827" s="608" t="s">
        <v>5817</v>
      </c>
    </row>
    <row r="3828">
      <c r="A3828" s="546" t="s">
        <v>617</v>
      </c>
      <c r="B3828" s="512" t="s">
        <v>433</v>
      </c>
      <c r="C3828" s="605">
        <v>46054.0</v>
      </c>
      <c r="D3828" s="512">
        <v>3.3816482051E10</v>
      </c>
      <c r="E3828" s="606" t="s">
        <v>6382</v>
      </c>
      <c r="F3828" s="607" t="s">
        <v>436</v>
      </c>
      <c r="G3828" s="606" t="s">
        <v>1627</v>
      </c>
      <c r="H3828" s="608" t="s">
        <v>5817</v>
      </c>
    </row>
    <row r="3829">
      <c r="A3829" s="546" t="s">
        <v>617</v>
      </c>
      <c r="B3829" s="512" t="s">
        <v>688</v>
      </c>
      <c r="C3829" s="605">
        <v>46054.0</v>
      </c>
      <c r="D3829" s="512">
        <v>4.0807738154E10</v>
      </c>
      <c r="E3829" s="606" t="s">
        <v>6383</v>
      </c>
      <c r="F3829" s="607" t="s">
        <v>436</v>
      </c>
      <c r="G3829" s="606" t="s">
        <v>5135</v>
      </c>
      <c r="H3829" s="608" t="s">
        <v>5817</v>
      </c>
    </row>
    <row r="3830">
      <c r="A3830" s="546" t="s">
        <v>617</v>
      </c>
      <c r="B3830" s="512" t="s">
        <v>433</v>
      </c>
      <c r="C3830" s="605">
        <v>46054.0</v>
      </c>
      <c r="D3830" s="512">
        <v>4.5862944997E10</v>
      </c>
      <c r="E3830" s="606" t="s">
        <v>5759</v>
      </c>
      <c r="F3830" s="607" t="s">
        <v>436</v>
      </c>
      <c r="G3830" s="606" t="s">
        <v>6384</v>
      </c>
      <c r="H3830" s="608" t="s">
        <v>5817</v>
      </c>
    </row>
    <row r="3831">
      <c r="A3831" s="546" t="s">
        <v>617</v>
      </c>
      <c r="B3831" s="512" t="s">
        <v>433</v>
      </c>
      <c r="C3831" s="605">
        <v>46054.0</v>
      </c>
      <c r="D3831" s="512">
        <v>4.8296329481E10</v>
      </c>
      <c r="E3831" s="606" t="s">
        <v>6385</v>
      </c>
      <c r="F3831" s="607" t="s">
        <v>436</v>
      </c>
      <c r="G3831" s="606" t="s">
        <v>6386</v>
      </c>
      <c r="H3831" s="608" t="s">
        <v>5817</v>
      </c>
    </row>
    <row r="3832">
      <c r="A3832" s="546" t="s">
        <v>617</v>
      </c>
      <c r="B3832" s="512" t="s">
        <v>433</v>
      </c>
      <c r="C3832" s="605">
        <v>46054.0</v>
      </c>
      <c r="D3832" s="512">
        <v>4.6299073182E10</v>
      </c>
      <c r="E3832" s="606" t="s">
        <v>5630</v>
      </c>
      <c r="F3832" s="607" t="s">
        <v>436</v>
      </c>
      <c r="G3832" s="606" t="s">
        <v>5869</v>
      </c>
      <c r="H3832" s="608" t="s">
        <v>5817</v>
      </c>
    </row>
    <row r="3833">
      <c r="A3833" s="546" t="s">
        <v>617</v>
      </c>
      <c r="B3833" s="512" t="s">
        <v>433</v>
      </c>
      <c r="C3833" s="605">
        <v>46054.0</v>
      </c>
      <c r="D3833" s="512">
        <v>4.682873859E10</v>
      </c>
      <c r="E3833" s="606" t="s">
        <v>6387</v>
      </c>
      <c r="F3833" s="607" t="s">
        <v>436</v>
      </c>
      <c r="G3833" s="606" t="s">
        <v>5869</v>
      </c>
      <c r="H3833" s="608" t="s">
        <v>5817</v>
      </c>
    </row>
    <row r="3834">
      <c r="A3834" s="546" t="s">
        <v>617</v>
      </c>
      <c r="B3834" s="512" t="s">
        <v>433</v>
      </c>
      <c r="C3834" s="605">
        <v>46054.0</v>
      </c>
      <c r="D3834" s="512">
        <v>4.6704435892E10</v>
      </c>
      <c r="E3834" s="606" t="s">
        <v>6131</v>
      </c>
      <c r="F3834" s="607" t="s">
        <v>436</v>
      </c>
      <c r="G3834" s="606" t="s">
        <v>6388</v>
      </c>
      <c r="H3834" s="608" t="s">
        <v>5817</v>
      </c>
    </row>
    <row r="3835">
      <c r="A3835" s="546" t="s">
        <v>617</v>
      </c>
      <c r="B3835" s="512" t="s">
        <v>433</v>
      </c>
      <c r="C3835" s="605">
        <v>46054.0</v>
      </c>
      <c r="D3835" s="512">
        <v>4.4677925137E10</v>
      </c>
      <c r="E3835" s="606" t="s">
        <v>6344</v>
      </c>
      <c r="F3835" s="607" t="s">
        <v>436</v>
      </c>
      <c r="G3835" s="606" t="s">
        <v>6389</v>
      </c>
      <c r="H3835" s="608" t="s">
        <v>5817</v>
      </c>
    </row>
    <row r="3836">
      <c r="A3836" s="546" t="s">
        <v>617</v>
      </c>
      <c r="B3836" s="512" t="s">
        <v>433</v>
      </c>
      <c r="C3836" s="605">
        <v>46054.0</v>
      </c>
      <c r="D3836" s="512">
        <v>4.4621730858E10</v>
      </c>
      <c r="E3836" s="606" t="s">
        <v>6199</v>
      </c>
      <c r="F3836" s="607" t="s">
        <v>436</v>
      </c>
      <c r="G3836" s="606" t="s">
        <v>6390</v>
      </c>
      <c r="H3836" s="608" t="s">
        <v>5817</v>
      </c>
    </row>
    <row r="3837">
      <c r="A3837" s="546" t="s">
        <v>617</v>
      </c>
      <c r="B3837" s="512" t="s">
        <v>3583</v>
      </c>
      <c r="C3837" s="605">
        <v>46054.0</v>
      </c>
      <c r="D3837" s="512">
        <v>3.6253105233E10</v>
      </c>
      <c r="E3837" s="606" t="s">
        <v>6391</v>
      </c>
      <c r="F3837" s="607" t="s">
        <v>436</v>
      </c>
      <c r="G3837" s="606" t="s">
        <v>2298</v>
      </c>
      <c r="H3837" s="608" t="s">
        <v>5817</v>
      </c>
    </row>
    <row r="3838">
      <c r="A3838" s="546" t="s">
        <v>617</v>
      </c>
      <c r="B3838" s="512" t="s">
        <v>449</v>
      </c>
      <c r="C3838" s="605">
        <v>46054.0</v>
      </c>
      <c r="D3838" s="512">
        <v>4.7488430557E10</v>
      </c>
      <c r="E3838" s="606" t="s">
        <v>6392</v>
      </c>
      <c r="F3838" s="607" t="s">
        <v>436</v>
      </c>
      <c r="G3838" s="606" t="s">
        <v>5809</v>
      </c>
      <c r="H3838" s="608" t="s">
        <v>5817</v>
      </c>
    </row>
    <row r="3839">
      <c r="A3839" s="546" t="s">
        <v>617</v>
      </c>
      <c r="B3839" s="512" t="s">
        <v>433</v>
      </c>
      <c r="C3839" s="605">
        <v>46054.0</v>
      </c>
      <c r="D3839" s="512">
        <v>4.4622072967E10</v>
      </c>
      <c r="E3839" s="606" t="s">
        <v>5336</v>
      </c>
      <c r="F3839" s="607" t="s">
        <v>436</v>
      </c>
      <c r="G3839" s="606" t="s">
        <v>2309</v>
      </c>
      <c r="H3839" s="608" t="s">
        <v>5817</v>
      </c>
    </row>
    <row r="3840">
      <c r="A3840" s="546" t="s">
        <v>617</v>
      </c>
      <c r="B3840" s="512" t="s">
        <v>433</v>
      </c>
      <c r="C3840" s="605">
        <v>46054.0</v>
      </c>
      <c r="D3840" s="512">
        <v>3.4997998727E10</v>
      </c>
      <c r="E3840" s="606" t="s">
        <v>5759</v>
      </c>
      <c r="F3840" s="607" t="s">
        <v>436</v>
      </c>
      <c r="G3840" s="606" t="s">
        <v>2755</v>
      </c>
      <c r="H3840" s="608" t="s">
        <v>5817</v>
      </c>
    </row>
    <row r="3841">
      <c r="A3841" s="546" t="s">
        <v>432</v>
      </c>
      <c r="B3841" s="512" t="s">
        <v>433</v>
      </c>
      <c r="C3841" s="605">
        <v>46055.0</v>
      </c>
      <c r="D3841" s="512">
        <v>4.3195631513E10</v>
      </c>
      <c r="E3841" s="606" t="s">
        <v>6150</v>
      </c>
      <c r="F3841" s="607" t="s">
        <v>436</v>
      </c>
      <c r="G3841" s="606">
        <v>719.0</v>
      </c>
      <c r="H3841" s="608" t="s">
        <v>686</v>
      </c>
    </row>
    <row r="3842">
      <c r="A3842" s="546" t="s">
        <v>432</v>
      </c>
      <c r="B3842" s="512" t="s">
        <v>433</v>
      </c>
      <c r="C3842" s="605">
        <v>46055.0</v>
      </c>
      <c r="D3842" s="512">
        <v>4.5854222312E10</v>
      </c>
      <c r="E3842" s="606" t="s">
        <v>6150</v>
      </c>
      <c r="F3842" s="607" t="s">
        <v>436</v>
      </c>
      <c r="G3842" s="606">
        <v>863.0</v>
      </c>
      <c r="H3842" s="608" t="s">
        <v>686</v>
      </c>
    </row>
    <row r="3843">
      <c r="A3843" s="546" t="s">
        <v>432</v>
      </c>
      <c r="B3843" s="512" t="s">
        <v>433</v>
      </c>
      <c r="C3843" s="605">
        <v>46055.0</v>
      </c>
      <c r="D3843" s="512">
        <v>3.5745269557E10</v>
      </c>
      <c r="E3843" s="606" t="s">
        <v>6150</v>
      </c>
      <c r="F3843" s="607" t="s">
        <v>436</v>
      </c>
      <c r="G3843" s="606">
        <v>998.0</v>
      </c>
      <c r="H3843" s="608" t="s">
        <v>686</v>
      </c>
    </row>
    <row r="3844">
      <c r="A3844" s="546" t="s">
        <v>432</v>
      </c>
      <c r="B3844" s="512" t="s">
        <v>433</v>
      </c>
      <c r="C3844" s="605">
        <v>46055.0</v>
      </c>
      <c r="D3844" s="512">
        <v>4.346982796E10</v>
      </c>
      <c r="E3844" s="606" t="s">
        <v>5253</v>
      </c>
      <c r="F3844" s="607" t="s">
        <v>436</v>
      </c>
      <c r="G3844" s="606">
        <v>1044.0</v>
      </c>
      <c r="H3844" s="608" t="s">
        <v>686</v>
      </c>
    </row>
    <row r="3845">
      <c r="A3845" s="546" t="s">
        <v>432</v>
      </c>
      <c r="B3845" s="512" t="s">
        <v>433</v>
      </c>
      <c r="C3845" s="605">
        <v>46055.0</v>
      </c>
      <c r="D3845" s="512">
        <v>4.3487848226E10</v>
      </c>
      <c r="E3845" s="606" t="s">
        <v>6393</v>
      </c>
      <c r="F3845" s="607" t="s">
        <v>436</v>
      </c>
      <c r="G3845" s="606">
        <v>1062.0</v>
      </c>
      <c r="H3845" s="608" t="s">
        <v>686</v>
      </c>
    </row>
    <row r="3846">
      <c r="A3846" s="546" t="s">
        <v>432</v>
      </c>
      <c r="B3846" s="512" t="s">
        <v>6394</v>
      </c>
      <c r="C3846" s="605">
        <v>46055.0</v>
      </c>
      <c r="D3846" s="512">
        <v>4.3694806163E10</v>
      </c>
      <c r="E3846" s="606" t="s">
        <v>4104</v>
      </c>
      <c r="F3846" s="607" t="s">
        <v>436</v>
      </c>
      <c r="G3846" s="606">
        <v>1509.0</v>
      </c>
      <c r="H3846" s="608" t="s">
        <v>686</v>
      </c>
    </row>
    <row r="3847">
      <c r="A3847" s="546" t="s">
        <v>617</v>
      </c>
      <c r="B3847" s="512" t="s">
        <v>3583</v>
      </c>
      <c r="C3847" s="605">
        <v>46055.0</v>
      </c>
      <c r="D3847" s="512">
        <v>3.8855424048E10</v>
      </c>
      <c r="E3847" s="606" t="s">
        <v>5253</v>
      </c>
      <c r="F3847" s="607" t="s">
        <v>436</v>
      </c>
      <c r="G3847" s="606" t="s">
        <v>6395</v>
      </c>
      <c r="H3847" s="608" t="s">
        <v>696</v>
      </c>
    </row>
    <row r="3848">
      <c r="A3848" s="546" t="s">
        <v>617</v>
      </c>
      <c r="B3848" s="512" t="s">
        <v>433</v>
      </c>
      <c r="C3848" s="605">
        <v>46055.0</v>
      </c>
      <c r="D3848" s="512">
        <v>4.3785804875E10</v>
      </c>
      <c r="E3848" s="606" t="s">
        <v>5253</v>
      </c>
      <c r="F3848" s="607" t="s">
        <v>436</v>
      </c>
      <c r="G3848" s="606" t="s">
        <v>6396</v>
      </c>
      <c r="H3848" s="608" t="s">
        <v>696</v>
      </c>
    </row>
    <row r="3849">
      <c r="A3849" s="546" t="s">
        <v>823</v>
      </c>
      <c r="B3849" s="512" t="s">
        <v>6394</v>
      </c>
      <c r="C3849" s="605">
        <v>46055.0</v>
      </c>
      <c r="D3849" s="512">
        <v>4.703774199E10</v>
      </c>
      <c r="E3849" s="606" t="s">
        <v>5055</v>
      </c>
      <c r="F3849" s="607" t="s">
        <v>436</v>
      </c>
      <c r="G3849" s="606" t="s">
        <v>2550</v>
      </c>
      <c r="H3849" s="608" t="s">
        <v>6153</v>
      </c>
    </row>
    <row r="3850">
      <c r="A3850" s="546" t="s">
        <v>617</v>
      </c>
      <c r="B3850" s="512" t="s">
        <v>449</v>
      </c>
      <c r="C3850" s="605">
        <v>46055.0</v>
      </c>
      <c r="D3850" s="512">
        <v>4.3961714807E10</v>
      </c>
      <c r="E3850" s="606" t="s">
        <v>6068</v>
      </c>
      <c r="F3850" s="607" t="s">
        <v>436</v>
      </c>
      <c r="G3850" s="606" t="s">
        <v>1681</v>
      </c>
      <c r="H3850" s="608" t="s">
        <v>696</v>
      </c>
    </row>
    <row r="3851">
      <c r="A3851" s="546" t="s">
        <v>432</v>
      </c>
      <c r="B3851" s="512" t="s">
        <v>433</v>
      </c>
      <c r="C3851" s="605">
        <v>46056.0</v>
      </c>
      <c r="D3851" s="512">
        <v>3.3892297228E10</v>
      </c>
      <c r="E3851" s="606" t="s">
        <v>5469</v>
      </c>
      <c r="F3851" s="607" t="s">
        <v>436</v>
      </c>
      <c r="G3851" s="606">
        <v>585.0</v>
      </c>
      <c r="H3851" s="608" t="s">
        <v>686</v>
      </c>
    </row>
    <row r="3852">
      <c r="A3852" s="546" t="s">
        <v>432</v>
      </c>
      <c r="B3852" s="512" t="s">
        <v>449</v>
      </c>
      <c r="C3852" s="605">
        <v>46056.0</v>
      </c>
      <c r="D3852" s="512">
        <v>4.7068435825E10</v>
      </c>
      <c r="E3852" s="606" t="s">
        <v>4104</v>
      </c>
      <c r="F3852" s="607" t="s">
        <v>436</v>
      </c>
      <c r="G3852" s="606">
        <v>690.0</v>
      </c>
      <c r="H3852" s="608" t="s">
        <v>686</v>
      </c>
    </row>
    <row r="3853">
      <c r="A3853" s="546" t="s">
        <v>432</v>
      </c>
      <c r="B3853" s="512" t="s">
        <v>449</v>
      </c>
      <c r="C3853" s="605">
        <v>46056.0</v>
      </c>
      <c r="D3853" s="512">
        <v>4.6461028384E10</v>
      </c>
      <c r="E3853" s="606" t="s">
        <v>4165</v>
      </c>
      <c r="F3853" s="607" t="s">
        <v>436</v>
      </c>
      <c r="G3853" s="606">
        <v>1334.0</v>
      </c>
      <c r="H3853" s="608" t="s">
        <v>686</v>
      </c>
    </row>
    <row r="3854">
      <c r="A3854" s="546" t="s">
        <v>432</v>
      </c>
      <c r="B3854" s="512" t="s">
        <v>433</v>
      </c>
      <c r="C3854" s="605">
        <v>46056.0</v>
      </c>
      <c r="D3854" s="512">
        <v>3.9548406833E10</v>
      </c>
      <c r="E3854" s="606" t="s">
        <v>4857</v>
      </c>
      <c r="F3854" s="607" t="s">
        <v>436</v>
      </c>
      <c r="G3854" s="606">
        <v>1375.0</v>
      </c>
      <c r="H3854" s="608" t="s">
        <v>686</v>
      </c>
    </row>
    <row r="3855">
      <c r="A3855" s="546" t="s">
        <v>432</v>
      </c>
      <c r="B3855" s="512" t="s">
        <v>449</v>
      </c>
      <c r="C3855" s="605">
        <v>46056.0</v>
      </c>
      <c r="D3855" s="512">
        <v>3.1776179971E10</v>
      </c>
      <c r="E3855" s="606" t="s">
        <v>6260</v>
      </c>
      <c r="F3855" s="607" t="s">
        <v>436</v>
      </c>
      <c r="G3855" s="606">
        <v>1515.0</v>
      </c>
      <c r="H3855" s="608" t="s">
        <v>686</v>
      </c>
    </row>
    <row r="3856">
      <c r="A3856" s="546" t="s">
        <v>432</v>
      </c>
      <c r="B3856" s="512" t="s">
        <v>433</v>
      </c>
      <c r="C3856" s="605">
        <v>46056.0</v>
      </c>
      <c r="D3856" s="512">
        <v>3.3856304788E10</v>
      </c>
      <c r="E3856" s="606" t="s">
        <v>5630</v>
      </c>
      <c r="F3856" s="607" t="s">
        <v>436</v>
      </c>
      <c r="G3856" s="606">
        <v>2560.0</v>
      </c>
      <c r="H3856" s="608" t="s">
        <v>686</v>
      </c>
    </row>
    <row r="3857">
      <c r="A3857" s="546" t="s">
        <v>432</v>
      </c>
      <c r="B3857" s="512" t="s">
        <v>3963</v>
      </c>
      <c r="C3857" s="605">
        <v>46056.0</v>
      </c>
      <c r="D3857" s="512">
        <v>4.6829276997E10</v>
      </c>
      <c r="E3857" s="606" t="s">
        <v>4165</v>
      </c>
      <c r="F3857" s="607" t="s">
        <v>436</v>
      </c>
      <c r="G3857" s="606">
        <v>2741.0</v>
      </c>
      <c r="H3857" s="608" t="s">
        <v>686</v>
      </c>
    </row>
    <row r="3858">
      <c r="A3858" s="546" t="s">
        <v>432</v>
      </c>
      <c r="B3858" s="512" t="s">
        <v>433</v>
      </c>
      <c r="C3858" s="605">
        <v>46056.0</v>
      </c>
      <c r="D3858" s="512">
        <v>4.3004187249E10</v>
      </c>
      <c r="E3858" s="606" t="s">
        <v>5383</v>
      </c>
      <c r="F3858" s="607" t="s">
        <v>436</v>
      </c>
      <c r="G3858" s="606">
        <v>2796.0</v>
      </c>
      <c r="H3858" s="608" t="s">
        <v>686</v>
      </c>
    </row>
    <row r="3859">
      <c r="A3859" s="546" t="s">
        <v>432</v>
      </c>
      <c r="B3859" s="512" t="s">
        <v>433</v>
      </c>
      <c r="C3859" s="605">
        <v>46056.0</v>
      </c>
      <c r="D3859" s="512">
        <v>4.8756400735E10</v>
      </c>
      <c r="E3859" s="606" t="s">
        <v>5383</v>
      </c>
      <c r="F3859" s="607" t="s">
        <v>436</v>
      </c>
      <c r="G3859" s="606">
        <v>4645.0</v>
      </c>
      <c r="H3859" s="608" t="s">
        <v>686</v>
      </c>
    </row>
    <row r="3860">
      <c r="A3860" s="546" t="s">
        <v>432</v>
      </c>
      <c r="B3860" s="512" t="s">
        <v>449</v>
      </c>
      <c r="C3860" s="605">
        <v>46056.0</v>
      </c>
      <c r="D3860" s="512">
        <v>4.8358722829E10</v>
      </c>
      <c r="E3860" s="606" t="s">
        <v>6397</v>
      </c>
      <c r="F3860" s="607" t="s">
        <v>436</v>
      </c>
      <c r="G3860" s="606">
        <v>5111.0</v>
      </c>
      <c r="H3860" s="608" t="s">
        <v>686</v>
      </c>
    </row>
    <row r="3861">
      <c r="A3861" s="546" t="s">
        <v>617</v>
      </c>
      <c r="B3861" s="512" t="s">
        <v>433</v>
      </c>
      <c r="C3861" s="605">
        <v>46056.0</v>
      </c>
      <c r="D3861" s="512">
        <v>4.2871391419E10</v>
      </c>
      <c r="E3861" s="606" t="s">
        <v>5253</v>
      </c>
      <c r="F3861" s="607" t="s">
        <v>436</v>
      </c>
      <c r="G3861" s="606" t="s">
        <v>2730</v>
      </c>
      <c r="H3861" s="608" t="s">
        <v>696</v>
      </c>
    </row>
    <row r="3862">
      <c r="A3862" s="546" t="s">
        <v>439</v>
      </c>
      <c r="B3862" s="512" t="s">
        <v>449</v>
      </c>
      <c r="C3862" s="605">
        <v>46056.0</v>
      </c>
      <c r="D3862" s="512">
        <v>4.6471758738E10</v>
      </c>
      <c r="E3862" s="606" t="s">
        <v>6398</v>
      </c>
      <c r="F3862" s="607" t="s">
        <v>436</v>
      </c>
      <c r="G3862" s="606" t="s">
        <v>1911</v>
      </c>
      <c r="H3862" s="608" t="s">
        <v>4078</v>
      </c>
    </row>
    <row r="3863">
      <c r="A3863" s="546" t="s">
        <v>439</v>
      </c>
      <c r="B3863" s="512" t="s">
        <v>449</v>
      </c>
      <c r="C3863" s="605">
        <v>46056.0</v>
      </c>
      <c r="D3863" s="512">
        <v>4.0578345827E10</v>
      </c>
      <c r="E3863" s="606" t="s">
        <v>4974</v>
      </c>
      <c r="F3863" s="607" t="s">
        <v>436</v>
      </c>
      <c r="G3863" s="606" t="s">
        <v>3201</v>
      </c>
      <c r="H3863" s="608" t="s">
        <v>4078</v>
      </c>
    </row>
    <row r="3864">
      <c r="A3864" s="546" t="s">
        <v>617</v>
      </c>
      <c r="B3864" s="512" t="s">
        <v>449</v>
      </c>
      <c r="C3864" s="605">
        <v>46056.0</v>
      </c>
      <c r="D3864" s="512">
        <v>4.4612132705E10</v>
      </c>
      <c r="E3864" s="606" t="s">
        <v>5253</v>
      </c>
      <c r="F3864" s="607" t="s">
        <v>436</v>
      </c>
      <c r="G3864" s="606" t="s">
        <v>6399</v>
      </c>
      <c r="H3864" s="608" t="s">
        <v>696</v>
      </c>
    </row>
    <row r="3865">
      <c r="A3865" s="546" t="s">
        <v>617</v>
      </c>
      <c r="B3865" s="512" t="s">
        <v>433</v>
      </c>
      <c r="C3865" s="605">
        <v>46056.0</v>
      </c>
      <c r="D3865" s="512">
        <v>4.6356735615E10</v>
      </c>
      <c r="E3865" s="606" t="s">
        <v>5253</v>
      </c>
      <c r="F3865" s="607" t="s">
        <v>436</v>
      </c>
      <c r="G3865" s="606" t="s">
        <v>6399</v>
      </c>
      <c r="H3865" s="608" t="s">
        <v>696</v>
      </c>
    </row>
    <row r="3866">
      <c r="A3866" s="546" t="s">
        <v>617</v>
      </c>
      <c r="B3866" s="512" t="s">
        <v>6400</v>
      </c>
      <c r="C3866" s="605">
        <v>46056.0</v>
      </c>
      <c r="D3866" s="512">
        <v>3.7247905518E10</v>
      </c>
      <c r="E3866" s="606" t="s">
        <v>6401</v>
      </c>
      <c r="F3866" s="607" t="s">
        <v>436</v>
      </c>
      <c r="G3866" s="606" t="s">
        <v>6402</v>
      </c>
      <c r="H3866" s="608" t="s">
        <v>696</v>
      </c>
    </row>
    <row r="3867">
      <c r="A3867" s="546" t="s">
        <v>823</v>
      </c>
      <c r="B3867" s="512" t="s">
        <v>449</v>
      </c>
      <c r="C3867" s="605">
        <v>46056.0</v>
      </c>
      <c r="D3867" s="512">
        <v>3.9948872942E10</v>
      </c>
      <c r="E3867" s="606" t="s">
        <v>6155</v>
      </c>
      <c r="F3867" s="607" t="s">
        <v>436</v>
      </c>
      <c r="G3867" s="606" t="s">
        <v>589</v>
      </c>
      <c r="H3867" s="608" t="s">
        <v>4558</v>
      </c>
    </row>
    <row r="3868">
      <c r="A3868" s="546" t="s">
        <v>823</v>
      </c>
      <c r="B3868" s="512" t="s">
        <v>449</v>
      </c>
      <c r="C3868" s="605">
        <v>46056.0</v>
      </c>
      <c r="D3868" s="512">
        <v>4.6990976534E10</v>
      </c>
      <c r="E3868" s="606" t="s">
        <v>6403</v>
      </c>
      <c r="F3868" s="607" t="s">
        <v>436</v>
      </c>
      <c r="G3868" s="606" t="s">
        <v>1517</v>
      </c>
      <c r="H3868" s="608" t="s">
        <v>4558</v>
      </c>
    </row>
    <row r="3869">
      <c r="A3869" s="546" t="s">
        <v>617</v>
      </c>
      <c r="B3869" s="512" t="s">
        <v>449</v>
      </c>
      <c r="C3869" s="605">
        <v>46056.0</v>
      </c>
      <c r="D3869" s="512">
        <v>3.3104550376E10</v>
      </c>
      <c r="E3869" s="606" t="s">
        <v>5253</v>
      </c>
      <c r="F3869" s="607" t="s">
        <v>436</v>
      </c>
      <c r="G3869" s="606" t="s">
        <v>2689</v>
      </c>
      <c r="H3869" s="608" t="s">
        <v>696</v>
      </c>
    </row>
    <row r="3870">
      <c r="A3870" s="546" t="s">
        <v>617</v>
      </c>
      <c r="B3870" s="512" t="s">
        <v>449</v>
      </c>
      <c r="C3870" s="605">
        <v>46056.0</v>
      </c>
      <c r="D3870" s="512">
        <v>4.0118864168E10</v>
      </c>
      <c r="E3870" s="606" t="s">
        <v>4854</v>
      </c>
      <c r="F3870" s="607" t="s">
        <v>436</v>
      </c>
      <c r="G3870" s="606" t="s">
        <v>2748</v>
      </c>
      <c r="H3870" s="608" t="s">
        <v>696</v>
      </c>
    </row>
    <row r="3871">
      <c r="A3871" s="546" t="s">
        <v>432</v>
      </c>
      <c r="B3871" s="512" t="s">
        <v>6400</v>
      </c>
      <c r="C3871" s="605">
        <v>46057.0</v>
      </c>
      <c r="D3871" s="512">
        <v>4.3451028612E10</v>
      </c>
      <c r="E3871" s="606" t="s">
        <v>4887</v>
      </c>
      <c r="F3871" s="607" t="s">
        <v>436</v>
      </c>
      <c r="G3871" s="606">
        <v>215.0</v>
      </c>
      <c r="H3871" s="608" t="s">
        <v>686</v>
      </c>
    </row>
    <row r="3872">
      <c r="A3872" s="546" t="s">
        <v>432</v>
      </c>
      <c r="B3872" s="512" t="s">
        <v>6400</v>
      </c>
      <c r="C3872" s="605">
        <v>46057.0</v>
      </c>
      <c r="D3872" s="512">
        <v>3.5114882309E10</v>
      </c>
      <c r="E3872" s="606" t="s">
        <v>4165</v>
      </c>
      <c r="F3872" s="607" t="s">
        <v>436</v>
      </c>
      <c r="G3872" s="606">
        <v>276.0</v>
      </c>
      <c r="H3872" s="608" t="s">
        <v>686</v>
      </c>
    </row>
    <row r="3873">
      <c r="A3873" s="546" t="s">
        <v>432</v>
      </c>
      <c r="B3873" s="512" t="s">
        <v>433</v>
      </c>
      <c r="C3873" s="605">
        <v>46057.0</v>
      </c>
      <c r="D3873" s="512">
        <v>3.4741249924E10</v>
      </c>
      <c r="E3873" s="606" t="s">
        <v>6404</v>
      </c>
      <c r="F3873" s="607" t="s">
        <v>436</v>
      </c>
      <c r="G3873" s="606">
        <v>456.0</v>
      </c>
      <c r="H3873" s="608" t="s">
        <v>686</v>
      </c>
    </row>
    <row r="3874">
      <c r="A3874" s="546" t="s">
        <v>432</v>
      </c>
      <c r="B3874" s="512" t="s">
        <v>433</v>
      </c>
      <c r="C3874" s="605">
        <v>46057.0</v>
      </c>
      <c r="D3874" s="512">
        <v>4.5732414444E10</v>
      </c>
      <c r="E3874" s="606" t="s">
        <v>6405</v>
      </c>
      <c r="F3874" s="607" t="s">
        <v>436</v>
      </c>
      <c r="G3874" s="606">
        <v>1280.0</v>
      </c>
      <c r="H3874" s="608" t="s">
        <v>686</v>
      </c>
    </row>
    <row r="3875">
      <c r="A3875" s="546" t="s">
        <v>432</v>
      </c>
      <c r="B3875" s="512" t="s">
        <v>433</v>
      </c>
      <c r="C3875" s="605">
        <v>46057.0</v>
      </c>
      <c r="D3875" s="512">
        <v>4.4465064148E10</v>
      </c>
      <c r="E3875" s="606" t="s">
        <v>4854</v>
      </c>
      <c r="F3875" s="607" t="s">
        <v>436</v>
      </c>
      <c r="G3875" s="606">
        <v>5063.0</v>
      </c>
      <c r="H3875" s="608" t="s">
        <v>686</v>
      </c>
    </row>
    <row r="3876">
      <c r="A3876" s="546" t="s">
        <v>432</v>
      </c>
      <c r="B3876" s="512" t="s">
        <v>433</v>
      </c>
      <c r="C3876" s="605">
        <v>46057.0</v>
      </c>
      <c r="D3876" s="512">
        <v>3.0664551059E10</v>
      </c>
      <c r="E3876" s="606" t="s">
        <v>4857</v>
      </c>
      <c r="F3876" s="607" t="s">
        <v>436</v>
      </c>
      <c r="G3876" s="606">
        <v>5823.0</v>
      </c>
      <c r="H3876" s="608" t="s">
        <v>686</v>
      </c>
    </row>
    <row r="3877">
      <c r="A3877" s="546" t="s">
        <v>823</v>
      </c>
      <c r="B3877" s="512" t="s">
        <v>6400</v>
      </c>
      <c r="C3877" s="605">
        <v>46057.0</v>
      </c>
      <c r="D3877" s="512">
        <v>4.8988156248E10</v>
      </c>
      <c r="E3877" s="606" t="s">
        <v>6406</v>
      </c>
      <c r="F3877" s="607" t="s">
        <v>436</v>
      </c>
      <c r="G3877" s="606" t="s">
        <v>5981</v>
      </c>
      <c r="H3877" s="608" t="s">
        <v>4558</v>
      </c>
    </row>
    <row r="3878">
      <c r="A3878" s="546" t="s">
        <v>823</v>
      </c>
      <c r="B3878" s="512" t="s">
        <v>6400</v>
      </c>
      <c r="C3878" s="605">
        <v>46057.0</v>
      </c>
      <c r="D3878" s="512">
        <v>4.8988146544E10</v>
      </c>
      <c r="E3878" s="606" t="s">
        <v>6406</v>
      </c>
      <c r="F3878" s="607" t="s">
        <v>436</v>
      </c>
      <c r="G3878" s="606" t="s">
        <v>1887</v>
      </c>
      <c r="H3878" s="608" t="s">
        <v>4558</v>
      </c>
    </row>
    <row r="3879">
      <c r="A3879" s="546" t="s">
        <v>823</v>
      </c>
      <c r="B3879" s="512" t="s">
        <v>6400</v>
      </c>
      <c r="C3879" s="605">
        <v>46057.0</v>
      </c>
      <c r="D3879" s="512">
        <v>4.2875369459E10</v>
      </c>
      <c r="E3879" s="606" t="s">
        <v>4857</v>
      </c>
      <c r="F3879" s="607" t="s">
        <v>436</v>
      </c>
      <c r="G3879" s="606" t="s">
        <v>6407</v>
      </c>
      <c r="H3879" s="608" t="s">
        <v>4558</v>
      </c>
    </row>
    <row r="3880">
      <c r="A3880" s="546" t="s">
        <v>823</v>
      </c>
      <c r="B3880" s="512" t="s">
        <v>6400</v>
      </c>
      <c r="C3880" s="605">
        <v>46057.0</v>
      </c>
      <c r="D3880" s="512">
        <v>4.6864878652E10</v>
      </c>
      <c r="E3880" s="606" t="s">
        <v>5995</v>
      </c>
      <c r="F3880" s="607" t="s">
        <v>436</v>
      </c>
      <c r="G3880" s="606" t="s">
        <v>6407</v>
      </c>
      <c r="H3880" s="608" t="s">
        <v>4558</v>
      </c>
    </row>
    <row r="3881">
      <c r="A3881" s="546" t="s">
        <v>617</v>
      </c>
      <c r="B3881" s="512" t="s">
        <v>6400</v>
      </c>
      <c r="C3881" s="605">
        <v>46057.0</v>
      </c>
      <c r="D3881" s="512">
        <v>4.4790185409E10</v>
      </c>
      <c r="E3881" s="606" t="s">
        <v>6408</v>
      </c>
      <c r="F3881" s="607" t="s">
        <v>436</v>
      </c>
      <c r="G3881" s="606" t="s">
        <v>6409</v>
      </c>
      <c r="H3881" s="608" t="s">
        <v>693</v>
      </c>
    </row>
    <row r="3882">
      <c r="A3882" s="546" t="s">
        <v>823</v>
      </c>
      <c r="B3882" s="512" t="s">
        <v>6400</v>
      </c>
      <c r="C3882" s="605">
        <v>46057.0</v>
      </c>
      <c r="D3882" s="512">
        <v>4.8995382006E10</v>
      </c>
      <c r="E3882" s="606" t="s">
        <v>6406</v>
      </c>
      <c r="F3882" s="607" t="s">
        <v>436</v>
      </c>
      <c r="G3882" s="606" t="s">
        <v>1079</v>
      </c>
      <c r="H3882" s="608" t="s">
        <v>4558</v>
      </c>
    </row>
    <row r="3883">
      <c r="A3883" s="546" t="s">
        <v>617</v>
      </c>
      <c r="B3883" s="512" t="s">
        <v>6400</v>
      </c>
      <c r="C3883" s="605">
        <v>46057.0</v>
      </c>
      <c r="D3883" s="512">
        <v>4.3027991961E10</v>
      </c>
      <c r="E3883" s="606" t="s">
        <v>6410</v>
      </c>
      <c r="F3883" s="607" t="s">
        <v>436</v>
      </c>
      <c r="G3883" s="606" t="s">
        <v>6411</v>
      </c>
      <c r="H3883" s="608" t="s">
        <v>693</v>
      </c>
    </row>
    <row r="3884">
      <c r="A3884" s="546" t="s">
        <v>823</v>
      </c>
      <c r="B3884" s="512" t="s">
        <v>6400</v>
      </c>
      <c r="C3884" s="605">
        <v>46058.0</v>
      </c>
      <c r="D3884" s="512">
        <v>3.6561255316E10</v>
      </c>
      <c r="E3884" s="606" t="s">
        <v>4165</v>
      </c>
      <c r="F3884" s="607" t="s">
        <v>436</v>
      </c>
      <c r="G3884" s="606">
        <v>694.0</v>
      </c>
      <c r="H3884" s="608" t="s">
        <v>693</v>
      </c>
    </row>
    <row r="3885">
      <c r="A3885" s="546" t="s">
        <v>823</v>
      </c>
      <c r="B3885" s="512" t="s">
        <v>6400</v>
      </c>
      <c r="C3885" s="605">
        <v>46058.0</v>
      </c>
      <c r="D3885" s="512">
        <v>4.8663731901E10</v>
      </c>
      <c r="E3885" s="606" t="s">
        <v>6412</v>
      </c>
      <c r="F3885" s="607" t="s">
        <v>436</v>
      </c>
      <c r="G3885" s="606">
        <v>871.0</v>
      </c>
      <c r="H3885" s="608" t="s">
        <v>693</v>
      </c>
    </row>
    <row r="3886">
      <c r="A3886" s="546" t="s">
        <v>617</v>
      </c>
      <c r="B3886" s="512" t="s">
        <v>6400</v>
      </c>
      <c r="C3886" s="605">
        <v>46058.0</v>
      </c>
      <c r="D3886" s="512">
        <v>4.6704431809E10</v>
      </c>
      <c r="E3886" s="606" t="s">
        <v>5759</v>
      </c>
      <c r="F3886" s="607" t="s">
        <v>436</v>
      </c>
      <c r="G3886" s="606" t="s">
        <v>6011</v>
      </c>
      <c r="H3886" s="608" t="s">
        <v>5817</v>
      </c>
    </row>
    <row r="3887">
      <c r="A3887" s="546" t="s">
        <v>823</v>
      </c>
      <c r="B3887" s="512" t="s">
        <v>6400</v>
      </c>
      <c r="C3887" s="605">
        <v>46058.0</v>
      </c>
      <c r="D3887" s="512">
        <v>4.3253090715E10</v>
      </c>
      <c r="E3887" s="606" t="s">
        <v>6413</v>
      </c>
      <c r="F3887" s="607" t="s">
        <v>436</v>
      </c>
      <c r="G3887" s="606" t="s">
        <v>5011</v>
      </c>
      <c r="H3887" s="608" t="s">
        <v>693</v>
      </c>
    </row>
    <row r="3888">
      <c r="A3888" s="546" t="s">
        <v>432</v>
      </c>
      <c r="B3888" s="512" t="s">
        <v>6400</v>
      </c>
      <c r="C3888" s="605">
        <v>46058.0</v>
      </c>
      <c r="D3888" s="512">
        <v>4.7200029562E10</v>
      </c>
      <c r="E3888" s="606" t="s">
        <v>6316</v>
      </c>
      <c r="F3888" s="607" t="s">
        <v>436</v>
      </c>
      <c r="G3888" s="606" t="s">
        <v>6414</v>
      </c>
      <c r="H3888" s="608" t="s">
        <v>438</v>
      </c>
    </row>
    <row r="3889">
      <c r="A3889" s="546" t="s">
        <v>617</v>
      </c>
      <c r="B3889" s="512" t="s">
        <v>433</v>
      </c>
      <c r="C3889" s="605">
        <v>46058.0</v>
      </c>
      <c r="D3889" s="512">
        <v>4.6037776753E10</v>
      </c>
      <c r="E3889" s="606" t="s">
        <v>5630</v>
      </c>
      <c r="F3889" s="607" t="s">
        <v>436</v>
      </c>
      <c r="G3889" s="606" t="s">
        <v>6242</v>
      </c>
      <c r="H3889" s="608" t="s">
        <v>5817</v>
      </c>
    </row>
    <row r="3890">
      <c r="A3890" s="546" t="s">
        <v>617</v>
      </c>
      <c r="B3890" s="512" t="s">
        <v>433</v>
      </c>
      <c r="C3890" s="605">
        <v>46058.0</v>
      </c>
      <c r="D3890" s="512">
        <v>4.6037776773E10</v>
      </c>
      <c r="E3890" s="606" t="s">
        <v>5630</v>
      </c>
      <c r="F3890" s="607" t="s">
        <v>436</v>
      </c>
      <c r="G3890" s="606" t="s">
        <v>6242</v>
      </c>
      <c r="H3890" s="608" t="s">
        <v>5817</v>
      </c>
    </row>
    <row r="3891">
      <c r="A3891" s="546" t="s">
        <v>432</v>
      </c>
      <c r="B3891" s="512" t="s">
        <v>433</v>
      </c>
      <c r="C3891" s="605">
        <v>46058.0</v>
      </c>
      <c r="D3891" s="512">
        <v>4.6847738812E10</v>
      </c>
      <c r="E3891" s="606" t="s">
        <v>4811</v>
      </c>
      <c r="F3891" s="607" t="s">
        <v>436</v>
      </c>
      <c r="G3891" s="606" t="s">
        <v>6415</v>
      </c>
      <c r="H3891" s="608" t="s">
        <v>438</v>
      </c>
    </row>
    <row r="3892">
      <c r="A3892" s="546" t="s">
        <v>617</v>
      </c>
      <c r="B3892" s="512" t="s">
        <v>6400</v>
      </c>
      <c r="C3892" s="605">
        <v>46058.0</v>
      </c>
      <c r="D3892" s="512">
        <v>3.4234700204E10</v>
      </c>
      <c r="E3892" s="606" t="s">
        <v>5383</v>
      </c>
      <c r="F3892" s="607" t="s">
        <v>436</v>
      </c>
      <c r="G3892" s="606" t="s">
        <v>1781</v>
      </c>
      <c r="H3892" s="608" t="s">
        <v>5817</v>
      </c>
    </row>
    <row r="3893">
      <c r="A3893" s="546" t="s">
        <v>617</v>
      </c>
      <c r="B3893" s="512" t="s">
        <v>6400</v>
      </c>
      <c r="C3893" s="605">
        <v>46058.0</v>
      </c>
      <c r="D3893" s="512">
        <v>4.343106782E10</v>
      </c>
      <c r="E3893" s="606" t="s">
        <v>5025</v>
      </c>
      <c r="F3893" s="607" t="s">
        <v>436</v>
      </c>
      <c r="G3893" s="606" t="s">
        <v>6416</v>
      </c>
      <c r="H3893" s="608" t="s">
        <v>5817</v>
      </c>
    </row>
    <row r="3894">
      <c r="A3894" s="546" t="s">
        <v>617</v>
      </c>
      <c r="B3894" s="512" t="s">
        <v>6400</v>
      </c>
      <c r="C3894" s="605">
        <v>46058.0</v>
      </c>
      <c r="D3894" s="512">
        <v>4.6837764213E10</v>
      </c>
      <c r="E3894" s="606" t="s">
        <v>4165</v>
      </c>
      <c r="F3894" s="607" t="s">
        <v>436</v>
      </c>
      <c r="G3894" s="606" t="s">
        <v>6417</v>
      </c>
      <c r="H3894" s="608" t="s">
        <v>5817</v>
      </c>
    </row>
    <row r="3895">
      <c r="A3895" s="546" t="s">
        <v>432</v>
      </c>
      <c r="B3895" s="512" t="s">
        <v>433</v>
      </c>
      <c r="C3895" s="605">
        <v>46058.0</v>
      </c>
      <c r="D3895" s="512">
        <v>2.8698226487E10</v>
      </c>
      <c r="E3895" s="606" t="s">
        <v>1648</v>
      </c>
      <c r="F3895" s="607" t="s">
        <v>436</v>
      </c>
      <c r="G3895" s="606" t="s">
        <v>6418</v>
      </c>
      <c r="H3895" s="608" t="s">
        <v>438</v>
      </c>
    </row>
    <row r="3896">
      <c r="A3896" s="546" t="s">
        <v>617</v>
      </c>
      <c r="B3896" s="512" t="s">
        <v>3583</v>
      </c>
      <c r="C3896" s="605">
        <v>46058.0</v>
      </c>
      <c r="D3896" s="512">
        <v>4.6436454312E10</v>
      </c>
      <c r="E3896" s="606" t="s">
        <v>4165</v>
      </c>
      <c r="F3896" s="607" t="s">
        <v>436</v>
      </c>
      <c r="G3896" s="606" t="s">
        <v>6419</v>
      </c>
      <c r="H3896" s="608" t="s">
        <v>5817</v>
      </c>
    </row>
    <row r="3897">
      <c r="A3897" s="546" t="s">
        <v>617</v>
      </c>
      <c r="B3897" s="512" t="s">
        <v>6400</v>
      </c>
      <c r="C3897" s="605">
        <v>46058.0</v>
      </c>
      <c r="D3897" s="512">
        <v>4.3510275217E10</v>
      </c>
      <c r="E3897" s="606" t="s">
        <v>5055</v>
      </c>
      <c r="F3897" s="607" t="s">
        <v>436</v>
      </c>
      <c r="G3897" s="606" t="s">
        <v>3247</v>
      </c>
      <c r="H3897" s="608" t="s">
        <v>5817</v>
      </c>
    </row>
    <row r="3898">
      <c r="A3898" s="546" t="s">
        <v>617</v>
      </c>
      <c r="B3898" s="512" t="s">
        <v>433</v>
      </c>
      <c r="C3898" s="605">
        <v>46058.0</v>
      </c>
      <c r="D3898" s="512">
        <v>4.7002592294E10</v>
      </c>
      <c r="E3898" s="606" t="s">
        <v>6391</v>
      </c>
      <c r="F3898" s="607" t="s">
        <v>436</v>
      </c>
      <c r="G3898" s="606" t="s">
        <v>6420</v>
      </c>
      <c r="H3898" s="608" t="s">
        <v>5817</v>
      </c>
    </row>
    <row r="3899">
      <c r="A3899" s="546" t="s">
        <v>617</v>
      </c>
      <c r="B3899" s="512" t="s">
        <v>433</v>
      </c>
      <c r="C3899" s="605">
        <v>46058.0</v>
      </c>
      <c r="D3899" s="512">
        <v>4.4484570769E10</v>
      </c>
      <c r="E3899" s="606" t="s">
        <v>6421</v>
      </c>
      <c r="F3899" s="607" t="s">
        <v>436</v>
      </c>
      <c r="G3899" s="606" t="s">
        <v>6071</v>
      </c>
      <c r="H3899" s="608" t="s">
        <v>5817</v>
      </c>
    </row>
    <row r="3900">
      <c r="A3900" s="546" t="s">
        <v>432</v>
      </c>
      <c r="B3900" s="512" t="s">
        <v>6400</v>
      </c>
      <c r="C3900" s="605">
        <v>46058.0</v>
      </c>
      <c r="D3900" s="512">
        <v>4.5868006375E10</v>
      </c>
      <c r="E3900" s="606" t="s">
        <v>6422</v>
      </c>
      <c r="F3900" s="607" t="s">
        <v>436</v>
      </c>
      <c r="G3900" s="606" t="s">
        <v>6423</v>
      </c>
      <c r="H3900" s="608" t="s">
        <v>438</v>
      </c>
    </row>
    <row r="3901">
      <c r="A3901" s="546" t="s">
        <v>617</v>
      </c>
      <c r="B3901" s="512" t="s">
        <v>433</v>
      </c>
      <c r="C3901" s="605">
        <v>46058.0</v>
      </c>
      <c r="D3901" s="512">
        <v>4.8977443421E10</v>
      </c>
      <c r="E3901" s="606" t="s">
        <v>6391</v>
      </c>
      <c r="F3901" s="607" t="s">
        <v>436</v>
      </c>
      <c r="G3901" s="606" t="s">
        <v>3040</v>
      </c>
      <c r="H3901" s="608" t="s">
        <v>5817</v>
      </c>
    </row>
    <row r="3902">
      <c r="A3902" s="546" t="s">
        <v>432</v>
      </c>
      <c r="B3902" s="512" t="s">
        <v>6400</v>
      </c>
      <c r="C3902" s="605">
        <v>46058.0</v>
      </c>
      <c r="D3902" s="512">
        <v>4.0639457836E10</v>
      </c>
      <c r="E3902" s="606" t="s">
        <v>85</v>
      </c>
      <c r="F3902" s="607" t="s">
        <v>436</v>
      </c>
      <c r="G3902" s="606" t="s">
        <v>1295</v>
      </c>
      <c r="H3902" s="608" t="s">
        <v>438</v>
      </c>
    </row>
    <row r="3903">
      <c r="A3903" s="546" t="s">
        <v>432</v>
      </c>
      <c r="B3903" s="512" t="s">
        <v>6400</v>
      </c>
      <c r="C3903" s="605">
        <v>46058.0</v>
      </c>
      <c r="D3903" s="512">
        <v>4.2999346605E10</v>
      </c>
      <c r="E3903" s="606" t="s">
        <v>4373</v>
      </c>
      <c r="F3903" s="607" t="s">
        <v>436</v>
      </c>
      <c r="G3903" s="606" t="s">
        <v>814</v>
      </c>
      <c r="H3903" s="608" t="s">
        <v>438</v>
      </c>
    </row>
    <row r="3904">
      <c r="A3904" s="546" t="s">
        <v>617</v>
      </c>
      <c r="B3904" s="512" t="s">
        <v>449</v>
      </c>
      <c r="C3904" s="605">
        <v>46059.0</v>
      </c>
      <c r="D3904" s="512">
        <v>4.7408439647E10</v>
      </c>
      <c r="E3904" s="606" t="s">
        <v>5430</v>
      </c>
      <c r="F3904" s="607" t="s">
        <v>436</v>
      </c>
      <c r="G3904" s="606" t="s">
        <v>6424</v>
      </c>
      <c r="H3904" s="608" t="s">
        <v>696</v>
      </c>
    </row>
    <row r="3905">
      <c r="A3905" s="546" t="s">
        <v>617</v>
      </c>
      <c r="B3905" s="512" t="s">
        <v>3583</v>
      </c>
      <c r="C3905" s="605">
        <v>46059.0</v>
      </c>
      <c r="D3905" s="512">
        <v>4.7036236719E10</v>
      </c>
      <c r="E3905" s="606" t="s">
        <v>6260</v>
      </c>
      <c r="F3905" s="607" t="s">
        <v>436</v>
      </c>
      <c r="G3905" s="606" t="s">
        <v>3418</v>
      </c>
      <c r="H3905" s="608" t="s">
        <v>696</v>
      </c>
    </row>
    <row r="3906">
      <c r="A3906" s="546" t="s">
        <v>432</v>
      </c>
      <c r="B3906" s="512" t="s">
        <v>433</v>
      </c>
      <c r="C3906" s="605">
        <v>46059.0</v>
      </c>
      <c r="D3906" s="512">
        <v>4.5872783345E10</v>
      </c>
      <c r="E3906" s="606" t="s">
        <v>6425</v>
      </c>
      <c r="F3906" s="607" t="s">
        <v>436</v>
      </c>
      <c r="G3906" s="606" t="s">
        <v>6426</v>
      </c>
      <c r="H3906" s="608" t="s">
        <v>438</v>
      </c>
    </row>
    <row r="3907">
      <c r="A3907" s="546" t="s">
        <v>432</v>
      </c>
      <c r="B3907" s="512" t="s">
        <v>433</v>
      </c>
      <c r="C3907" s="605">
        <v>46059.0</v>
      </c>
      <c r="D3907" s="512">
        <v>4.3067421235E10</v>
      </c>
      <c r="E3907" s="606" t="s">
        <v>6427</v>
      </c>
      <c r="F3907" s="607" t="s">
        <v>436</v>
      </c>
      <c r="G3907" s="606" t="s">
        <v>6428</v>
      </c>
      <c r="H3907" s="608" t="s">
        <v>438</v>
      </c>
    </row>
    <row r="3908">
      <c r="A3908" s="546" t="s">
        <v>432</v>
      </c>
      <c r="B3908" s="512" t="s">
        <v>6400</v>
      </c>
      <c r="C3908" s="605">
        <v>46059.0</v>
      </c>
      <c r="D3908" s="512">
        <v>3.7666468312E10</v>
      </c>
      <c r="E3908" s="606" t="s">
        <v>5895</v>
      </c>
      <c r="F3908" s="607" t="s">
        <v>436</v>
      </c>
      <c r="G3908" s="606" t="s">
        <v>5700</v>
      </c>
      <c r="H3908" s="608" t="s">
        <v>438</v>
      </c>
    </row>
    <row r="3909">
      <c r="A3909" s="546" t="s">
        <v>823</v>
      </c>
      <c r="B3909" s="512" t="s">
        <v>688</v>
      </c>
      <c r="C3909" s="605">
        <v>46059.0</v>
      </c>
      <c r="D3909" s="512">
        <v>3.7989256341E10</v>
      </c>
      <c r="E3909" s="606" t="s">
        <v>6429</v>
      </c>
      <c r="F3909" s="607" t="s">
        <v>436</v>
      </c>
      <c r="G3909" s="606" t="s">
        <v>5415</v>
      </c>
      <c r="H3909" s="608" t="s">
        <v>6153</v>
      </c>
    </row>
    <row r="3910">
      <c r="A3910" s="546" t="s">
        <v>432</v>
      </c>
      <c r="B3910" s="512" t="s">
        <v>6400</v>
      </c>
      <c r="C3910" s="605">
        <v>46059.0</v>
      </c>
      <c r="D3910" s="512">
        <v>4.8988139186E10</v>
      </c>
      <c r="E3910" s="606" t="s">
        <v>6430</v>
      </c>
      <c r="F3910" s="607" t="s">
        <v>436</v>
      </c>
      <c r="G3910" s="606" t="s">
        <v>3080</v>
      </c>
      <c r="H3910" s="608" t="s">
        <v>438</v>
      </c>
    </row>
    <row r="3911">
      <c r="A3911" s="546" t="s">
        <v>823</v>
      </c>
      <c r="B3911" s="512" t="s">
        <v>449</v>
      </c>
      <c r="C3911" s="605">
        <v>46059.0</v>
      </c>
      <c r="D3911" s="512">
        <v>4.22114224E10</v>
      </c>
      <c r="E3911" s="606" t="s">
        <v>4310</v>
      </c>
      <c r="F3911" s="607" t="s">
        <v>436</v>
      </c>
      <c r="G3911" s="606" t="s">
        <v>6431</v>
      </c>
      <c r="H3911" s="608" t="s">
        <v>6153</v>
      </c>
    </row>
    <row r="3912">
      <c r="A3912" s="546" t="s">
        <v>432</v>
      </c>
      <c r="B3912" s="512" t="s">
        <v>433</v>
      </c>
      <c r="C3912" s="605">
        <v>46059.0</v>
      </c>
      <c r="D3912" s="512">
        <v>3.9738479926E10</v>
      </c>
      <c r="E3912" s="606" t="s">
        <v>5895</v>
      </c>
      <c r="F3912" s="607" t="s">
        <v>436</v>
      </c>
      <c r="G3912" s="606" t="s">
        <v>6432</v>
      </c>
      <c r="H3912" s="608" t="s">
        <v>438</v>
      </c>
    </row>
    <row r="3913">
      <c r="A3913" s="546" t="s">
        <v>432</v>
      </c>
      <c r="B3913" s="512" t="s">
        <v>433</v>
      </c>
      <c r="C3913" s="605">
        <v>46059.0</v>
      </c>
      <c r="D3913" s="512">
        <v>3.9819605765E10</v>
      </c>
      <c r="E3913" s="606" t="s">
        <v>6314</v>
      </c>
      <c r="F3913" s="607" t="s">
        <v>436</v>
      </c>
      <c r="G3913" s="606" t="s">
        <v>6433</v>
      </c>
      <c r="H3913" s="608" t="s">
        <v>438</v>
      </c>
    </row>
    <row r="3914">
      <c r="A3914" s="546" t="s">
        <v>617</v>
      </c>
      <c r="B3914" s="512" t="s">
        <v>449</v>
      </c>
      <c r="C3914" s="605">
        <v>46059.0</v>
      </c>
      <c r="D3914" s="512">
        <v>4.6984646714E10</v>
      </c>
      <c r="E3914" s="606" t="s">
        <v>5253</v>
      </c>
      <c r="F3914" s="607" t="s">
        <v>436</v>
      </c>
      <c r="G3914" s="606" t="s">
        <v>6128</v>
      </c>
      <c r="H3914" s="608" t="s">
        <v>696</v>
      </c>
    </row>
    <row r="3915">
      <c r="A3915" s="546" t="s">
        <v>617</v>
      </c>
      <c r="B3915" s="512" t="s">
        <v>449</v>
      </c>
      <c r="C3915" s="605">
        <v>46059.0</v>
      </c>
      <c r="D3915" s="512">
        <v>4.4636802773E10</v>
      </c>
      <c r="E3915" s="606" t="s">
        <v>5253</v>
      </c>
      <c r="F3915" s="607" t="s">
        <v>436</v>
      </c>
      <c r="G3915" s="606" t="s">
        <v>6434</v>
      </c>
      <c r="H3915" s="608" t="s">
        <v>696</v>
      </c>
    </row>
    <row r="3916">
      <c r="A3916" s="546" t="s">
        <v>432</v>
      </c>
      <c r="B3916" s="512" t="s">
        <v>433</v>
      </c>
      <c r="C3916" s="605">
        <v>46059.0</v>
      </c>
      <c r="D3916" s="512">
        <v>3.8321729647E10</v>
      </c>
      <c r="E3916" s="606" t="s">
        <v>5895</v>
      </c>
      <c r="F3916" s="607" t="s">
        <v>436</v>
      </c>
      <c r="G3916" s="606" t="s">
        <v>6435</v>
      </c>
      <c r="H3916" s="608" t="s">
        <v>438</v>
      </c>
    </row>
    <row r="3917">
      <c r="A3917" s="546" t="s">
        <v>432</v>
      </c>
      <c r="B3917" s="512" t="s">
        <v>433</v>
      </c>
      <c r="C3917" s="605">
        <v>46059.0</v>
      </c>
      <c r="D3917" s="512">
        <v>4.598777413E10</v>
      </c>
      <c r="E3917" s="606" t="s">
        <v>6436</v>
      </c>
      <c r="F3917" s="607" t="s">
        <v>436</v>
      </c>
      <c r="G3917" s="606" t="s">
        <v>6437</v>
      </c>
      <c r="H3917" s="608" t="s">
        <v>438</v>
      </c>
    </row>
    <row r="3918">
      <c r="A3918" s="546" t="s">
        <v>432</v>
      </c>
      <c r="B3918" s="512" t="s">
        <v>433</v>
      </c>
      <c r="C3918" s="605">
        <v>46059.0</v>
      </c>
      <c r="D3918" s="512">
        <v>4.1271083705E10</v>
      </c>
      <c r="E3918" s="606" t="s">
        <v>5895</v>
      </c>
      <c r="F3918" s="607" t="s">
        <v>436</v>
      </c>
      <c r="G3918" s="606" t="s">
        <v>6438</v>
      </c>
      <c r="H3918" s="608" t="s">
        <v>438</v>
      </c>
    </row>
    <row r="3919">
      <c r="A3919" s="546" t="s">
        <v>617</v>
      </c>
      <c r="B3919" s="512" t="s">
        <v>449</v>
      </c>
      <c r="C3919" s="605">
        <v>46059.0</v>
      </c>
      <c r="D3919" s="512">
        <v>3.5922990201E10</v>
      </c>
      <c r="E3919" s="606" t="s">
        <v>4165</v>
      </c>
      <c r="F3919" s="607" t="s">
        <v>436</v>
      </c>
      <c r="G3919" s="606" t="s">
        <v>3753</v>
      </c>
      <c r="H3919" s="608" t="s">
        <v>696</v>
      </c>
    </row>
    <row r="3920">
      <c r="A3920" s="546" t="s">
        <v>432</v>
      </c>
      <c r="B3920" s="512" t="s">
        <v>433</v>
      </c>
      <c r="C3920" s="605">
        <v>46059.0</v>
      </c>
      <c r="D3920" s="512">
        <v>3.5960602338E10</v>
      </c>
      <c r="E3920" s="606" t="s">
        <v>5895</v>
      </c>
      <c r="F3920" s="607" t="s">
        <v>436</v>
      </c>
      <c r="G3920" s="606" t="s">
        <v>3851</v>
      </c>
      <c r="H3920" s="608" t="s">
        <v>438</v>
      </c>
    </row>
    <row r="3921">
      <c r="A3921" s="546" t="s">
        <v>432</v>
      </c>
      <c r="B3921" s="512" t="s">
        <v>433</v>
      </c>
      <c r="C3921" s="605">
        <v>46059.0</v>
      </c>
      <c r="D3921" s="512">
        <v>4.894407639E10</v>
      </c>
      <c r="E3921" s="606" t="s">
        <v>6307</v>
      </c>
      <c r="F3921" s="607" t="s">
        <v>436</v>
      </c>
      <c r="G3921" s="606" t="s">
        <v>6439</v>
      </c>
      <c r="H3921" s="608" t="s">
        <v>438</v>
      </c>
    </row>
    <row r="3922">
      <c r="A3922" s="546" t="s">
        <v>617</v>
      </c>
      <c r="B3922" s="512" t="s">
        <v>449</v>
      </c>
      <c r="C3922" s="605">
        <v>46059.0</v>
      </c>
      <c r="D3922" s="512">
        <v>4.2641587913E10</v>
      </c>
      <c r="E3922" s="606" t="s">
        <v>4165</v>
      </c>
      <c r="F3922" s="607" t="s">
        <v>436</v>
      </c>
      <c r="G3922" s="606" t="s">
        <v>5844</v>
      </c>
      <c r="H3922" s="608" t="s">
        <v>696</v>
      </c>
    </row>
    <row r="3923">
      <c r="A3923" s="546" t="s">
        <v>432</v>
      </c>
      <c r="B3923" s="512" t="s">
        <v>6440</v>
      </c>
      <c r="C3923" s="605">
        <v>46059.0</v>
      </c>
      <c r="D3923" s="512">
        <v>4.6979117842E10</v>
      </c>
      <c r="E3923" s="606" t="s">
        <v>6441</v>
      </c>
      <c r="F3923" s="607" t="s">
        <v>436</v>
      </c>
      <c r="G3923" s="606" t="s">
        <v>1128</v>
      </c>
      <c r="H3923" s="608" t="s">
        <v>438</v>
      </c>
    </row>
    <row r="3924">
      <c r="A3924" s="546" t="s">
        <v>432</v>
      </c>
      <c r="B3924" s="512" t="s">
        <v>433</v>
      </c>
      <c r="C3924" s="605">
        <v>46059.0</v>
      </c>
      <c r="D3924" s="512">
        <v>4.183923763E10</v>
      </c>
      <c r="E3924" s="606" t="s">
        <v>5895</v>
      </c>
      <c r="F3924" s="607" t="s">
        <v>436</v>
      </c>
      <c r="G3924" s="606" t="s">
        <v>6442</v>
      </c>
      <c r="H3924" s="608" t="s">
        <v>438</v>
      </c>
    </row>
    <row r="3925">
      <c r="A3925" s="546" t="s">
        <v>432</v>
      </c>
      <c r="B3925" s="512" t="s">
        <v>449</v>
      </c>
      <c r="C3925" s="605">
        <v>46059.0</v>
      </c>
      <c r="D3925" s="512">
        <v>4.7143600525E10</v>
      </c>
      <c r="E3925" s="606" t="s">
        <v>6443</v>
      </c>
      <c r="F3925" s="607" t="s">
        <v>436</v>
      </c>
      <c r="G3925" s="606" t="s">
        <v>5423</v>
      </c>
      <c r="H3925" s="608" t="s">
        <v>438</v>
      </c>
    </row>
    <row r="3926">
      <c r="A3926" s="546" t="s">
        <v>617</v>
      </c>
      <c r="B3926" s="512" t="s">
        <v>5241</v>
      </c>
      <c r="C3926" s="605">
        <v>46059.0</v>
      </c>
      <c r="D3926" s="512">
        <v>4.5686339605E10</v>
      </c>
      <c r="E3926" s="606" t="s">
        <v>4854</v>
      </c>
      <c r="F3926" s="607" t="s">
        <v>436</v>
      </c>
      <c r="G3926" s="606" t="s">
        <v>6444</v>
      </c>
      <c r="H3926" s="608" t="s">
        <v>696</v>
      </c>
    </row>
    <row r="3927">
      <c r="A3927" s="546" t="s">
        <v>617</v>
      </c>
      <c r="B3927" s="512" t="s">
        <v>449</v>
      </c>
      <c r="C3927" s="605">
        <v>46059.0</v>
      </c>
      <c r="D3927" s="512">
        <v>2.9642494919E10</v>
      </c>
      <c r="E3927" s="606" t="s">
        <v>4857</v>
      </c>
      <c r="F3927" s="607" t="s">
        <v>436</v>
      </c>
      <c r="G3927" s="606" t="s">
        <v>6445</v>
      </c>
      <c r="H3927" s="608" t="s">
        <v>696</v>
      </c>
    </row>
    <row r="3928">
      <c r="A3928" s="546" t="s">
        <v>617</v>
      </c>
      <c r="B3928" s="512" t="s">
        <v>433</v>
      </c>
      <c r="C3928" s="605">
        <v>46059.0</v>
      </c>
      <c r="D3928" s="512">
        <v>4.3291708871E10</v>
      </c>
      <c r="E3928" s="606" t="s">
        <v>6360</v>
      </c>
      <c r="F3928" s="607" t="s">
        <v>436</v>
      </c>
      <c r="G3928" s="606" t="s">
        <v>6446</v>
      </c>
      <c r="H3928" s="608" t="s">
        <v>696</v>
      </c>
    </row>
    <row r="3929">
      <c r="A3929" s="546" t="s">
        <v>432</v>
      </c>
      <c r="B3929" s="512" t="s">
        <v>3963</v>
      </c>
      <c r="C3929" s="605">
        <v>46060.0</v>
      </c>
      <c r="D3929" s="512">
        <v>4.8995993922E10</v>
      </c>
      <c r="E3929" s="606" t="s">
        <v>4974</v>
      </c>
      <c r="F3929" s="607" t="s">
        <v>436</v>
      </c>
      <c r="G3929" s="606">
        <v>99.0</v>
      </c>
      <c r="H3929" s="608" t="s">
        <v>686</v>
      </c>
    </row>
    <row r="3930">
      <c r="A3930" s="546" t="s">
        <v>432</v>
      </c>
      <c r="B3930" s="512" t="s">
        <v>433</v>
      </c>
      <c r="C3930" s="605">
        <v>46060.0</v>
      </c>
      <c r="D3930" s="512">
        <v>4.8995112173E10</v>
      </c>
      <c r="E3930" s="606" t="s">
        <v>6252</v>
      </c>
      <c r="F3930" s="607" t="s">
        <v>436</v>
      </c>
      <c r="G3930" s="606">
        <v>143.0</v>
      </c>
      <c r="H3930" s="608" t="s">
        <v>686</v>
      </c>
    </row>
    <row r="3931">
      <c r="A3931" s="546" t="s">
        <v>432</v>
      </c>
      <c r="B3931" s="512" t="s">
        <v>449</v>
      </c>
      <c r="C3931" s="605">
        <v>46060.0</v>
      </c>
      <c r="D3931" s="512">
        <v>4.7083605008E10</v>
      </c>
      <c r="E3931" s="606" t="s">
        <v>6447</v>
      </c>
      <c r="F3931" s="607" t="s">
        <v>436</v>
      </c>
      <c r="G3931" s="606">
        <v>234.0</v>
      </c>
      <c r="H3931" s="608" t="s">
        <v>686</v>
      </c>
    </row>
    <row r="3932">
      <c r="A3932" s="546" t="s">
        <v>432</v>
      </c>
      <c r="B3932" s="512" t="s">
        <v>433</v>
      </c>
      <c r="C3932" s="605">
        <v>46060.0</v>
      </c>
      <c r="D3932" s="512">
        <v>4.8995350561E10</v>
      </c>
      <c r="E3932" s="606" t="s">
        <v>6150</v>
      </c>
      <c r="F3932" s="607" t="s">
        <v>436</v>
      </c>
      <c r="G3932" s="606">
        <v>261.0</v>
      </c>
      <c r="H3932" s="608" t="s">
        <v>686</v>
      </c>
    </row>
    <row r="3933">
      <c r="A3933" s="546" t="s">
        <v>432</v>
      </c>
      <c r="B3933" s="512" t="s">
        <v>449</v>
      </c>
      <c r="C3933" s="605">
        <v>46060.0</v>
      </c>
      <c r="D3933" s="512">
        <v>4.8771757431E10</v>
      </c>
      <c r="E3933" s="606" t="s">
        <v>6199</v>
      </c>
      <c r="F3933" s="607" t="s">
        <v>436</v>
      </c>
      <c r="G3933" s="606">
        <v>553.0</v>
      </c>
      <c r="H3933" s="608" t="s">
        <v>686</v>
      </c>
    </row>
    <row r="3934">
      <c r="A3934" s="546" t="s">
        <v>432</v>
      </c>
      <c r="B3934" s="512" t="s">
        <v>449</v>
      </c>
      <c r="C3934" s="605">
        <v>46060.0</v>
      </c>
      <c r="D3934" s="512">
        <v>4.2786086262E10</v>
      </c>
      <c r="E3934" s="606" t="s">
        <v>4165</v>
      </c>
      <c r="F3934" s="607" t="s">
        <v>436</v>
      </c>
      <c r="G3934" s="606">
        <v>576.0</v>
      </c>
      <c r="H3934" s="608" t="s">
        <v>686</v>
      </c>
    </row>
    <row r="3935">
      <c r="A3935" s="546" t="s">
        <v>432</v>
      </c>
      <c r="B3935" s="512" t="s">
        <v>433</v>
      </c>
      <c r="C3935" s="605">
        <v>46060.0</v>
      </c>
      <c r="D3935" s="512">
        <v>4.6409857171E10</v>
      </c>
      <c r="E3935" s="606" t="s">
        <v>6448</v>
      </c>
      <c r="F3935" s="607" t="s">
        <v>436</v>
      </c>
      <c r="G3935" s="606">
        <v>661.0</v>
      </c>
      <c r="H3935" s="608" t="s">
        <v>686</v>
      </c>
    </row>
    <row r="3936">
      <c r="A3936" s="546" t="s">
        <v>432</v>
      </c>
      <c r="B3936" s="512" t="s">
        <v>449</v>
      </c>
      <c r="C3936" s="605">
        <v>46060.0</v>
      </c>
      <c r="D3936" s="512">
        <v>3.8261533157E10</v>
      </c>
      <c r="E3936" s="606" t="s">
        <v>6030</v>
      </c>
      <c r="F3936" s="607" t="s">
        <v>436</v>
      </c>
      <c r="G3936" s="606">
        <v>691.0</v>
      </c>
      <c r="H3936" s="608" t="s">
        <v>686</v>
      </c>
    </row>
    <row r="3937">
      <c r="A3937" s="546" t="s">
        <v>432</v>
      </c>
      <c r="B3937" s="512" t="s">
        <v>433</v>
      </c>
      <c r="C3937" s="605">
        <v>46060.0</v>
      </c>
      <c r="D3937" s="512">
        <v>4.901477711E10</v>
      </c>
      <c r="E3937" s="606" t="s">
        <v>6252</v>
      </c>
      <c r="F3937" s="607" t="s">
        <v>436</v>
      </c>
      <c r="G3937" s="606">
        <v>702.0</v>
      </c>
      <c r="H3937" s="608" t="s">
        <v>686</v>
      </c>
    </row>
    <row r="3938">
      <c r="A3938" s="546" t="s">
        <v>432</v>
      </c>
      <c r="B3938" s="512" t="s">
        <v>433</v>
      </c>
      <c r="C3938" s="605">
        <v>46060.0</v>
      </c>
      <c r="D3938" s="512">
        <v>4.9014777108E10</v>
      </c>
      <c r="E3938" s="606" t="s">
        <v>6252</v>
      </c>
      <c r="F3938" s="607" t="s">
        <v>436</v>
      </c>
      <c r="G3938" s="606">
        <v>748.0</v>
      </c>
      <c r="H3938" s="608" t="s">
        <v>686</v>
      </c>
    </row>
    <row r="3939">
      <c r="A3939" s="546" t="s">
        <v>432</v>
      </c>
      <c r="B3939" s="512" t="s">
        <v>433</v>
      </c>
      <c r="C3939" s="605">
        <v>46060.0</v>
      </c>
      <c r="D3939" s="512">
        <v>4.0834045029E10</v>
      </c>
      <c r="E3939" s="606" t="s">
        <v>4854</v>
      </c>
      <c r="F3939" s="607" t="s">
        <v>436</v>
      </c>
      <c r="G3939" s="606">
        <v>773.0</v>
      </c>
      <c r="H3939" s="608" t="s">
        <v>686</v>
      </c>
    </row>
    <row r="3940">
      <c r="A3940" s="546" t="s">
        <v>432</v>
      </c>
      <c r="B3940" s="512" t="s">
        <v>433</v>
      </c>
      <c r="C3940" s="605">
        <v>46060.0</v>
      </c>
      <c r="D3940" s="512">
        <v>3.5932242571E10</v>
      </c>
      <c r="E3940" s="606" t="s">
        <v>6252</v>
      </c>
      <c r="F3940" s="607" t="s">
        <v>436</v>
      </c>
      <c r="G3940" s="606">
        <v>827.0</v>
      </c>
      <c r="H3940" s="608" t="s">
        <v>686</v>
      </c>
    </row>
    <row r="3941">
      <c r="A3941" s="546" t="s">
        <v>432</v>
      </c>
      <c r="B3941" s="512" t="s">
        <v>449</v>
      </c>
      <c r="C3941" s="605">
        <v>46060.0</v>
      </c>
      <c r="D3941" s="512">
        <v>3.4743273541E10</v>
      </c>
      <c r="E3941" s="606" t="s">
        <v>5320</v>
      </c>
      <c r="F3941" s="607" t="s">
        <v>436</v>
      </c>
      <c r="G3941" s="606">
        <v>912.0</v>
      </c>
      <c r="H3941" s="608" t="s">
        <v>686</v>
      </c>
    </row>
    <row r="3942">
      <c r="A3942" s="546" t="s">
        <v>432</v>
      </c>
      <c r="B3942" s="512" t="s">
        <v>433</v>
      </c>
      <c r="C3942" s="605">
        <v>46060.0</v>
      </c>
      <c r="D3942" s="512">
        <v>4.700447154E10</v>
      </c>
      <c r="E3942" s="606" t="s">
        <v>6449</v>
      </c>
      <c r="F3942" s="607" t="s">
        <v>436</v>
      </c>
      <c r="G3942" s="606">
        <v>1516.0</v>
      </c>
      <c r="H3942" s="608" t="s">
        <v>686</v>
      </c>
    </row>
    <row r="3943">
      <c r="A3943" s="546" t="s">
        <v>432</v>
      </c>
      <c r="B3943" s="512" t="s">
        <v>449</v>
      </c>
      <c r="C3943" s="605">
        <v>46060.0</v>
      </c>
      <c r="D3943" s="512">
        <v>2.6519746879E10</v>
      </c>
      <c r="E3943" s="606" t="s">
        <v>6150</v>
      </c>
      <c r="F3943" s="607" t="s">
        <v>436</v>
      </c>
      <c r="G3943" s="606">
        <v>1612.0</v>
      </c>
      <c r="H3943" s="608" t="s">
        <v>686</v>
      </c>
    </row>
    <row r="3944">
      <c r="A3944" s="546" t="s">
        <v>432</v>
      </c>
      <c r="B3944" s="512" t="s">
        <v>433</v>
      </c>
      <c r="C3944" s="605">
        <v>46060.0</v>
      </c>
      <c r="D3944" s="512">
        <v>4.9014773428E10</v>
      </c>
      <c r="E3944" s="606" t="s">
        <v>6252</v>
      </c>
      <c r="F3944" s="607" t="s">
        <v>436</v>
      </c>
      <c r="G3944" s="606">
        <v>1907.0</v>
      </c>
      <c r="H3944" s="608" t="s">
        <v>686</v>
      </c>
    </row>
    <row r="3945">
      <c r="A3945" s="546" t="s">
        <v>432</v>
      </c>
      <c r="B3945" s="512" t="s">
        <v>433</v>
      </c>
      <c r="C3945" s="605">
        <v>46060.0</v>
      </c>
      <c r="D3945" s="512">
        <v>4.7078171657E10</v>
      </c>
      <c r="E3945" s="606" t="s">
        <v>6260</v>
      </c>
      <c r="F3945" s="607" t="s">
        <v>436</v>
      </c>
      <c r="G3945" s="606">
        <v>2386.0</v>
      </c>
      <c r="H3945" s="608" t="s">
        <v>686</v>
      </c>
    </row>
    <row r="3946">
      <c r="A3946" s="546" t="s">
        <v>432</v>
      </c>
      <c r="B3946" s="512" t="s">
        <v>449</v>
      </c>
      <c r="C3946" s="605">
        <v>46060.0</v>
      </c>
      <c r="D3946" s="512">
        <v>4.8999983067E10</v>
      </c>
      <c r="E3946" s="606" t="s">
        <v>5468</v>
      </c>
      <c r="F3946" s="607" t="s">
        <v>436</v>
      </c>
      <c r="G3946" s="606">
        <v>3456.0</v>
      </c>
      <c r="H3946" s="608" t="s">
        <v>686</v>
      </c>
    </row>
    <row r="3947">
      <c r="A3947" s="546" t="s">
        <v>432</v>
      </c>
      <c r="B3947" s="512" t="s">
        <v>433</v>
      </c>
      <c r="C3947" s="605">
        <v>46060.0</v>
      </c>
      <c r="D3947" s="512">
        <v>4.0569584232E10</v>
      </c>
      <c r="E3947" s="606" t="s">
        <v>6252</v>
      </c>
      <c r="F3947" s="607" t="s">
        <v>436</v>
      </c>
      <c r="G3947" s="606">
        <v>11537.0</v>
      </c>
      <c r="H3947" s="608" t="s">
        <v>686</v>
      </c>
    </row>
    <row r="3948">
      <c r="A3948" s="546" t="s">
        <v>439</v>
      </c>
      <c r="B3948" s="512" t="s">
        <v>433</v>
      </c>
      <c r="C3948" s="605">
        <v>46060.0</v>
      </c>
      <c r="D3948" s="512">
        <v>4.8995110139E10</v>
      </c>
      <c r="E3948" s="606" t="s">
        <v>6026</v>
      </c>
      <c r="F3948" s="607" t="s">
        <v>436</v>
      </c>
      <c r="G3948" s="606" t="s">
        <v>5879</v>
      </c>
      <c r="H3948" s="608" t="s">
        <v>5817</v>
      </c>
    </row>
    <row r="3949">
      <c r="A3949" s="546" t="s">
        <v>617</v>
      </c>
      <c r="B3949" s="512" t="s">
        <v>449</v>
      </c>
      <c r="C3949" s="605">
        <v>46060.0</v>
      </c>
      <c r="D3949" s="512">
        <v>4.2590337409E10</v>
      </c>
      <c r="E3949" s="606" t="s">
        <v>6209</v>
      </c>
      <c r="F3949" s="607" t="s">
        <v>436</v>
      </c>
      <c r="G3949" s="606" t="s">
        <v>6450</v>
      </c>
      <c r="H3949" s="608" t="s">
        <v>696</v>
      </c>
    </row>
    <row r="3950">
      <c r="A3950" s="546" t="s">
        <v>617</v>
      </c>
      <c r="B3950" s="512" t="s">
        <v>433</v>
      </c>
      <c r="C3950" s="605">
        <v>46060.0</v>
      </c>
      <c r="D3950" s="512">
        <v>4.4477632427E10</v>
      </c>
      <c r="E3950" s="606" t="s">
        <v>5383</v>
      </c>
      <c r="F3950" s="607" t="s">
        <v>436</v>
      </c>
      <c r="G3950" s="606" t="s">
        <v>6451</v>
      </c>
      <c r="H3950" s="608" t="s">
        <v>696</v>
      </c>
    </row>
    <row r="3951">
      <c r="A3951" s="546" t="s">
        <v>439</v>
      </c>
      <c r="B3951" s="512" t="s">
        <v>449</v>
      </c>
      <c r="C3951" s="605">
        <v>46060.0</v>
      </c>
      <c r="D3951" s="512">
        <v>4.6472194745E10</v>
      </c>
      <c r="E3951" s="606" t="s">
        <v>6452</v>
      </c>
      <c r="F3951" s="607" t="s">
        <v>436</v>
      </c>
      <c r="G3951" s="606" t="s">
        <v>3150</v>
      </c>
      <c r="H3951" s="608" t="s">
        <v>5817</v>
      </c>
    </row>
    <row r="3952">
      <c r="A3952" s="546" t="s">
        <v>439</v>
      </c>
      <c r="B3952" s="512" t="s">
        <v>433</v>
      </c>
      <c r="C3952" s="605">
        <v>46060.0</v>
      </c>
      <c r="D3952" s="512">
        <v>3.5921657135E10</v>
      </c>
      <c r="E3952" s="606" t="s">
        <v>5383</v>
      </c>
      <c r="F3952" s="607" t="s">
        <v>436</v>
      </c>
      <c r="G3952" s="606" t="s">
        <v>6453</v>
      </c>
      <c r="H3952" s="608" t="s">
        <v>5817</v>
      </c>
    </row>
    <row r="3953">
      <c r="A3953" s="546" t="s">
        <v>439</v>
      </c>
      <c r="B3953" s="512" t="s">
        <v>433</v>
      </c>
      <c r="C3953" s="605">
        <v>46060.0</v>
      </c>
      <c r="D3953" s="512">
        <v>4.8889220551E10</v>
      </c>
      <c r="E3953" s="606" t="s">
        <v>6454</v>
      </c>
      <c r="F3953" s="607" t="s">
        <v>436</v>
      </c>
      <c r="G3953" s="606" t="s">
        <v>627</v>
      </c>
      <c r="H3953" s="608" t="s">
        <v>5817</v>
      </c>
    </row>
    <row r="3954">
      <c r="A3954" s="546" t="s">
        <v>439</v>
      </c>
      <c r="B3954" s="512" t="s">
        <v>449</v>
      </c>
      <c r="C3954" s="605">
        <v>46060.0</v>
      </c>
      <c r="D3954" s="512">
        <v>3.712049002E10</v>
      </c>
      <c r="E3954" s="606" t="s">
        <v>6155</v>
      </c>
      <c r="F3954" s="607" t="s">
        <v>436</v>
      </c>
      <c r="G3954" s="606" t="s">
        <v>2952</v>
      </c>
      <c r="H3954" s="608" t="s">
        <v>5817</v>
      </c>
    </row>
    <row r="3955">
      <c r="A3955" s="546" t="s">
        <v>439</v>
      </c>
      <c r="B3955" s="512" t="s">
        <v>433</v>
      </c>
      <c r="C3955" s="605">
        <v>46060.0</v>
      </c>
      <c r="D3955" s="512">
        <v>3.3394950947E10</v>
      </c>
      <c r="E3955" s="606" t="s">
        <v>6348</v>
      </c>
      <c r="F3955" s="607" t="s">
        <v>436</v>
      </c>
      <c r="G3955" s="606" t="s">
        <v>5215</v>
      </c>
      <c r="H3955" s="608" t="s">
        <v>5817</v>
      </c>
    </row>
    <row r="3956">
      <c r="A3956" s="546" t="s">
        <v>823</v>
      </c>
      <c r="B3956" s="512" t="s">
        <v>449</v>
      </c>
      <c r="C3956" s="605">
        <v>46060.0</v>
      </c>
      <c r="D3956" s="512">
        <v>4.9073824627E10</v>
      </c>
      <c r="E3956" s="606" t="s">
        <v>6455</v>
      </c>
      <c r="F3956" s="607" t="s">
        <v>436</v>
      </c>
      <c r="G3956" s="606" t="s">
        <v>1844</v>
      </c>
      <c r="H3956" s="608" t="s">
        <v>6153</v>
      </c>
    </row>
    <row r="3957">
      <c r="A3957" s="546" t="s">
        <v>617</v>
      </c>
      <c r="B3957" s="512" t="s">
        <v>449</v>
      </c>
      <c r="C3957" s="605">
        <v>46060.0</v>
      </c>
      <c r="D3957" s="512">
        <v>4.6028597054E10</v>
      </c>
      <c r="E3957" s="606" t="s">
        <v>4887</v>
      </c>
      <c r="F3957" s="607" t="s">
        <v>436</v>
      </c>
      <c r="G3957" s="606" t="s">
        <v>2302</v>
      </c>
      <c r="H3957" s="608" t="s">
        <v>696</v>
      </c>
    </row>
    <row r="3958">
      <c r="A3958" s="546" t="s">
        <v>439</v>
      </c>
      <c r="B3958" s="512" t="s">
        <v>433</v>
      </c>
      <c r="C3958" s="605">
        <v>46060.0</v>
      </c>
      <c r="D3958" s="512">
        <v>3.0410289449E10</v>
      </c>
      <c r="E3958" s="606" t="s">
        <v>5759</v>
      </c>
      <c r="F3958" s="607" t="s">
        <v>436</v>
      </c>
      <c r="G3958" s="606" t="s">
        <v>4106</v>
      </c>
      <c r="H3958" s="608" t="s">
        <v>5817</v>
      </c>
    </row>
    <row r="3959">
      <c r="A3959" s="546" t="s">
        <v>617</v>
      </c>
      <c r="B3959" s="512" t="s">
        <v>449</v>
      </c>
      <c r="C3959" s="605">
        <v>46060.0</v>
      </c>
      <c r="D3959" s="512">
        <v>2.3130259126E10</v>
      </c>
      <c r="E3959" s="606" t="s">
        <v>6209</v>
      </c>
      <c r="F3959" s="607" t="s">
        <v>436</v>
      </c>
      <c r="G3959" s="606" t="s">
        <v>5853</v>
      </c>
      <c r="H3959" s="608" t="s">
        <v>696</v>
      </c>
    </row>
    <row r="3960">
      <c r="A3960" s="546" t="s">
        <v>432</v>
      </c>
      <c r="B3960" s="512" t="s">
        <v>433</v>
      </c>
      <c r="C3960" s="605">
        <v>46061.0</v>
      </c>
      <c r="D3960" s="512">
        <v>4.1741981913E10</v>
      </c>
      <c r="E3960" s="606" t="s">
        <v>6150</v>
      </c>
      <c r="F3960" s="607" t="s">
        <v>436</v>
      </c>
      <c r="G3960" s="606">
        <v>255.0</v>
      </c>
      <c r="H3960" s="608" t="s">
        <v>686</v>
      </c>
    </row>
    <row r="3961">
      <c r="A3961" s="546" t="s">
        <v>617</v>
      </c>
      <c r="B3961" s="512" t="s">
        <v>433</v>
      </c>
      <c r="C3961" s="605">
        <v>46061.0</v>
      </c>
      <c r="D3961" s="512">
        <v>4.7247231911E10</v>
      </c>
      <c r="E3961" s="606" t="s">
        <v>6456</v>
      </c>
      <c r="F3961" s="607" t="s">
        <v>436</v>
      </c>
      <c r="G3961" s="606">
        <v>256.0</v>
      </c>
      <c r="H3961" s="608" t="s">
        <v>5817</v>
      </c>
    </row>
    <row r="3962">
      <c r="A3962" s="546" t="s">
        <v>432</v>
      </c>
      <c r="B3962" s="512" t="s">
        <v>449</v>
      </c>
      <c r="C3962" s="605">
        <v>46061.0</v>
      </c>
      <c r="D3962" s="512">
        <v>4.12092201E10</v>
      </c>
      <c r="E3962" s="606" t="s">
        <v>6457</v>
      </c>
      <c r="F3962" s="607" t="s">
        <v>436</v>
      </c>
      <c r="G3962" s="606">
        <v>286.0</v>
      </c>
      <c r="H3962" s="608" t="s">
        <v>686</v>
      </c>
    </row>
    <row r="3963">
      <c r="A3963" s="546" t="s">
        <v>432</v>
      </c>
      <c r="B3963" s="512" t="s">
        <v>433</v>
      </c>
      <c r="C3963" s="605">
        <v>46061.0</v>
      </c>
      <c r="D3963" s="512">
        <v>4.9073698091E10</v>
      </c>
      <c r="E3963" s="606" t="s">
        <v>6252</v>
      </c>
      <c r="F3963" s="607" t="s">
        <v>436</v>
      </c>
      <c r="G3963" s="606">
        <v>331.0</v>
      </c>
      <c r="H3963" s="608" t="s">
        <v>686</v>
      </c>
    </row>
    <row r="3964">
      <c r="A3964" s="546" t="s">
        <v>432</v>
      </c>
      <c r="B3964" s="512" t="s">
        <v>449</v>
      </c>
      <c r="C3964" s="605">
        <v>46061.0</v>
      </c>
      <c r="D3964" s="512">
        <v>4.6511484887E10</v>
      </c>
      <c r="E3964" s="606" t="s">
        <v>4854</v>
      </c>
      <c r="F3964" s="607" t="s">
        <v>436</v>
      </c>
      <c r="G3964" s="606">
        <v>380.0</v>
      </c>
      <c r="H3964" s="608" t="s">
        <v>686</v>
      </c>
    </row>
    <row r="3965">
      <c r="A3965" s="546" t="s">
        <v>432</v>
      </c>
      <c r="B3965" s="512" t="s">
        <v>433</v>
      </c>
      <c r="C3965" s="605">
        <v>46061.0</v>
      </c>
      <c r="D3965" s="512">
        <v>4.6458264067E10</v>
      </c>
      <c r="E3965" s="606" t="s">
        <v>6282</v>
      </c>
      <c r="F3965" s="607" t="s">
        <v>436</v>
      </c>
      <c r="G3965" s="606">
        <v>387.0</v>
      </c>
      <c r="H3965" s="608" t="s">
        <v>686</v>
      </c>
    </row>
    <row r="3966">
      <c r="A3966" s="546" t="s">
        <v>617</v>
      </c>
      <c r="B3966" s="512" t="s">
        <v>449</v>
      </c>
      <c r="C3966" s="605">
        <v>46061.0</v>
      </c>
      <c r="D3966" s="512">
        <v>4.3008210514E10</v>
      </c>
      <c r="E3966" s="606" t="s">
        <v>6457</v>
      </c>
      <c r="F3966" s="607" t="s">
        <v>436</v>
      </c>
      <c r="G3966" s="606">
        <v>485.0</v>
      </c>
      <c r="H3966" s="608" t="s">
        <v>5817</v>
      </c>
    </row>
    <row r="3967">
      <c r="A3967" s="546" t="s">
        <v>432</v>
      </c>
      <c r="B3967" s="512" t="s">
        <v>433</v>
      </c>
      <c r="C3967" s="605">
        <v>46061.0</v>
      </c>
      <c r="D3967" s="512">
        <v>4.8917758582E10</v>
      </c>
      <c r="E3967" s="606" t="s">
        <v>6252</v>
      </c>
      <c r="F3967" s="607" t="s">
        <v>436</v>
      </c>
      <c r="G3967" s="606">
        <v>633.0</v>
      </c>
      <c r="H3967" s="608" t="s">
        <v>686</v>
      </c>
    </row>
    <row r="3968">
      <c r="A3968" s="546" t="s">
        <v>432</v>
      </c>
      <c r="B3968" s="512" t="s">
        <v>433</v>
      </c>
      <c r="C3968" s="605">
        <v>46061.0</v>
      </c>
      <c r="D3968" s="512">
        <v>3.7197814848E10</v>
      </c>
      <c r="E3968" s="606" t="s">
        <v>5630</v>
      </c>
      <c r="F3968" s="607" t="s">
        <v>436</v>
      </c>
      <c r="G3968" s="606">
        <v>1065.0</v>
      </c>
      <c r="H3968" s="608" t="s">
        <v>686</v>
      </c>
    </row>
    <row r="3969">
      <c r="A3969" s="546" t="s">
        <v>432</v>
      </c>
      <c r="B3969" s="512" t="s">
        <v>433</v>
      </c>
      <c r="C3969" s="605">
        <v>46061.0</v>
      </c>
      <c r="D3969" s="512">
        <v>4.4788853088E10</v>
      </c>
      <c r="E3969" s="606" t="s">
        <v>4165</v>
      </c>
      <c r="F3969" s="607" t="s">
        <v>436</v>
      </c>
      <c r="G3969" s="606">
        <v>1083.0</v>
      </c>
      <c r="H3969" s="608" t="s">
        <v>686</v>
      </c>
    </row>
    <row r="3970">
      <c r="A3970" s="546" t="s">
        <v>432</v>
      </c>
      <c r="B3970" s="512" t="s">
        <v>433</v>
      </c>
      <c r="C3970" s="605">
        <v>46061.0</v>
      </c>
      <c r="D3970" s="512">
        <v>4.684448052E10</v>
      </c>
      <c r="E3970" s="606" t="s">
        <v>4854</v>
      </c>
      <c r="F3970" s="607" t="s">
        <v>436</v>
      </c>
      <c r="G3970" s="606">
        <v>1302.0</v>
      </c>
      <c r="H3970" s="608" t="s">
        <v>686</v>
      </c>
    </row>
    <row r="3971">
      <c r="A3971" s="546" t="s">
        <v>432</v>
      </c>
      <c r="B3971" s="512" t="s">
        <v>433</v>
      </c>
      <c r="C3971" s="605">
        <v>46061.0</v>
      </c>
      <c r="D3971" s="512">
        <v>4.0983781199E10</v>
      </c>
      <c r="E3971" s="606" t="s">
        <v>4854</v>
      </c>
      <c r="F3971" s="607" t="s">
        <v>436</v>
      </c>
      <c r="G3971" s="606">
        <v>1411.0</v>
      </c>
      <c r="H3971" s="608" t="s">
        <v>686</v>
      </c>
    </row>
    <row r="3972">
      <c r="A3972" s="546" t="s">
        <v>617</v>
      </c>
      <c r="B3972" s="512" t="s">
        <v>433</v>
      </c>
      <c r="C3972" s="605">
        <v>46061.0</v>
      </c>
      <c r="D3972" s="512">
        <v>4.6503852333E10</v>
      </c>
      <c r="E3972" s="606" t="s">
        <v>4222</v>
      </c>
      <c r="F3972" s="607" t="s">
        <v>436</v>
      </c>
      <c r="G3972" s="606">
        <v>1464.0</v>
      </c>
      <c r="H3972" s="608" t="s">
        <v>5817</v>
      </c>
    </row>
    <row r="3973">
      <c r="A3973" s="546" t="s">
        <v>617</v>
      </c>
      <c r="B3973" s="512" t="s">
        <v>433</v>
      </c>
      <c r="C3973" s="605">
        <v>46061.0</v>
      </c>
      <c r="D3973" s="512">
        <v>3.9755036859E10</v>
      </c>
      <c r="E3973" s="606" t="s">
        <v>6391</v>
      </c>
      <c r="F3973" s="607" t="s">
        <v>436</v>
      </c>
      <c r="G3973" s="606">
        <v>1892.0</v>
      </c>
      <c r="H3973" s="608" t="s">
        <v>5817</v>
      </c>
    </row>
    <row r="3974">
      <c r="A3974" s="546" t="s">
        <v>617</v>
      </c>
      <c r="B3974" s="512" t="s">
        <v>433</v>
      </c>
      <c r="C3974" s="605">
        <v>46061.0</v>
      </c>
      <c r="D3974" s="512">
        <v>3.2847788514E10</v>
      </c>
      <c r="E3974" s="606" t="s">
        <v>6458</v>
      </c>
      <c r="F3974" s="607" t="s">
        <v>436</v>
      </c>
      <c r="G3974" s="606">
        <v>1999.0</v>
      </c>
      <c r="H3974" s="608" t="s">
        <v>5817</v>
      </c>
    </row>
    <row r="3975">
      <c r="A3975" s="546" t="s">
        <v>617</v>
      </c>
      <c r="B3975" s="512" t="s">
        <v>449</v>
      </c>
      <c r="C3975" s="605">
        <v>46061.0</v>
      </c>
      <c r="D3975" s="512">
        <v>4.4679341371E10</v>
      </c>
      <c r="E3975" s="606" t="s">
        <v>5430</v>
      </c>
      <c r="F3975" s="607" t="s">
        <v>436</v>
      </c>
      <c r="G3975" s="606">
        <v>2016.0</v>
      </c>
      <c r="H3975" s="608" t="s">
        <v>5817</v>
      </c>
    </row>
    <row r="3976">
      <c r="A3976" s="546" t="s">
        <v>617</v>
      </c>
      <c r="B3976" s="512" t="s">
        <v>449</v>
      </c>
      <c r="C3976" s="605">
        <v>46061.0</v>
      </c>
      <c r="D3976" s="512">
        <v>4.4679341343E10</v>
      </c>
      <c r="E3976" s="606" t="s">
        <v>6459</v>
      </c>
      <c r="F3976" s="607" t="s">
        <v>436</v>
      </c>
      <c r="G3976" s="606">
        <v>2016.0</v>
      </c>
      <c r="H3976" s="608" t="s">
        <v>5817</v>
      </c>
    </row>
    <row r="3977">
      <c r="A3977" s="546" t="s">
        <v>617</v>
      </c>
      <c r="B3977" s="512" t="s">
        <v>449</v>
      </c>
      <c r="C3977" s="605">
        <v>46061.0</v>
      </c>
      <c r="D3977" s="512">
        <v>4.4679341363E10</v>
      </c>
      <c r="E3977" s="606" t="s">
        <v>5430</v>
      </c>
      <c r="F3977" s="607" t="s">
        <v>436</v>
      </c>
      <c r="G3977" s="606">
        <v>2016.0</v>
      </c>
      <c r="H3977" s="608" t="s">
        <v>5817</v>
      </c>
    </row>
    <row r="3978">
      <c r="A3978" s="546" t="s">
        <v>432</v>
      </c>
      <c r="B3978" s="512" t="s">
        <v>449</v>
      </c>
      <c r="C3978" s="605">
        <v>46061.0</v>
      </c>
      <c r="D3978" s="512">
        <v>3.7374624805E10</v>
      </c>
      <c r="E3978" s="606" t="s">
        <v>5383</v>
      </c>
      <c r="F3978" s="607" t="s">
        <v>436</v>
      </c>
      <c r="G3978" s="606">
        <v>2052.0</v>
      </c>
      <c r="H3978" s="608" t="s">
        <v>686</v>
      </c>
    </row>
    <row r="3979">
      <c r="A3979" s="546" t="s">
        <v>432</v>
      </c>
      <c r="B3979" s="512" t="s">
        <v>449</v>
      </c>
      <c r="C3979" s="605">
        <v>46061.0</v>
      </c>
      <c r="D3979" s="512">
        <v>4.6991186732E10</v>
      </c>
      <c r="E3979" s="606" t="s">
        <v>5382</v>
      </c>
      <c r="F3979" s="607" t="s">
        <v>436</v>
      </c>
      <c r="G3979" s="606">
        <v>2154.0</v>
      </c>
      <c r="H3979" s="608" t="s">
        <v>686</v>
      </c>
    </row>
    <row r="3980">
      <c r="A3980" s="546" t="s">
        <v>617</v>
      </c>
      <c r="B3980" s="512" t="s">
        <v>433</v>
      </c>
      <c r="C3980" s="605">
        <v>46061.0</v>
      </c>
      <c r="D3980" s="512">
        <v>4.1517684214E10</v>
      </c>
      <c r="E3980" s="606" t="s">
        <v>6100</v>
      </c>
      <c r="F3980" s="607" t="s">
        <v>436</v>
      </c>
      <c r="G3980" s="606">
        <v>2338.0</v>
      </c>
      <c r="H3980" s="608" t="s">
        <v>5817</v>
      </c>
    </row>
    <row r="3981">
      <c r="A3981" s="546" t="s">
        <v>617</v>
      </c>
      <c r="B3981" s="512" t="s">
        <v>449</v>
      </c>
      <c r="C3981" s="605">
        <v>46061.0</v>
      </c>
      <c r="D3981" s="512">
        <v>4.311573977E10</v>
      </c>
      <c r="E3981" s="606" t="s">
        <v>5759</v>
      </c>
      <c r="F3981" s="607" t="s">
        <v>436</v>
      </c>
      <c r="G3981" s="606">
        <v>2543.0</v>
      </c>
      <c r="H3981" s="608" t="s">
        <v>5817</v>
      </c>
    </row>
    <row r="3982">
      <c r="A3982" s="546" t="s">
        <v>823</v>
      </c>
      <c r="B3982" s="512" t="s">
        <v>449</v>
      </c>
      <c r="C3982" s="605">
        <v>46061.0</v>
      </c>
      <c r="D3982" s="512">
        <v>4.9193757842E10</v>
      </c>
      <c r="E3982" s="606" t="s">
        <v>6460</v>
      </c>
      <c r="F3982" s="607" t="s">
        <v>436</v>
      </c>
      <c r="G3982" s="606">
        <v>3230.0</v>
      </c>
      <c r="H3982" s="608" t="s">
        <v>693</v>
      </c>
    </row>
    <row r="3983">
      <c r="A3983" s="546" t="s">
        <v>823</v>
      </c>
      <c r="B3983" s="512" t="s">
        <v>449</v>
      </c>
      <c r="C3983" s="605">
        <v>46061.0</v>
      </c>
      <c r="D3983" s="512">
        <v>4.879980356E10</v>
      </c>
      <c r="E3983" s="606" t="s">
        <v>5590</v>
      </c>
      <c r="F3983" s="607" t="s">
        <v>436</v>
      </c>
      <c r="G3983" s="606" t="s">
        <v>5849</v>
      </c>
      <c r="H3983" s="608" t="s">
        <v>6153</v>
      </c>
    </row>
    <row r="3984">
      <c r="A3984" s="546" t="s">
        <v>432</v>
      </c>
      <c r="B3984" s="653" t="s">
        <v>433</v>
      </c>
      <c r="C3984" s="680">
        <v>46062.0</v>
      </c>
      <c r="D3984" s="681">
        <v>4.6858254048E10</v>
      </c>
      <c r="E3984" s="681" t="s">
        <v>6252</v>
      </c>
      <c r="F3984" s="656" t="s">
        <v>436</v>
      </c>
      <c r="G3984" s="681">
        <v>184.0</v>
      </c>
      <c r="H3984" s="608" t="s">
        <v>686</v>
      </c>
    </row>
    <row r="3985">
      <c r="A3985" s="546" t="s">
        <v>432</v>
      </c>
      <c r="B3985" s="653" t="s">
        <v>449</v>
      </c>
      <c r="C3985" s="680">
        <v>46062.0</v>
      </c>
      <c r="D3985" s="681">
        <v>4.9012593081E10</v>
      </c>
      <c r="E3985" s="681" t="s">
        <v>4165</v>
      </c>
      <c r="F3985" s="656" t="s">
        <v>436</v>
      </c>
      <c r="G3985" s="681">
        <v>227.0</v>
      </c>
      <c r="H3985" s="608" t="s">
        <v>686</v>
      </c>
    </row>
    <row r="3986">
      <c r="A3986" s="546" t="s">
        <v>432</v>
      </c>
      <c r="B3986" s="653" t="s">
        <v>433</v>
      </c>
      <c r="C3986" s="680">
        <v>46062.0</v>
      </c>
      <c r="D3986" s="681">
        <v>4.9142026832E10</v>
      </c>
      <c r="E3986" s="681" t="s">
        <v>6252</v>
      </c>
      <c r="F3986" s="656" t="s">
        <v>436</v>
      </c>
      <c r="G3986" s="681">
        <v>280.0</v>
      </c>
      <c r="H3986" s="608" t="s">
        <v>686</v>
      </c>
    </row>
    <row r="3987">
      <c r="A3987" s="546" t="s">
        <v>432</v>
      </c>
      <c r="B3987" s="653" t="s">
        <v>433</v>
      </c>
      <c r="C3987" s="680">
        <v>46062.0</v>
      </c>
      <c r="D3987" s="653">
        <v>4.9142026817E10</v>
      </c>
      <c r="E3987" s="681" t="s">
        <v>6252</v>
      </c>
      <c r="F3987" s="656" t="s">
        <v>436</v>
      </c>
      <c r="G3987" s="681">
        <v>280.0</v>
      </c>
      <c r="H3987" s="608" t="s">
        <v>686</v>
      </c>
    </row>
    <row r="3988">
      <c r="A3988" s="546" t="s">
        <v>617</v>
      </c>
      <c r="B3988" s="512" t="s">
        <v>449</v>
      </c>
      <c r="C3988" s="605">
        <v>46062.0</v>
      </c>
      <c r="D3988" s="512">
        <v>4.8993772392E10</v>
      </c>
      <c r="E3988" s="606" t="s">
        <v>4165</v>
      </c>
      <c r="F3988" s="607" t="s">
        <v>436</v>
      </c>
      <c r="G3988" s="606">
        <v>357.0</v>
      </c>
      <c r="H3988" s="608" t="s">
        <v>693</v>
      </c>
    </row>
    <row r="3989">
      <c r="A3989" s="546" t="s">
        <v>432</v>
      </c>
      <c r="B3989" s="653" t="s">
        <v>6440</v>
      </c>
      <c r="C3989" s="680">
        <v>46062.0</v>
      </c>
      <c r="D3989" s="681">
        <v>4.3388843032E10</v>
      </c>
      <c r="E3989" s="681" t="s">
        <v>5109</v>
      </c>
      <c r="F3989" s="656" t="s">
        <v>436</v>
      </c>
      <c r="G3989" s="681">
        <v>441.0</v>
      </c>
      <c r="H3989" s="608" t="s">
        <v>686</v>
      </c>
    </row>
    <row r="3990">
      <c r="A3990" s="546" t="s">
        <v>432</v>
      </c>
      <c r="B3990" s="512" t="s">
        <v>433</v>
      </c>
      <c r="C3990" s="605">
        <v>46062.0</v>
      </c>
      <c r="D3990" s="512">
        <v>4.1523205585E10</v>
      </c>
      <c r="E3990" s="606" t="s">
        <v>6252</v>
      </c>
      <c r="F3990" s="607" t="s">
        <v>436</v>
      </c>
      <c r="G3990" s="606">
        <v>683.0</v>
      </c>
      <c r="H3990" s="608" t="s">
        <v>686</v>
      </c>
    </row>
    <row r="3991">
      <c r="A3991" s="546" t="s">
        <v>432</v>
      </c>
      <c r="B3991" s="512" t="s">
        <v>433</v>
      </c>
      <c r="C3991" s="605">
        <v>46062.0</v>
      </c>
      <c r="D3991" s="681">
        <v>4.8865990144E10</v>
      </c>
      <c r="E3991" s="681" t="s">
        <v>6252</v>
      </c>
      <c r="F3991" s="656" t="s">
        <v>436</v>
      </c>
      <c r="G3991" s="681">
        <v>683.0</v>
      </c>
      <c r="H3991" s="608" t="s">
        <v>686</v>
      </c>
    </row>
    <row r="3992">
      <c r="A3992" s="546" t="s">
        <v>432</v>
      </c>
      <c r="B3992" s="512" t="s">
        <v>433</v>
      </c>
      <c r="C3992" s="605">
        <v>46062.0</v>
      </c>
      <c r="D3992" s="512">
        <v>4.2174093257E10</v>
      </c>
      <c r="E3992" s="606" t="s">
        <v>6150</v>
      </c>
      <c r="F3992" s="607" t="s">
        <v>436</v>
      </c>
      <c r="G3992" s="606">
        <v>868.0</v>
      </c>
      <c r="H3992" s="608" t="s">
        <v>686</v>
      </c>
    </row>
    <row r="3993">
      <c r="A3993" s="546" t="s">
        <v>432</v>
      </c>
      <c r="B3993" s="512" t="s">
        <v>433</v>
      </c>
      <c r="C3993" s="605">
        <v>46062.0</v>
      </c>
      <c r="D3993" s="512">
        <v>4.6986640572E10</v>
      </c>
      <c r="E3993" s="606" t="s">
        <v>6252</v>
      </c>
      <c r="F3993" s="607" t="s">
        <v>436</v>
      </c>
      <c r="G3993" s="606">
        <v>1396.0</v>
      </c>
      <c r="H3993" s="608" t="s">
        <v>686</v>
      </c>
    </row>
    <row r="3994">
      <c r="A3994" s="546" t="s">
        <v>432</v>
      </c>
      <c r="B3994" s="512" t="s">
        <v>449</v>
      </c>
      <c r="C3994" s="605">
        <v>46062.0</v>
      </c>
      <c r="D3994" s="681">
        <v>4.7055638285E10</v>
      </c>
      <c r="E3994" s="681" t="s">
        <v>6461</v>
      </c>
      <c r="F3994" s="656" t="s">
        <v>436</v>
      </c>
      <c r="G3994" s="681">
        <v>1599.0</v>
      </c>
      <c r="H3994" s="608" t="s">
        <v>686</v>
      </c>
    </row>
    <row r="3995">
      <c r="A3995" s="546" t="s">
        <v>617</v>
      </c>
      <c r="B3995" s="653" t="s">
        <v>433</v>
      </c>
      <c r="C3995" s="605">
        <v>46062.0</v>
      </c>
      <c r="D3995" s="681">
        <v>4.6839366699E10</v>
      </c>
      <c r="E3995" s="681" t="s">
        <v>6462</v>
      </c>
      <c r="F3995" s="656" t="s">
        <v>436</v>
      </c>
      <c r="G3995" s="681">
        <v>1951.0</v>
      </c>
      <c r="H3995" s="608" t="s">
        <v>693</v>
      </c>
    </row>
    <row r="3996">
      <c r="A3996" s="546" t="s">
        <v>432</v>
      </c>
      <c r="B3996" s="653" t="s">
        <v>433</v>
      </c>
      <c r="C3996" s="680">
        <v>46062.0</v>
      </c>
      <c r="D3996" s="681">
        <v>4.7063341529E10</v>
      </c>
      <c r="E3996" s="681" t="s">
        <v>6463</v>
      </c>
      <c r="F3996" s="656" t="s">
        <v>436</v>
      </c>
      <c r="G3996" s="681">
        <v>5808.0</v>
      </c>
      <c r="H3996" s="608" t="s">
        <v>686</v>
      </c>
    </row>
    <row r="3997">
      <c r="A3997" s="546" t="s">
        <v>432</v>
      </c>
      <c r="B3997" s="653" t="s">
        <v>433</v>
      </c>
      <c r="C3997" s="680">
        <v>46062.0</v>
      </c>
      <c r="D3997" s="681">
        <v>4.9302958674E10</v>
      </c>
      <c r="E3997" s="681" t="s">
        <v>6252</v>
      </c>
      <c r="F3997" s="656" t="s">
        <v>436</v>
      </c>
      <c r="G3997" s="681">
        <v>66356.0</v>
      </c>
      <c r="H3997" s="608" t="s">
        <v>686</v>
      </c>
    </row>
    <row r="3998">
      <c r="A3998" s="546" t="s">
        <v>823</v>
      </c>
      <c r="B3998" s="653" t="s">
        <v>449</v>
      </c>
      <c r="C3998" s="680">
        <v>46062.0</v>
      </c>
      <c r="D3998" s="681">
        <v>4.6965779641E10</v>
      </c>
      <c r="E3998" s="681" t="s">
        <v>5109</v>
      </c>
      <c r="F3998" s="656" t="s">
        <v>436</v>
      </c>
      <c r="G3998" s="681" t="s">
        <v>6464</v>
      </c>
      <c r="H3998" s="682" t="s">
        <v>4558</v>
      </c>
    </row>
    <row r="3999">
      <c r="A3999" s="546" t="s">
        <v>823</v>
      </c>
      <c r="B3999" s="653" t="s">
        <v>449</v>
      </c>
      <c r="C3999" s="680">
        <v>46062.0</v>
      </c>
      <c r="D3999" s="681">
        <v>4.7053797229E10</v>
      </c>
      <c r="E3999" s="681" t="s">
        <v>6259</v>
      </c>
      <c r="F3999" s="656" t="s">
        <v>436</v>
      </c>
      <c r="G3999" s="681" t="s">
        <v>6465</v>
      </c>
      <c r="H3999" s="682" t="s">
        <v>4558</v>
      </c>
    </row>
    <row r="4000">
      <c r="A4000" s="546" t="s">
        <v>439</v>
      </c>
      <c r="B4000" s="653" t="s">
        <v>449</v>
      </c>
      <c r="C4000" s="680">
        <v>46063.0</v>
      </c>
      <c r="D4000" s="681">
        <v>4.5837190501E10</v>
      </c>
      <c r="E4000" s="681" t="s">
        <v>4165</v>
      </c>
      <c r="F4000" s="656" t="s">
        <v>436</v>
      </c>
      <c r="G4000" s="681">
        <v>369.0</v>
      </c>
      <c r="H4000" s="682" t="s">
        <v>693</v>
      </c>
    </row>
    <row r="4001">
      <c r="A4001" s="546" t="s">
        <v>617</v>
      </c>
      <c r="B4001" s="653" t="s">
        <v>449</v>
      </c>
      <c r="C4001" s="680">
        <v>46063.0</v>
      </c>
      <c r="D4001" s="681">
        <v>4.6520101762E10</v>
      </c>
      <c r="E4001" s="681" t="s">
        <v>5383</v>
      </c>
      <c r="F4001" s="656" t="s">
        <v>436</v>
      </c>
      <c r="G4001" s="681" t="s">
        <v>1470</v>
      </c>
      <c r="H4001" s="682" t="s">
        <v>696</v>
      </c>
    </row>
    <row r="4002">
      <c r="A4002" s="546" t="s">
        <v>823</v>
      </c>
      <c r="B4002" s="653" t="s">
        <v>449</v>
      </c>
      <c r="C4002" s="680">
        <v>46063.0</v>
      </c>
      <c r="D4002" s="681">
        <v>4.9304854812E10</v>
      </c>
      <c r="E4002" s="681" t="s">
        <v>6406</v>
      </c>
      <c r="F4002" s="656" t="s">
        <v>436</v>
      </c>
      <c r="G4002" s="681" t="s">
        <v>1887</v>
      </c>
      <c r="H4002" s="682" t="s">
        <v>4558</v>
      </c>
    </row>
    <row r="4003">
      <c r="A4003" s="546" t="s">
        <v>823</v>
      </c>
      <c r="B4003" s="653" t="s">
        <v>449</v>
      </c>
      <c r="C4003" s="680">
        <v>46063.0</v>
      </c>
      <c r="D4003" s="681">
        <v>4.2762650237E10</v>
      </c>
      <c r="E4003" s="681" t="s">
        <v>6466</v>
      </c>
      <c r="F4003" s="656" t="s">
        <v>436</v>
      </c>
      <c r="G4003" s="681" t="s">
        <v>5595</v>
      </c>
      <c r="H4003" s="682" t="s">
        <v>4558</v>
      </c>
    </row>
    <row r="4004">
      <c r="A4004" s="546" t="s">
        <v>823</v>
      </c>
      <c r="B4004" s="653" t="s">
        <v>449</v>
      </c>
      <c r="C4004" s="680">
        <v>46063.0</v>
      </c>
      <c r="D4004" s="681">
        <v>4.9142005748E10</v>
      </c>
      <c r="E4004" s="681" t="s">
        <v>6406</v>
      </c>
      <c r="F4004" s="656" t="s">
        <v>436</v>
      </c>
      <c r="G4004" s="681" t="s">
        <v>3989</v>
      </c>
      <c r="H4004" s="682" t="s">
        <v>4558</v>
      </c>
    </row>
    <row r="4005">
      <c r="A4005" s="546" t="s">
        <v>432</v>
      </c>
      <c r="B4005" s="653" t="s">
        <v>449</v>
      </c>
      <c r="C4005" s="680">
        <v>46063.0</v>
      </c>
      <c r="D4005" s="681">
        <v>4.2919947701E10</v>
      </c>
      <c r="E4005" s="681" t="s">
        <v>6467</v>
      </c>
      <c r="F4005" s="656" t="s">
        <v>436</v>
      </c>
      <c r="G4005" s="681" t="s">
        <v>1023</v>
      </c>
      <c r="H4005" s="682" t="s">
        <v>438</v>
      </c>
    </row>
    <row r="4006">
      <c r="A4006" s="546" t="s">
        <v>432</v>
      </c>
      <c r="B4006" s="653" t="s">
        <v>433</v>
      </c>
      <c r="C4006" s="680">
        <v>46063.0</v>
      </c>
      <c r="D4006" s="681">
        <v>4.1640165418E10</v>
      </c>
      <c r="E4006" s="681" t="s">
        <v>6468</v>
      </c>
      <c r="F4006" s="656" t="s">
        <v>436</v>
      </c>
      <c r="G4006" s="681" t="s">
        <v>1023</v>
      </c>
      <c r="H4006" s="682" t="s">
        <v>438</v>
      </c>
    </row>
    <row r="4007">
      <c r="A4007" s="546" t="s">
        <v>823</v>
      </c>
      <c r="B4007" s="653" t="s">
        <v>449</v>
      </c>
      <c r="C4007" s="680">
        <v>46063.0</v>
      </c>
      <c r="D4007" s="681">
        <v>4.9256724799E10</v>
      </c>
      <c r="E4007" s="681" t="s">
        <v>4887</v>
      </c>
      <c r="F4007" s="656" t="s">
        <v>436</v>
      </c>
      <c r="G4007" s="681" t="s">
        <v>6469</v>
      </c>
      <c r="H4007" s="682" t="s">
        <v>4558</v>
      </c>
    </row>
    <row r="4008">
      <c r="A4008" s="546" t="s">
        <v>432</v>
      </c>
      <c r="B4008" s="653" t="s">
        <v>449</v>
      </c>
      <c r="C4008" s="680">
        <v>46063.0</v>
      </c>
      <c r="D4008" s="681">
        <v>3.9854275468E10</v>
      </c>
      <c r="E4008" s="681" t="s">
        <v>4226</v>
      </c>
      <c r="F4008" s="656" t="s">
        <v>436</v>
      </c>
      <c r="G4008" s="681" t="s">
        <v>1720</v>
      </c>
      <c r="H4008" s="682" t="s">
        <v>438</v>
      </c>
    </row>
    <row r="4009">
      <c r="A4009" s="546" t="s">
        <v>617</v>
      </c>
      <c r="B4009" s="653" t="s">
        <v>433</v>
      </c>
      <c r="C4009" s="680">
        <v>46063.0</v>
      </c>
      <c r="D4009" s="681">
        <v>4.8959586861E10</v>
      </c>
      <c r="E4009" s="681" t="s">
        <v>6470</v>
      </c>
      <c r="F4009" s="656" t="s">
        <v>436</v>
      </c>
      <c r="G4009" s="681" t="s">
        <v>6471</v>
      </c>
      <c r="H4009" s="682" t="s">
        <v>696</v>
      </c>
    </row>
    <row r="4010">
      <c r="A4010" s="546" t="s">
        <v>432</v>
      </c>
      <c r="B4010" s="653" t="s">
        <v>433</v>
      </c>
      <c r="C4010" s="680">
        <v>46063.0</v>
      </c>
      <c r="D4010" s="681">
        <v>2.6520181936E10</v>
      </c>
      <c r="E4010" s="681" t="s">
        <v>6472</v>
      </c>
      <c r="F4010" s="656" t="s">
        <v>436</v>
      </c>
      <c r="G4010" s="681" t="s">
        <v>1728</v>
      </c>
      <c r="H4010" s="682" t="s">
        <v>438</v>
      </c>
    </row>
    <row r="4011">
      <c r="A4011" s="546" t="s">
        <v>432</v>
      </c>
      <c r="B4011" s="653" t="s">
        <v>449</v>
      </c>
      <c r="C4011" s="680">
        <v>46064.0</v>
      </c>
      <c r="D4011" s="681">
        <v>4.9318515796E10</v>
      </c>
      <c r="E4011" s="681" t="s">
        <v>6473</v>
      </c>
      <c r="F4011" s="656" t="s">
        <v>436</v>
      </c>
      <c r="G4011" s="681">
        <v>143.0</v>
      </c>
      <c r="H4011" s="682" t="s">
        <v>686</v>
      </c>
    </row>
    <row r="4012">
      <c r="A4012" s="546" t="s">
        <v>432</v>
      </c>
      <c r="B4012" s="653" t="s">
        <v>449</v>
      </c>
      <c r="C4012" s="680">
        <v>46064.0</v>
      </c>
      <c r="D4012" s="681">
        <v>4.9318463715E10</v>
      </c>
      <c r="E4012" s="681" t="s">
        <v>6474</v>
      </c>
      <c r="F4012" s="656" t="s">
        <v>436</v>
      </c>
      <c r="G4012" s="681">
        <v>245.0</v>
      </c>
      <c r="H4012" s="682" t="s">
        <v>686</v>
      </c>
    </row>
    <row r="4013">
      <c r="A4013" s="546" t="s">
        <v>432</v>
      </c>
      <c r="B4013" s="653" t="s">
        <v>433</v>
      </c>
      <c r="C4013" s="680">
        <v>46064.0</v>
      </c>
      <c r="D4013" s="681">
        <v>4.7396982877E10</v>
      </c>
      <c r="E4013" s="681" t="s">
        <v>5656</v>
      </c>
      <c r="F4013" s="656" t="s">
        <v>436</v>
      </c>
      <c r="G4013" s="681">
        <v>397.0</v>
      </c>
      <c r="H4013" s="682" t="s">
        <v>686</v>
      </c>
    </row>
    <row r="4014">
      <c r="A4014" s="546" t="s">
        <v>432</v>
      </c>
      <c r="B4014" s="653" t="s">
        <v>449</v>
      </c>
      <c r="C4014" s="680">
        <v>46064.0</v>
      </c>
      <c r="D4014" s="681">
        <v>3.7066632663E10</v>
      </c>
      <c r="E4014" s="681" t="s">
        <v>6475</v>
      </c>
      <c r="F4014" s="656" t="s">
        <v>436</v>
      </c>
      <c r="G4014" s="681">
        <v>1045.0</v>
      </c>
      <c r="H4014" s="682" t="s">
        <v>686</v>
      </c>
    </row>
    <row r="4015">
      <c r="A4015" s="546" t="s">
        <v>432</v>
      </c>
      <c r="B4015" s="653" t="s">
        <v>449</v>
      </c>
      <c r="C4015" s="680">
        <v>46064.0</v>
      </c>
      <c r="D4015" s="681">
        <v>4.9373426401E10</v>
      </c>
      <c r="E4015" s="681" t="s">
        <v>5027</v>
      </c>
      <c r="F4015" s="656" t="s">
        <v>436</v>
      </c>
      <c r="G4015" s="681">
        <v>1145.0</v>
      </c>
      <c r="H4015" s="682" t="s">
        <v>686</v>
      </c>
    </row>
    <row r="4016">
      <c r="A4016" s="546" t="s">
        <v>432</v>
      </c>
      <c r="B4016" s="653" t="s">
        <v>433</v>
      </c>
      <c r="C4016" s="680">
        <v>46064.0</v>
      </c>
      <c r="D4016" s="681">
        <v>4.1588447691E10</v>
      </c>
      <c r="E4016" s="681" t="s">
        <v>5320</v>
      </c>
      <c r="F4016" s="656" t="s">
        <v>436</v>
      </c>
      <c r="G4016" s="681">
        <v>1587.0</v>
      </c>
      <c r="H4016" s="682" t="s">
        <v>686</v>
      </c>
    </row>
    <row r="4017">
      <c r="A4017" s="546" t="s">
        <v>432</v>
      </c>
      <c r="B4017" s="653" t="s">
        <v>433</v>
      </c>
      <c r="C4017" s="680">
        <v>46064.0</v>
      </c>
      <c r="D4017" s="681">
        <v>3.6372705926E10</v>
      </c>
      <c r="E4017" s="681" t="s">
        <v>5630</v>
      </c>
      <c r="F4017" s="656" t="s">
        <v>436</v>
      </c>
      <c r="G4017" s="681">
        <v>1719.0</v>
      </c>
      <c r="H4017" s="682" t="s">
        <v>686</v>
      </c>
    </row>
    <row r="4018">
      <c r="A4018" s="546" t="s">
        <v>432</v>
      </c>
      <c r="B4018" s="653" t="s">
        <v>433</v>
      </c>
      <c r="C4018" s="680">
        <v>46064.0</v>
      </c>
      <c r="D4018" s="681">
        <v>4.2942210335E10</v>
      </c>
      <c r="E4018" s="681" t="s">
        <v>6150</v>
      </c>
      <c r="F4018" s="656" t="s">
        <v>436</v>
      </c>
      <c r="G4018" s="681">
        <v>1779.0</v>
      </c>
      <c r="H4018" s="682" t="s">
        <v>686</v>
      </c>
    </row>
    <row r="4019">
      <c r="A4019" s="546" t="s">
        <v>432</v>
      </c>
      <c r="B4019" s="653" t="s">
        <v>433</v>
      </c>
      <c r="C4019" s="680">
        <v>46064.0</v>
      </c>
      <c r="D4019" s="681">
        <v>3.7832952549E10</v>
      </c>
      <c r="E4019" s="681" t="s">
        <v>4854</v>
      </c>
      <c r="F4019" s="656" t="s">
        <v>436</v>
      </c>
      <c r="G4019" s="681">
        <v>2235.0</v>
      </c>
      <c r="H4019" s="682" t="s">
        <v>686</v>
      </c>
    </row>
    <row r="4020">
      <c r="A4020" s="546" t="s">
        <v>432</v>
      </c>
      <c r="B4020" s="653" t="s">
        <v>433</v>
      </c>
      <c r="C4020" s="680">
        <v>46064.0</v>
      </c>
      <c r="D4020" s="681">
        <v>4.7055934363E10</v>
      </c>
      <c r="E4020" s="681" t="s">
        <v>5630</v>
      </c>
      <c r="F4020" s="656" t="s">
        <v>436</v>
      </c>
      <c r="G4020" s="681">
        <v>4078.0</v>
      </c>
      <c r="H4020" s="682" t="s">
        <v>686</v>
      </c>
    </row>
    <row r="4021">
      <c r="A4021" s="546" t="s">
        <v>432</v>
      </c>
      <c r="B4021" s="653" t="s">
        <v>688</v>
      </c>
      <c r="C4021" s="680">
        <v>46064.0</v>
      </c>
      <c r="D4021" s="681">
        <v>2.9278454077E10</v>
      </c>
      <c r="E4021" s="681" t="s">
        <v>5025</v>
      </c>
      <c r="F4021" s="656" t="s">
        <v>436</v>
      </c>
      <c r="G4021" s="681">
        <v>4331.0</v>
      </c>
      <c r="H4021" s="682" t="s">
        <v>686</v>
      </c>
    </row>
    <row r="4022">
      <c r="A4022" s="546" t="s">
        <v>432</v>
      </c>
      <c r="B4022" s="653" t="s">
        <v>433</v>
      </c>
      <c r="C4022" s="680">
        <v>46064.0</v>
      </c>
      <c r="D4022" s="681">
        <v>4.5847712507E10</v>
      </c>
      <c r="E4022" s="681" t="s">
        <v>6476</v>
      </c>
      <c r="F4022" s="656" t="s">
        <v>436</v>
      </c>
      <c r="G4022" s="681">
        <v>18240.0</v>
      </c>
      <c r="H4022" s="682" t="s">
        <v>686</v>
      </c>
    </row>
    <row r="4023">
      <c r="A4023" s="546" t="s">
        <v>617</v>
      </c>
      <c r="B4023" s="653" t="s">
        <v>449</v>
      </c>
      <c r="C4023" s="680">
        <v>46064.0</v>
      </c>
      <c r="D4023" s="681">
        <v>4.936846646E10</v>
      </c>
      <c r="E4023" s="681" t="s">
        <v>5468</v>
      </c>
      <c r="F4023" s="656" t="s">
        <v>436</v>
      </c>
      <c r="G4023" s="681" t="s">
        <v>6477</v>
      </c>
      <c r="H4023" s="682" t="s">
        <v>696</v>
      </c>
    </row>
    <row r="4024">
      <c r="A4024" s="546" t="s">
        <v>617</v>
      </c>
      <c r="B4024" s="653" t="s">
        <v>433</v>
      </c>
      <c r="C4024" s="680">
        <v>46064.0</v>
      </c>
      <c r="D4024" s="681">
        <v>4.7631476632E10</v>
      </c>
      <c r="E4024" s="681" t="s">
        <v>6478</v>
      </c>
      <c r="F4024" s="656" t="s">
        <v>436</v>
      </c>
      <c r="G4024" s="681" t="s">
        <v>832</v>
      </c>
      <c r="H4024" s="682" t="s">
        <v>696</v>
      </c>
    </row>
    <row r="4025">
      <c r="A4025" s="546" t="s">
        <v>823</v>
      </c>
      <c r="B4025" s="653" t="s">
        <v>449</v>
      </c>
      <c r="C4025" s="680">
        <v>46064.0</v>
      </c>
      <c r="D4025" s="681">
        <v>4.3649632637E10</v>
      </c>
      <c r="E4025" s="681" t="s">
        <v>6479</v>
      </c>
      <c r="F4025" s="656" t="s">
        <v>436</v>
      </c>
      <c r="G4025" s="681" t="s">
        <v>6480</v>
      </c>
      <c r="H4025" s="682" t="s">
        <v>6153</v>
      </c>
    </row>
    <row r="4026">
      <c r="A4026" s="546" t="s">
        <v>823</v>
      </c>
      <c r="B4026" s="653" t="s">
        <v>449</v>
      </c>
      <c r="C4026" s="680">
        <v>46064.0</v>
      </c>
      <c r="D4026" s="681">
        <v>4.9193905219E10</v>
      </c>
      <c r="E4026" s="681" t="s">
        <v>4165</v>
      </c>
      <c r="F4026" s="656" t="s">
        <v>436</v>
      </c>
      <c r="G4026" s="681" t="s">
        <v>6481</v>
      </c>
      <c r="H4026" s="682" t="s">
        <v>6153</v>
      </c>
    </row>
    <row r="4027">
      <c r="A4027" s="546" t="s">
        <v>432</v>
      </c>
      <c r="B4027" s="653" t="s">
        <v>433</v>
      </c>
      <c r="C4027" s="680">
        <v>46065.0</v>
      </c>
      <c r="D4027" s="681">
        <v>3.9804667984E10</v>
      </c>
      <c r="E4027" s="681" t="s">
        <v>4839</v>
      </c>
      <c r="F4027" s="656" t="s">
        <v>436</v>
      </c>
      <c r="G4027" s="681">
        <v>267.0</v>
      </c>
      <c r="H4027" s="682" t="s">
        <v>686</v>
      </c>
    </row>
    <row r="4028">
      <c r="A4028" s="546" t="s">
        <v>617</v>
      </c>
      <c r="B4028" s="653" t="s">
        <v>449</v>
      </c>
      <c r="C4028" s="680">
        <v>46065.0</v>
      </c>
      <c r="D4028" s="681">
        <v>4.7142060672E10</v>
      </c>
      <c r="E4028" s="681" t="s">
        <v>4222</v>
      </c>
      <c r="F4028" s="656" t="s">
        <v>436</v>
      </c>
      <c r="G4028" s="681">
        <v>679.0</v>
      </c>
      <c r="H4028" s="682" t="s">
        <v>5817</v>
      </c>
    </row>
    <row r="4029">
      <c r="A4029" s="546" t="s">
        <v>617</v>
      </c>
      <c r="B4029" s="653" t="s">
        <v>433</v>
      </c>
      <c r="C4029" s="680">
        <v>46065.0</v>
      </c>
      <c r="D4029" s="681">
        <v>4.917960678E10</v>
      </c>
      <c r="E4029" s="681" t="s">
        <v>5656</v>
      </c>
      <c r="F4029" s="656" t="s">
        <v>436</v>
      </c>
      <c r="G4029" s="681">
        <v>888.0</v>
      </c>
      <c r="H4029" s="682" t="s">
        <v>5817</v>
      </c>
    </row>
    <row r="4030">
      <c r="A4030" s="546" t="s">
        <v>617</v>
      </c>
      <c r="B4030" s="653" t="s">
        <v>433</v>
      </c>
      <c r="C4030" s="680">
        <v>46065.0</v>
      </c>
      <c r="D4030" s="681">
        <v>4.9276854496E10</v>
      </c>
      <c r="E4030" s="681" t="s">
        <v>5759</v>
      </c>
      <c r="F4030" s="656" t="s">
        <v>436</v>
      </c>
      <c r="G4030" s="681">
        <v>973.0</v>
      </c>
      <c r="H4030" s="682" t="s">
        <v>5817</v>
      </c>
    </row>
    <row r="4031">
      <c r="A4031" s="546" t="s">
        <v>617</v>
      </c>
      <c r="B4031" s="653" t="s">
        <v>449</v>
      </c>
      <c r="C4031" s="680">
        <v>46065.0</v>
      </c>
      <c r="D4031" s="681">
        <v>3.3998720332E10</v>
      </c>
      <c r="E4031" s="681" t="s">
        <v>4222</v>
      </c>
      <c r="F4031" s="656" t="s">
        <v>436</v>
      </c>
      <c r="G4031" s="681">
        <v>1066.0</v>
      </c>
      <c r="H4031" s="682" t="s">
        <v>5817</v>
      </c>
    </row>
    <row r="4032">
      <c r="A4032" s="546" t="s">
        <v>432</v>
      </c>
      <c r="B4032" s="653" t="s">
        <v>433</v>
      </c>
      <c r="C4032" s="680">
        <v>46065.0</v>
      </c>
      <c r="D4032" s="681">
        <v>3.4814603226E10</v>
      </c>
      <c r="E4032" s="681" t="s">
        <v>6482</v>
      </c>
      <c r="F4032" s="656" t="s">
        <v>436</v>
      </c>
      <c r="G4032" s="681">
        <v>1071.0</v>
      </c>
      <c r="H4032" s="682" t="s">
        <v>686</v>
      </c>
    </row>
    <row r="4033">
      <c r="A4033" s="546" t="s">
        <v>617</v>
      </c>
      <c r="B4033" s="653" t="s">
        <v>433</v>
      </c>
      <c r="C4033" s="680">
        <v>46065.0</v>
      </c>
      <c r="D4033" s="681">
        <v>4.6407622728E10</v>
      </c>
      <c r="E4033" s="681" t="s">
        <v>5336</v>
      </c>
      <c r="F4033" s="656" t="s">
        <v>436</v>
      </c>
      <c r="G4033" s="681">
        <v>1242.0</v>
      </c>
      <c r="H4033" s="682" t="s">
        <v>5817</v>
      </c>
    </row>
    <row r="4034">
      <c r="A4034" s="546" t="s">
        <v>617</v>
      </c>
      <c r="B4034" s="653" t="s">
        <v>433</v>
      </c>
      <c r="C4034" s="680">
        <v>46065.0</v>
      </c>
      <c r="D4034" s="681">
        <v>4.7144547704E10</v>
      </c>
      <c r="E4034" s="681" t="s">
        <v>6483</v>
      </c>
      <c r="F4034" s="656" t="s">
        <v>436</v>
      </c>
      <c r="G4034" s="681">
        <v>1380.0</v>
      </c>
      <c r="H4034" s="682" t="s">
        <v>5817</v>
      </c>
    </row>
    <row r="4035">
      <c r="A4035" s="546" t="s">
        <v>617</v>
      </c>
      <c r="B4035" s="653" t="s">
        <v>449</v>
      </c>
      <c r="C4035" s="680">
        <v>46065.0</v>
      </c>
      <c r="D4035" s="681">
        <v>4.3177551735E10</v>
      </c>
      <c r="E4035" s="681" t="s">
        <v>6026</v>
      </c>
      <c r="F4035" s="656" t="s">
        <v>436</v>
      </c>
      <c r="G4035" s="681">
        <v>1509.0</v>
      </c>
      <c r="H4035" s="682" t="s">
        <v>5817</v>
      </c>
    </row>
    <row r="4036">
      <c r="A4036" s="546" t="s">
        <v>617</v>
      </c>
      <c r="B4036" s="653" t="s">
        <v>433</v>
      </c>
      <c r="C4036" s="680">
        <v>46065.0</v>
      </c>
      <c r="D4036" s="681">
        <v>3.859368741E10</v>
      </c>
      <c r="E4036" s="681" t="s">
        <v>6484</v>
      </c>
      <c r="F4036" s="656" t="s">
        <v>436</v>
      </c>
      <c r="G4036" s="681">
        <v>1591.0</v>
      </c>
      <c r="H4036" s="682" t="s">
        <v>5817</v>
      </c>
    </row>
    <row r="4037">
      <c r="A4037" s="546" t="s">
        <v>617</v>
      </c>
      <c r="B4037" s="653" t="s">
        <v>433</v>
      </c>
      <c r="C4037" s="680">
        <v>46065.0</v>
      </c>
      <c r="D4037" s="681">
        <v>4.9196484658E10</v>
      </c>
      <c r="E4037" s="681" t="s">
        <v>5759</v>
      </c>
      <c r="F4037" s="656" t="s">
        <v>436</v>
      </c>
      <c r="G4037" s="681">
        <v>1657.0</v>
      </c>
      <c r="H4037" s="682" t="s">
        <v>5817</v>
      </c>
    </row>
    <row r="4038">
      <c r="A4038" s="546" t="s">
        <v>617</v>
      </c>
      <c r="B4038" s="653" t="s">
        <v>433</v>
      </c>
      <c r="C4038" s="680">
        <v>46065.0</v>
      </c>
      <c r="D4038" s="681">
        <v>4.9196484659E10</v>
      </c>
      <c r="E4038" s="681" t="s">
        <v>5759</v>
      </c>
      <c r="F4038" s="656" t="s">
        <v>436</v>
      </c>
      <c r="G4038" s="681">
        <v>1657.0</v>
      </c>
      <c r="H4038" s="682" t="s">
        <v>5817</v>
      </c>
    </row>
    <row r="4039">
      <c r="A4039" s="546" t="s">
        <v>617</v>
      </c>
      <c r="B4039" s="653" t="s">
        <v>433</v>
      </c>
      <c r="C4039" s="680">
        <v>46065.0</v>
      </c>
      <c r="D4039" s="681">
        <v>3.5422998009E10</v>
      </c>
      <c r="E4039" s="681" t="s">
        <v>6485</v>
      </c>
      <c r="F4039" s="656" t="s">
        <v>436</v>
      </c>
      <c r="G4039" s="681">
        <v>1693.0</v>
      </c>
      <c r="H4039" s="682" t="s">
        <v>5817</v>
      </c>
    </row>
    <row r="4040">
      <c r="A4040" s="546" t="s">
        <v>617</v>
      </c>
      <c r="B4040" s="653" t="s">
        <v>433</v>
      </c>
      <c r="C4040" s="680">
        <v>46065.0</v>
      </c>
      <c r="D4040" s="681">
        <v>3.6633832915E10</v>
      </c>
      <c r="E4040" s="681" t="s">
        <v>6485</v>
      </c>
      <c r="F4040" s="656" t="s">
        <v>436</v>
      </c>
      <c r="G4040" s="681">
        <v>1693.0</v>
      </c>
      <c r="H4040" s="682" t="s">
        <v>5817</v>
      </c>
    </row>
    <row r="4041">
      <c r="A4041" s="546" t="s">
        <v>617</v>
      </c>
      <c r="B4041" s="653" t="s">
        <v>449</v>
      </c>
      <c r="C4041" s="680">
        <v>46065.0</v>
      </c>
      <c r="D4041" s="681">
        <v>4.5730858075E10</v>
      </c>
      <c r="E4041" s="681" t="s">
        <v>4165</v>
      </c>
      <c r="F4041" s="656" t="s">
        <v>436</v>
      </c>
      <c r="G4041" s="681">
        <v>1936.0</v>
      </c>
      <c r="H4041" s="682" t="s">
        <v>5817</v>
      </c>
      <c r="J4041" s="520" t="s">
        <v>6486</v>
      </c>
    </row>
    <row r="4042">
      <c r="A4042" s="546" t="s">
        <v>617</v>
      </c>
      <c r="B4042" s="653" t="s">
        <v>433</v>
      </c>
      <c r="C4042" s="680">
        <v>46065.0</v>
      </c>
      <c r="D4042" s="681">
        <v>4.7235175997E10</v>
      </c>
      <c r="E4042" s="681" t="s">
        <v>6131</v>
      </c>
      <c r="F4042" s="656" t="s">
        <v>436</v>
      </c>
      <c r="G4042" s="681">
        <v>2025.0</v>
      </c>
      <c r="H4042" s="682" t="s">
        <v>5817</v>
      </c>
    </row>
    <row r="4043">
      <c r="A4043" s="546" t="s">
        <v>617</v>
      </c>
      <c r="B4043" s="653" t="s">
        <v>433</v>
      </c>
      <c r="C4043" s="680">
        <v>46065.0</v>
      </c>
      <c r="D4043" s="681">
        <v>4.1793842969E10</v>
      </c>
      <c r="E4043" s="681" t="s">
        <v>5336</v>
      </c>
      <c r="F4043" s="656" t="s">
        <v>436</v>
      </c>
      <c r="G4043" s="681">
        <v>2887.0</v>
      </c>
      <c r="H4043" s="682" t="s">
        <v>5817</v>
      </c>
    </row>
    <row r="4044">
      <c r="A4044" s="546" t="s">
        <v>617</v>
      </c>
      <c r="B4044" s="653" t="s">
        <v>433</v>
      </c>
      <c r="C4044" s="680">
        <v>46065.0</v>
      </c>
      <c r="D4044" s="681">
        <v>4.9357979968E10</v>
      </c>
      <c r="E4044" s="681" t="s">
        <v>6487</v>
      </c>
      <c r="F4044" s="656" t="s">
        <v>436</v>
      </c>
      <c r="G4044" s="681">
        <v>3371.0</v>
      </c>
      <c r="H4044" s="682" t="s">
        <v>5817</v>
      </c>
    </row>
    <row r="4045">
      <c r="A4045" s="546" t="s">
        <v>617</v>
      </c>
      <c r="B4045" s="653" t="s">
        <v>433</v>
      </c>
      <c r="C4045" s="680">
        <v>46065.0</v>
      </c>
      <c r="D4045" s="681">
        <v>4.7206381664E10</v>
      </c>
      <c r="E4045" s="681" t="s">
        <v>6458</v>
      </c>
      <c r="F4045" s="656" t="s">
        <v>436</v>
      </c>
      <c r="G4045" s="681">
        <v>3870.0</v>
      </c>
      <c r="H4045" s="682" t="s">
        <v>5817</v>
      </c>
    </row>
    <row r="4046">
      <c r="A4046" s="546" t="s">
        <v>617</v>
      </c>
      <c r="B4046" s="653" t="s">
        <v>449</v>
      </c>
      <c r="C4046" s="680">
        <v>46065.0</v>
      </c>
      <c r="D4046" s="681">
        <v>4.6835021026E10</v>
      </c>
      <c r="E4046" s="681" t="s">
        <v>6488</v>
      </c>
      <c r="F4046" s="656" t="s">
        <v>436</v>
      </c>
      <c r="G4046" s="681">
        <v>5148.0</v>
      </c>
      <c r="H4046" s="682" t="s">
        <v>5817</v>
      </c>
    </row>
    <row r="4047">
      <c r="A4047" s="546" t="s">
        <v>617</v>
      </c>
      <c r="B4047" s="653" t="s">
        <v>688</v>
      </c>
      <c r="C4047" s="680">
        <v>46065.0</v>
      </c>
      <c r="D4047" s="681">
        <v>4.2921746589E10</v>
      </c>
      <c r="E4047" s="681" t="s">
        <v>6489</v>
      </c>
      <c r="F4047" s="656" t="s">
        <v>436</v>
      </c>
      <c r="G4047" s="681" t="s">
        <v>1120</v>
      </c>
      <c r="H4047" s="682" t="s">
        <v>5817</v>
      </c>
    </row>
    <row r="4048">
      <c r="A4048" s="546" t="s">
        <v>823</v>
      </c>
      <c r="B4048" s="653" t="s">
        <v>449</v>
      </c>
      <c r="C4048" s="680">
        <v>46065.0</v>
      </c>
      <c r="D4048" s="681">
        <v>4.9068704467E10</v>
      </c>
      <c r="E4048" s="681" t="s">
        <v>6490</v>
      </c>
      <c r="F4048" s="656" t="s">
        <v>436</v>
      </c>
      <c r="G4048" s="681" t="s">
        <v>2629</v>
      </c>
      <c r="H4048" s="682" t="s">
        <v>6153</v>
      </c>
    </row>
    <row r="4049">
      <c r="A4049" s="546" t="s">
        <v>823</v>
      </c>
      <c r="B4049" s="653" t="s">
        <v>449</v>
      </c>
      <c r="C4049" s="680">
        <v>46065.0</v>
      </c>
      <c r="D4049" s="681">
        <v>4.9302980507E10</v>
      </c>
      <c r="E4049" s="681" t="s">
        <v>6491</v>
      </c>
      <c r="F4049" s="656" t="s">
        <v>436</v>
      </c>
      <c r="G4049" s="681" t="s">
        <v>3106</v>
      </c>
      <c r="H4049" s="682" t="s">
        <v>6153</v>
      </c>
    </row>
    <row r="4050">
      <c r="A4050" s="546" t="s">
        <v>432</v>
      </c>
      <c r="B4050" s="653" t="s">
        <v>449</v>
      </c>
      <c r="C4050" s="680">
        <v>46066.0</v>
      </c>
      <c r="D4050" s="681">
        <v>4.9435453005E10</v>
      </c>
      <c r="E4050" s="681" t="s">
        <v>4165</v>
      </c>
      <c r="F4050" s="656" t="s">
        <v>436</v>
      </c>
      <c r="G4050" s="681">
        <v>176.0</v>
      </c>
      <c r="H4050" s="682" t="s">
        <v>686</v>
      </c>
    </row>
    <row r="4051">
      <c r="A4051" s="546" t="s">
        <v>432</v>
      </c>
      <c r="B4051" s="653" t="s">
        <v>433</v>
      </c>
      <c r="C4051" s="680">
        <v>46066.0</v>
      </c>
      <c r="D4051" s="681">
        <v>4.9241603165E10</v>
      </c>
      <c r="E4051" s="681" t="s">
        <v>6252</v>
      </c>
      <c r="F4051" s="656" t="s">
        <v>436</v>
      </c>
      <c r="G4051" s="681">
        <v>199.0</v>
      </c>
      <c r="H4051" s="682" t="s">
        <v>686</v>
      </c>
    </row>
    <row r="4052">
      <c r="A4052" s="546" t="s">
        <v>432</v>
      </c>
      <c r="B4052" s="653" t="s">
        <v>3963</v>
      </c>
      <c r="C4052" s="680">
        <v>46066.0</v>
      </c>
      <c r="D4052" s="681">
        <v>4.5996542994E10</v>
      </c>
      <c r="E4052" s="681" t="s">
        <v>6492</v>
      </c>
      <c r="F4052" s="656" t="s">
        <v>436</v>
      </c>
      <c r="G4052" s="681">
        <v>271.0</v>
      </c>
      <c r="H4052" s="682" t="s">
        <v>686</v>
      </c>
    </row>
    <row r="4053">
      <c r="A4053" s="546" t="s">
        <v>432</v>
      </c>
      <c r="B4053" s="653" t="s">
        <v>449</v>
      </c>
      <c r="C4053" s="680">
        <v>46066.0</v>
      </c>
      <c r="D4053" s="681">
        <v>3.8647518159E10</v>
      </c>
      <c r="E4053" s="681" t="s">
        <v>5109</v>
      </c>
      <c r="F4053" s="656" t="s">
        <v>436</v>
      </c>
      <c r="G4053" s="681">
        <v>290.0</v>
      </c>
      <c r="H4053" s="682" t="s">
        <v>686</v>
      </c>
    </row>
    <row r="4054">
      <c r="A4054" s="546" t="s">
        <v>617</v>
      </c>
      <c r="B4054" s="653" t="s">
        <v>449</v>
      </c>
      <c r="C4054" s="680">
        <v>46066.0</v>
      </c>
      <c r="D4054" s="681">
        <v>4.9193515269E10</v>
      </c>
      <c r="E4054" s="681" t="s">
        <v>4854</v>
      </c>
      <c r="F4054" s="656" t="s">
        <v>436</v>
      </c>
      <c r="G4054" s="681">
        <v>397.0</v>
      </c>
      <c r="H4054" s="682" t="s">
        <v>693</v>
      </c>
    </row>
    <row r="4055">
      <c r="A4055" s="546" t="s">
        <v>432</v>
      </c>
      <c r="B4055" s="653" t="s">
        <v>449</v>
      </c>
      <c r="C4055" s="680">
        <v>46066.0</v>
      </c>
      <c r="D4055" s="681">
        <v>4.9259213165E10</v>
      </c>
      <c r="E4055" s="681" t="s">
        <v>5656</v>
      </c>
      <c r="F4055" s="656" t="s">
        <v>436</v>
      </c>
      <c r="G4055" s="681">
        <v>410.0</v>
      </c>
      <c r="H4055" s="682" t="s">
        <v>686</v>
      </c>
    </row>
    <row r="4056">
      <c r="A4056" s="546" t="s">
        <v>432</v>
      </c>
      <c r="B4056" s="653" t="s">
        <v>449</v>
      </c>
      <c r="C4056" s="680">
        <v>46066.0</v>
      </c>
      <c r="D4056" s="681">
        <v>4.7172702328E10</v>
      </c>
      <c r="E4056" s="681" t="s">
        <v>4866</v>
      </c>
      <c r="F4056" s="656" t="s">
        <v>436</v>
      </c>
      <c r="G4056" s="681">
        <v>854.0</v>
      </c>
      <c r="H4056" s="682" t="s">
        <v>686</v>
      </c>
    </row>
    <row r="4057">
      <c r="A4057" s="546" t="s">
        <v>432</v>
      </c>
      <c r="B4057" s="653" t="s">
        <v>433</v>
      </c>
      <c r="C4057" s="680">
        <v>46066.0</v>
      </c>
      <c r="D4057" s="683">
        <v>4.7070852438E10</v>
      </c>
      <c r="E4057" s="681" t="s">
        <v>6493</v>
      </c>
      <c r="F4057" s="656" t="s">
        <v>436</v>
      </c>
      <c r="G4057" s="681">
        <v>918.0</v>
      </c>
      <c r="H4057" s="682" t="s">
        <v>686</v>
      </c>
    </row>
    <row r="4058">
      <c r="A4058" s="546" t="s">
        <v>432</v>
      </c>
      <c r="B4058" s="653" t="s">
        <v>449</v>
      </c>
      <c r="C4058" s="680">
        <v>46066.0</v>
      </c>
      <c r="D4058" s="681">
        <v>4.9440485366E10</v>
      </c>
      <c r="E4058" s="681" t="s">
        <v>5430</v>
      </c>
      <c r="F4058" s="656" t="s">
        <v>436</v>
      </c>
      <c r="G4058" s="681">
        <v>1017.0</v>
      </c>
      <c r="H4058" s="682" t="s">
        <v>686</v>
      </c>
    </row>
    <row r="4059">
      <c r="A4059" s="546" t="s">
        <v>432</v>
      </c>
      <c r="B4059" s="653" t="s">
        <v>433</v>
      </c>
      <c r="C4059" s="680">
        <v>46066.0</v>
      </c>
      <c r="D4059" s="681">
        <v>4.9316903717E10</v>
      </c>
      <c r="E4059" s="681" t="s">
        <v>6255</v>
      </c>
      <c r="F4059" s="656" t="s">
        <v>436</v>
      </c>
      <c r="G4059" s="681">
        <v>1088.0</v>
      </c>
      <c r="H4059" s="682" t="s">
        <v>686</v>
      </c>
    </row>
    <row r="4060">
      <c r="A4060" s="546" t="s">
        <v>432</v>
      </c>
      <c r="B4060" s="653" t="s">
        <v>433</v>
      </c>
      <c r="C4060" s="680">
        <v>46066.0</v>
      </c>
      <c r="D4060" s="681">
        <v>4.8995689073E10</v>
      </c>
      <c r="E4060" s="681" t="s">
        <v>4824</v>
      </c>
      <c r="F4060" s="656" t="s">
        <v>436</v>
      </c>
      <c r="G4060" s="681">
        <v>1231.0</v>
      </c>
      <c r="H4060" s="682" t="s">
        <v>686</v>
      </c>
    </row>
    <row r="4061">
      <c r="A4061" s="546" t="s">
        <v>432</v>
      </c>
      <c r="B4061" s="653" t="s">
        <v>433</v>
      </c>
      <c r="C4061" s="680">
        <v>46066.0</v>
      </c>
      <c r="D4061" s="681">
        <v>4.3259067648E10</v>
      </c>
      <c r="E4061" s="681" t="s">
        <v>6252</v>
      </c>
      <c r="F4061" s="656" t="s">
        <v>436</v>
      </c>
      <c r="G4061" s="681">
        <v>1373.0</v>
      </c>
      <c r="H4061" s="682" t="s">
        <v>686</v>
      </c>
    </row>
    <row r="4062">
      <c r="A4062" s="546" t="s">
        <v>432</v>
      </c>
      <c r="B4062" s="653" t="s">
        <v>449</v>
      </c>
      <c r="C4062" s="680">
        <v>46066.0</v>
      </c>
      <c r="D4062" s="681">
        <v>4.3546700057E10</v>
      </c>
      <c r="E4062" s="681" t="s">
        <v>5025</v>
      </c>
      <c r="F4062" s="656" t="s">
        <v>436</v>
      </c>
      <c r="G4062" s="681">
        <v>1377.0</v>
      </c>
      <c r="H4062" s="682" t="s">
        <v>686</v>
      </c>
    </row>
    <row r="4063">
      <c r="A4063" s="546" t="s">
        <v>432</v>
      </c>
      <c r="B4063" s="653" t="s">
        <v>433</v>
      </c>
      <c r="C4063" s="680">
        <v>46066.0</v>
      </c>
      <c r="D4063" s="681">
        <v>3.5957538824E10</v>
      </c>
      <c r="E4063" s="681" t="s">
        <v>6252</v>
      </c>
      <c r="F4063" s="656" t="s">
        <v>436</v>
      </c>
      <c r="G4063" s="681">
        <v>1567.0</v>
      </c>
      <c r="H4063" s="682" t="s">
        <v>686</v>
      </c>
    </row>
    <row r="4064">
      <c r="A4064" s="546" t="s">
        <v>432</v>
      </c>
      <c r="B4064" s="653" t="s">
        <v>449</v>
      </c>
      <c r="C4064" s="680">
        <v>46066.0</v>
      </c>
      <c r="D4064" s="681">
        <v>3.8055209479E10</v>
      </c>
      <c r="E4064" s="681" t="s">
        <v>4857</v>
      </c>
      <c r="F4064" s="656" t="s">
        <v>436</v>
      </c>
      <c r="G4064" s="681">
        <v>1613.0</v>
      </c>
      <c r="H4064" s="682" t="s">
        <v>686</v>
      </c>
    </row>
    <row r="4065">
      <c r="A4065" s="546" t="s">
        <v>432</v>
      </c>
      <c r="B4065" s="653" t="s">
        <v>433</v>
      </c>
      <c r="C4065" s="680">
        <v>46066.0</v>
      </c>
      <c r="D4065" s="681">
        <v>4.1094606997E10</v>
      </c>
      <c r="E4065" s="681" t="s">
        <v>6494</v>
      </c>
      <c r="F4065" s="656" t="s">
        <v>436</v>
      </c>
      <c r="G4065" s="681">
        <v>2020.0</v>
      </c>
      <c r="H4065" s="682" t="s">
        <v>686</v>
      </c>
    </row>
    <row r="4066">
      <c r="A4066" s="546" t="s">
        <v>432</v>
      </c>
      <c r="B4066" s="653" t="s">
        <v>433</v>
      </c>
      <c r="C4066" s="680">
        <v>46066.0</v>
      </c>
      <c r="D4066" s="681">
        <v>3.9451504199E10</v>
      </c>
      <c r="E4066" s="681" t="s">
        <v>5630</v>
      </c>
      <c r="F4066" s="656" t="s">
        <v>436</v>
      </c>
      <c r="G4066" s="681">
        <v>2107.0</v>
      </c>
      <c r="H4066" s="682" t="s">
        <v>686</v>
      </c>
    </row>
    <row r="4067">
      <c r="A4067" s="546" t="s">
        <v>432</v>
      </c>
      <c r="B4067" s="653" t="s">
        <v>433</v>
      </c>
      <c r="C4067" s="680">
        <v>46066.0</v>
      </c>
      <c r="D4067" s="681">
        <v>3.1578367979E10</v>
      </c>
      <c r="E4067" s="681" t="s">
        <v>5630</v>
      </c>
      <c r="F4067" s="656" t="s">
        <v>436</v>
      </c>
      <c r="G4067" s="681">
        <v>2274.0</v>
      </c>
      <c r="H4067" s="682" t="s">
        <v>686</v>
      </c>
    </row>
    <row r="4068">
      <c r="A4068" s="546" t="s">
        <v>432</v>
      </c>
      <c r="B4068" s="653" t="s">
        <v>433</v>
      </c>
      <c r="C4068" s="680">
        <v>46066.0</v>
      </c>
      <c r="D4068" s="681">
        <v>4.6843410718E10</v>
      </c>
      <c r="E4068" s="681" t="s">
        <v>5630</v>
      </c>
      <c r="F4068" s="656" t="s">
        <v>436</v>
      </c>
      <c r="G4068" s="681">
        <v>3582.0</v>
      </c>
      <c r="H4068" s="682" t="s">
        <v>686</v>
      </c>
    </row>
    <row r="4069">
      <c r="A4069" s="546" t="s">
        <v>432</v>
      </c>
      <c r="B4069" s="653" t="s">
        <v>433</v>
      </c>
      <c r="C4069" s="680">
        <v>46066.0</v>
      </c>
      <c r="D4069" s="681">
        <v>4.4736861511E10</v>
      </c>
      <c r="E4069" s="681" t="s">
        <v>5383</v>
      </c>
      <c r="F4069" s="656" t="s">
        <v>436</v>
      </c>
      <c r="G4069" s="681">
        <v>4015.0</v>
      </c>
      <c r="H4069" s="682" t="s">
        <v>686</v>
      </c>
    </row>
    <row r="4070">
      <c r="A4070" s="546" t="s">
        <v>617</v>
      </c>
      <c r="B4070" s="653" t="s">
        <v>449</v>
      </c>
      <c r="C4070" s="680">
        <v>46066.0</v>
      </c>
      <c r="D4070" s="681">
        <v>4.696666862E10</v>
      </c>
      <c r="E4070" s="681" t="s">
        <v>4854</v>
      </c>
      <c r="F4070" s="656" t="s">
        <v>436</v>
      </c>
      <c r="G4070" s="681">
        <v>4699.0</v>
      </c>
      <c r="H4070" s="682" t="s">
        <v>693</v>
      </c>
    </row>
    <row r="4071">
      <c r="A4071" s="546" t="s">
        <v>432</v>
      </c>
      <c r="B4071" s="653" t="s">
        <v>6495</v>
      </c>
      <c r="C4071" s="680">
        <v>46067.0</v>
      </c>
      <c r="D4071" s="681">
        <v>4.5939511129E10</v>
      </c>
      <c r="E4071" s="681" t="s">
        <v>5109</v>
      </c>
      <c r="F4071" s="656" t="s">
        <v>436</v>
      </c>
      <c r="G4071" s="681">
        <v>209.0</v>
      </c>
      <c r="H4071" s="682" t="s">
        <v>686</v>
      </c>
    </row>
    <row r="4072">
      <c r="A4072" s="546" t="s">
        <v>432</v>
      </c>
      <c r="B4072" s="653" t="s">
        <v>449</v>
      </c>
      <c r="C4072" s="680">
        <v>46067.0</v>
      </c>
      <c r="D4072" s="681">
        <v>4.1651876089E10</v>
      </c>
      <c r="E4072" s="681" t="s">
        <v>6496</v>
      </c>
      <c r="F4072" s="656" t="s">
        <v>436</v>
      </c>
      <c r="G4072" s="681">
        <v>269.0</v>
      </c>
      <c r="H4072" s="682" t="s">
        <v>686</v>
      </c>
    </row>
    <row r="4073">
      <c r="A4073" s="546" t="s">
        <v>432</v>
      </c>
      <c r="B4073" s="653" t="s">
        <v>449</v>
      </c>
      <c r="C4073" s="680">
        <v>46067.0</v>
      </c>
      <c r="D4073" s="681">
        <v>4.5829908848E10</v>
      </c>
      <c r="E4073" s="681" t="s">
        <v>5109</v>
      </c>
      <c r="F4073" s="656" t="s">
        <v>436</v>
      </c>
      <c r="G4073" s="681">
        <v>558.0</v>
      </c>
      <c r="H4073" s="682" t="s">
        <v>686</v>
      </c>
    </row>
    <row r="4074">
      <c r="A4074" s="546" t="s">
        <v>432</v>
      </c>
      <c r="B4074" s="653" t="s">
        <v>433</v>
      </c>
      <c r="C4074" s="680">
        <v>46067.0</v>
      </c>
      <c r="D4074" s="681">
        <v>4.6036590593E10</v>
      </c>
      <c r="E4074" s="681" t="s">
        <v>4854</v>
      </c>
      <c r="F4074" s="656" t="s">
        <v>436</v>
      </c>
      <c r="G4074" s="681">
        <v>619.0</v>
      </c>
      <c r="H4074" s="682" t="s">
        <v>686</v>
      </c>
      <c r="J4074" s="520" t="s">
        <v>6486</v>
      </c>
    </row>
    <row r="4075">
      <c r="A4075" s="546" t="s">
        <v>432</v>
      </c>
      <c r="B4075" s="653" t="s">
        <v>433</v>
      </c>
      <c r="C4075" s="680">
        <v>46067.0</v>
      </c>
      <c r="D4075" s="681">
        <v>3.9505801842E10</v>
      </c>
      <c r="E4075" s="681" t="s">
        <v>5630</v>
      </c>
      <c r="F4075" s="656" t="s">
        <v>436</v>
      </c>
      <c r="G4075" s="681">
        <v>1117.0</v>
      </c>
      <c r="H4075" s="682" t="s">
        <v>686</v>
      </c>
    </row>
    <row r="4076">
      <c r="A4076" s="546" t="s">
        <v>432</v>
      </c>
      <c r="B4076" s="653" t="s">
        <v>433</v>
      </c>
      <c r="C4076" s="680">
        <v>46067.0</v>
      </c>
      <c r="D4076" s="681">
        <v>3.8301315428E10</v>
      </c>
      <c r="E4076" s="681" t="s">
        <v>6391</v>
      </c>
      <c r="F4076" s="656" t="s">
        <v>436</v>
      </c>
      <c r="G4076" s="681">
        <v>1581.0</v>
      </c>
      <c r="H4076" s="682" t="s">
        <v>686</v>
      </c>
    </row>
    <row r="4077">
      <c r="A4077" s="546" t="s">
        <v>432</v>
      </c>
      <c r="B4077" s="653" t="s">
        <v>433</v>
      </c>
      <c r="C4077" s="680">
        <v>46067.0</v>
      </c>
      <c r="D4077" s="681">
        <v>3.801065477E10</v>
      </c>
      <c r="E4077" s="681" t="s">
        <v>5630</v>
      </c>
      <c r="F4077" s="656" t="s">
        <v>436</v>
      </c>
      <c r="G4077" s="681">
        <v>3159.0</v>
      </c>
      <c r="H4077" s="682" t="s">
        <v>686</v>
      </c>
    </row>
    <row r="4078">
      <c r="A4078" s="546" t="s">
        <v>432</v>
      </c>
      <c r="B4078" s="653" t="s">
        <v>433</v>
      </c>
      <c r="C4078" s="680">
        <v>46067.0</v>
      </c>
      <c r="D4078" s="681">
        <v>3.5896436424E10</v>
      </c>
      <c r="E4078" s="681" t="s">
        <v>5383</v>
      </c>
      <c r="F4078" s="656" t="s">
        <v>436</v>
      </c>
      <c r="G4078" s="681">
        <v>3439.0</v>
      </c>
      <c r="H4078" s="682" t="s">
        <v>686</v>
      </c>
    </row>
    <row r="4079">
      <c r="A4079" s="546" t="s">
        <v>432</v>
      </c>
      <c r="B4079" s="653" t="s">
        <v>433</v>
      </c>
      <c r="C4079" s="680">
        <v>46067.0</v>
      </c>
      <c r="D4079" s="681">
        <v>4.7201166419E10</v>
      </c>
      <c r="E4079" s="681" t="s">
        <v>6497</v>
      </c>
      <c r="F4079" s="656" t="s">
        <v>436</v>
      </c>
      <c r="G4079" s="681">
        <v>4000.0</v>
      </c>
      <c r="H4079" s="682" t="s">
        <v>686</v>
      </c>
    </row>
    <row r="4080">
      <c r="A4080" s="546" t="s">
        <v>432</v>
      </c>
      <c r="B4080" s="653" t="s">
        <v>449</v>
      </c>
      <c r="C4080" s="680">
        <v>46067.0</v>
      </c>
      <c r="D4080" s="681">
        <v>4.0917247059E10</v>
      </c>
      <c r="E4080" s="681" t="s">
        <v>6448</v>
      </c>
      <c r="F4080" s="656" t="s">
        <v>436</v>
      </c>
      <c r="G4080" s="681">
        <v>5613.0</v>
      </c>
      <c r="H4080" s="682" t="s">
        <v>686</v>
      </c>
    </row>
    <row r="4081">
      <c r="A4081" s="546" t="s">
        <v>617</v>
      </c>
      <c r="B4081" s="653" t="s">
        <v>449</v>
      </c>
      <c r="C4081" s="680">
        <v>46067.0</v>
      </c>
      <c r="D4081" s="681">
        <v>4.7322517833E10</v>
      </c>
      <c r="E4081" s="681" t="s">
        <v>4165</v>
      </c>
      <c r="F4081" s="656" t="s">
        <v>436</v>
      </c>
      <c r="G4081" s="681" t="s">
        <v>5082</v>
      </c>
      <c r="H4081" s="682" t="s">
        <v>696</v>
      </c>
    </row>
    <row r="4082">
      <c r="A4082" s="546" t="s">
        <v>617</v>
      </c>
      <c r="B4082" s="653" t="s">
        <v>449</v>
      </c>
      <c r="C4082" s="680">
        <v>46067.0</v>
      </c>
      <c r="D4082" s="681">
        <v>3.8077072174E10</v>
      </c>
      <c r="E4082" s="681" t="s">
        <v>5382</v>
      </c>
      <c r="F4082" s="656" t="s">
        <v>436</v>
      </c>
      <c r="G4082" s="681" t="s">
        <v>3989</v>
      </c>
      <c r="H4082" s="682" t="s">
        <v>696</v>
      </c>
    </row>
    <row r="4083">
      <c r="A4083" s="546" t="s">
        <v>617</v>
      </c>
      <c r="B4083" s="653" t="s">
        <v>433</v>
      </c>
      <c r="C4083" s="680">
        <v>46067.0</v>
      </c>
      <c r="D4083" s="681">
        <v>4.9432734462E10</v>
      </c>
      <c r="E4083" s="681" t="s">
        <v>6498</v>
      </c>
      <c r="F4083" s="656" t="s">
        <v>436</v>
      </c>
      <c r="G4083" s="681" t="s">
        <v>2483</v>
      </c>
      <c r="H4083" s="682" t="s">
        <v>696</v>
      </c>
    </row>
    <row r="4084">
      <c r="A4084" s="546" t="s">
        <v>432</v>
      </c>
      <c r="B4084" s="653" t="s">
        <v>433</v>
      </c>
      <c r="C4084" s="680">
        <v>46068.0</v>
      </c>
      <c r="D4084" s="681">
        <v>4.3225678538E10</v>
      </c>
      <c r="E4084" s="681" t="s">
        <v>6499</v>
      </c>
      <c r="F4084" s="656" t="s">
        <v>436</v>
      </c>
      <c r="G4084" s="681" t="s">
        <v>5700</v>
      </c>
      <c r="H4084" s="682" t="s">
        <v>438</v>
      </c>
    </row>
    <row r="4085">
      <c r="A4085" s="546" t="s">
        <v>617</v>
      </c>
      <c r="B4085" s="653" t="s">
        <v>433</v>
      </c>
      <c r="C4085" s="680">
        <v>46068.0</v>
      </c>
      <c r="D4085" s="681">
        <v>3.474175412E10</v>
      </c>
      <c r="E4085" s="681" t="s">
        <v>4165</v>
      </c>
      <c r="F4085" s="656" t="s">
        <v>436</v>
      </c>
      <c r="G4085" s="681" t="s">
        <v>1673</v>
      </c>
      <c r="H4085" s="682" t="s">
        <v>696</v>
      </c>
    </row>
    <row r="4086">
      <c r="A4086" s="546" t="s">
        <v>617</v>
      </c>
      <c r="B4086" s="653" t="s">
        <v>449</v>
      </c>
      <c r="C4086" s="680">
        <v>46068.0</v>
      </c>
      <c r="D4086" s="681">
        <v>3.9490418831E10</v>
      </c>
      <c r="E4086" s="681" t="s">
        <v>4854</v>
      </c>
      <c r="F4086" s="656" t="s">
        <v>436</v>
      </c>
      <c r="G4086" s="681" t="s">
        <v>1673</v>
      </c>
      <c r="H4086" s="682" t="s">
        <v>696</v>
      </c>
    </row>
    <row r="4087">
      <c r="A4087" s="546" t="s">
        <v>432</v>
      </c>
      <c r="B4087" s="653" t="s">
        <v>433</v>
      </c>
      <c r="C4087" s="680">
        <v>46068.0</v>
      </c>
      <c r="D4087" s="681">
        <v>4.1085338439E10</v>
      </c>
      <c r="E4087" s="681" t="s">
        <v>4226</v>
      </c>
      <c r="F4087" s="656" t="s">
        <v>436</v>
      </c>
      <c r="G4087" s="681" t="s">
        <v>4544</v>
      </c>
      <c r="H4087" s="682" t="s">
        <v>438</v>
      </c>
    </row>
    <row r="4088">
      <c r="A4088" s="546" t="s">
        <v>432</v>
      </c>
      <c r="B4088" s="653" t="s">
        <v>433</v>
      </c>
      <c r="C4088" s="680">
        <v>46068.0</v>
      </c>
      <c r="D4088" s="681">
        <v>4.7676719996E10</v>
      </c>
      <c r="E4088" s="681" t="s">
        <v>4226</v>
      </c>
      <c r="F4088" s="656" t="s">
        <v>436</v>
      </c>
      <c r="G4088" s="681" t="s">
        <v>2825</v>
      </c>
      <c r="H4088" s="682" t="s">
        <v>438</v>
      </c>
    </row>
    <row r="4089">
      <c r="A4089" s="546" t="s">
        <v>432</v>
      </c>
      <c r="B4089" s="653" t="s">
        <v>449</v>
      </c>
      <c r="C4089" s="680">
        <v>46068.0</v>
      </c>
      <c r="D4089" s="681">
        <v>4.9434157738E10</v>
      </c>
      <c r="E4089" s="681" t="s">
        <v>6500</v>
      </c>
      <c r="F4089" s="656" t="s">
        <v>436</v>
      </c>
      <c r="G4089" s="681" t="s">
        <v>2954</v>
      </c>
      <c r="H4089" s="682" t="s">
        <v>438</v>
      </c>
    </row>
    <row r="4090">
      <c r="A4090" s="546" t="s">
        <v>823</v>
      </c>
      <c r="B4090" s="653" t="s">
        <v>449</v>
      </c>
      <c r="C4090" s="680">
        <v>46068.0</v>
      </c>
      <c r="D4090" s="681">
        <v>4.7411765207E10</v>
      </c>
      <c r="E4090" s="681" t="s">
        <v>6501</v>
      </c>
      <c r="F4090" s="656" t="s">
        <v>436</v>
      </c>
      <c r="G4090" s="681" t="s">
        <v>6502</v>
      </c>
      <c r="H4090" s="682" t="s">
        <v>1096</v>
      </c>
    </row>
    <row r="4091">
      <c r="A4091" s="546" t="s">
        <v>432</v>
      </c>
      <c r="B4091" s="653" t="s">
        <v>433</v>
      </c>
      <c r="C4091" s="680">
        <v>46068.0</v>
      </c>
      <c r="D4091" s="681">
        <v>3.9959063511E10</v>
      </c>
      <c r="E4091" s="681" t="s">
        <v>6503</v>
      </c>
      <c r="F4091" s="656" t="s">
        <v>436</v>
      </c>
      <c r="G4091" s="681" t="s">
        <v>2002</v>
      </c>
      <c r="H4091" s="682" t="s">
        <v>438</v>
      </c>
    </row>
    <row r="4092">
      <c r="A4092" s="546" t="s">
        <v>432</v>
      </c>
      <c r="B4092" s="653" t="s">
        <v>449</v>
      </c>
      <c r="C4092" s="680">
        <v>46068.0</v>
      </c>
      <c r="D4092" s="681">
        <v>4.326932155E10</v>
      </c>
      <c r="E4092" s="681" t="s">
        <v>6316</v>
      </c>
      <c r="F4092" s="656" t="s">
        <v>436</v>
      </c>
      <c r="G4092" s="681" t="s">
        <v>6504</v>
      </c>
      <c r="H4092" s="682" t="s">
        <v>438</v>
      </c>
    </row>
    <row r="4093">
      <c r="A4093" s="546" t="s">
        <v>432</v>
      </c>
      <c r="B4093" s="653" t="s">
        <v>433</v>
      </c>
      <c r="C4093" s="680">
        <v>46068.0</v>
      </c>
      <c r="D4093" s="681">
        <v>4.5763146028E10</v>
      </c>
      <c r="E4093" s="681" t="s">
        <v>6505</v>
      </c>
      <c r="F4093" s="656" t="s">
        <v>436</v>
      </c>
      <c r="G4093" s="681" t="s">
        <v>941</v>
      </c>
      <c r="H4093" s="682" t="s">
        <v>438</v>
      </c>
    </row>
    <row r="4094">
      <c r="A4094" s="546" t="s">
        <v>617</v>
      </c>
      <c r="B4094" s="653" t="s">
        <v>449</v>
      </c>
      <c r="C4094" s="680">
        <v>46068.0</v>
      </c>
      <c r="D4094" s="681">
        <v>2.6619217257E10</v>
      </c>
      <c r="E4094" s="681" t="s">
        <v>4857</v>
      </c>
      <c r="F4094" s="656" t="s">
        <v>436</v>
      </c>
      <c r="G4094" s="681" t="s">
        <v>6055</v>
      </c>
      <c r="H4094" s="682" t="s">
        <v>696</v>
      </c>
    </row>
    <row r="4095">
      <c r="A4095" s="546" t="s">
        <v>823</v>
      </c>
      <c r="B4095" s="653" t="s">
        <v>449</v>
      </c>
      <c r="C4095" s="680">
        <v>46069.0</v>
      </c>
      <c r="D4095" s="681">
        <v>4.9455614617E10</v>
      </c>
      <c r="E4095" s="681" t="s">
        <v>6506</v>
      </c>
      <c r="F4095" s="656" t="s">
        <v>436</v>
      </c>
      <c r="G4095" s="681">
        <v>223.0</v>
      </c>
      <c r="H4095" s="682" t="s">
        <v>6153</v>
      </c>
    </row>
    <row r="4096">
      <c r="A4096" s="546" t="s">
        <v>823</v>
      </c>
      <c r="B4096" s="653" t="s">
        <v>449</v>
      </c>
      <c r="C4096" s="680">
        <v>46069.0</v>
      </c>
      <c r="D4096" s="681">
        <v>4.4459006024E10</v>
      </c>
      <c r="E4096" s="681" t="s">
        <v>6507</v>
      </c>
      <c r="F4096" s="656" t="s">
        <v>436</v>
      </c>
      <c r="G4096" s="681">
        <v>504.0</v>
      </c>
      <c r="H4096" s="682" t="s">
        <v>6153</v>
      </c>
    </row>
    <row r="4097">
      <c r="A4097" s="546" t="s">
        <v>617</v>
      </c>
      <c r="B4097" s="653" t="s">
        <v>449</v>
      </c>
      <c r="C4097" s="680">
        <v>46069.0</v>
      </c>
      <c r="D4097" s="681">
        <v>4.7067101656E10</v>
      </c>
      <c r="E4097" s="681" t="s">
        <v>6508</v>
      </c>
      <c r="F4097" s="656" t="s">
        <v>436</v>
      </c>
      <c r="G4097" s="681">
        <v>709.0</v>
      </c>
      <c r="H4097" s="682" t="s">
        <v>693</v>
      </c>
    </row>
    <row r="4098">
      <c r="A4098" s="546" t="s">
        <v>432</v>
      </c>
      <c r="B4098" s="653" t="s">
        <v>433</v>
      </c>
      <c r="C4098" s="680">
        <v>46069.0</v>
      </c>
      <c r="D4098" s="681">
        <v>4.2598786577E10</v>
      </c>
      <c r="E4098" s="681" t="s">
        <v>6150</v>
      </c>
      <c r="F4098" s="656" t="s">
        <v>436</v>
      </c>
      <c r="G4098" s="681">
        <v>762.0</v>
      </c>
      <c r="H4098" s="682" t="s">
        <v>686</v>
      </c>
    </row>
    <row r="4099">
      <c r="A4099" s="546" t="s">
        <v>432</v>
      </c>
      <c r="B4099" s="653" t="s">
        <v>433</v>
      </c>
      <c r="C4099" s="680">
        <v>46069.0</v>
      </c>
      <c r="D4099" s="681">
        <v>4.7199354034E10</v>
      </c>
      <c r="E4099" s="681" t="s">
        <v>5630</v>
      </c>
      <c r="F4099" s="656" t="s">
        <v>436</v>
      </c>
      <c r="G4099" s="681">
        <v>918.0</v>
      </c>
      <c r="H4099" s="682" t="s">
        <v>686</v>
      </c>
    </row>
    <row r="4100">
      <c r="A4100" s="546" t="s">
        <v>432</v>
      </c>
      <c r="B4100" s="653" t="s">
        <v>449</v>
      </c>
      <c r="C4100" s="680">
        <v>46069.0</v>
      </c>
      <c r="D4100" s="681">
        <v>4.4670159376E10</v>
      </c>
      <c r="E4100" s="681" t="s">
        <v>6509</v>
      </c>
      <c r="F4100" s="656" t="s">
        <v>436</v>
      </c>
      <c r="G4100" s="681">
        <v>956.0</v>
      </c>
      <c r="H4100" s="682" t="s">
        <v>686</v>
      </c>
    </row>
    <row r="4101">
      <c r="A4101" s="546" t="s">
        <v>432</v>
      </c>
      <c r="B4101" s="653" t="s">
        <v>449</v>
      </c>
      <c r="C4101" s="680">
        <v>46069.0</v>
      </c>
      <c r="D4101" s="681">
        <v>4.9375924258E10</v>
      </c>
      <c r="E4101" s="681" t="s">
        <v>6237</v>
      </c>
      <c r="F4101" s="656" t="s">
        <v>436</v>
      </c>
      <c r="G4101" s="681">
        <v>1069.0</v>
      </c>
      <c r="H4101" s="682" t="s">
        <v>686</v>
      </c>
    </row>
    <row r="4102">
      <c r="A4102" s="546" t="s">
        <v>432</v>
      </c>
      <c r="B4102" s="653" t="s">
        <v>449</v>
      </c>
      <c r="C4102" s="680">
        <v>46069.0</v>
      </c>
      <c r="D4102" s="681">
        <v>4.9375951309E10</v>
      </c>
      <c r="E4102" s="681" t="s">
        <v>6237</v>
      </c>
      <c r="F4102" s="656" t="s">
        <v>436</v>
      </c>
      <c r="G4102" s="681">
        <v>1069.0</v>
      </c>
      <c r="H4102" s="682" t="s">
        <v>686</v>
      </c>
    </row>
    <row r="4103">
      <c r="A4103" s="546" t="s">
        <v>432</v>
      </c>
      <c r="B4103" s="653" t="s">
        <v>433</v>
      </c>
      <c r="C4103" s="680">
        <v>46069.0</v>
      </c>
      <c r="D4103" s="681">
        <v>4.447250149E10</v>
      </c>
      <c r="E4103" s="681" t="s">
        <v>5630</v>
      </c>
      <c r="F4103" s="656" t="s">
        <v>436</v>
      </c>
      <c r="G4103" s="681">
        <v>1973.0</v>
      </c>
      <c r="H4103" s="682" t="s">
        <v>686</v>
      </c>
    </row>
    <row r="4104">
      <c r="A4104" s="546" t="s">
        <v>432</v>
      </c>
      <c r="B4104" s="653" t="s">
        <v>433</v>
      </c>
      <c r="C4104" s="680">
        <v>46069.0</v>
      </c>
      <c r="D4104" s="681">
        <v>4.3270572257E10</v>
      </c>
      <c r="E4104" s="681" t="s">
        <v>5630</v>
      </c>
      <c r="F4104" s="656" t="s">
        <v>436</v>
      </c>
      <c r="G4104" s="681">
        <v>2071.0</v>
      </c>
      <c r="H4104" s="682" t="s">
        <v>686</v>
      </c>
    </row>
    <row r="4105">
      <c r="A4105" s="546" t="s">
        <v>432</v>
      </c>
      <c r="B4105" s="653" t="s">
        <v>433</v>
      </c>
      <c r="C4105" s="680">
        <v>46069.0</v>
      </c>
      <c r="D4105" s="681">
        <v>4.4246563217E10</v>
      </c>
      <c r="E4105" s="681" t="s">
        <v>6150</v>
      </c>
      <c r="F4105" s="656" t="s">
        <v>436</v>
      </c>
      <c r="G4105" s="681">
        <v>2266.0</v>
      </c>
      <c r="H4105" s="682" t="s">
        <v>686</v>
      </c>
    </row>
    <row r="4106">
      <c r="A4106" s="546" t="s">
        <v>823</v>
      </c>
      <c r="B4106" s="653" t="s">
        <v>449</v>
      </c>
      <c r="C4106" s="680">
        <v>46069.0</v>
      </c>
      <c r="D4106" s="681">
        <v>4.2205182906E10</v>
      </c>
      <c r="E4106" s="681" t="s">
        <v>5719</v>
      </c>
      <c r="F4106" s="656" t="s">
        <v>436</v>
      </c>
      <c r="G4106" s="681">
        <v>3800.0</v>
      </c>
      <c r="H4106" s="682" t="s">
        <v>6153</v>
      </c>
    </row>
    <row r="4107">
      <c r="A4107" s="546" t="s">
        <v>432</v>
      </c>
      <c r="B4107" s="653" t="s">
        <v>433</v>
      </c>
      <c r="C4107" s="680">
        <v>46070.0</v>
      </c>
      <c r="D4107" s="681">
        <v>4.9462652505E10</v>
      </c>
      <c r="E4107" s="681" t="s">
        <v>6252</v>
      </c>
      <c r="F4107" s="656" t="s">
        <v>436</v>
      </c>
      <c r="G4107" s="681">
        <v>130.0</v>
      </c>
      <c r="H4107" s="682" t="s">
        <v>686</v>
      </c>
    </row>
    <row r="4108">
      <c r="A4108" s="546" t="s">
        <v>432</v>
      </c>
      <c r="B4108" s="653" t="s">
        <v>433</v>
      </c>
      <c r="C4108" s="680">
        <v>46070.0</v>
      </c>
      <c r="D4108" s="681">
        <v>4.9462651466E10</v>
      </c>
      <c r="E4108" s="681" t="s">
        <v>6252</v>
      </c>
      <c r="F4108" s="656" t="s">
        <v>436</v>
      </c>
      <c r="G4108" s="681">
        <v>130.0</v>
      </c>
      <c r="H4108" s="682" t="s">
        <v>686</v>
      </c>
    </row>
    <row r="4109">
      <c r="A4109" s="546" t="s">
        <v>432</v>
      </c>
      <c r="B4109" s="653" t="s">
        <v>449</v>
      </c>
      <c r="C4109" s="680">
        <v>46070.0</v>
      </c>
      <c r="D4109" s="681">
        <v>4.3500819231E10</v>
      </c>
      <c r="E4109" s="681" t="s">
        <v>6510</v>
      </c>
      <c r="F4109" s="656" t="s">
        <v>436</v>
      </c>
      <c r="G4109" s="681">
        <v>156.0</v>
      </c>
      <c r="H4109" s="682" t="s">
        <v>686</v>
      </c>
    </row>
    <row r="4110">
      <c r="A4110" s="546" t="s">
        <v>432</v>
      </c>
      <c r="B4110" s="653" t="s">
        <v>449</v>
      </c>
      <c r="C4110" s="680">
        <v>46070.0</v>
      </c>
      <c r="D4110" s="681">
        <v>2.9712413349E10</v>
      </c>
      <c r="E4110" s="681" t="s">
        <v>4887</v>
      </c>
      <c r="F4110" s="656" t="s">
        <v>436</v>
      </c>
      <c r="G4110" s="681">
        <v>233.0</v>
      </c>
      <c r="H4110" s="682" t="s">
        <v>686</v>
      </c>
    </row>
    <row r="4111">
      <c r="A4111" s="546" t="s">
        <v>617</v>
      </c>
      <c r="B4111" s="653" t="s">
        <v>688</v>
      </c>
      <c r="C4111" s="680">
        <v>46070.0</v>
      </c>
      <c r="D4111" s="681">
        <v>4.600123395E10</v>
      </c>
      <c r="E4111" s="681" t="s">
        <v>6511</v>
      </c>
      <c r="F4111" s="656" t="s">
        <v>436</v>
      </c>
      <c r="G4111" s="681">
        <v>278.0</v>
      </c>
      <c r="H4111" s="682" t="s">
        <v>693</v>
      </c>
    </row>
    <row r="4112">
      <c r="A4112" s="546" t="s">
        <v>617</v>
      </c>
      <c r="B4112" s="653" t="s">
        <v>449</v>
      </c>
      <c r="C4112" s="680">
        <v>46070.0</v>
      </c>
      <c r="D4112" s="681">
        <v>4.5647808778E10</v>
      </c>
      <c r="E4112" s="681" t="s">
        <v>6512</v>
      </c>
      <c r="F4112" s="656" t="s">
        <v>436</v>
      </c>
      <c r="G4112" s="681">
        <v>578.0</v>
      </c>
      <c r="H4112" s="682" t="s">
        <v>693</v>
      </c>
    </row>
    <row r="4113">
      <c r="A4113" s="546" t="s">
        <v>432</v>
      </c>
      <c r="B4113" s="653" t="s">
        <v>433</v>
      </c>
      <c r="C4113" s="680">
        <v>46070.0</v>
      </c>
      <c r="D4113" s="681">
        <v>4.9554768385E10</v>
      </c>
      <c r="E4113" s="681" t="s">
        <v>4854</v>
      </c>
      <c r="F4113" s="656" t="s">
        <v>436</v>
      </c>
      <c r="G4113" s="681">
        <v>745.0</v>
      </c>
      <c r="H4113" s="682" t="s">
        <v>686</v>
      </c>
    </row>
    <row r="4114">
      <c r="A4114" s="546" t="s">
        <v>432</v>
      </c>
      <c r="B4114" s="653" t="s">
        <v>433</v>
      </c>
      <c r="C4114" s="680">
        <v>46070.0</v>
      </c>
      <c r="D4114" s="681">
        <v>4.7687799709E10</v>
      </c>
      <c r="E4114" s="681" t="s">
        <v>6513</v>
      </c>
      <c r="F4114" s="656" t="s">
        <v>436</v>
      </c>
      <c r="G4114" s="681">
        <v>844.0</v>
      </c>
      <c r="H4114" s="682" t="s">
        <v>686</v>
      </c>
    </row>
    <row r="4115">
      <c r="A4115" s="546" t="s">
        <v>432</v>
      </c>
      <c r="B4115" s="653" t="s">
        <v>433</v>
      </c>
      <c r="C4115" s="680">
        <v>46070.0</v>
      </c>
      <c r="D4115" s="681">
        <v>4.7259653266E10</v>
      </c>
      <c r="E4115" s="681" t="s">
        <v>6514</v>
      </c>
      <c r="F4115" s="656" t="s">
        <v>436</v>
      </c>
      <c r="G4115" s="681">
        <v>1082.0</v>
      </c>
      <c r="H4115" s="682" t="s">
        <v>686</v>
      </c>
    </row>
    <row r="4116">
      <c r="A4116" s="546" t="s">
        <v>432</v>
      </c>
      <c r="B4116" s="653" t="s">
        <v>449</v>
      </c>
      <c r="C4116" s="680">
        <v>46070.0</v>
      </c>
      <c r="D4116" s="681">
        <v>4.8395184353E10</v>
      </c>
      <c r="E4116" s="681" t="s">
        <v>4887</v>
      </c>
      <c r="F4116" s="656" t="s">
        <v>436</v>
      </c>
      <c r="G4116" s="681">
        <v>1294.0</v>
      </c>
      <c r="H4116" s="682" t="s">
        <v>686</v>
      </c>
    </row>
    <row r="4117">
      <c r="A4117" s="546" t="s">
        <v>432</v>
      </c>
      <c r="B4117" s="653" t="s">
        <v>433</v>
      </c>
      <c r="C4117" s="680">
        <v>46070.0</v>
      </c>
      <c r="D4117" s="681">
        <v>4.6294796181E10</v>
      </c>
      <c r="E4117" s="681" t="s">
        <v>4104</v>
      </c>
      <c r="F4117" s="656" t="s">
        <v>436</v>
      </c>
      <c r="G4117" s="681">
        <v>1572.0</v>
      </c>
      <c r="H4117" s="682" t="s">
        <v>686</v>
      </c>
    </row>
    <row r="4118">
      <c r="A4118" s="546" t="s">
        <v>432</v>
      </c>
      <c r="B4118" s="653" t="s">
        <v>449</v>
      </c>
      <c r="C4118" s="680">
        <v>46070.0</v>
      </c>
      <c r="D4118" s="681">
        <v>4.3150106025E10</v>
      </c>
      <c r="E4118" s="681" t="s">
        <v>5383</v>
      </c>
      <c r="F4118" s="656" t="s">
        <v>436</v>
      </c>
      <c r="G4118" s="681">
        <v>1971.0</v>
      </c>
      <c r="H4118" s="682" t="s">
        <v>686</v>
      </c>
    </row>
    <row r="4119">
      <c r="A4119" s="546" t="s">
        <v>617</v>
      </c>
      <c r="B4119" s="653" t="s">
        <v>688</v>
      </c>
      <c r="C4119" s="680">
        <v>46070.0</v>
      </c>
      <c r="D4119" s="681">
        <v>3.7085474716E10</v>
      </c>
      <c r="E4119" s="681" t="s">
        <v>6515</v>
      </c>
      <c r="F4119" s="656" t="s">
        <v>436</v>
      </c>
      <c r="G4119" s="681">
        <v>3533.0</v>
      </c>
      <c r="H4119" s="682" t="s">
        <v>693</v>
      </c>
    </row>
    <row r="4120">
      <c r="A4120" s="546" t="s">
        <v>617</v>
      </c>
      <c r="B4120" s="653" t="s">
        <v>449</v>
      </c>
      <c r="C4120" s="680">
        <v>46070.0</v>
      </c>
      <c r="D4120" s="681">
        <v>2.8594019814E10</v>
      </c>
      <c r="E4120" s="681" t="s">
        <v>6516</v>
      </c>
      <c r="F4120" s="656" t="s">
        <v>436</v>
      </c>
      <c r="G4120" s="681">
        <v>8462.0</v>
      </c>
      <c r="H4120" s="682" t="s">
        <v>693</v>
      </c>
    </row>
    <row r="4121">
      <c r="A4121" s="546" t="s">
        <v>823</v>
      </c>
      <c r="B4121" s="653" t="s">
        <v>433</v>
      </c>
      <c r="C4121" s="680">
        <v>46070.0</v>
      </c>
      <c r="D4121" s="681">
        <v>4.5686677434E10</v>
      </c>
      <c r="E4121" s="681" t="s">
        <v>6517</v>
      </c>
      <c r="F4121" s="656" t="s">
        <v>436</v>
      </c>
      <c r="G4121" s="681" t="s">
        <v>6518</v>
      </c>
      <c r="H4121" s="682" t="s">
        <v>4558</v>
      </c>
    </row>
    <row r="4122">
      <c r="A4122" s="546" t="s">
        <v>823</v>
      </c>
      <c r="B4122" s="653" t="s">
        <v>433</v>
      </c>
      <c r="C4122" s="680">
        <v>46070.0</v>
      </c>
      <c r="D4122" s="681">
        <v>4.5748112807E10</v>
      </c>
      <c r="E4122" s="681" t="s">
        <v>6519</v>
      </c>
      <c r="F4122" s="656" t="s">
        <v>436</v>
      </c>
      <c r="G4122" s="681" t="s">
        <v>6520</v>
      </c>
      <c r="H4122" s="682" t="s">
        <v>4558</v>
      </c>
    </row>
    <row r="4123">
      <c r="A4123" s="546" t="s">
        <v>823</v>
      </c>
      <c r="B4123" s="653" t="s">
        <v>449</v>
      </c>
      <c r="C4123" s="680">
        <v>46070.0</v>
      </c>
      <c r="D4123" s="681">
        <v>4.9434987028E10</v>
      </c>
      <c r="E4123" s="681" t="s">
        <v>4165</v>
      </c>
      <c r="F4123" s="656" t="s">
        <v>436</v>
      </c>
      <c r="G4123" s="681" t="s">
        <v>2307</v>
      </c>
      <c r="H4123" s="682" t="s">
        <v>4558</v>
      </c>
    </row>
    <row r="4124">
      <c r="A4124" s="546" t="s">
        <v>432</v>
      </c>
      <c r="B4124" s="653" t="s">
        <v>433</v>
      </c>
      <c r="C4124" s="680">
        <v>46071.0</v>
      </c>
      <c r="D4124" s="681">
        <v>3.7811988867E10</v>
      </c>
      <c r="E4124" s="681" t="s">
        <v>6499</v>
      </c>
      <c r="F4124" s="656" t="s">
        <v>436</v>
      </c>
      <c r="G4124" s="681" t="s">
        <v>6521</v>
      </c>
      <c r="H4124" s="682" t="s">
        <v>438</v>
      </c>
    </row>
    <row r="4125">
      <c r="A4125" s="546" t="s">
        <v>617</v>
      </c>
      <c r="B4125" s="653" t="s">
        <v>449</v>
      </c>
      <c r="C4125" s="680">
        <v>46071.0</v>
      </c>
      <c r="D4125" s="681">
        <v>4.5631532043E10</v>
      </c>
      <c r="E4125" s="681" t="s">
        <v>4824</v>
      </c>
      <c r="F4125" s="656" t="s">
        <v>436</v>
      </c>
      <c r="G4125" s="681" t="s">
        <v>6522</v>
      </c>
      <c r="H4125" s="682" t="s">
        <v>696</v>
      </c>
    </row>
    <row r="4126">
      <c r="A4126" s="546" t="s">
        <v>432</v>
      </c>
      <c r="B4126" s="653" t="s">
        <v>449</v>
      </c>
      <c r="C4126" s="680">
        <v>46071.0</v>
      </c>
      <c r="D4126" s="681">
        <v>4.2437344922E10</v>
      </c>
      <c r="E4126" s="681" t="s">
        <v>6523</v>
      </c>
      <c r="F4126" s="656" t="s">
        <v>436</v>
      </c>
      <c r="G4126" s="681" t="s">
        <v>6524</v>
      </c>
      <c r="H4126" s="682" t="s">
        <v>438</v>
      </c>
    </row>
    <row r="4127">
      <c r="A4127" s="546" t="s">
        <v>432</v>
      </c>
      <c r="B4127" s="653" t="s">
        <v>449</v>
      </c>
      <c r="C4127" s="680">
        <v>46071.0</v>
      </c>
      <c r="D4127" s="681">
        <v>3.4008328819E10</v>
      </c>
      <c r="E4127" s="681" t="s">
        <v>6523</v>
      </c>
      <c r="F4127" s="656" t="s">
        <v>436</v>
      </c>
      <c r="G4127" s="681" t="s">
        <v>6524</v>
      </c>
      <c r="H4127" s="682" t="s">
        <v>438</v>
      </c>
    </row>
    <row r="4128">
      <c r="A4128" s="546" t="s">
        <v>432</v>
      </c>
      <c r="B4128" s="653" t="s">
        <v>449</v>
      </c>
      <c r="C4128" s="680">
        <v>46071.0</v>
      </c>
      <c r="D4128" s="681">
        <v>4.3049373542E10</v>
      </c>
      <c r="E4128" s="681" t="s">
        <v>6523</v>
      </c>
      <c r="F4128" s="656" t="s">
        <v>436</v>
      </c>
      <c r="G4128" s="681" t="s">
        <v>6524</v>
      </c>
      <c r="H4128" s="682" t="s">
        <v>438</v>
      </c>
    </row>
    <row r="4129">
      <c r="A4129" s="546" t="s">
        <v>432</v>
      </c>
      <c r="B4129" s="653" t="s">
        <v>449</v>
      </c>
      <c r="C4129" s="680">
        <v>46071.0</v>
      </c>
      <c r="D4129" s="681">
        <v>4.3049373538E10</v>
      </c>
      <c r="E4129" s="681" t="s">
        <v>6523</v>
      </c>
      <c r="F4129" s="656" t="s">
        <v>436</v>
      </c>
      <c r="G4129" s="681" t="s">
        <v>6524</v>
      </c>
      <c r="H4129" s="682" t="s">
        <v>438</v>
      </c>
    </row>
    <row r="4130">
      <c r="A4130" s="546" t="s">
        <v>432</v>
      </c>
      <c r="B4130" s="653" t="s">
        <v>449</v>
      </c>
      <c r="C4130" s="680">
        <v>46071.0</v>
      </c>
      <c r="D4130" s="681">
        <v>4.3049373556E10</v>
      </c>
      <c r="E4130" s="681" t="s">
        <v>6523</v>
      </c>
      <c r="F4130" s="656" t="s">
        <v>436</v>
      </c>
      <c r="G4130" s="681" t="s">
        <v>6524</v>
      </c>
      <c r="H4130" s="682" t="s">
        <v>438</v>
      </c>
    </row>
    <row r="4131">
      <c r="A4131" s="546" t="s">
        <v>432</v>
      </c>
      <c r="B4131" s="653" t="s">
        <v>449</v>
      </c>
      <c r="C4131" s="680">
        <v>46071.0</v>
      </c>
      <c r="D4131" s="681">
        <v>4.2437344918E10</v>
      </c>
      <c r="E4131" s="681" t="s">
        <v>6523</v>
      </c>
      <c r="F4131" s="656" t="s">
        <v>436</v>
      </c>
      <c r="G4131" s="681" t="s">
        <v>6524</v>
      </c>
      <c r="H4131" s="682" t="s">
        <v>438</v>
      </c>
    </row>
    <row r="4132">
      <c r="A4132" s="546" t="s">
        <v>617</v>
      </c>
      <c r="B4132" s="653" t="s">
        <v>449</v>
      </c>
      <c r="C4132" s="680">
        <v>46071.0</v>
      </c>
      <c r="D4132" s="681">
        <v>4.401282288E10</v>
      </c>
      <c r="E4132" s="681" t="s">
        <v>6525</v>
      </c>
      <c r="F4132" s="656" t="s">
        <v>436</v>
      </c>
      <c r="G4132" s="681" t="s">
        <v>6526</v>
      </c>
      <c r="H4132" s="682" t="s">
        <v>696</v>
      </c>
    </row>
    <row r="4133">
      <c r="A4133" s="546" t="s">
        <v>617</v>
      </c>
      <c r="B4133" s="653" t="s">
        <v>449</v>
      </c>
      <c r="C4133" s="680">
        <v>46071.0</v>
      </c>
      <c r="D4133" s="681">
        <v>4.958324582E10</v>
      </c>
      <c r="E4133" s="681" t="s">
        <v>4887</v>
      </c>
      <c r="F4133" s="656" t="s">
        <v>436</v>
      </c>
      <c r="G4133" s="681" t="s">
        <v>4820</v>
      </c>
      <c r="H4133" s="682" t="s">
        <v>696</v>
      </c>
    </row>
    <row r="4134">
      <c r="A4134" s="546" t="s">
        <v>617</v>
      </c>
      <c r="B4134" s="653" t="s">
        <v>3583</v>
      </c>
      <c r="C4134" s="680">
        <v>46071.0</v>
      </c>
      <c r="D4134" s="681">
        <v>2.7741795839E10</v>
      </c>
      <c r="E4134" s="681" t="s">
        <v>4854</v>
      </c>
      <c r="F4134" s="656" t="s">
        <v>436</v>
      </c>
      <c r="G4134" s="681" t="s">
        <v>5768</v>
      </c>
      <c r="H4134" s="682" t="s">
        <v>696</v>
      </c>
    </row>
    <row r="4135">
      <c r="A4135" s="546" t="s">
        <v>617</v>
      </c>
      <c r="B4135" s="653" t="s">
        <v>433</v>
      </c>
      <c r="C4135" s="680">
        <v>46071.0</v>
      </c>
      <c r="D4135" s="681">
        <v>4.2829325962E10</v>
      </c>
      <c r="E4135" s="681" t="s">
        <v>4854</v>
      </c>
      <c r="F4135" s="656" t="s">
        <v>436</v>
      </c>
      <c r="G4135" s="681" t="s">
        <v>5815</v>
      </c>
      <c r="H4135" s="682" t="s">
        <v>696</v>
      </c>
    </row>
    <row r="4136">
      <c r="A4136" s="546" t="s">
        <v>432</v>
      </c>
      <c r="B4136" s="653" t="s">
        <v>433</v>
      </c>
      <c r="C4136" s="680">
        <v>46071.0</v>
      </c>
      <c r="D4136" s="681">
        <v>4.2503251916E10</v>
      </c>
      <c r="E4136" s="681" t="s">
        <v>4165</v>
      </c>
      <c r="F4136" s="656" t="s">
        <v>436</v>
      </c>
      <c r="G4136" s="681" t="s">
        <v>6527</v>
      </c>
      <c r="H4136" s="682" t="s">
        <v>438</v>
      </c>
    </row>
    <row r="4137">
      <c r="A4137" s="546" t="s">
        <v>617</v>
      </c>
      <c r="B4137" s="653" t="s">
        <v>449</v>
      </c>
      <c r="C4137" s="680">
        <v>46071.0</v>
      </c>
      <c r="D4137" s="681">
        <v>4.2169378163E10</v>
      </c>
      <c r="E4137" s="681" t="s">
        <v>4824</v>
      </c>
      <c r="F4137" s="656" t="s">
        <v>436</v>
      </c>
      <c r="G4137" s="681" t="s">
        <v>3249</v>
      </c>
      <c r="H4137" s="682" t="s">
        <v>696</v>
      </c>
    </row>
    <row r="4138">
      <c r="A4138" s="546" t="s">
        <v>617</v>
      </c>
      <c r="B4138" s="653" t="s">
        <v>449</v>
      </c>
      <c r="C4138" s="680">
        <v>46071.0</v>
      </c>
      <c r="D4138" s="681">
        <v>4.7198621842E10</v>
      </c>
      <c r="E4138" s="681" t="s">
        <v>4887</v>
      </c>
      <c r="F4138" s="656" t="s">
        <v>436</v>
      </c>
      <c r="G4138" s="681" t="s">
        <v>6528</v>
      </c>
      <c r="H4138" s="682" t="s">
        <v>696</v>
      </c>
    </row>
    <row r="4139">
      <c r="A4139" s="546" t="s">
        <v>432</v>
      </c>
      <c r="B4139" s="653" t="s">
        <v>449</v>
      </c>
      <c r="C4139" s="680">
        <v>46071.0</v>
      </c>
      <c r="D4139" s="681">
        <v>4.9525440976E10</v>
      </c>
      <c r="E4139" s="681" t="s">
        <v>6529</v>
      </c>
      <c r="F4139" s="656" t="s">
        <v>436</v>
      </c>
      <c r="G4139" s="681" t="s">
        <v>1920</v>
      </c>
      <c r="H4139" s="682" t="s">
        <v>438</v>
      </c>
    </row>
    <row r="4140">
      <c r="A4140" s="546" t="s">
        <v>432</v>
      </c>
      <c r="B4140" s="653" t="s">
        <v>449</v>
      </c>
      <c r="C4140" s="680">
        <v>46072.0</v>
      </c>
      <c r="D4140" s="681">
        <v>4.9516667127E10</v>
      </c>
      <c r="E4140" s="681" t="s">
        <v>5109</v>
      </c>
      <c r="F4140" s="656" t="s">
        <v>436</v>
      </c>
      <c r="G4140" s="681">
        <v>301.0</v>
      </c>
      <c r="H4140" s="682" t="s">
        <v>686</v>
      </c>
    </row>
    <row r="4141">
      <c r="A4141" s="546" t="s">
        <v>432</v>
      </c>
      <c r="B4141" s="653" t="s">
        <v>433</v>
      </c>
      <c r="C4141" s="680">
        <v>46072.0</v>
      </c>
      <c r="D4141" s="681">
        <v>4.1514228054E10</v>
      </c>
      <c r="E4141" s="681" t="s">
        <v>6530</v>
      </c>
      <c r="F4141" s="656" t="s">
        <v>436</v>
      </c>
      <c r="G4141" s="681">
        <v>441.0</v>
      </c>
      <c r="H4141" s="682" t="s">
        <v>686</v>
      </c>
    </row>
    <row r="4142">
      <c r="A4142" s="546" t="s">
        <v>432</v>
      </c>
      <c r="B4142" s="653" t="s">
        <v>433</v>
      </c>
      <c r="C4142" s="680">
        <v>46072.0</v>
      </c>
      <c r="D4142" s="681">
        <v>4.7348732331E10</v>
      </c>
      <c r="E4142" s="681" t="s">
        <v>5630</v>
      </c>
      <c r="F4142" s="656" t="s">
        <v>436</v>
      </c>
      <c r="G4142" s="681">
        <v>1016.0</v>
      </c>
      <c r="H4142" s="682" t="s">
        <v>686</v>
      </c>
    </row>
    <row r="4143">
      <c r="A4143" s="546" t="s">
        <v>432</v>
      </c>
      <c r="B4143" s="653" t="s">
        <v>433</v>
      </c>
      <c r="C4143" s="680">
        <v>46072.0</v>
      </c>
      <c r="D4143" s="681">
        <v>4.3197699737E10</v>
      </c>
      <c r="E4143" s="681" t="s">
        <v>6461</v>
      </c>
      <c r="F4143" s="656" t="s">
        <v>436</v>
      </c>
      <c r="G4143" s="681">
        <v>1365.0</v>
      </c>
      <c r="H4143" s="682" t="s">
        <v>686</v>
      </c>
    </row>
    <row r="4144">
      <c r="A4144" s="546" t="s">
        <v>432</v>
      </c>
      <c r="B4144" s="653" t="s">
        <v>433</v>
      </c>
      <c r="C4144" s="680">
        <v>46072.0</v>
      </c>
      <c r="D4144" s="681">
        <v>3.4789205211E10</v>
      </c>
      <c r="E4144" s="681" t="s">
        <v>5759</v>
      </c>
      <c r="F4144" s="656" t="s">
        <v>436</v>
      </c>
      <c r="G4144" s="681">
        <v>1672.0</v>
      </c>
      <c r="H4144" s="682" t="s">
        <v>686</v>
      </c>
    </row>
    <row r="4145">
      <c r="A4145" s="546" t="s">
        <v>432</v>
      </c>
      <c r="B4145" s="653" t="s">
        <v>433</v>
      </c>
      <c r="C4145" s="680">
        <v>46072.0</v>
      </c>
      <c r="D4145" s="681">
        <v>4.6833978993E10</v>
      </c>
      <c r="E4145" s="681" t="s">
        <v>6252</v>
      </c>
      <c r="F4145" s="656" t="s">
        <v>436</v>
      </c>
      <c r="G4145" s="681">
        <v>1700.0</v>
      </c>
      <c r="H4145" s="682" t="s">
        <v>686</v>
      </c>
    </row>
    <row r="4146">
      <c r="A4146" s="546" t="s">
        <v>432</v>
      </c>
      <c r="B4146" s="653" t="s">
        <v>433</v>
      </c>
      <c r="C4146" s="680">
        <v>46072.0</v>
      </c>
      <c r="D4146" s="681">
        <v>4.6986573452E10</v>
      </c>
      <c r="E4146" s="681" t="s">
        <v>5630</v>
      </c>
      <c r="F4146" s="656" t="s">
        <v>436</v>
      </c>
      <c r="G4146" s="681">
        <v>3569.0</v>
      </c>
      <c r="H4146" s="682" t="s">
        <v>686</v>
      </c>
    </row>
    <row r="4147">
      <c r="A4147" s="546" t="s">
        <v>617</v>
      </c>
      <c r="B4147" s="653" t="s">
        <v>433</v>
      </c>
      <c r="C4147" s="680">
        <v>46072.0</v>
      </c>
      <c r="D4147" s="681">
        <v>3.542163975E10</v>
      </c>
      <c r="E4147" s="681" t="s">
        <v>4854</v>
      </c>
      <c r="F4147" s="656" t="s">
        <v>436</v>
      </c>
      <c r="G4147" s="681" t="s">
        <v>6531</v>
      </c>
      <c r="H4147" s="682" t="s">
        <v>696</v>
      </c>
    </row>
    <row r="4148">
      <c r="A4148" s="546" t="s">
        <v>617</v>
      </c>
      <c r="B4148" s="653" t="s">
        <v>449</v>
      </c>
      <c r="C4148" s="680">
        <v>46072.0</v>
      </c>
      <c r="D4148" s="681">
        <v>4.1408741025E10</v>
      </c>
      <c r="E4148" s="681" t="s">
        <v>4854</v>
      </c>
      <c r="F4148" s="656" t="s">
        <v>436</v>
      </c>
      <c r="G4148" s="681" t="s">
        <v>6531</v>
      </c>
      <c r="H4148" s="682" t="s">
        <v>696</v>
      </c>
    </row>
    <row r="4149">
      <c r="A4149" s="546" t="s">
        <v>617</v>
      </c>
      <c r="B4149" s="653" t="s">
        <v>449</v>
      </c>
      <c r="C4149" s="680">
        <v>46072.0</v>
      </c>
      <c r="D4149" s="681">
        <v>3.4784989416E10</v>
      </c>
      <c r="E4149" s="681" t="s">
        <v>6532</v>
      </c>
      <c r="F4149" s="656" t="s">
        <v>436</v>
      </c>
      <c r="G4149" s="681" t="s">
        <v>6533</v>
      </c>
      <c r="H4149" s="682" t="s">
        <v>696</v>
      </c>
    </row>
    <row r="4150">
      <c r="A4150" s="546" t="s">
        <v>617</v>
      </c>
      <c r="B4150" s="653" t="s">
        <v>449</v>
      </c>
      <c r="C4150" s="680">
        <v>46072.0</v>
      </c>
      <c r="D4150" s="681">
        <v>4.9527580858E10</v>
      </c>
      <c r="E4150" s="681" t="s">
        <v>6534</v>
      </c>
      <c r="F4150" s="656" t="s">
        <v>436</v>
      </c>
      <c r="G4150" s="681" t="s">
        <v>1122</v>
      </c>
      <c r="H4150" s="682" t="s">
        <v>696</v>
      </c>
    </row>
    <row r="4151">
      <c r="A4151" s="546" t="s">
        <v>617</v>
      </c>
      <c r="B4151" s="653" t="s">
        <v>433</v>
      </c>
      <c r="C4151" s="680">
        <v>46072.0</v>
      </c>
      <c r="D4151" s="681">
        <v>4.4012040331E10</v>
      </c>
      <c r="E4151" s="681" t="s">
        <v>4222</v>
      </c>
      <c r="F4151" s="656" t="s">
        <v>436</v>
      </c>
      <c r="G4151" s="681" t="s">
        <v>6535</v>
      </c>
      <c r="H4151" s="682" t="s">
        <v>696</v>
      </c>
    </row>
    <row r="4152">
      <c r="A4152" s="546" t="s">
        <v>439</v>
      </c>
      <c r="B4152" s="653" t="s">
        <v>6536</v>
      </c>
      <c r="C4152" s="680">
        <v>46072.0</v>
      </c>
      <c r="D4152" s="681">
        <v>4.9652969451E10</v>
      </c>
      <c r="E4152" s="681" t="s">
        <v>6537</v>
      </c>
      <c r="F4152" s="656" t="s">
        <v>436</v>
      </c>
      <c r="G4152" s="681" t="s">
        <v>6538</v>
      </c>
      <c r="H4152" s="682" t="s">
        <v>6539</v>
      </c>
    </row>
    <row r="4153">
      <c r="A4153" s="546" t="s">
        <v>439</v>
      </c>
      <c r="B4153" s="653" t="s">
        <v>433</v>
      </c>
      <c r="C4153" s="680">
        <v>46072.0</v>
      </c>
      <c r="D4153" s="681">
        <v>4.6717739575E10</v>
      </c>
      <c r="E4153" s="653" t="s">
        <v>6540</v>
      </c>
      <c r="F4153" s="656" t="s">
        <v>436</v>
      </c>
      <c r="G4153" s="681" t="s">
        <v>6541</v>
      </c>
      <c r="H4153" s="682" t="s">
        <v>6539</v>
      </c>
    </row>
    <row r="4154">
      <c r="A4154" s="546" t="s">
        <v>617</v>
      </c>
      <c r="B4154" s="653" t="s">
        <v>449</v>
      </c>
      <c r="C4154" s="680">
        <v>46072.0</v>
      </c>
      <c r="D4154" s="681">
        <v>4.3204467474E10</v>
      </c>
      <c r="E4154" s="681" t="s">
        <v>5345</v>
      </c>
      <c r="F4154" s="656" t="s">
        <v>436</v>
      </c>
      <c r="G4154" s="681" t="s">
        <v>3132</v>
      </c>
      <c r="H4154" s="682" t="s">
        <v>696</v>
      </c>
    </row>
    <row r="4155">
      <c r="A4155" s="546" t="s">
        <v>617</v>
      </c>
      <c r="B4155" s="653" t="s">
        <v>449</v>
      </c>
      <c r="C4155" s="680">
        <v>46072.0</v>
      </c>
      <c r="D4155" s="681">
        <v>4.3204467476E10</v>
      </c>
      <c r="E4155" s="681" t="s">
        <v>5345</v>
      </c>
      <c r="F4155" s="656" t="s">
        <v>436</v>
      </c>
      <c r="G4155" s="681" t="s">
        <v>3132</v>
      </c>
      <c r="H4155" s="682" t="s">
        <v>696</v>
      </c>
    </row>
    <row r="4156">
      <c r="A4156" s="546" t="s">
        <v>439</v>
      </c>
      <c r="B4156" s="653" t="s">
        <v>433</v>
      </c>
      <c r="C4156" s="680">
        <v>46072.0</v>
      </c>
      <c r="D4156" s="681">
        <v>4.0666015732E10</v>
      </c>
      <c r="E4156" s="681" t="s">
        <v>4165</v>
      </c>
      <c r="F4156" s="656" t="s">
        <v>436</v>
      </c>
      <c r="G4156" s="681" t="s">
        <v>5477</v>
      </c>
      <c r="H4156" s="682" t="s">
        <v>6539</v>
      </c>
    </row>
    <row r="4157">
      <c r="A4157" s="546" t="s">
        <v>617</v>
      </c>
      <c r="B4157" s="653" t="s">
        <v>449</v>
      </c>
      <c r="C4157" s="680">
        <v>46073.0</v>
      </c>
      <c r="D4157" s="681">
        <v>4.9435536692E10</v>
      </c>
      <c r="E4157" s="681" t="s">
        <v>6542</v>
      </c>
      <c r="F4157" s="656" t="s">
        <v>436</v>
      </c>
      <c r="G4157" s="681">
        <v>168.0</v>
      </c>
      <c r="H4157" s="682" t="s">
        <v>5817</v>
      </c>
    </row>
    <row r="4158">
      <c r="A4158" s="546" t="s">
        <v>432</v>
      </c>
      <c r="B4158" s="653" t="s">
        <v>449</v>
      </c>
      <c r="C4158" s="680">
        <v>46073.0</v>
      </c>
      <c r="D4158" s="681">
        <v>4.4187896733E10</v>
      </c>
      <c r="E4158" s="681" t="s">
        <v>6543</v>
      </c>
      <c r="F4158" s="656" t="s">
        <v>436</v>
      </c>
      <c r="G4158" s="681">
        <v>316.0</v>
      </c>
      <c r="H4158" s="682" t="s">
        <v>686</v>
      </c>
    </row>
    <row r="4159">
      <c r="A4159" s="546" t="s">
        <v>617</v>
      </c>
      <c r="B4159" s="653" t="s">
        <v>433</v>
      </c>
      <c r="C4159" s="680">
        <v>46073.0</v>
      </c>
      <c r="D4159" s="681">
        <v>4.5858486693E10</v>
      </c>
      <c r="E4159" s="681" t="s">
        <v>5630</v>
      </c>
      <c r="F4159" s="656" t="s">
        <v>436</v>
      </c>
      <c r="G4159" s="681">
        <v>433.0</v>
      </c>
      <c r="H4159" s="682" t="s">
        <v>5817</v>
      </c>
    </row>
    <row r="4160">
      <c r="A4160" s="546" t="s">
        <v>617</v>
      </c>
      <c r="B4160" s="653" t="s">
        <v>433</v>
      </c>
      <c r="C4160" s="680">
        <v>46073.0</v>
      </c>
      <c r="D4160" s="681">
        <v>4.6894522209E10</v>
      </c>
      <c r="E4160" s="681" t="s">
        <v>5759</v>
      </c>
      <c r="F4160" s="656" t="s">
        <v>436</v>
      </c>
      <c r="G4160" s="681">
        <v>610.0</v>
      </c>
      <c r="H4160" s="682" t="s">
        <v>5817</v>
      </c>
    </row>
    <row r="4161">
      <c r="A4161" s="546" t="s">
        <v>617</v>
      </c>
      <c r="B4161" s="653" t="s">
        <v>449</v>
      </c>
      <c r="C4161" s="680">
        <v>46073.0</v>
      </c>
      <c r="D4161" s="681">
        <v>4.364778141E10</v>
      </c>
      <c r="E4161" s="681" t="s">
        <v>6155</v>
      </c>
      <c r="F4161" s="656" t="s">
        <v>436</v>
      </c>
      <c r="G4161" s="681">
        <v>637.0</v>
      </c>
      <c r="H4161" s="682" t="s">
        <v>5817</v>
      </c>
    </row>
    <row r="4162">
      <c r="A4162" s="546" t="s">
        <v>617</v>
      </c>
      <c r="B4162" s="653" t="s">
        <v>433</v>
      </c>
      <c r="C4162" s="680">
        <v>46073.0</v>
      </c>
      <c r="D4162" s="681">
        <v>4.7060842549E10</v>
      </c>
      <c r="E4162" s="681" t="s">
        <v>6196</v>
      </c>
      <c r="F4162" s="656" t="s">
        <v>436</v>
      </c>
      <c r="G4162" s="681">
        <v>672.0</v>
      </c>
      <c r="H4162" s="682" t="s">
        <v>5817</v>
      </c>
    </row>
    <row r="4163">
      <c r="A4163" s="546" t="s">
        <v>432</v>
      </c>
      <c r="B4163" s="653" t="s">
        <v>433</v>
      </c>
      <c r="C4163" s="680">
        <v>46073.0</v>
      </c>
      <c r="D4163" s="681">
        <v>4.2077859955E10</v>
      </c>
      <c r="E4163" s="681" t="s">
        <v>5336</v>
      </c>
      <c r="F4163" s="656" t="s">
        <v>436</v>
      </c>
      <c r="G4163" s="681">
        <v>898.0</v>
      </c>
      <c r="H4163" s="682" t="s">
        <v>686</v>
      </c>
    </row>
    <row r="4164">
      <c r="A4164" s="546" t="s">
        <v>432</v>
      </c>
      <c r="B4164" s="653" t="s">
        <v>449</v>
      </c>
      <c r="C4164" s="680">
        <v>46073.0</v>
      </c>
      <c r="D4164" s="681">
        <v>4.5675542506E10</v>
      </c>
      <c r="E4164" s="681" t="s">
        <v>6492</v>
      </c>
      <c r="F4164" s="656" t="s">
        <v>436</v>
      </c>
      <c r="G4164" s="681">
        <v>928.0</v>
      </c>
      <c r="H4164" s="682" t="s">
        <v>686</v>
      </c>
    </row>
    <row r="4165">
      <c r="A4165" s="546" t="s">
        <v>432</v>
      </c>
      <c r="B4165" s="653" t="s">
        <v>449</v>
      </c>
      <c r="C4165" s="680">
        <v>46073.0</v>
      </c>
      <c r="D4165" s="681">
        <v>4.5667344771E10</v>
      </c>
      <c r="E4165" s="681" t="s">
        <v>6492</v>
      </c>
      <c r="F4165" s="656" t="s">
        <v>436</v>
      </c>
      <c r="G4165" s="681">
        <v>928.0</v>
      </c>
      <c r="H4165" s="682" t="s">
        <v>686</v>
      </c>
    </row>
    <row r="4166">
      <c r="A4166" s="546" t="s">
        <v>617</v>
      </c>
      <c r="B4166" s="653" t="s">
        <v>433</v>
      </c>
      <c r="C4166" s="680">
        <v>46073.0</v>
      </c>
      <c r="D4166" s="681">
        <v>4.7409213637E10</v>
      </c>
      <c r="E4166" s="681" t="s">
        <v>6391</v>
      </c>
      <c r="F4166" s="656" t="s">
        <v>436</v>
      </c>
      <c r="G4166" s="681">
        <v>1017.0</v>
      </c>
      <c r="H4166" s="682" t="s">
        <v>5817</v>
      </c>
    </row>
    <row r="4167">
      <c r="A4167" s="546" t="s">
        <v>617</v>
      </c>
      <c r="B4167" s="653" t="s">
        <v>433</v>
      </c>
      <c r="C4167" s="680">
        <v>46073.0</v>
      </c>
      <c r="D4167" s="681">
        <v>4.7350363322E10</v>
      </c>
      <c r="E4167" s="681" t="s">
        <v>5656</v>
      </c>
      <c r="F4167" s="656" t="s">
        <v>436</v>
      </c>
      <c r="G4167" s="681">
        <v>1339.0</v>
      </c>
      <c r="H4167" s="682" t="s">
        <v>5817</v>
      </c>
    </row>
    <row r="4168">
      <c r="A4168" s="546" t="s">
        <v>617</v>
      </c>
      <c r="B4168" s="653" t="s">
        <v>433</v>
      </c>
      <c r="C4168" s="680">
        <v>46073.0</v>
      </c>
      <c r="D4168" s="681">
        <v>4.9304713182E10</v>
      </c>
      <c r="E4168" s="681" t="s">
        <v>6544</v>
      </c>
      <c r="F4168" s="656" t="s">
        <v>436</v>
      </c>
      <c r="G4168" s="681">
        <v>1448.0</v>
      </c>
      <c r="H4168" s="682" t="s">
        <v>5817</v>
      </c>
    </row>
    <row r="4169">
      <c r="A4169" s="546" t="s">
        <v>617</v>
      </c>
      <c r="B4169" s="653" t="s">
        <v>433</v>
      </c>
      <c r="C4169" s="680">
        <v>46073.0</v>
      </c>
      <c r="D4169" s="681">
        <v>4.7277721239E10</v>
      </c>
      <c r="E4169" s="681" t="s">
        <v>5656</v>
      </c>
      <c r="F4169" s="656" t="s">
        <v>436</v>
      </c>
      <c r="G4169" s="681">
        <v>1460.0</v>
      </c>
      <c r="H4169" s="682" t="s">
        <v>5817</v>
      </c>
    </row>
    <row r="4170">
      <c r="A4170" s="546" t="s">
        <v>617</v>
      </c>
      <c r="B4170" s="653" t="s">
        <v>433</v>
      </c>
      <c r="C4170" s="680">
        <v>46073.0</v>
      </c>
      <c r="D4170" s="681">
        <v>4.2078336273E10</v>
      </c>
      <c r="E4170" s="681" t="s">
        <v>4222</v>
      </c>
      <c r="F4170" s="656" t="s">
        <v>436</v>
      </c>
      <c r="G4170" s="681">
        <v>1498.0</v>
      </c>
      <c r="H4170" s="682" t="s">
        <v>5817</v>
      </c>
    </row>
    <row r="4171">
      <c r="A4171" s="546" t="s">
        <v>617</v>
      </c>
      <c r="B4171" s="653" t="s">
        <v>433</v>
      </c>
      <c r="C4171" s="680">
        <v>46073.0</v>
      </c>
      <c r="D4171" s="681">
        <v>4.6952181354E10</v>
      </c>
      <c r="E4171" s="681" t="s">
        <v>5336</v>
      </c>
      <c r="F4171" s="656" t="s">
        <v>436</v>
      </c>
      <c r="G4171" s="681">
        <v>1750.0</v>
      </c>
      <c r="H4171" s="682" t="s">
        <v>5817</v>
      </c>
    </row>
    <row r="4172">
      <c r="A4172" s="546" t="s">
        <v>432</v>
      </c>
      <c r="B4172" s="653" t="s">
        <v>433</v>
      </c>
      <c r="C4172" s="680">
        <v>46073.0</v>
      </c>
      <c r="D4172" s="681">
        <v>4.3294803541E10</v>
      </c>
      <c r="E4172" s="681" t="s">
        <v>4857</v>
      </c>
      <c r="F4172" s="656" t="s">
        <v>436</v>
      </c>
      <c r="G4172" s="681">
        <v>2027.0</v>
      </c>
      <c r="H4172" s="682" t="s">
        <v>686</v>
      </c>
    </row>
    <row r="4173">
      <c r="A4173" s="546" t="s">
        <v>432</v>
      </c>
      <c r="B4173" s="653" t="s">
        <v>433</v>
      </c>
      <c r="C4173" s="680">
        <v>46073.0</v>
      </c>
      <c r="D4173" s="681">
        <v>4.4675651312E10</v>
      </c>
      <c r="E4173" s="681" t="s">
        <v>5630</v>
      </c>
      <c r="F4173" s="656" t="s">
        <v>436</v>
      </c>
      <c r="G4173" s="681">
        <v>2344.0</v>
      </c>
      <c r="H4173" s="682" t="s">
        <v>686</v>
      </c>
    </row>
    <row r="4174">
      <c r="A4174" s="546" t="s">
        <v>617</v>
      </c>
      <c r="B4174" s="653" t="s">
        <v>433</v>
      </c>
      <c r="C4174" s="680">
        <v>46073.0</v>
      </c>
      <c r="D4174" s="681">
        <v>4.9650014794E10</v>
      </c>
      <c r="E4174" s="681" t="s">
        <v>6348</v>
      </c>
      <c r="F4174" s="656" t="s">
        <v>436</v>
      </c>
      <c r="G4174" s="681">
        <v>2561.0</v>
      </c>
      <c r="H4174" s="682" t="s">
        <v>5817</v>
      </c>
    </row>
    <row r="4175">
      <c r="A4175" s="546" t="s">
        <v>432</v>
      </c>
      <c r="B4175" s="653" t="s">
        <v>433</v>
      </c>
      <c r="C4175" s="680">
        <v>46073.0</v>
      </c>
      <c r="D4175" s="681">
        <v>4.1210735307E10</v>
      </c>
      <c r="E4175" s="681" t="s">
        <v>5630</v>
      </c>
      <c r="F4175" s="656" t="s">
        <v>436</v>
      </c>
      <c r="G4175" s="681">
        <v>2730.0</v>
      </c>
      <c r="H4175" s="682" t="s">
        <v>686</v>
      </c>
    </row>
    <row r="4176">
      <c r="A4176" s="546" t="s">
        <v>617</v>
      </c>
      <c r="B4176" s="653" t="s">
        <v>449</v>
      </c>
      <c r="C4176" s="680">
        <v>46073.0</v>
      </c>
      <c r="D4176" s="681">
        <v>4.3023635643E10</v>
      </c>
      <c r="E4176" s="681" t="s">
        <v>4222</v>
      </c>
      <c r="F4176" s="656" t="s">
        <v>436</v>
      </c>
      <c r="G4176" s="681">
        <v>2785.0</v>
      </c>
      <c r="H4176" s="682" t="s">
        <v>5817</v>
      </c>
    </row>
    <row r="4177">
      <c r="A4177" s="546" t="s">
        <v>617</v>
      </c>
      <c r="B4177" s="653" t="s">
        <v>433</v>
      </c>
      <c r="C4177" s="680">
        <v>46073.0</v>
      </c>
      <c r="D4177" s="681">
        <v>4.8387960163E10</v>
      </c>
      <c r="E4177" s="681" t="s">
        <v>5383</v>
      </c>
      <c r="F4177" s="656" t="s">
        <v>436</v>
      </c>
      <c r="G4177" s="681">
        <v>3032.0</v>
      </c>
      <c r="H4177" s="682" t="s">
        <v>5817</v>
      </c>
    </row>
    <row r="4178">
      <c r="A4178" s="546" t="s">
        <v>617</v>
      </c>
      <c r="B4178" s="653" t="s">
        <v>433</v>
      </c>
      <c r="C4178" s="680">
        <v>46073.0</v>
      </c>
      <c r="D4178" s="681">
        <v>3.2294264861E10</v>
      </c>
      <c r="E4178" s="681" t="s">
        <v>6382</v>
      </c>
      <c r="F4178" s="656" t="s">
        <v>436</v>
      </c>
      <c r="G4178" s="681">
        <v>3794.0</v>
      </c>
      <c r="H4178" s="682" t="s">
        <v>5817</v>
      </c>
    </row>
    <row r="4179">
      <c r="A4179" s="546" t="s">
        <v>617</v>
      </c>
      <c r="B4179" s="653" t="s">
        <v>433</v>
      </c>
      <c r="C4179" s="680">
        <v>46073.0</v>
      </c>
      <c r="D4179" s="681">
        <v>4.7195889666E10</v>
      </c>
      <c r="E4179" s="681" t="s">
        <v>5656</v>
      </c>
      <c r="F4179" s="656" t="s">
        <v>436</v>
      </c>
      <c r="G4179" s="681">
        <v>3930.0</v>
      </c>
      <c r="H4179" s="682" t="s">
        <v>5817</v>
      </c>
    </row>
    <row r="4180">
      <c r="A4180" s="546" t="s">
        <v>617</v>
      </c>
      <c r="B4180" s="653" t="s">
        <v>433</v>
      </c>
      <c r="C4180" s="680">
        <v>46073.0</v>
      </c>
      <c r="D4180" s="681">
        <v>4.2569020643E10</v>
      </c>
      <c r="E4180" s="681" t="s">
        <v>5315</v>
      </c>
      <c r="F4180" s="656" t="s">
        <v>436</v>
      </c>
      <c r="G4180" s="681">
        <v>4114.0</v>
      </c>
      <c r="H4180" s="682" t="s">
        <v>5817</v>
      </c>
    </row>
    <row r="4181">
      <c r="A4181" s="546" t="s">
        <v>617</v>
      </c>
      <c r="B4181" s="653" t="s">
        <v>688</v>
      </c>
      <c r="C4181" s="680">
        <v>46073.0</v>
      </c>
      <c r="D4181" s="681">
        <v>4.4471668328E10</v>
      </c>
      <c r="E4181" s="681" t="s">
        <v>6545</v>
      </c>
      <c r="F4181" s="656" t="s">
        <v>436</v>
      </c>
      <c r="G4181" s="681">
        <v>5078.0</v>
      </c>
      <c r="H4181" s="682" t="s">
        <v>5817</v>
      </c>
    </row>
    <row r="4182">
      <c r="A4182" s="546" t="s">
        <v>823</v>
      </c>
      <c r="B4182" s="653" t="s">
        <v>449</v>
      </c>
      <c r="C4182" s="680">
        <v>46074.0</v>
      </c>
      <c r="D4182" s="681">
        <v>4.333492955E10</v>
      </c>
      <c r="E4182" s="681" t="s">
        <v>4857</v>
      </c>
      <c r="F4182" s="656" t="s">
        <v>436</v>
      </c>
      <c r="G4182" s="681">
        <v>572.0</v>
      </c>
      <c r="H4182" s="682" t="s">
        <v>4558</v>
      </c>
    </row>
    <row r="4183">
      <c r="A4183" s="546" t="s">
        <v>617</v>
      </c>
      <c r="B4183" s="653" t="s">
        <v>433</v>
      </c>
      <c r="C4183" s="680">
        <v>46074.0</v>
      </c>
      <c r="D4183" s="681">
        <v>4.6402322166E10</v>
      </c>
      <c r="E4183" s="681" t="s">
        <v>5759</v>
      </c>
      <c r="F4183" s="656" t="s">
        <v>436</v>
      </c>
      <c r="G4183" s="681">
        <v>782.0</v>
      </c>
      <c r="H4183" s="682" t="s">
        <v>5817</v>
      </c>
    </row>
    <row r="4184">
      <c r="A4184" s="546" t="s">
        <v>617</v>
      </c>
      <c r="B4184" s="653" t="s">
        <v>433</v>
      </c>
      <c r="C4184" s="680">
        <v>46074.0</v>
      </c>
      <c r="D4184" s="681">
        <v>3.7282391223E10</v>
      </c>
      <c r="E4184" s="681" t="s">
        <v>6260</v>
      </c>
      <c r="F4184" s="656" t="s">
        <v>436</v>
      </c>
      <c r="G4184" s="681">
        <v>1029.0</v>
      </c>
      <c r="H4184" s="682" t="s">
        <v>5817</v>
      </c>
    </row>
    <row r="4185">
      <c r="A4185" s="546" t="s">
        <v>617</v>
      </c>
      <c r="B4185" s="653" t="s">
        <v>433</v>
      </c>
      <c r="C4185" s="680">
        <v>46074.0</v>
      </c>
      <c r="D4185" s="681">
        <v>4.8190936728E10</v>
      </c>
      <c r="E4185" s="681" t="s">
        <v>5630</v>
      </c>
      <c r="F4185" s="656" t="s">
        <v>436</v>
      </c>
      <c r="G4185" s="681">
        <v>1149.0</v>
      </c>
      <c r="H4185" s="682" t="s">
        <v>5817</v>
      </c>
    </row>
    <row r="4186">
      <c r="A4186" s="546" t="s">
        <v>617</v>
      </c>
      <c r="B4186" s="653" t="s">
        <v>449</v>
      </c>
      <c r="C4186" s="680">
        <v>46074.0</v>
      </c>
      <c r="D4186" s="681">
        <v>4.7316800927E10</v>
      </c>
      <c r="E4186" s="681" t="s">
        <v>6391</v>
      </c>
      <c r="F4186" s="656" t="s">
        <v>436</v>
      </c>
      <c r="G4186" s="681">
        <v>1440.0</v>
      </c>
      <c r="H4186" s="682" t="s">
        <v>5817</v>
      </c>
    </row>
    <row r="4187">
      <c r="A4187" s="546" t="s">
        <v>823</v>
      </c>
      <c r="B4187" s="653" t="s">
        <v>449</v>
      </c>
      <c r="C4187" s="680">
        <v>46074.0</v>
      </c>
      <c r="D4187" s="681">
        <v>3.6868207817E10</v>
      </c>
      <c r="E4187" s="681" t="s">
        <v>6546</v>
      </c>
      <c r="F4187" s="656" t="s">
        <v>436</v>
      </c>
      <c r="G4187" s="681">
        <v>1479.0</v>
      </c>
      <c r="H4187" s="682" t="s">
        <v>4558</v>
      </c>
    </row>
    <row r="4188">
      <c r="A4188" s="546" t="s">
        <v>432</v>
      </c>
      <c r="B4188" s="653" t="s">
        <v>433</v>
      </c>
      <c r="C4188" s="680">
        <v>46074.0</v>
      </c>
      <c r="D4188" s="681">
        <v>4.7341030271E10</v>
      </c>
      <c r="E4188" s="681" t="s">
        <v>5630</v>
      </c>
      <c r="F4188" s="656" t="s">
        <v>436</v>
      </c>
      <c r="G4188" s="681">
        <v>1577.0</v>
      </c>
      <c r="H4188" s="682" t="s">
        <v>686</v>
      </c>
    </row>
    <row r="4189">
      <c r="A4189" s="546" t="s">
        <v>823</v>
      </c>
      <c r="B4189" s="653" t="s">
        <v>449</v>
      </c>
      <c r="C4189" s="680">
        <v>46074.0</v>
      </c>
      <c r="D4189" s="681">
        <v>4.7318295115E10</v>
      </c>
      <c r="E4189" s="681" t="s">
        <v>6547</v>
      </c>
      <c r="F4189" s="656" t="s">
        <v>436</v>
      </c>
      <c r="G4189" s="681">
        <v>1722.0</v>
      </c>
      <c r="H4189" s="682" t="s">
        <v>4558</v>
      </c>
    </row>
    <row r="4190">
      <c r="A4190" s="546" t="s">
        <v>823</v>
      </c>
      <c r="B4190" s="653" t="s">
        <v>433</v>
      </c>
      <c r="C4190" s="680">
        <v>46074.0</v>
      </c>
      <c r="D4190" s="681">
        <v>3.9472776397E10</v>
      </c>
      <c r="E4190" s="681" t="s">
        <v>5253</v>
      </c>
      <c r="F4190" s="656" t="s">
        <v>436</v>
      </c>
      <c r="G4190" s="681">
        <v>1866.0</v>
      </c>
      <c r="H4190" s="682" t="s">
        <v>4558</v>
      </c>
    </row>
    <row r="4191">
      <c r="A4191" s="546" t="s">
        <v>823</v>
      </c>
      <c r="B4191" s="653" t="s">
        <v>449</v>
      </c>
      <c r="C4191" s="680">
        <v>46074.0</v>
      </c>
      <c r="D4191" s="681">
        <v>4.3119860195E10</v>
      </c>
      <c r="E4191" s="681" t="s">
        <v>6548</v>
      </c>
      <c r="F4191" s="656" t="s">
        <v>436</v>
      </c>
      <c r="G4191" s="681">
        <v>1876.0</v>
      </c>
      <c r="H4191" s="682" t="s">
        <v>4558</v>
      </c>
    </row>
    <row r="4192">
      <c r="A4192" s="546" t="s">
        <v>617</v>
      </c>
      <c r="B4192" s="653" t="s">
        <v>433</v>
      </c>
      <c r="C4192" s="680">
        <v>46074.0</v>
      </c>
      <c r="D4192" s="681">
        <v>4.2967804203E10</v>
      </c>
      <c r="E4192" s="681" t="s">
        <v>4104</v>
      </c>
      <c r="F4192" s="656" t="s">
        <v>436</v>
      </c>
      <c r="G4192" s="681">
        <v>1970.0</v>
      </c>
      <c r="H4192" s="682" t="s">
        <v>5817</v>
      </c>
    </row>
    <row r="4193">
      <c r="A4193" s="546" t="s">
        <v>432</v>
      </c>
      <c r="B4193" s="653" t="s">
        <v>433</v>
      </c>
      <c r="C4193" s="680">
        <v>46074.0</v>
      </c>
      <c r="D4193" s="681">
        <v>2.7125881376E10</v>
      </c>
      <c r="E4193" s="681" t="s">
        <v>5630</v>
      </c>
      <c r="F4193" s="656" t="s">
        <v>436</v>
      </c>
      <c r="G4193" s="681">
        <v>1975.0</v>
      </c>
      <c r="H4193" s="682" t="s">
        <v>686</v>
      </c>
    </row>
    <row r="4194">
      <c r="A4194" s="546" t="s">
        <v>617</v>
      </c>
      <c r="B4194" s="653" t="s">
        <v>433</v>
      </c>
      <c r="C4194" s="680">
        <v>46074.0</v>
      </c>
      <c r="D4194" s="681">
        <v>4.4487146493E10</v>
      </c>
      <c r="E4194" s="681" t="s">
        <v>5383</v>
      </c>
      <c r="F4194" s="656" t="s">
        <v>436</v>
      </c>
      <c r="G4194" s="681">
        <v>2107.0</v>
      </c>
      <c r="H4194" s="682" t="s">
        <v>5817</v>
      </c>
    </row>
    <row r="4195">
      <c r="A4195" s="546" t="s">
        <v>617</v>
      </c>
      <c r="B4195" s="653" t="s">
        <v>433</v>
      </c>
      <c r="C4195" s="680">
        <v>46074.0</v>
      </c>
      <c r="D4195" s="681">
        <v>4.0072646008E10</v>
      </c>
      <c r="E4195" s="681" t="s">
        <v>6549</v>
      </c>
      <c r="F4195" s="656" t="s">
        <v>436</v>
      </c>
      <c r="G4195" s="681">
        <v>2603.0</v>
      </c>
      <c r="H4195" s="682" t="s">
        <v>5817</v>
      </c>
    </row>
    <row r="4196">
      <c r="A4196" s="546" t="s">
        <v>617</v>
      </c>
      <c r="B4196" s="653" t="s">
        <v>449</v>
      </c>
      <c r="C4196" s="680">
        <v>46074.0</v>
      </c>
      <c r="D4196" s="681">
        <v>4.3197754334E10</v>
      </c>
      <c r="E4196" s="681" t="s">
        <v>6498</v>
      </c>
      <c r="F4196" s="656" t="s">
        <v>436</v>
      </c>
      <c r="G4196" s="681">
        <v>2676.0</v>
      </c>
      <c r="H4196" s="682" t="s">
        <v>5817</v>
      </c>
    </row>
    <row r="4197">
      <c r="A4197" s="546" t="s">
        <v>617</v>
      </c>
      <c r="B4197" s="653" t="s">
        <v>433</v>
      </c>
      <c r="C4197" s="680">
        <v>46074.0</v>
      </c>
      <c r="D4197" s="681">
        <v>4.4324849271E10</v>
      </c>
      <c r="E4197" s="681" t="s">
        <v>5630</v>
      </c>
      <c r="F4197" s="656" t="s">
        <v>436</v>
      </c>
      <c r="G4197" s="681">
        <v>2763.0</v>
      </c>
      <c r="H4197" s="682" t="s">
        <v>5817</v>
      </c>
    </row>
    <row r="4198">
      <c r="A4198" s="546" t="s">
        <v>617</v>
      </c>
      <c r="B4198" s="653" t="s">
        <v>433</v>
      </c>
      <c r="C4198" s="680">
        <v>46074.0</v>
      </c>
      <c r="D4198" s="681">
        <v>3.4490490356E10</v>
      </c>
      <c r="E4198" s="681" t="s">
        <v>6288</v>
      </c>
      <c r="F4198" s="656" t="s">
        <v>436</v>
      </c>
      <c r="G4198" s="681">
        <v>3000.0</v>
      </c>
      <c r="H4198" s="682" t="s">
        <v>5817</v>
      </c>
    </row>
    <row r="4199">
      <c r="A4199" s="546" t="s">
        <v>617</v>
      </c>
      <c r="B4199" s="653" t="s">
        <v>433</v>
      </c>
      <c r="C4199" s="680">
        <v>46074.0</v>
      </c>
      <c r="D4199" s="681">
        <v>4.6713335349E10</v>
      </c>
      <c r="E4199" s="681" t="s">
        <v>5759</v>
      </c>
      <c r="F4199" s="656" t="s">
        <v>436</v>
      </c>
      <c r="G4199" s="681">
        <v>3129.0</v>
      </c>
      <c r="H4199" s="682" t="s">
        <v>5817</v>
      </c>
    </row>
    <row r="4200">
      <c r="A4200" s="546" t="s">
        <v>823</v>
      </c>
      <c r="B4200" s="653" t="s">
        <v>449</v>
      </c>
      <c r="C4200" s="684">
        <v>46074.0</v>
      </c>
      <c r="D4200" s="685">
        <v>4.4724986618E10</v>
      </c>
      <c r="E4200" s="685" t="s">
        <v>4857</v>
      </c>
      <c r="F4200" s="655" t="s">
        <v>436</v>
      </c>
      <c r="G4200" s="685">
        <v>3761.0</v>
      </c>
      <c r="H4200" s="686" t="s">
        <v>4558</v>
      </c>
    </row>
    <row r="4201">
      <c r="A4201" s="546" t="s">
        <v>823</v>
      </c>
      <c r="B4201" s="653" t="s">
        <v>433</v>
      </c>
      <c r="C4201" s="684">
        <v>46075.0</v>
      </c>
      <c r="D4201" s="685">
        <v>4.4696120847E10</v>
      </c>
      <c r="E4201" s="685" t="s">
        <v>5468</v>
      </c>
      <c r="F4201" s="655" t="s">
        <v>436</v>
      </c>
      <c r="G4201" s="685">
        <v>91.0</v>
      </c>
      <c r="H4201" s="686" t="s">
        <v>4558</v>
      </c>
    </row>
    <row r="4202">
      <c r="A4202" s="546" t="s">
        <v>823</v>
      </c>
      <c r="B4202" s="653" t="s">
        <v>449</v>
      </c>
      <c r="C4202" s="684">
        <v>46075.0</v>
      </c>
      <c r="D4202" s="685">
        <v>4.9653324538E10</v>
      </c>
      <c r="E4202" s="685" t="s">
        <v>6550</v>
      </c>
      <c r="F4202" s="655" t="s">
        <v>436</v>
      </c>
      <c r="G4202" s="685">
        <v>170.0</v>
      </c>
      <c r="H4202" s="686" t="s">
        <v>4558</v>
      </c>
    </row>
    <row r="4203">
      <c r="A4203" s="546" t="s">
        <v>823</v>
      </c>
      <c r="B4203" s="653" t="s">
        <v>449</v>
      </c>
      <c r="C4203" s="684">
        <v>46075.0</v>
      </c>
      <c r="D4203" s="685">
        <v>4.9653324533E10</v>
      </c>
      <c r="E4203" s="685" t="s">
        <v>6550</v>
      </c>
      <c r="F4203" s="655" t="s">
        <v>436</v>
      </c>
      <c r="G4203" s="685">
        <v>170.0</v>
      </c>
      <c r="H4203" s="686" t="s">
        <v>4558</v>
      </c>
    </row>
    <row r="4204">
      <c r="A4204" s="546" t="s">
        <v>823</v>
      </c>
      <c r="B4204" s="653" t="s">
        <v>449</v>
      </c>
      <c r="C4204" s="684">
        <v>46075.0</v>
      </c>
      <c r="D4204" s="685">
        <v>4.9653324535E10</v>
      </c>
      <c r="E4204" s="685" t="s">
        <v>6550</v>
      </c>
      <c r="F4204" s="655" t="s">
        <v>436</v>
      </c>
      <c r="G4204" s="685">
        <v>170.0</v>
      </c>
      <c r="H4204" s="686" t="s">
        <v>4558</v>
      </c>
    </row>
    <row r="4205">
      <c r="A4205" s="546" t="s">
        <v>823</v>
      </c>
      <c r="B4205" s="653" t="s">
        <v>449</v>
      </c>
      <c r="C4205" s="684">
        <v>46075.0</v>
      </c>
      <c r="D4205" s="685">
        <v>4.9653324532E10</v>
      </c>
      <c r="E4205" s="685" t="s">
        <v>6550</v>
      </c>
      <c r="F4205" s="655" t="s">
        <v>436</v>
      </c>
      <c r="G4205" s="685">
        <v>170.0</v>
      </c>
      <c r="H4205" s="686" t="s">
        <v>4558</v>
      </c>
    </row>
    <row r="4206">
      <c r="A4206" s="546" t="s">
        <v>823</v>
      </c>
      <c r="B4206" s="653" t="s">
        <v>449</v>
      </c>
      <c r="C4206" s="684">
        <v>46075.0</v>
      </c>
      <c r="D4206" s="685">
        <v>4.9724601581E10</v>
      </c>
      <c r="E4206" s="685" t="s">
        <v>6550</v>
      </c>
      <c r="F4206" s="655" t="s">
        <v>436</v>
      </c>
      <c r="G4206" s="685">
        <v>175.0</v>
      </c>
      <c r="H4206" s="686" t="s">
        <v>4558</v>
      </c>
    </row>
    <row r="4207">
      <c r="A4207" s="546" t="s">
        <v>823</v>
      </c>
      <c r="B4207" s="653" t="s">
        <v>449</v>
      </c>
      <c r="C4207" s="684">
        <v>46075.0</v>
      </c>
      <c r="D4207" s="685">
        <v>4.6840097305E10</v>
      </c>
      <c r="E4207" s="685" t="s">
        <v>4887</v>
      </c>
      <c r="F4207" s="655" t="s">
        <v>436</v>
      </c>
      <c r="G4207" s="685">
        <v>186.0</v>
      </c>
      <c r="H4207" s="686" t="s">
        <v>4558</v>
      </c>
    </row>
    <row r="4208">
      <c r="A4208" s="546" t="s">
        <v>439</v>
      </c>
      <c r="B4208" s="135" t="s">
        <v>449</v>
      </c>
      <c r="C4208" s="684">
        <v>46075.0</v>
      </c>
      <c r="D4208" s="685">
        <v>4.9783608533E10</v>
      </c>
      <c r="E4208" s="685" t="s">
        <v>6277</v>
      </c>
      <c r="F4208" s="655" t="s">
        <v>436</v>
      </c>
      <c r="G4208" s="685">
        <v>523.0</v>
      </c>
      <c r="H4208" s="682" t="s">
        <v>6539</v>
      </c>
    </row>
    <row r="4209">
      <c r="A4209" s="546" t="s">
        <v>439</v>
      </c>
      <c r="B4209" s="653" t="s">
        <v>433</v>
      </c>
      <c r="C4209" s="684">
        <v>46075.0</v>
      </c>
      <c r="D4209" s="685">
        <v>4.1196607124E10</v>
      </c>
      <c r="E4209" s="685" t="s">
        <v>6551</v>
      </c>
      <c r="F4209" s="655" t="s">
        <v>436</v>
      </c>
      <c r="G4209" s="685">
        <v>615.0</v>
      </c>
      <c r="H4209" s="686" t="s">
        <v>6539</v>
      </c>
    </row>
    <row r="4210">
      <c r="A4210" s="546" t="s">
        <v>823</v>
      </c>
      <c r="B4210" s="653" t="s">
        <v>449</v>
      </c>
      <c r="C4210" s="684">
        <v>46075.0</v>
      </c>
      <c r="D4210" s="685">
        <v>3.2611624121E10</v>
      </c>
      <c r="E4210" s="685" t="s">
        <v>6552</v>
      </c>
      <c r="F4210" s="655" t="s">
        <v>436</v>
      </c>
      <c r="G4210" s="685">
        <v>1696.0</v>
      </c>
      <c r="H4210" s="686" t="s">
        <v>4558</v>
      </c>
    </row>
    <row r="4211">
      <c r="A4211" s="546" t="s">
        <v>823</v>
      </c>
      <c r="B4211" s="653" t="s">
        <v>449</v>
      </c>
      <c r="C4211" s="684">
        <v>46075.0</v>
      </c>
      <c r="D4211" s="685">
        <v>3.2512310228E10</v>
      </c>
      <c r="E4211" s="685" t="s">
        <v>6552</v>
      </c>
      <c r="F4211" s="655" t="s">
        <v>436</v>
      </c>
      <c r="G4211" s="685">
        <v>1702.0</v>
      </c>
      <c r="H4211" s="686" t="s">
        <v>4558</v>
      </c>
    </row>
    <row r="4212">
      <c r="A4212" s="546" t="s">
        <v>823</v>
      </c>
      <c r="B4212" s="653" t="s">
        <v>449</v>
      </c>
      <c r="C4212" s="684">
        <v>46075.0</v>
      </c>
      <c r="D4212" s="685">
        <v>4.7279998732E10</v>
      </c>
      <c r="E4212" s="685" t="s">
        <v>5656</v>
      </c>
      <c r="F4212" s="655" t="s">
        <v>436</v>
      </c>
      <c r="G4212" s="685">
        <v>2744.0</v>
      </c>
      <c r="H4212" s="686" t="s">
        <v>4558</v>
      </c>
    </row>
    <row r="4213">
      <c r="A4213" s="546" t="s">
        <v>439</v>
      </c>
      <c r="B4213" s="653" t="s">
        <v>449</v>
      </c>
      <c r="C4213" s="680">
        <v>46075.0</v>
      </c>
      <c r="D4213" s="681">
        <v>4.838960059E10</v>
      </c>
      <c r="E4213" s="681" t="s">
        <v>6260</v>
      </c>
      <c r="F4213" s="656" t="s">
        <v>436</v>
      </c>
      <c r="G4213" s="681" t="s">
        <v>3241</v>
      </c>
      <c r="H4213" s="682" t="s">
        <v>6539</v>
      </c>
    </row>
    <row r="4214">
      <c r="A4214" s="546" t="s">
        <v>432</v>
      </c>
      <c r="B4214" s="653" t="s">
        <v>449</v>
      </c>
      <c r="C4214" s="684">
        <v>46075.0</v>
      </c>
      <c r="D4214" s="685">
        <v>1.7044098933E10</v>
      </c>
      <c r="E4214" s="685" t="s">
        <v>6553</v>
      </c>
      <c r="F4214" s="655" t="s">
        <v>436</v>
      </c>
      <c r="G4214" s="685" t="s">
        <v>714</v>
      </c>
      <c r="H4214" s="686" t="s">
        <v>438</v>
      </c>
    </row>
    <row r="4215">
      <c r="A4215" s="546" t="s">
        <v>617</v>
      </c>
      <c r="B4215" s="653" t="s">
        <v>433</v>
      </c>
      <c r="C4215" s="684">
        <v>46075.0</v>
      </c>
      <c r="D4215" s="685">
        <v>4.4893588255E10</v>
      </c>
      <c r="E4215" s="685" t="s">
        <v>4854</v>
      </c>
      <c r="F4215" s="655" t="s">
        <v>436</v>
      </c>
      <c r="G4215" s="685" t="s">
        <v>2285</v>
      </c>
      <c r="H4215" s="686" t="s">
        <v>696</v>
      </c>
    </row>
    <row r="4216">
      <c r="A4216" s="546" t="s">
        <v>439</v>
      </c>
      <c r="B4216" s="653" t="s">
        <v>433</v>
      </c>
      <c r="C4216" s="680">
        <v>46075.0</v>
      </c>
      <c r="D4216" s="681">
        <v>3.2451827195E10</v>
      </c>
      <c r="E4216" s="681" t="s">
        <v>6554</v>
      </c>
      <c r="F4216" s="656" t="s">
        <v>436</v>
      </c>
      <c r="G4216" s="681" t="s">
        <v>1447</v>
      </c>
      <c r="H4216" s="682" t="s">
        <v>6539</v>
      </c>
    </row>
    <row r="4217">
      <c r="A4217" s="546" t="s">
        <v>432</v>
      </c>
      <c r="B4217" s="653" t="s">
        <v>6555</v>
      </c>
      <c r="C4217" s="680">
        <v>46075.0</v>
      </c>
      <c r="D4217" s="681">
        <v>4.4487148107E10</v>
      </c>
      <c r="E4217" s="681" t="s">
        <v>4860</v>
      </c>
      <c r="F4217" s="656" t="s">
        <v>436</v>
      </c>
      <c r="G4217" s="681" t="s">
        <v>3132</v>
      </c>
      <c r="H4217" s="682" t="s">
        <v>438</v>
      </c>
    </row>
    <row r="4218">
      <c r="A4218" s="546" t="s">
        <v>432</v>
      </c>
      <c r="B4218" s="653" t="s">
        <v>449</v>
      </c>
      <c r="C4218" s="680">
        <v>46075.0</v>
      </c>
      <c r="D4218" s="681">
        <v>4.6859252812E10</v>
      </c>
      <c r="E4218" s="681" t="s">
        <v>6556</v>
      </c>
      <c r="F4218" s="656" t="s">
        <v>436</v>
      </c>
      <c r="G4218" s="681" t="s">
        <v>2912</v>
      </c>
      <c r="H4218" s="682" t="s">
        <v>438</v>
      </c>
    </row>
    <row r="4219">
      <c r="A4219" s="546" t="s">
        <v>617</v>
      </c>
      <c r="B4219" s="653" t="s">
        <v>433</v>
      </c>
      <c r="C4219" s="680">
        <v>46075.0</v>
      </c>
      <c r="D4219" s="681">
        <v>4.700204547E10</v>
      </c>
      <c r="E4219" s="681" t="s">
        <v>5345</v>
      </c>
      <c r="F4219" s="656" t="s">
        <v>436</v>
      </c>
      <c r="G4219" s="681" t="s">
        <v>3134</v>
      </c>
      <c r="H4219" s="682" t="s">
        <v>696</v>
      </c>
    </row>
    <row r="4220">
      <c r="A4220" s="546" t="s">
        <v>617</v>
      </c>
      <c r="B4220" s="653" t="s">
        <v>449</v>
      </c>
      <c r="C4220" s="680">
        <v>46075.0</v>
      </c>
      <c r="D4220" s="681">
        <v>4.2669671251E10</v>
      </c>
      <c r="E4220" s="681" t="s">
        <v>5382</v>
      </c>
      <c r="F4220" s="656" t="s">
        <v>436</v>
      </c>
      <c r="G4220" s="681" t="s">
        <v>6557</v>
      </c>
      <c r="H4220" s="682" t="s">
        <v>696</v>
      </c>
    </row>
    <row r="4221">
      <c r="A4221" s="546" t="s">
        <v>432</v>
      </c>
      <c r="B4221" s="653" t="s">
        <v>433</v>
      </c>
      <c r="C4221" s="680">
        <v>46076.0</v>
      </c>
      <c r="D4221" s="681">
        <v>4.9413577305E10</v>
      </c>
      <c r="E4221" s="681" t="s">
        <v>5759</v>
      </c>
      <c r="F4221" s="656" t="s">
        <v>436</v>
      </c>
      <c r="G4221" s="681">
        <v>221.0</v>
      </c>
      <c r="H4221" s="682" t="s">
        <v>5817</v>
      </c>
    </row>
    <row r="4222">
      <c r="A4222" s="546" t="s">
        <v>432</v>
      </c>
      <c r="B4222" s="653" t="s">
        <v>433</v>
      </c>
      <c r="C4222" s="680">
        <v>46076.0</v>
      </c>
      <c r="D4222" s="681">
        <v>4.6228500162E10</v>
      </c>
      <c r="E4222" s="681" t="s">
        <v>5336</v>
      </c>
      <c r="F4222" s="656" t="s">
        <v>436</v>
      </c>
      <c r="G4222" s="681">
        <v>229.0</v>
      </c>
      <c r="H4222" s="682" t="s">
        <v>5817</v>
      </c>
    </row>
    <row r="4223">
      <c r="A4223" s="546" t="s">
        <v>432</v>
      </c>
      <c r="B4223" s="653" t="s">
        <v>449</v>
      </c>
      <c r="C4223" s="680">
        <v>46076.0</v>
      </c>
      <c r="D4223" s="681">
        <v>2.858904514E10</v>
      </c>
      <c r="E4223" s="681" t="s">
        <v>6277</v>
      </c>
      <c r="F4223" s="656" t="s">
        <v>436</v>
      </c>
      <c r="G4223" s="681">
        <v>258.0</v>
      </c>
      <c r="H4223" s="682" t="s">
        <v>5817</v>
      </c>
    </row>
    <row r="4224">
      <c r="A4224" s="546" t="s">
        <v>432</v>
      </c>
      <c r="B4224" s="653" t="s">
        <v>449</v>
      </c>
      <c r="C4224" s="680">
        <v>46076.0</v>
      </c>
      <c r="D4224" s="681">
        <v>3.4926316581E10</v>
      </c>
      <c r="E4224" s="681" t="s">
        <v>6558</v>
      </c>
      <c r="F4224" s="656" t="s">
        <v>436</v>
      </c>
      <c r="G4224" s="681">
        <v>500.0</v>
      </c>
      <c r="H4224" s="682" t="s">
        <v>5817</v>
      </c>
    </row>
    <row r="4225">
      <c r="A4225" s="546" t="s">
        <v>432</v>
      </c>
      <c r="B4225" s="653" t="s">
        <v>433</v>
      </c>
      <c r="C4225" s="680">
        <v>46076.0</v>
      </c>
      <c r="D4225" s="681">
        <v>3.8647435184E10</v>
      </c>
      <c r="E4225" s="681" t="s">
        <v>6026</v>
      </c>
      <c r="F4225" s="656" t="s">
        <v>436</v>
      </c>
      <c r="G4225" s="681">
        <v>700.0</v>
      </c>
      <c r="H4225" s="682" t="s">
        <v>5817</v>
      </c>
    </row>
    <row r="4226">
      <c r="A4226" s="546" t="s">
        <v>432</v>
      </c>
      <c r="B4226" s="653" t="s">
        <v>449</v>
      </c>
      <c r="C4226" s="680">
        <v>46076.0</v>
      </c>
      <c r="D4226" s="681">
        <v>4.7171525157E10</v>
      </c>
      <c r="E4226" s="681" t="s">
        <v>5055</v>
      </c>
      <c r="F4226" s="656" t="s">
        <v>436</v>
      </c>
      <c r="G4226" s="681">
        <v>701.0</v>
      </c>
      <c r="H4226" s="682" t="s">
        <v>5817</v>
      </c>
    </row>
    <row r="4227">
      <c r="A4227" s="546" t="s">
        <v>432</v>
      </c>
      <c r="B4227" s="653" t="s">
        <v>433</v>
      </c>
      <c r="C4227" s="680">
        <v>46076.0</v>
      </c>
      <c r="D4227" s="681">
        <v>4.2557629788E10</v>
      </c>
      <c r="E4227" s="681" t="s">
        <v>4222</v>
      </c>
      <c r="F4227" s="656" t="s">
        <v>436</v>
      </c>
      <c r="G4227" s="681">
        <v>833.0</v>
      </c>
      <c r="H4227" s="682" t="s">
        <v>5817</v>
      </c>
    </row>
    <row r="4228">
      <c r="A4228" s="546" t="s">
        <v>432</v>
      </c>
      <c r="B4228" s="653" t="s">
        <v>433</v>
      </c>
      <c r="C4228" s="680">
        <v>46076.0</v>
      </c>
      <c r="D4228" s="681">
        <v>3.3507500398E10</v>
      </c>
      <c r="E4228" s="681" t="s">
        <v>5759</v>
      </c>
      <c r="F4228" s="656" t="s">
        <v>436</v>
      </c>
      <c r="G4228" s="681">
        <v>1110.0</v>
      </c>
      <c r="H4228" s="682" t="s">
        <v>5817</v>
      </c>
    </row>
    <row r="4229">
      <c r="A4229" s="546" t="s">
        <v>432</v>
      </c>
      <c r="B4229" s="653" t="s">
        <v>433</v>
      </c>
      <c r="C4229" s="680">
        <v>46076.0</v>
      </c>
      <c r="D4229" s="681">
        <v>4.378204003E10</v>
      </c>
      <c r="E4229" s="681" t="s">
        <v>4165</v>
      </c>
      <c r="F4229" s="656" t="s">
        <v>436</v>
      </c>
      <c r="G4229" s="681">
        <v>1248.0</v>
      </c>
      <c r="H4229" s="682" t="s">
        <v>5817</v>
      </c>
    </row>
    <row r="4230">
      <c r="A4230" s="546" t="s">
        <v>432</v>
      </c>
      <c r="B4230" s="653" t="s">
        <v>449</v>
      </c>
      <c r="C4230" s="680">
        <v>46076.0</v>
      </c>
      <c r="D4230" s="681">
        <v>4.7036312545E10</v>
      </c>
      <c r="E4230" s="681" t="s">
        <v>5430</v>
      </c>
      <c r="F4230" s="656" t="s">
        <v>436</v>
      </c>
      <c r="G4230" s="681">
        <v>1415.0</v>
      </c>
      <c r="H4230" s="682" t="s">
        <v>5817</v>
      </c>
    </row>
    <row r="4231">
      <c r="A4231" s="546" t="s">
        <v>432</v>
      </c>
      <c r="B4231" s="653" t="s">
        <v>433</v>
      </c>
      <c r="C4231" s="680">
        <v>46076.0</v>
      </c>
      <c r="D4231" s="681">
        <v>4.6958209671E10</v>
      </c>
      <c r="E4231" s="681" t="s">
        <v>5759</v>
      </c>
      <c r="F4231" s="656" t="s">
        <v>436</v>
      </c>
      <c r="G4231" s="681">
        <v>1574.0</v>
      </c>
      <c r="H4231" s="682" t="s">
        <v>5817</v>
      </c>
    </row>
    <row r="4232">
      <c r="A4232" s="546" t="s">
        <v>432</v>
      </c>
      <c r="B4232" s="653" t="s">
        <v>433</v>
      </c>
      <c r="C4232" s="680">
        <v>46076.0</v>
      </c>
      <c r="D4232" s="681">
        <v>4.3429651878E10</v>
      </c>
      <c r="E4232" s="681" t="s">
        <v>5759</v>
      </c>
      <c r="F4232" s="656" t="s">
        <v>436</v>
      </c>
      <c r="G4232" s="681">
        <v>1574.0</v>
      </c>
      <c r="H4232" s="682" t="s">
        <v>5817</v>
      </c>
    </row>
    <row r="4233">
      <c r="A4233" s="546" t="s">
        <v>432</v>
      </c>
      <c r="B4233" s="653" t="s">
        <v>449</v>
      </c>
      <c r="C4233" s="680">
        <v>46076.0</v>
      </c>
      <c r="D4233" s="681">
        <v>4.5685508379E10</v>
      </c>
      <c r="E4233" s="681" t="s">
        <v>6559</v>
      </c>
      <c r="F4233" s="656" t="s">
        <v>436</v>
      </c>
      <c r="G4233" s="681">
        <v>1659.0</v>
      </c>
      <c r="H4233" s="682" t="s">
        <v>5817</v>
      </c>
    </row>
    <row r="4234">
      <c r="A4234" s="546" t="s">
        <v>432</v>
      </c>
      <c r="B4234" s="653" t="s">
        <v>449</v>
      </c>
      <c r="C4234" s="680">
        <v>46076.0</v>
      </c>
      <c r="D4234" s="681">
        <v>4.5634347425E10</v>
      </c>
      <c r="E4234" s="681" t="s">
        <v>6560</v>
      </c>
      <c r="F4234" s="656" t="s">
        <v>436</v>
      </c>
      <c r="G4234" s="681">
        <v>1740.0</v>
      </c>
      <c r="H4234" s="682" t="s">
        <v>5817</v>
      </c>
    </row>
    <row r="4235">
      <c r="A4235" s="546" t="s">
        <v>432</v>
      </c>
      <c r="B4235" s="653" t="s">
        <v>433</v>
      </c>
      <c r="C4235" s="680">
        <v>46076.0</v>
      </c>
      <c r="D4235" s="681">
        <v>4.6944795794E10</v>
      </c>
      <c r="E4235" s="681" t="s">
        <v>5759</v>
      </c>
      <c r="F4235" s="656" t="s">
        <v>436</v>
      </c>
      <c r="G4235" s="681">
        <v>2016.0</v>
      </c>
      <c r="H4235" s="682" t="s">
        <v>5817</v>
      </c>
    </row>
    <row r="4236">
      <c r="A4236" s="546" t="s">
        <v>432</v>
      </c>
      <c r="B4236" s="653" t="s">
        <v>449</v>
      </c>
      <c r="C4236" s="680">
        <v>46076.0</v>
      </c>
      <c r="D4236" s="681">
        <v>4.9819136583E10</v>
      </c>
      <c r="E4236" s="681" t="s">
        <v>5025</v>
      </c>
      <c r="F4236" s="656" t="s">
        <v>436</v>
      </c>
      <c r="G4236" s="681">
        <v>2085.0</v>
      </c>
      <c r="H4236" s="682" t="s">
        <v>5817</v>
      </c>
    </row>
    <row r="4237">
      <c r="A4237" s="546" t="s">
        <v>432</v>
      </c>
      <c r="B4237" s="653" t="s">
        <v>449</v>
      </c>
      <c r="C4237" s="680">
        <v>46076.0</v>
      </c>
      <c r="D4237" s="681">
        <v>3.6928556233E10</v>
      </c>
      <c r="E4237" s="681" t="s">
        <v>5759</v>
      </c>
      <c r="F4237" s="656" t="s">
        <v>436</v>
      </c>
      <c r="G4237" s="681">
        <v>2819.0</v>
      </c>
      <c r="H4237" s="682" t="s">
        <v>5817</v>
      </c>
    </row>
    <row r="4238">
      <c r="A4238" s="546" t="s">
        <v>432</v>
      </c>
      <c r="B4238" s="653" t="s">
        <v>449</v>
      </c>
      <c r="C4238" s="680">
        <v>46076.0</v>
      </c>
      <c r="D4238" s="681">
        <v>3.8993788028E10</v>
      </c>
      <c r="E4238" s="681" t="s">
        <v>5759</v>
      </c>
      <c r="F4238" s="656" t="s">
        <v>436</v>
      </c>
      <c r="G4238" s="681">
        <v>5771.0</v>
      </c>
      <c r="H4238" s="682" t="s">
        <v>5817</v>
      </c>
    </row>
    <row r="4239">
      <c r="A4239" s="546" t="s">
        <v>432</v>
      </c>
      <c r="B4239" s="653" t="s">
        <v>688</v>
      </c>
      <c r="C4239" s="680">
        <v>46076.0</v>
      </c>
      <c r="D4239" s="681">
        <v>4.9818944966E10</v>
      </c>
      <c r="E4239" s="681" t="s">
        <v>6561</v>
      </c>
      <c r="F4239" s="656" t="s">
        <v>436</v>
      </c>
      <c r="G4239" s="681">
        <v>13144.0</v>
      </c>
      <c r="H4239" s="682" t="s">
        <v>5817</v>
      </c>
    </row>
    <row r="4240">
      <c r="A4240" s="546" t="s">
        <v>432</v>
      </c>
      <c r="B4240" s="653" t="s">
        <v>688</v>
      </c>
      <c r="C4240" s="680">
        <v>46076.0</v>
      </c>
      <c r="D4240" s="681">
        <v>4.9818944959E10</v>
      </c>
      <c r="E4240" s="681" t="s">
        <v>6561</v>
      </c>
      <c r="F4240" s="656" t="s">
        <v>436</v>
      </c>
      <c r="G4240" s="681">
        <v>13144.0</v>
      </c>
      <c r="H4240" s="682" t="s">
        <v>5817</v>
      </c>
    </row>
    <row r="4241">
      <c r="A4241" s="546" t="s">
        <v>432</v>
      </c>
      <c r="B4241" s="653" t="s">
        <v>688</v>
      </c>
      <c r="C4241" s="680">
        <v>46076.0</v>
      </c>
      <c r="D4241" s="681">
        <v>4.9818944947E10</v>
      </c>
      <c r="E4241" s="681" t="s">
        <v>6561</v>
      </c>
      <c r="F4241" s="656" t="s">
        <v>436</v>
      </c>
      <c r="G4241" s="681">
        <v>13144.0</v>
      </c>
      <c r="H4241" s="682" t="s">
        <v>5817</v>
      </c>
    </row>
    <row r="4242">
      <c r="A4242" s="546" t="s">
        <v>432</v>
      </c>
      <c r="B4242" s="653" t="s">
        <v>688</v>
      </c>
      <c r="C4242" s="680">
        <v>46076.0</v>
      </c>
      <c r="D4242" s="681">
        <v>4.9818944964E10</v>
      </c>
      <c r="E4242" s="681" t="s">
        <v>6561</v>
      </c>
      <c r="F4242" s="656" t="s">
        <v>436</v>
      </c>
      <c r="G4242" s="681">
        <v>13144.0</v>
      </c>
      <c r="H4242" s="682" t="s">
        <v>5817</v>
      </c>
    </row>
    <row r="4243">
      <c r="A4243" s="546" t="s">
        <v>617</v>
      </c>
      <c r="B4243" s="653" t="s">
        <v>449</v>
      </c>
      <c r="C4243" s="680">
        <v>46076.0</v>
      </c>
      <c r="D4243" s="681">
        <v>4.2496759953E10</v>
      </c>
      <c r="E4243" s="681" t="s">
        <v>6562</v>
      </c>
      <c r="F4243" s="656" t="s">
        <v>436</v>
      </c>
      <c r="G4243" s="681" t="s">
        <v>3228</v>
      </c>
      <c r="H4243" s="682" t="s">
        <v>696</v>
      </c>
    </row>
    <row r="4244">
      <c r="A4244" s="546" t="s">
        <v>617</v>
      </c>
      <c r="B4244" s="653" t="s">
        <v>449</v>
      </c>
      <c r="C4244" s="680">
        <v>46076.0</v>
      </c>
      <c r="D4244" s="681">
        <v>4.979375134E10</v>
      </c>
      <c r="E4244" s="681" t="s">
        <v>6562</v>
      </c>
      <c r="F4244" s="656" t="s">
        <v>436</v>
      </c>
      <c r="G4244" s="681" t="s">
        <v>2730</v>
      </c>
      <c r="H4244" s="682" t="s">
        <v>696</v>
      </c>
    </row>
    <row r="4245">
      <c r="A4245" s="546" t="s">
        <v>617</v>
      </c>
      <c r="B4245" s="653" t="s">
        <v>449</v>
      </c>
      <c r="C4245" s="680">
        <v>46076.0</v>
      </c>
      <c r="D4245" s="681">
        <v>4.5835107754E10</v>
      </c>
      <c r="E4245" s="681" t="s">
        <v>6563</v>
      </c>
      <c r="F4245" s="656" t="s">
        <v>436</v>
      </c>
      <c r="G4245" s="681" t="s">
        <v>6564</v>
      </c>
      <c r="H4245" s="682" t="s">
        <v>696</v>
      </c>
    </row>
    <row r="4246">
      <c r="A4246" s="546" t="s">
        <v>617</v>
      </c>
      <c r="B4246" s="653" t="s">
        <v>433</v>
      </c>
      <c r="C4246" s="680">
        <v>46076.0</v>
      </c>
      <c r="D4246" s="681">
        <v>4.9638692471E10</v>
      </c>
      <c r="E4246" s="681" t="s">
        <v>6508</v>
      </c>
      <c r="F4246" s="656" t="s">
        <v>436</v>
      </c>
      <c r="G4246" s="681" t="s">
        <v>1970</v>
      </c>
      <c r="H4246" s="682" t="s">
        <v>696</v>
      </c>
    </row>
    <row r="4247">
      <c r="A4247" s="546" t="s">
        <v>617</v>
      </c>
      <c r="B4247" s="653" t="s">
        <v>449</v>
      </c>
      <c r="C4247" s="680">
        <v>46076.0</v>
      </c>
      <c r="D4247" s="681">
        <v>3.8692737733E10</v>
      </c>
      <c r="E4247" s="681" t="s">
        <v>4222</v>
      </c>
      <c r="F4247" s="656" t="s">
        <v>436</v>
      </c>
      <c r="G4247" s="681" t="s">
        <v>6565</v>
      </c>
      <c r="H4247" s="682" t="s">
        <v>696</v>
      </c>
    </row>
    <row r="4248">
      <c r="A4248" s="546" t="s">
        <v>617</v>
      </c>
      <c r="B4248" s="653" t="s">
        <v>449</v>
      </c>
      <c r="C4248" s="680">
        <v>46076.0</v>
      </c>
      <c r="D4248" s="681">
        <v>4.2590843942E10</v>
      </c>
      <c r="E4248" s="681" t="s">
        <v>6295</v>
      </c>
      <c r="F4248" s="656" t="s">
        <v>436</v>
      </c>
      <c r="G4248" s="681" t="s">
        <v>2054</v>
      </c>
      <c r="H4248" s="682" t="s">
        <v>696</v>
      </c>
    </row>
    <row r="4249">
      <c r="A4249" s="546" t="s">
        <v>617</v>
      </c>
      <c r="B4249" s="653" t="s">
        <v>449</v>
      </c>
      <c r="C4249" s="680">
        <v>46076.0</v>
      </c>
      <c r="D4249" s="681">
        <v>4.7431266442E10</v>
      </c>
      <c r="E4249" s="681" t="s">
        <v>4854</v>
      </c>
      <c r="F4249" s="656" t="s">
        <v>436</v>
      </c>
      <c r="G4249" s="681" t="s">
        <v>695</v>
      </c>
      <c r="H4249" s="682" t="s">
        <v>696</v>
      </c>
    </row>
    <row r="4250">
      <c r="A4250" s="546" t="s">
        <v>617</v>
      </c>
      <c r="B4250" s="653" t="s">
        <v>433</v>
      </c>
      <c r="C4250" s="680">
        <v>46076.0</v>
      </c>
      <c r="D4250" s="681">
        <v>3.7283678535E10</v>
      </c>
      <c r="E4250" s="681" t="s">
        <v>4857</v>
      </c>
      <c r="F4250" s="656" t="s">
        <v>436</v>
      </c>
      <c r="G4250" s="681" t="s">
        <v>6027</v>
      </c>
      <c r="H4250" s="682" t="s">
        <v>696</v>
      </c>
    </row>
    <row r="4251">
      <c r="A4251" s="546" t="s">
        <v>617</v>
      </c>
      <c r="B4251" s="653" t="s">
        <v>433</v>
      </c>
      <c r="C4251" s="680">
        <v>46077.0</v>
      </c>
      <c r="D4251" s="681">
        <v>4.9791764799E10</v>
      </c>
      <c r="E4251" s="681" t="s">
        <v>4165</v>
      </c>
      <c r="F4251" s="656" t="s">
        <v>436</v>
      </c>
      <c r="G4251" s="681">
        <v>219.0</v>
      </c>
      <c r="H4251" s="682" t="s">
        <v>693</v>
      </c>
    </row>
    <row r="4252">
      <c r="A4252" s="546" t="s">
        <v>617</v>
      </c>
      <c r="B4252" s="653" t="s">
        <v>433</v>
      </c>
      <c r="C4252" s="680">
        <v>46077.0</v>
      </c>
      <c r="D4252" s="681">
        <v>3.724962117E10</v>
      </c>
      <c r="E4252" s="681" t="s">
        <v>5315</v>
      </c>
      <c r="F4252" s="656" t="s">
        <v>436</v>
      </c>
      <c r="G4252" s="681">
        <v>3165.0</v>
      </c>
      <c r="H4252" s="682" t="s">
        <v>693</v>
      </c>
    </row>
    <row r="4253">
      <c r="A4253" s="546" t="s">
        <v>823</v>
      </c>
      <c r="B4253" s="653" t="s">
        <v>449</v>
      </c>
      <c r="C4253" s="680">
        <v>46194.0</v>
      </c>
      <c r="D4253" s="681">
        <v>2.7130692501E10</v>
      </c>
      <c r="E4253" s="681" t="s">
        <v>4887</v>
      </c>
      <c r="F4253" s="656" t="s">
        <v>436</v>
      </c>
      <c r="G4253" s="681">
        <v>263.0</v>
      </c>
      <c r="H4253" s="682" t="s">
        <v>4558</v>
      </c>
    </row>
    <row r="4254">
      <c r="A4254" s="546" t="s">
        <v>823</v>
      </c>
      <c r="B4254" s="512" t="s">
        <v>5411</v>
      </c>
      <c r="C4254" s="605">
        <v>47085.0</v>
      </c>
      <c r="D4254" s="512">
        <v>3.77589926E10</v>
      </c>
      <c r="E4254" s="606" t="s">
        <v>6566</v>
      </c>
      <c r="F4254" s="644" t="s">
        <v>436</v>
      </c>
      <c r="G4254" s="606" t="s">
        <v>5477</v>
      </c>
      <c r="H4254" s="608" t="s">
        <v>4558</v>
      </c>
    </row>
    <row r="4255">
      <c r="A4255" s="546" t="s">
        <v>439</v>
      </c>
      <c r="B4255" s="653" t="s">
        <v>6567</v>
      </c>
      <c r="C4255" s="681" t="s">
        <v>6568</v>
      </c>
      <c r="D4255" s="681" t="s">
        <v>6569</v>
      </c>
      <c r="E4255" s="681" t="s">
        <v>6570</v>
      </c>
      <c r="F4255" s="656" t="s">
        <v>436</v>
      </c>
      <c r="G4255" s="681" t="s">
        <v>6571</v>
      </c>
      <c r="H4255" s="682" t="s">
        <v>6572</v>
      </c>
    </row>
    <row r="4256">
      <c r="A4256" s="546" t="s">
        <v>823</v>
      </c>
      <c r="B4256" s="512" t="s">
        <v>433</v>
      </c>
      <c r="C4256" s="512" t="s">
        <v>6573</v>
      </c>
      <c r="D4256" s="512">
        <v>4.4493604897E10</v>
      </c>
      <c r="E4256" s="606" t="s">
        <v>6012</v>
      </c>
      <c r="F4256" s="607" t="s">
        <v>436</v>
      </c>
      <c r="G4256" s="606" t="s">
        <v>2363</v>
      </c>
      <c r="H4256" s="608" t="s">
        <v>4558</v>
      </c>
    </row>
    <row r="4257">
      <c r="A4257" s="546" t="s">
        <v>690</v>
      </c>
      <c r="B4257" s="512" t="s">
        <v>449</v>
      </c>
      <c r="C4257" s="512" t="s">
        <v>6574</v>
      </c>
      <c r="D4257" s="512">
        <v>3.5082762225E10</v>
      </c>
      <c r="E4257" s="606" t="s">
        <v>1251</v>
      </c>
      <c r="F4257" s="656" t="s">
        <v>436</v>
      </c>
      <c r="G4257" s="606" t="s">
        <v>1956</v>
      </c>
      <c r="H4257" s="608" t="s">
        <v>2676</v>
      </c>
    </row>
    <row r="4258">
      <c r="A4258" s="546" t="s">
        <v>690</v>
      </c>
      <c r="B4258" s="512" t="s">
        <v>433</v>
      </c>
      <c r="C4258" s="512" t="s">
        <v>6575</v>
      </c>
      <c r="D4258" s="512">
        <v>2.038508534084E12</v>
      </c>
      <c r="E4258" s="606" t="s">
        <v>5253</v>
      </c>
      <c r="F4258" s="644" t="s">
        <v>436</v>
      </c>
      <c r="G4258" s="606" t="s">
        <v>6576</v>
      </c>
      <c r="H4258" s="608" t="s">
        <v>5251</v>
      </c>
    </row>
    <row r="4259">
      <c r="A4259" s="546"/>
      <c r="B4259" s="687" t="s">
        <v>63</v>
      </c>
      <c r="C4259" s="688"/>
      <c r="D4259" s="688"/>
      <c r="E4259" s="688"/>
      <c r="F4259" s="688"/>
      <c r="G4259" s="688"/>
      <c r="H4259" s="689"/>
    </row>
    <row r="4260">
      <c r="A4260" s="546"/>
      <c r="B4260" s="687" t="s">
        <v>39</v>
      </c>
      <c r="C4260" s="688"/>
      <c r="D4260" s="688"/>
      <c r="E4260" s="688"/>
      <c r="F4260" s="688"/>
      <c r="G4260" s="688"/>
      <c r="H4260" s="689"/>
    </row>
    <row r="4261">
      <c r="A4261" s="690" t="s">
        <v>6577</v>
      </c>
      <c r="B4261" s="674" t="s">
        <v>6578</v>
      </c>
      <c r="C4261" s="674" t="s">
        <v>288</v>
      </c>
      <c r="D4261" s="674" t="s">
        <v>6579</v>
      </c>
      <c r="E4261" s="691" t="s">
        <v>6580</v>
      </c>
      <c r="F4261" s="691" t="s">
        <v>6581</v>
      </c>
      <c r="G4261" s="691" t="s">
        <v>6582</v>
      </c>
      <c r="H4261" s="692" t="s">
        <v>6583</v>
      </c>
    </row>
    <row r="4262">
      <c r="A4262" s="546"/>
      <c r="B4262" s="693" t="s">
        <v>13</v>
      </c>
      <c r="C4262" s="688"/>
      <c r="D4262" s="688"/>
      <c r="E4262" s="688"/>
      <c r="F4262" s="688"/>
      <c r="G4262" s="688"/>
      <c r="H4262" s="689"/>
    </row>
    <row r="4263">
      <c r="A4263" s="546"/>
      <c r="B4263" s="687" t="s">
        <v>192</v>
      </c>
      <c r="C4263" s="688"/>
      <c r="D4263" s="688"/>
      <c r="E4263" s="688"/>
      <c r="F4263" s="688"/>
      <c r="G4263" s="688"/>
      <c r="H4263" s="689"/>
    </row>
    <row r="4264">
      <c r="A4264" s="546"/>
      <c r="B4264" s="687" t="s">
        <v>56</v>
      </c>
      <c r="C4264" s="688"/>
      <c r="D4264" s="688"/>
      <c r="E4264" s="688"/>
      <c r="F4264" s="688"/>
      <c r="G4264" s="688"/>
      <c r="H4264" s="689"/>
    </row>
    <row r="4265">
      <c r="A4265" s="546"/>
      <c r="B4265" s="687" t="s">
        <v>50</v>
      </c>
      <c r="C4265" s="688"/>
      <c r="D4265" s="688"/>
      <c r="E4265" s="688"/>
      <c r="F4265" s="688"/>
      <c r="G4265" s="688"/>
      <c r="H4265" s="689"/>
    </row>
    <row r="4266">
      <c r="A4266" s="546"/>
      <c r="B4266" s="687" t="s">
        <v>46</v>
      </c>
      <c r="C4266" s="688"/>
      <c r="D4266" s="688"/>
      <c r="E4266" s="688"/>
      <c r="F4266" s="688"/>
      <c r="G4266" s="688"/>
      <c r="H4266" s="689"/>
    </row>
    <row r="4267">
      <c r="A4267" s="546"/>
      <c r="B4267" s="687" t="s">
        <v>33</v>
      </c>
      <c r="C4267" s="688"/>
      <c r="D4267" s="688"/>
      <c r="E4267" s="688"/>
      <c r="F4267" s="688"/>
      <c r="G4267" s="688"/>
      <c r="H4267" s="689"/>
    </row>
    <row r="4268">
      <c r="A4268" s="694" t="s">
        <v>0</v>
      </c>
      <c r="H4268" s="695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  <c r="AA4268" s="10"/>
    </row>
    <row r="4269">
      <c r="A4269" s="546"/>
      <c r="B4269" s="693" t="s">
        <v>0</v>
      </c>
      <c r="C4269" s="688"/>
      <c r="D4269" s="688"/>
      <c r="E4269" s="688"/>
      <c r="F4269" s="688"/>
      <c r="G4269" s="688"/>
      <c r="H4269" s="689"/>
    </row>
    <row r="4270">
      <c r="A4270" s="546"/>
      <c r="B4270" s="687" t="s">
        <v>147</v>
      </c>
      <c r="C4270" s="688"/>
      <c r="D4270" s="688"/>
      <c r="E4270" s="688"/>
      <c r="F4270" s="688"/>
      <c r="G4270" s="688"/>
      <c r="H4270" s="689"/>
    </row>
    <row r="4271">
      <c r="A4271" s="546"/>
      <c r="B4271" s="687" t="s">
        <v>148</v>
      </c>
      <c r="C4271" s="688"/>
      <c r="D4271" s="688"/>
      <c r="E4271" s="688"/>
      <c r="F4271" s="688"/>
      <c r="G4271" s="688"/>
      <c r="H4271" s="689"/>
    </row>
    <row r="4272">
      <c r="A4272" s="546"/>
      <c r="B4272" s="687" t="s">
        <v>71</v>
      </c>
      <c r="C4272" s="688"/>
      <c r="D4272" s="688"/>
      <c r="E4272" s="688"/>
      <c r="F4272" s="688"/>
      <c r="G4272" s="688"/>
      <c r="H4272" s="689"/>
    </row>
    <row r="4273">
      <c r="A4273" s="546"/>
      <c r="B4273" s="696" t="s">
        <v>26</v>
      </c>
      <c r="C4273" s="688"/>
      <c r="D4273" s="688"/>
      <c r="E4273" s="688"/>
      <c r="F4273" s="688"/>
      <c r="G4273" s="688"/>
      <c r="H4273" s="689"/>
      <c r="J4273" s="697"/>
      <c r="K4273" s="697"/>
      <c r="L4273" s="697"/>
      <c r="M4273" s="697"/>
      <c r="N4273" s="697"/>
      <c r="O4273" s="697"/>
      <c r="P4273" s="697"/>
      <c r="Q4273" s="697"/>
      <c r="R4273" s="697"/>
      <c r="S4273" s="697"/>
      <c r="T4273" s="697"/>
      <c r="U4273" s="697"/>
      <c r="V4273" s="697"/>
      <c r="W4273" s="697"/>
      <c r="X4273" s="697"/>
      <c r="Y4273" s="697"/>
      <c r="Z4273" s="697"/>
      <c r="AA4273" s="697"/>
    </row>
    <row r="4274">
      <c r="A4274" s="546"/>
      <c r="B4274" s="693" t="s">
        <v>19</v>
      </c>
      <c r="C4274" s="688"/>
      <c r="D4274" s="688"/>
      <c r="E4274" s="688"/>
      <c r="F4274" s="688"/>
      <c r="G4274" s="688"/>
      <c r="H4274" s="689"/>
    </row>
    <row r="4275">
      <c r="A4275" s="546" t="s">
        <v>823</v>
      </c>
      <c r="B4275" s="512" t="s">
        <v>449</v>
      </c>
      <c r="C4275" s="605">
        <v>45968.0</v>
      </c>
      <c r="D4275" s="512">
        <v>4.0792561633E10</v>
      </c>
      <c r="E4275" s="606" t="s">
        <v>4310</v>
      </c>
      <c r="F4275" s="644" t="s">
        <v>436</v>
      </c>
      <c r="G4275" s="606" t="s">
        <v>5115</v>
      </c>
      <c r="H4275" s="608" t="s">
        <v>4558</v>
      </c>
    </row>
    <row r="4276">
      <c r="A4276" s="546" t="s">
        <v>439</v>
      </c>
      <c r="B4276" s="512" t="s">
        <v>449</v>
      </c>
      <c r="C4276" s="605"/>
      <c r="D4276" s="512">
        <v>2.5853449346E10</v>
      </c>
      <c r="E4276" s="617" t="s">
        <v>6584</v>
      </c>
      <c r="F4276" s="606" t="s">
        <v>436</v>
      </c>
      <c r="G4276" s="606" t="s">
        <v>6585</v>
      </c>
      <c r="H4276" s="608" t="s">
        <v>483</v>
      </c>
    </row>
    <row r="4277">
      <c r="A4277" s="546" t="s">
        <v>823</v>
      </c>
      <c r="B4277" s="525"/>
      <c r="C4277" s="525"/>
      <c r="D4277" s="512">
        <v>2.143390665E10</v>
      </c>
      <c r="E4277" s="606" t="s">
        <v>6586</v>
      </c>
      <c r="F4277" s="606" t="s">
        <v>436</v>
      </c>
      <c r="G4277" s="606" t="s">
        <v>6587</v>
      </c>
      <c r="H4277" s="608" t="s">
        <v>1742</v>
      </c>
    </row>
    <row r="4278">
      <c r="A4278" s="546" t="s">
        <v>617</v>
      </c>
      <c r="B4278" s="653" t="s">
        <v>433</v>
      </c>
      <c r="C4278" s="680">
        <v>46078.0</v>
      </c>
      <c r="D4278" s="681">
        <v>3.2354439014E10</v>
      </c>
      <c r="E4278" s="681" t="s">
        <v>5759</v>
      </c>
      <c r="F4278" s="656" t="s">
        <v>436</v>
      </c>
      <c r="G4278" s="681">
        <v>968.0</v>
      </c>
      <c r="H4278" s="682" t="s">
        <v>5817</v>
      </c>
    </row>
    <row r="4279">
      <c r="A4279" s="546" t="s">
        <v>617</v>
      </c>
      <c r="B4279" s="653" t="s">
        <v>433</v>
      </c>
      <c r="C4279" s="680">
        <v>46078.0</v>
      </c>
      <c r="D4279" s="681">
        <v>3.4808593119E10</v>
      </c>
      <c r="E4279" s="681" t="s">
        <v>5759</v>
      </c>
      <c r="F4279" s="656" t="s">
        <v>436</v>
      </c>
      <c r="G4279" s="681">
        <v>855.0</v>
      </c>
      <c r="H4279" s="682" t="s">
        <v>5817</v>
      </c>
    </row>
    <row r="4280">
      <c r="A4280" s="546" t="s">
        <v>617</v>
      </c>
      <c r="B4280" s="653" t="s">
        <v>433</v>
      </c>
      <c r="C4280" s="680">
        <v>46078.0</v>
      </c>
      <c r="D4280" s="681">
        <v>4.058216363E10</v>
      </c>
      <c r="E4280" s="681" t="s">
        <v>6348</v>
      </c>
      <c r="F4280" s="656" t="s">
        <v>436</v>
      </c>
      <c r="G4280" s="681">
        <v>460.0</v>
      </c>
      <c r="H4280" s="682" t="s">
        <v>5817</v>
      </c>
    </row>
    <row r="4281">
      <c r="A4281" s="546" t="s">
        <v>617</v>
      </c>
      <c r="B4281" s="653" t="s">
        <v>433</v>
      </c>
      <c r="C4281" s="680">
        <v>46078.0</v>
      </c>
      <c r="D4281" s="681">
        <v>4.3176379614E10</v>
      </c>
      <c r="E4281" s="681" t="s">
        <v>4222</v>
      </c>
      <c r="F4281" s="656" t="s">
        <v>436</v>
      </c>
      <c r="G4281" s="681">
        <v>2423.0</v>
      </c>
      <c r="H4281" s="682" t="s">
        <v>5817</v>
      </c>
    </row>
    <row r="4282">
      <c r="A4282" s="546" t="s">
        <v>617</v>
      </c>
      <c r="B4282" s="653" t="s">
        <v>433</v>
      </c>
      <c r="C4282" s="680">
        <v>46078.0</v>
      </c>
      <c r="D4282" s="681">
        <v>3.6067185222E10</v>
      </c>
      <c r="E4282" s="681" t="s">
        <v>5125</v>
      </c>
      <c r="F4282" s="656" t="s">
        <v>436</v>
      </c>
      <c r="G4282" s="681">
        <v>2107.0</v>
      </c>
      <c r="H4282" s="682" t="s">
        <v>5817</v>
      </c>
    </row>
    <row r="4283">
      <c r="A4283" s="546" t="s">
        <v>617</v>
      </c>
      <c r="B4283" s="653" t="s">
        <v>433</v>
      </c>
      <c r="C4283" s="680">
        <v>46078.0</v>
      </c>
      <c r="D4283" s="681">
        <v>3.9409732413E10</v>
      </c>
      <c r="E4283" s="681" t="s">
        <v>6498</v>
      </c>
      <c r="F4283" s="656" t="s">
        <v>436</v>
      </c>
      <c r="G4283" s="681">
        <v>1152.0</v>
      </c>
      <c r="H4283" s="682" t="s">
        <v>5817</v>
      </c>
    </row>
    <row r="4284">
      <c r="A4284" s="546" t="s">
        <v>617</v>
      </c>
      <c r="B4284" s="653" t="s">
        <v>433</v>
      </c>
      <c r="C4284" s="680">
        <v>46078.0</v>
      </c>
      <c r="D4284" s="681">
        <v>3.3685708623E10</v>
      </c>
      <c r="E4284" s="681" t="s">
        <v>6131</v>
      </c>
      <c r="F4284" s="656" t="s">
        <v>436</v>
      </c>
      <c r="G4284" s="681">
        <v>1099.0</v>
      </c>
      <c r="H4284" s="682" t="s">
        <v>5817</v>
      </c>
    </row>
    <row r="4285">
      <c r="A4285" s="546" t="s">
        <v>617</v>
      </c>
      <c r="B4285" s="653" t="s">
        <v>433</v>
      </c>
      <c r="C4285" s="680">
        <v>46078.0</v>
      </c>
      <c r="D4285" s="681">
        <v>3.0909736572E10</v>
      </c>
      <c r="E4285" s="681" t="s">
        <v>6588</v>
      </c>
      <c r="F4285" s="656" t="s">
        <v>436</v>
      </c>
      <c r="G4285" s="681">
        <v>3371.0</v>
      </c>
      <c r="H4285" s="682" t="s">
        <v>5817</v>
      </c>
    </row>
    <row r="4286">
      <c r="A4286" s="546" t="s">
        <v>617</v>
      </c>
      <c r="B4286" s="653" t="s">
        <v>449</v>
      </c>
      <c r="C4286" s="680">
        <v>46078.0</v>
      </c>
      <c r="D4286" s="681">
        <v>4.7142613369E10</v>
      </c>
      <c r="E4286" s="681" t="s">
        <v>4854</v>
      </c>
      <c r="F4286" s="656" t="s">
        <v>436</v>
      </c>
      <c r="G4286" s="681">
        <v>2243.0</v>
      </c>
      <c r="H4286" s="682" t="s">
        <v>5817</v>
      </c>
    </row>
    <row r="4287">
      <c r="A4287" s="546" t="s">
        <v>617</v>
      </c>
      <c r="B4287" s="653" t="s">
        <v>449</v>
      </c>
      <c r="C4287" s="680">
        <v>46078.0</v>
      </c>
      <c r="D4287" s="681">
        <v>4.5624711264E10</v>
      </c>
      <c r="E4287" s="681" t="s">
        <v>4222</v>
      </c>
      <c r="F4287" s="656" t="s">
        <v>436</v>
      </c>
      <c r="G4287" s="681">
        <v>1675.0</v>
      </c>
      <c r="H4287" s="682" t="s">
        <v>5817</v>
      </c>
    </row>
    <row r="4288">
      <c r="A4288" s="546" t="s">
        <v>823</v>
      </c>
      <c r="B4288" s="653" t="s">
        <v>449</v>
      </c>
      <c r="C4288" s="680">
        <v>46078.0</v>
      </c>
      <c r="D4288" s="681">
        <v>4.1210527524E10</v>
      </c>
      <c r="E4288" s="681" t="s">
        <v>4165</v>
      </c>
      <c r="F4288" s="656" t="s">
        <v>436</v>
      </c>
      <c r="G4288" s="681">
        <v>891.0</v>
      </c>
      <c r="H4288" s="682" t="s">
        <v>4558</v>
      </c>
    </row>
    <row r="4289">
      <c r="A4289" s="546" t="s">
        <v>823</v>
      </c>
      <c r="B4289" s="653" t="s">
        <v>449</v>
      </c>
      <c r="C4289" s="680">
        <v>46078.0</v>
      </c>
      <c r="D4289" s="681">
        <v>4.7289165873E10</v>
      </c>
      <c r="E4289" s="681" t="s">
        <v>6589</v>
      </c>
      <c r="F4289" s="656" t="s">
        <v>436</v>
      </c>
      <c r="G4289" s="681">
        <v>8451.0</v>
      </c>
      <c r="H4289" s="682" t="s">
        <v>4558</v>
      </c>
    </row>
    <row r="4290">
      <c r="A4290" s="546" t="s">
        <v>823</v>
      </c>
      <c r="B4290" s="653" t="s">
        <v>449</v>
      </c>
      <c r="C4290" s="680">
        <v>46078.0</v>
      </c>
      <c r="D4290" s="681">
        <v>4.2478926354E10</v>
      </c>
      <c r="E4290" s="681" t="s">
        <v>6590</v>
      </c>
      <c r="F4290" s="656" t="s">
        <v>436</v>
      </c>
      <c r="G4290" s="681">
        <v>2425.0</v>
      </c>
      <c r="H4290" s="682" t="s">
        <v>4558</v>
      </c>
    </row>
    <row r="4291">
      <c r="A4291" s="546" t="s">
        <v>617</v>
      </c>
      <c r="B4291" s="653" t="s">
        <v>433</v>
      </c>
      <c r="C4291" s="680">
        <v>46078.0</v>
      </c>
      <c r="D4291" s="681">
        <v>4.8112280889E10</v>
      </c>
      <c r="E4291" s="681" t="s">
        <v>6348</v>
      </c>
      <c r="F4291" s="656" t="s">
        <v>436</v>
      </c>
      <c r="G4291" s="681">
        <v>20238.0</v>
      </c>
      <c r="H4291" s="682" t="s">
        <v>5817</v>
      </c>
    </row>
    <row r="4292">
      <c r="A4292" s="546" t="s">
        <v>617</v>
      </c>
      <c r="B4292" s="653" t="s">
        <v>433</v>
      </c>
      <c r="C4292" s="680">
        <v>46078.0</v>
      </c>
      <c r="D4292" s="681">
        <v>4.9654333294E10</v>
      </c>
      <c r="E4292" s="681" t="s">
        <v>6026</v>
      </c>
      <c r="F4292" s="656" t="s">
        <v>436</v>
      </c>
      <c r="G4292" s="681">
        <v>1796.0</v>
      </c>
      <c r="H4292" s="698" t="s">
        <v>5817</v>
      </c>
    </row>
    <row r="4293">
      <c r="A4293" s="546" t="s">
        <v>617</v>
      </c>
      <c r="B4293" s="653" t="s">
        <v>433</v>
      </c>
      <c r="C4293" s="680">
        <v>46078.0</v>
      </c>
      <c r="D4293" s="681">
        <v>4.7241457254E10</v>
      </c>
      <c r="E4293" s="681" t="s">
        <v>6488</v>
      </c>
      <c r="F4293" s="656" t="s">
        <v>436</v>
      </c>
      <c r="G4293" s="681">
        <v>8777.0</v>
      </c>
      <c r="H4293" s="698" t="s">
        <v>5817</v>
      </c>
    </row>
    <row r="4294">
      <c r="A4294" s="546" t="s">
        <v>617</v>
      </c>
      <c r="B4294" s="653" t="s">
        <v>449</v>
      </c>
      <c r="C4294" s="680">
        <v>46078.0</v>
      </c>
      <c r="D4294" s="681">
        <v>1.9826863224E10</v>
      </c>
      <c r="E4294" s="681" t="s">
        <v>6591</v>
      </c>
      <c r="F4294" s="656" t="s">
        <v>436</v>
      </c>
      <c r="G4294" s="681">
        <v>1339.0</v>
      </c>
      <c r="H4294" s="682" t="s">
        <v>5817</v>
      </c>
    </row>
    <row r="4295">
      <c r="A4295" s="546" t="s">
        <v>617</v>
      </c>
      <c r="B4295" s="653" t="s">
        <v>449</v>
      </c>
      <c r="C4295" s="680">
        <v>46078.0</v>
      </c>
      <c r="D4295" s="681">
        <v>3.8347111264E10</v>
      </c>
      <c r="E4295" s="681" t="s">
        <v>6155</v>
      </c>
      <c r="F4295" s="656" t="s">
        <v>436</v>
      </c>
      <c r="G4295" s="681">
        <v>377.0</v>
      </c>
      <c r="H4295" s="682" t="s">
        <v>5817</v>
      </c>
    </row>
    <row r="4296">
      <c r="A4296" s="546" t="s">
        <v>617</v>
      </c>
      <c r="B4296" s="653" t="s">
        <v>433</v>
      </c>
      <c r="C4296" s="680">
        <v>46078.0</v>
      </c>
      <c r="D4296" s="681">
        <v>4.7140576256E10</v>
      </c>
      <c r="E4296" s="681" t="s">
        <v>6131</v>
      </c>
      <c r="F4296" s="656" t="s">
        <v>436</v>
      </c>
      <c r="G4296" s="681">
        <v>562.0</v>
      </c>
      <c r="H4296" s="682" t="s">
        <v>5817</v>
      </c>
    </row>
    <row r="4297">
      <c r="A4297" s="546" t="s">
        <v>439</v>
      </c>
      <c r="B4297" s="653" t="s">
        <v>449</v>
      </c>
      <c r="C4297" s="680">
        <v>46079.0</v>
      </c>
      <c r="D4297" s="681">
        <v>4.718919613E10</v>
      </c>
      <c r="E4297" s="681" t="s">
        <v>6592</v>
      </c>
      <c r="F4297" s="656" t="s">
        <v>436</v>
      </c>
      <c r="G4297" s="681" t="s">
        <v>3817</v>
      </c>
      <c r="H4297" s="682" t="s">
        <v>6593</v>
      </c>
    </row>
    <row r="4298">
      <c r="A4298" s="546" t="s">
        <v>432</v>
      </c>
      <c r="B4298" s="653" t="s">
        <v>433</v>
      </c>
      <c r="C4298" s="680">
        <v>46079.0</v>
      </c>
      <c r="D4298" s="681">
        <v>4.2976692014E10</v>
      </c>
      <c r="E4298" s="681" t="s">
        <v>5630</v>
      </c>
      <c r="F4298" s="656" t="s">
        <v>436</v>
      </c>
      <c r="G4298" s="681">
        <v>1593.0</v>
      </c>
      <c r="H4298" s="682" t="s">
        <v>686</v>
      </c>
    </row>
    <row r="4299">
      <c r="A4299" s="546" t="s">
        <v>432</v>
      </c>
      <c r="B4299" s="653" t="s">
        <v>449</v>
      </c>
      <c r="C4299" s="680">
        <v>46079.0</v>
      </c>
      <c r="D4299" s="681">
        <v>4.434296798E10</v>
      </c>
      <c r="E4299" s="681" t="s">
        <v>6594</v>
      </c>
      <c r="F4299" s="656" t="s">
        <v>436</v>
      </c>
      <c r="G4299" s="681">
        <v>863.0</v>
      </c>
      <c r="H4299" s="682" t="s">
        <v>686</v>
      </c>
    </row>
    <row r="4300">
      <c r="A4300" s="546" t="s">
        <v>823</v>
      </c>
      <c r="B4300" s="653" t="s">
        <v>449</v>
      </c>
      <c r="C4300" s="680">
        <v>46079.0</v>
      </c>
      <c r="D4300" s="681">
        <v>4.9819128057E10</v>
      </c>
      <c r="E4300" s="681" t="s">
        <v>4165</v>
      </c>
      <c r="F4300" s="656" t="s">
        <v>436</v>
      </c>
      <c r="G4300" s="681">
        <v>255.0</v>
      </c>
      <c r="H4300" s="682" t="s">
        <v>4558</v>
      </c>
    </row>
    <row r="4301">
      <c r="A4301" s="546" t="s">
        <v>823</v>
      </c>
      <c r="B4301" s="653" t="s">
        <v>449</v>
      </c>
      <c r="C4301" s="680">
        <v>46079.0</v>
      </c>
      <c r="D4301" s="681">
        <v>2.8364309141E10</v>
      </c>
      <c r="E4301" s="681" t="s">
        <v>6595</v>
      </c>
      <c r="F4301" s="656" t="s">
        <v>436</v>
      </c>
      <c r="G4301" s="681">
        <v>603.0</v>
      </c>
      <c r="H4301" s="682" t="s">
        <v>4558</v>
      </c>
    </row>
    <row r="4302">
      <c r="A4302" s="546" t="s">
        <v>823</v>
      </c>
      <c r="B4302" s="653" t="s">
        <v>449</v>
      </c>
      <c r="C4302" s="680">
        <v>46079.0</v>
      </c>
      <c r="D4302" s="681">
        <v>3.2512310174E10</v>
      </c>
      <c r="E4302" s="681" t="s">
        <v>5630</v>
      </c>
      <c r="F4302" s="656" t="s">
        <v>436</v>
      </c>
      <c r="G4302" s="681">
        <v>1676.0</v>
      </c>
      <c r="H4302" s="682" t="s">
        <v>4558</v>
      </c>
    </row>
    <row r="4303">
      <c r="A4303" s="546" t="s">
        <v>823</v>
      </c>
      <c r="B4303" s="653" t="s">
        <v>449</v>
      </c>
      <c r="C4303" s="680">
        <v>46079.0</v>
      </c>
      <c r="D4303" s="681">
        <v>4.9819408139E10</v>
      </c>
      <c r="E4303" s="681" t="s">
        <v>6596</v>
      </c>
      <c r="F4303" s="656" t="s">
        <v>436</v>
      </c>
      <c r="G4303" s="681">
        <v>197.0</v>
      </c>
      <c r="H4303" s="682" t="s">
        <v>4558</v>
      </c>
    </row>
    <row r="4304">
      <c r="A4304" s="546" t="s">
        <v>823</v>
      </c>
      <c r="B4304" s="653" t="s">
        <v>449</v>
      </c>
      <c r="C4304" s="680">
        <v>46079.0</v>
      </c>
      <c r="D4304" s="681">
        <v>4.9819411391E10</v>
      </c>
      <c r="E4304" s="681" t="s">
        <v>6596</v>
      </c>
      <c r="F4304" s="656" t="s">
        <v>436</v>
      </c>
      <c r="G4304" s="681">
        <v>198.0</v>
      </c>
      <c r="H4304" s="682" t="s">
        <v>4558</v>
      </c>
    </row>
    <row r="4305">
      <c r="A4305" s="546" t="s">
        <v>823</v>
      </c>
      <c r="B4305" s="653" t="s">
        <v>449</v>
      </c>
      <c r="C4305" s="680">
        <v>46079.0</v>
      </c>
      <c r="D4305" s="681">
        <v>4.9805578832E10</v>
      </c>
      <c r="E4305" s="681" t="s">
        <v>6596</v>
      </c>
      <c r="F4305" s="656" t="s">
        <v>436</v>
      </c>
      <c r="G4305" s="681">
        <v>127.0</v>
      </c>
      <c r="H4305" s="682" t="s">
        <v>4558</v>
      </c>
    </row>
    <row r="4306">
      <c r="A4306" s="546" t="s">
        <v>823</v>
      </c>
      <c r="B4306" s="653" t="s">
        <v>449</v>
      </c>
      <c r="C4306" s="680">
        <v>46079.0</v>
      </c>
      <c r="D4306" s="681">
        <v>4.9808801079E10</v>
      </c>
      <c r="E4306" s="681" t="s">
        <v>6596</v>
      </c>
      <c r="F4306" s="656" t="s">
        <v>436</v>
      </c>
      <c r="G4306" s="681">
        <v>165.0</v>
      </c>
      <c r="H4306" s="682" t="s">
        <v>4558</v>
      </c>
    </row>
    <row r="4307">
      <c r="A4307" s="546" t="s">
        <v>617</v>
      </c>
      <c r="B4307" s="653" t="s">
        <v>449</v>
      </c>
      <c r="C4307" s="680">
        <v>46079.0</v>
      </c>
      <c r="D4307" s="681">
        <v>4.2939558538E10</v>
      </c>
      <c r="E4307" s="681" t="s">
        <v>5536</v>
      </c>
      <c r="F4307" s="656" t="s">
        <v>436</v>
      </c>
      <c r="G4307" s="681" t="s">
        <v>876</v>
      </c>
      <c r="H4307" s="682" t="s">
        <v>696</v>
      </c>
    </row>
    <row r="4308">
      <c r="A4308" s="546" t="s">
        <v>617</v>
      </c>
      <c r="B4308" s="653" t="s">
        <v>449</v>
      </c>
      <c r="C4308" s="680">
        <v>46079.0</v>
      </c>
      <c r="D4308" s="681">
        <v>4.4430788822E10</v>
      </c>
      <c r="E4308" s="681" t="s">
        <v>5430</v>
      </c>
      <c r="F4308" s="656" t="s">
        <v>436</v>
      </c>
      <c r="G4308" s="681" t="s">
        <v>4744</v>
      </c>
      <c r="H4308" s="682" t="s">
        <v>696</v>
      </c>
    </row>
    <row r="4309">
      <c r="A4309" s="546" t="s">
        <v>617</v>
      </c>
      <c r="B4309" s="653" t="s">
        <v>433</v>
      </c>
      <c r="C4309" s="680">
        <v>46079.0</v>
      </c>
      <c r="D4309" s="681">
        <v>4.6929627359E10</v>
      </c>
      <c r="E4309" s="681" t="s">
        <v>6597</v>
      </c>
      <c r="F4309" s="656" t="s">
        <v>436</v>
      </c>
      <c r="G4309" s="681" t="s">
        <v>6598</v>
      </c>
      <c r="H4309" s="682" t="s">
        <v>696</v>
      </c>
    </row>
    <row r="4310">
      <c r="A4310" s="546" t="s">
        <v>617</v>
      </c>
      <c r="B4310" s="653" t="s">
        <v>449</v>
      </c>
      <c r="C4310" s="680">
        <v>46079.0</v>
      </c>
      <c r="D4310" s="681">
        <v>4.8451219767E10</v>
      </c>
      <c r="E4310" s="681" t="s">
        <v>5469</v>
      </c>
      <c r="F4310" s="656" t="s">
        <v>436</v>
      </c>
      <c r="G4310" s="681" t="s">
        <v>6599</v>
      </c>
      <c r="H4310" s="682" t="s">
        <v>696</v>
      </c>
    </row>
    <row r="4311">
      <c r="A4311" s="546" t="s">
        <v>823</v>
      </c>
      <c r="B4311" s="653" t="s">
        <v>449</v>
      </c>
      <c r="C4311" s="680">
        <v>46079.0</v>
      </c>
      <c r="D4311" s="681">
        <v>4.3763530621E10</v>
      </c>
      <c r="E4311" s="681" t="s">
        <v>6155</v>
      </c>
      <c r="F4311" s="656" t="s">
        <v>436</v>
      </c>
      <c r="G4311" s="681">
        <v>266.0</v>
      </c>
      <c r="H4311" s="682" t="s">
        <v>4558</v>
      </c>
    </row>
    <row r="4312">
      <c r="A4312" s="546" t="s">
        <v>823</v>
      </c>
      <c r="B4312" s="653" t="s">
        <v>449</v>
      </c>
      <c r="C4312" s="680">
        <v>46079.0</v>
      </c>
      <c r="D4312" s="681">
        <v>4.5731187522E10</v>
      </c>
      <c r="E4312" s="681" t="s">
        <v>6155</v>
      </c>
      <c r="F4312" s="656" t="s">
        <v>436</v>
      </c>
      <c r="G4312" s="681">
        <v>344.0</v>
      </c>
      <c r="H4312" s="682" t="s">
        <v>4558</v>
      </c>
    </row>
    <row r="4313">
      <c r="A4313" s="546" t="s">
        <v>432</v>
      </c>
      <c r="B4313" s="653" t="s">
        <v>449</v>
      </c>
      <c r="C4313" s="680">
        <v>46080.0</v>
      </c>
      <c r="D4313" s="681">
        <v>4.3354943885E10</v>
      </c>
      <c r="E4313" s="681" t="s">
        <v>6600</v>
      </c>
      <c r="F4313" s="656" t="s">
        <v>436</v>
      </c>
      <c r="G4313" s="681" t="s">
        <v>5645</v>
      </c>
      <c r="H4313" s="682" t="s">
        <v>438</v>
      </c>
    </row>
    <row r="4314">
      <c r="A4314" s="546" t="s">
        <v>432</v>
      </c>
      <c r="B4314" s="653" t="s">
        <v>449</v>
      </c>
      <c r="C4314" s="680">
        <v>46080.0</v>
      </c>
      <c r="D4314" s="681">
        <v>4.592062158E10</v>
      </c>
      <c r="E4314" s="681" t="s">
        <v>85</v>
      </c>
      <c r="F4314" s="656" t="s">
        <v>436</v>
      </c>
      <c r="G4314" s="681" t="s">
        <v>6601</v>
      </c>
      <c r="H4314" s="682" t="s">
        <v>438</v>
      </c>
    </row>
    <row r="4315">
      <c r="A4315" s="546" t="s">
        <v>617</v>
      </c>
      <c r="B4315" s="653" t="s">
        <v>449</v>
      </c>
      <c r="C4315" s="680">
        <v>46080.0</v>
      </c>
      <c r="D4315" s="681">
        <v>4.6838946412E10</v>
      </c>
      <c r="E4315" s="681" t="s">
        <v>5469</v>
      </c>
      <c r="F4315" s="656" t="s">
        <v>436</v>
      </c>
      <c r="G4315" s="681" t="s">
        <v>6602</v>
      </c>
      <c r="H4315" s="682" t="s">
        <v>696</v>
      </c>
    </row>
    <row r="4316">
      <c r="A4316" s="546" t="s">
        <v>617</v>
      </c>
      <c r="B4316" s="653" t="s">
        <v>3583</v>
      </c>
      <c r="C4316" s="680">
        <v>46080.0</v>
      </c>
      <c r="D4316" s="681">
        <v>4.5992151103E10</v>
      </c>
      <c r="E4316" s="681" t="s">
        <v>5307</v>
      </c>
      <c r="F4316" s="656" t="s">
        <v>436</v>
      </c>
      <c r="G4316" s="681" t="s">
        <v>1144</v>
      </c>
      <c r="H4316" s="682" t="s">
        <v>696</v>
      </c>
    </row>
    <row r="4317">
      <c r="A4317" s="546" t="s">
        <v>617</v>
      </c>
      <c r="B4317" s="653" t="s">
        <v>449</v>
      </c>
      <c r="C4317" s="680">
        <v>46080.0</v>
      </c>
      <c r="D4317" s="681">
        <v>3.5992801731E10</v>
      </c>
      <c r="E4317" s="681" t="s">
        <v>6603</v>
      </c>
      <c r="F4317" s="656" t="s">
        <v>436</v>
      </c>
      <c r="G4317" s="681" t="s">
        <v>2782</v>
      </c>
      <c r="H4317" s="682" t="s">
        <v>696</v>
      </c>
    </row>
    <row r="4318">
      <c r="A4318" s="546" t="s">
        <v>432</v>
      </c>
      <c r="B4318" s="653" t="s">
        <v>433</v>
      </c>
      <c r="C4318" s="680">
        <v>46081.0</v>
      </c>
      <c r="D4318" s="681">
        <v>4.8366218637E10</v>
      </c>
      <c r="E4318" s="681" t="s">
        <v>6604</v>
      </c>
      <c r="F4318" s="656" t="s">
        <v>436</v>
      </c>
      <c r="G4318" s="681">
        <v>275.0</v>
      </c>
      <c r="H4318" s="682" t="s">
        <v>5817</v>
      </c>
    </row>
    <row r="4319">
      <c r="A4319" s="546" t="s">
        <v>432</v>
      </c>
      <c r="B4319" s="653" t="s">
        <v>433</v>
      </c>
      <c r="C4319" s="680">
        <v>46081.0</v>
      </c>
      <c r="D4319" s="681">
        <v>5.0013521681E10</v>
      </c>
      <c r="E4319" s="681" t="s">
        <v>5759</v>
      </c>
      <c r="F4319" s="656" t="s">
        <v>436</v>
      </c>
      <c r="G4319" s="681">
        <v>1738.0</v>
      </c>
      <c r="H4319" s="682" t="s">
        <v>5817</v>
      </c>
    </row>
    <row r="4320">
      <c r="A4320" s="546" t="s">
        <v>432</v>
      </c>
      <c r="B4320" s="653" t="s">
        <v>433</v>
      </c>
      <c r="C4320" s="680">
        <v>46081.0</v>
      </c>
      <c r="D4320" s="681">
        <v>4.9925367945E10</v>
      </c>
      <c r="E4320" s="681" t="s">
        <v>6026</v>
      </c>
      <c r="F4320" s="656" t="s">
        <v>436</v>
      </c>
      <c r="G4320" s="681">
        <v>1432.0</v>
      </c>
      <c r="H4320" s="682" t="s">
        <v>5817</v>
      </c>
    </row>
    <row r="4321">
      <c r="A4321" s="546" t="s">
        <v>439</v>
      </c>
      <c r="B4321" s="653" t="s">
        <v>449</v>
      </c>
      <c r="C4321" s="680">
        <v>46081.0</v>
      </c>
      <c r="D4321" s="681">
        <v>4.7177820207E10</v>
      </c>
      <c r="E4321" s="681" t="s">
        <v>4811</v>
      </c>
      <c r="F4321" s="656" t="s">
        <v>436</v>
      </c>
      <c r="G4321" s="681" t="s">
        <v>1872</v>
      </c>
      <c r="H4321" s="682" t="s">
        <v>438</v>
      </c>
    </row>
    <row r="4322">
      <c r="A4322" s="546" t="s">
        <v>432</v>
      </c>
      <c r="B4322" s="653" t="s">
        <v>449</v>
      </c>
      <c r="C4322" s="680">
        <v>46081.0</v>
      </c>
      <c r="D4322" s="681">
        <v>4.9934621432E10</v>
      </c>
      <c r="E4322" s="681" t="s">
        <v>6506</v>
      </c>
      <c r="F4322" s="656" t="s">
        <v>436</v>
      </c>
      <c r="G4322" s="681">
        <v>166.0</v>
      </c>
      <c r="H4322" s="682" t="s">
        <v>5817</v>
      </c>
    </row>
    <row r="4323">
      <c r="A4323" s="546" t="s">
        <v>439</v>
      </c>
      <c r="B4323" s="653" t="s">
        <v>433</v>
      </c>
      <c r="C4323" s="680">
        <v>46081.0</v>
      </c>
      <c r="D4323" s="681">
        <v>3.9774385341E10</v>
      </c>
      <c r="E4323" s="681" t="s">
        <v>6026</v>
      </c>
      <c r="F4323" s="656" t="s">
        <v>436</v>
      </c>
      <c r="G4323" s="681">
        <v>526.0</v>
      </c>
      <c r="H4323" s="682" t="s">
        <v>5817</v>
      </c>
    </row>
    <row r="4324">
      <c r="A4324" s="546" t="s">
        <v>439</v>
      </c>
      <c r="B4324" s="653" t="s">
        <v>433</v>
      </c>
      <c r="C4324" s="680">
        <v>46081.0</v>
      </c>
      <c r="D4324" s="681">
        <v>3.6636755854E10</v>
      </c>
      <c r="E4324" s="681" t="s">
        <v>4226</v>
      </c>
      <c r="F4324" s="656" t="s">
        <v>436</v>
      </c>
      <c r="G4324" s="681" t="s">
        <v>832</v>
      </c>
      <c r="H4324" s="682" t="s">
        <v>438</v>
      </c>
    </row>
    <row r="4325">
      <c r="A4325" s="546" t="s">
        <v>432</v>
      </c>
      <c r="B4325" s="653" t="s">
        <v>449</v>
      </c>
      <c r="C4325" s="680">
        <v>46081.0</v>
      </c>
      <c r="D4325" s="681">
        <v>4.2011544125E10</v>
      </c>
      <c r="E4325" s="681" t="s">
        <v>5469</v>
      </c>
      <c r="F4325" s="656" t="s">
        <v>436</v>
      </c>
      <c r="G4325" s="681">
        <v>415.0</v>
      </c>
      <c r="H4325" s="682" t="s">
        <v>5817</v>
      </c>
    </row>
    <row r="4326">
      <c r="A4326" s="546" t="s">
        <v>432</v>
      </c>
      <c r="B4326" s="653" t="s">
        <v>433</v>
      </c>
      <c r="C4326" s="680">
        <v>46081.0</v>
      </c>
      <c r="D4326" s="681">
        <v>4.7095008594E10</v>
      </c>
      <c r="E4326" s="681" t="s">
        <v>5759</v>
      </c>
      <c r="F4326" s="656" t="s">
        <v>436</v>
      </c>
      <c r="G4326" s="681">
        <v>4057.0</v>
      </c>
      <c r="H4326" s="682" t="s">
        <v>5817</v>
      </c>
    </row>
    <row r="4327">
      <c r="A4327" s="546" t="s">
        <v>432</v>
      </c>
      <c r="B4327" s="653" t="s">
        <v>433</v>
      </c>
      <c r="C4327" s="680">
        <v>46082.0</v>
      </c>
      <c r="D4327" s="681">
        <v>4.7434335366E10</v>
      </c>
      <c r="E4327" s="681" t="s">
        <v>5320</v>
      </c>
      <c r="F4327" s="656" t="s">
        <v>436</v>
      </c>
      <c r="G4327" s="681">
        <v>503.0</v>
      </c>
      <c r="H4327" s="682" t="s">
        <v>686</v>
      </c>
    </row>
    <row r="4328">
      <c r="A4328" s="546" t="s">
        <v>823</v>
      </c>
      <c r="B4328" s="653" t="s">
        <v>449</v>
      </c>
      <c r="C4328" s="680">
        <v>46082.0</v>
      </c>
      <c r="D4328" s="681">
        <v>4.1092218382E10</v>
      </c>
      <c r="E4328" s="681" t="s">
        <v>5345</v>
      </c>
      <c r="F4328" s="656" t="s">
        <v>436</v>
      </c>
      <c r="G4328" s="681">
        <v>2128.0</v>
      </c>
      <c r="H4328" s="682" t="s">
        <v>4558</v>
      </c>
    </row>
    <row r="4329">
      <c r="A4329" s="546" t="s">
        <v>432</v>
      </c>
      <c r="B4329" s="653" t="s">
        <v>449</v>
      </c>
      <c r="C4329" s="680">
        <v>46055.0</v>
      </c>
      <c r="D4329" s="681">
        <v>5.0065485792E10</v>
      </c>
      <c r="E4329" s="681" t="s">
        <v>6605</v>
      </c>
      <c r="F4329" s="656" t="s">
        <v>436</v>
      </c>
      <c r="G4329" s="681" t="s">
        <v>746</v>
      </c>
      <c r="H4329" s="682" t="s">
        <v>438</v>
      </c>
    </row>
    <row r="4330">
      <c r="A4330" s="546" t="s">
        <v>432</v>
      </c>
      <c r="B4330" s="653" t="s">
        <v>433</v>
      </c>
      <c r="C4330" s="680">
        <v>46055.0</v>
      </c>
      <c r="D4330" s="681">
        <v>2.9229613846E10</v>
      </c>
      <c r="E4330" s="681" t="s">
        <v>6606</v>
      </c>
      <c r="F4330" s="656" t="s">
        <v>436</v>
      </c>
      <c r="G4330" s="681" t="s">
        <v>6407</v>
      </c>
      <c r="H4330" s="682" t="s">
        <v>438</v>
      </c>
    </row>
    <row r="4331">
      <c r="A4331" s="546" t="s">
        <v>432</v>
      </c>
      <c r="B4331" s="653" t="s">
        <v>449</v>
      </c>
      <c r="C4331" s="680">
        <v>46055.0</v>
      </c>
      <c r="D4331" s="681">
        <v>4.7505458588E10</v>
      </c>
      <c r="E4331" s="681" t="s">
        <v>6607</v>
      </c>
      <c r="F4331" s="656" t="s">
        <v>436</v>
      </c>
      <c r="G4331" s="681" t="s">
        <v>3380</v>
      </c>
      <c r="H4331" s="682" t="s">
        <v>438</v>
      </c>
    </row>
    <row r="4332">
      <c r="A4332" s="546" t="s">
        <v>823</v>
      </c>
      <c r="B4332" s="653" t="s">
        <v>449</v>
      </c>
      <c r="C4332" s="680">
        <v>46083.0</v>
      </c>
      <c r="D4332" s="681">
        <v>4.7287806577E10</v>
      </c>
      <c r="E4332" s="681" t="s">
        <v>5345</v>
      </c>
      <c r="F4332" s="656" t="s">
        <v>436</v>
      </c>
      <c r="G4332" s="681">
        <v>1233.0</v>
      </c>
      <c r="H4332" s="682" t="s">
        <v>4558</v>
      </c>
    </row>
    <row r="4333">
      <c r="A4333" s="546" t="s">
        <v>432</v>
      </c>
      <c r="B4333" s="653" t="s">
        <v>433</v>
      </c>
      <c r="C4333" s="680">
        <v>46084.0</v>
      </c>
      <c r="D4333" s="681">
        <v>4.7146592643E10</v>
      </c>
      <c r="E4333" s="681" t="s">
        <v>6608</v>
      </c>
      <c r="F4333" s="656" t="s">
        <v>436</v>
      </c>
      <c r="G4333" s="681">
        <v>440.0</v>
      </c>
      <c r="H4333" s="682" t="s">
        <v>686</v>
      </c>
    </row>
    <row r="4334">
      <c r="A4334" s="546" t="s">
        <v>432</v>
      </c>
      <c r="B4334" s="653" t="s">
        <v>433</v>
      </c>
      <c r="C4334" s="680">
        <v>46084.0</v>
      </c>
      <c r="D4334" s="681">
        <v>4.6998757531E10</v>
      </c>
      <c r="E4334" s="681" t="s">
        <v>6609</v>
      </c>
      <c r="F4334" s="656" t="s">
        <v>436</v>
      </c>
      <c r="G4334" s="681">
        <v>260.0</v>
      </c>
      <c r="H4334" s="682" t="s">
        <v>686</v>
      </c>
    </row>
    <row r="4335">
      <c r="A4335" s="546" t="s">
        <v>432</v>
      </c>
      <c r="B4335" s="653" t="s">
        <v>433</v>
      </c>
      <c r="C4335" s="680">
        <v>46084.0</v>
      </c>
      <c r="D4335" s="681">
        <v>3.8129977645E10</v>
      </c>
      <c r="E4335" s="681" t="s">
        <v>4857</v>
      </c>
      <c r="F4335" s="656" t="s">
        <v>436</v>
      </c>
      <c r="G4335" s="681">
        <v>1888.0</v>
      </c>
      <c r="H4335" s="682" t="s">
        <v>686</v>
      </c>
    </row>
    <row r="4336">
      <c r="A4336" s="546" t="s">
        <v>432</v>
      </c>
      <c r="B4336" s="653" t="s">
        <v>433</v>
      </c>
      <c r="C4336" s="680">
        <v>46084.0</v>
      </c>
      <c r="D4336" s="681">
        <v>3.9160742091E10</v>
      </c>
      <c r="E4336" s="681" t="s">
        <v>6610</v>
      </c>
      <c r="F4336" s="656" t="s">
        <v>436</v>
      </c>
      <c r="G4336" s="681">
        <v>972.0</v>
      </c>
      <c r="H4336" s="682" t="s">
        <v>686</v>
      </c>
    </row>
    <row r="4337">
      <c r="A4337" s="546" t="s">
        <v>432</v>
      </c>
      <c r="B4337" s="653" t="s">
        <v>433</v>
      </c>
      <c r="C4337" s="680">
        <v>46084.0</v>
      </c>
      <c r="D4337" s="681">
        <v>3.7478608602E10</v>
      </c>
      <c r="E4337" s="681" t="s">
        <v>6255</v>
      </c>
      <c r="F4337" s="656" t="s">
        <v>436</v>
      </c>
      <c r="G4337" s="681">
        <v>1608.0</v>
      </c>
      <c r="H4337" s="682" t="s">
        <v>686</v>
      </c>
    </row>
    <row r="4338">
      <c r="A4338" s="546" t="s">
        <v>617</v>
      </c>
      <c r="B4338" s="653" t="s">
        <v>449</v>
      </c>
      <c r="C4338" s="680">
        <v>46084.0</v>
      </c>
      <c r="D4338" s="681">
        <v>4.0915695632E10</v>
      </c>
      <c r="E4338" s="681" t="s">
        <v>5382</v>
      </c>
      <c r="F4338" s="656" t="s">
        <v>436</v>
      </c>
      <c r="G4338" s="681" t="s">
        <v>6611</v>
      </c>
      <c r="H4338" s="682" t="s">
        <v>696</v>
      </c>
    </row>
    <row r="4339">
      <c r="A4339" s="546" t="s">
        <v>439</v>
      </c>
      <c r="B4339" s="653" t="s">
        <v>449</v>
      </c>
      <c r="C4339" s="680">
        <v>46084.0</v>
      </c>
      <c r="D4339" s="681">
        <v>4.7565565189E10</v>
      </c>
      <c r="E4339" s="681" t="s">
        <v>4165</v>
      </c>
      <c r="F4339" s="656" t="s">
        <v>436</v>
      </c>
      <c r="G4339" s="681" t="s">
        <v>1114</v>
      </c>
      <c r="H4339" s="682" t="s">
        <v>6593</v>
      </c>
    </row>
    <row r="4340">
      <c r="A4340" s="546" t="s">
        <v>432</v>
      </c>
      <c r="B4340" s="653" t="s">
        <v>433</v>
      </c>
      <c r="C4340" s="680">
        <v>46084.0</v>
      </c>
      <c r="D4340" s="681">
        <v>4.7443943643E10</v>
      </c>
      <c r="E4340" s="681" t="s">
        <v>6150</v>
      </c>
      <c r="F4340" s="656" t="s">
        <v>436</v>
      </c>
      <c r="G4340" s="681">
        <v>1420.0</v>
      </c>
      <c r="H4340" s="682" t="s">
        <v>686</v>
      </c>
    </row>
    <row r="4341">
      <c r="A4341" s="546" t="s">
        <v>432</v>
      </c>
      <c r="B4341" s="653" t="s">
        <v>449</v>
      </c>
      <c r="C4341" s="680">
        <v>46084.0</v>
      </c>
      <c r="D4341" s="681">
        <v>4.9944823056E10</v>
      </c>
      <c r="E4341" s="681" t="s">
        <v>6612</v>
      </c>
      <c r="F4341" s="656" t="s">
        <v>436</v>
      </c>
      <c r="G4341" s="681">
        <v>234.0</v>
      </c>
      <c r="H4341" s="682" t="s">
        <v>686</v>
      </c>
    </row>
    <row r="4342">
      <c r="A4342" s="546" t="s">
        <v>432</v>
      </c>
      <c r="B4342" s="653" t="s">
        <v>449</v>
      </c>
      <c r="C4342" s="680">
        <v>46084.0</v>
      </c>
      <c r="D4342" s="681">
        <v>4.9944823062E10</v>
      </c>
      <c r="E4342" s="681" t="s">
        <v>6612</v>
      </c>
      <c r="F4342" s="656" t="s">
        <v>436</v>
      </c>
      <c r="G4342" s="681">
        <v>234.0</v>
      </c>
      <c r="H4342" s="682" t="s">
        <v>686</v>
      </c>
    </row>
    <row r="4343">
      <c r="A4343" s="546" t="s">
        <v>432</v>
      </c>
      <c r="B4343" s="653" t="s">
        <v>449</v>
      </c>
      <c r="C4343" s="680">
        <v>46084.0</v>
      </c>
      <c r="D4343" s="681">
        <v>4.994482408E10</v>
      </c>
      <c r="E4343" s="681" t="s">
        <v>6612</v>
      </c>
      <c r="F4343" s="656" t="s">
        <v>436</v>
      </c>
      <c r="G4343" s="681">
        <v>234.0</v>
      </c>
      <c r="H4343" s="682" t="s">
        <v>686</v>
      </c>
    </row>
    <row r="4344">
      <c r="A4344" s="546" t="s">
        <v>432</v>
      </c>
      <c r="B4344" s="653" t="s">
        <v>449</v>
      </c>
      <c r="C4344" s="680">
        <v>46084.0</v>
      </c>
      <c r="D4344" s="681">
        <v>4.9944824083E10</v>
      </c>
      <c r="E4344" s="681" t="s">
        <v>6612</v>
      </c>
      <c r="F4344" s="656" t="s">
        <v>436</v>
      </c>
      <c r="G4344" s="681">
        <v>234.0</v>
      </c>
      <c r="H4344" s="682" t="s">
        <v>686</v>
      </c>
    </row>
    <row r="4345">
      <c r="A4345" s="546" t="s">
        <v>617</v>
      </c>
      <c r="B4345" s="653" t="s">
        <v>449</v>
      </c>
      <c r="C4345" s="680">
        <v>46084.0</v>
      </c>
      <c r="D4345" s="681">
        <v>4.6855852813E10</v>
      </c>
      <c r="E4345" s="681" t="s">
        <v>5253</v>
      </c>
      <c r="F4345" s="656" t="s">
        <v>436</v>
      </c>
      <c r="G4345" s="681" t="s">
        <v>1673</v>
      </c>
      <c r="H4345" s="682" t="s">
        <v>696</v>
      </c>
    </row>
    <row r="4346">
      <c r="A4346" s="546" t="s">
        <v>617</v>
      </c>
      <c r="B4346" s="653" t="s">
        <v>449</v>
      </c>
      <c r="C4346" s="680">
        <v>46084.0</v>
      </c>
      <c r="D4346" s="681">
        <v>4.1091255815E10</v>
      </c>
      <c r="E4346" s="681" t="s">
        <v>6613</v>
      </c>
      <c r="F4346" s="656" t="s">
        <v>436</v>
      </c>
      <c r="G4346" s="681" t="s">
        <v>6614</v>
      </c>
      <c r="H4346" s="682" t="s">
        <v>696</v>
      </c>
    </row>
    <row r="4347">
      <c r="A4347" s="546" t="s">
        <v>617</v>
      </c>
      <c r="B4347" s="653" t="s">
        <v>449</v>
      </c>
      <c r="C4347" s="680">
        <v>46084.0</v>
      </c>
      <c r="D4347" s="681">
        <v>4.7278886014E10</v>
      </c>
      <c r="E4347" s="681" t="s">
        <v>6401</v>
      </c>
      <c r="F4347" s="656" t="s">
        <v>436</v>
      </c>
      <c r="G4347" s="681" t="s">
        <v>6615</v>
      </c>
      <c r="H4347" s="682" t="s">
        <v>696</v>
      </c>
    </row>
    <row r="4348">
      <c r="A4348" s="546" t="s">
        <v>617</v>
      </c>
      <c r="B4348" s="653" t="s">
        <v>449</v>
      </c>
      <c r="C4348" s="680">
        <v>46084.0</v>
      </c>
      <c r="D4348" s="681">
        <v>4.7282912802E10</v>
      </c>
      <c r="E4348" s="681" t="s">
        <v>4165</v>
      </c>
      <c r="F4348" s="656" t="s">
        <v>436</v>
      </c>
      <c r="G4348" s="681" t="s">
        <v>6616</v>
      </c>
      <c r="H4348" s="682" t="s">
        <v>696</v>
      </c>
    </row>
    <row r="4349">
      <c r="A4349" s="546" t="s">
        <v>617</v>
      </c>
      <c r="B4349" s="653" t="s">
        <v>6617</v>
      </c>
      <c r="C4349" s="680">
        <v>46084.0</v>
      </c>
      <c r="D4349" s="681">
        <v>4.3191880581E10</v>
      </c>
      <c r="E4349" s="681" t="s">
        <v>6618</v>
      </c>
      <c r="F4349" s="656" t="s">
        <v>436</v>
      </c>
      <c r="G4349" s="681" t="s">
        <v>6619</v>
      </c>
      <c r="H4349" s="682" t="s">
        <v>696</v>
      </c>
    </row>
    <row r="4350">
      <c r="A4350" s="546" t="s">
        <v>617</v>
      </c>
      <c r="B4350" s="653" t="s">
        <v>449</v>
      </c>
      <c r="C4350" s="680">
        <v>46084.0</v>
      </c>
      <c r="D4350" s="681">
        <v>4.763674916E10</v>
      </c>
      <c r="E4350" s="681" t="s">
        <v>5307</v>
      </c>
      <c r="F4350" s="656" t="s">
        <v>436</v>
      </c>
      <c r="G4350" s="681" t="s">
        <v>6620</v>
      </c>
      <c r="H4350" s="682" t="s">
        <v>696</v>
      </c>
    </row>
    <row r="4351">
      <c r="A4351" s="546" t="s">
        <v>617</v>
      </c>
      <c r="B4351" s="653" t="s">
        <v>433</v>
      </c>
      <c r="C4351" s="680">
        <v>46085.0</v>
      </c>
      <c r="D4351" s="681">
        <v>4.726698846E10</v>
      </c>
      <c r="E4351" s="681" t="s">
        <v>6348</v>
      </c>
      <c r="F4351" s="656" t="s">
        <v>436</v>
      </c>
      <c r="G4351" s="681">
        <v>1156.0</v>
      </c>
      <c r="H4351" s="682" t="s">
        <v>5817</v>
      </c>
    </row>
    <row r="4352">
      <c r="A4352" s="546" t="s">
        <v>617</v>
      </c>
      <c r="B4352" s="653" t="s">
        <v>433</v>
      </c>
      <c r="C4352" s="680">
        <v>46085.0</v>
      </c>
      <c r="D4352" s="681">
        <v>3.3817160953E10</v>
      </c>
      <c r="E4352" s="681" t="s">
        <v>6348</v>
      </c>
      <c r="F4352" s="656" t="s">
        <v>436</v>
      </c>
      <c r="G4352" s="681">
        <v>1156.0</v>
      </c>
      <c r="H4352" s="682" t="s">
        <v>5817</v>
      </c>
    </row>
    <row r="4353">
      <c r="A4353" s="546" t="s">
        <v>439</v>
      </c>
      <c r="B4353" s="653" t="s">
        <v>449</v>
      </c>
      <c r="C4353" s="680">
        <v>46085.0</v>
      </c>
      <c r="D4353" s="681">
        <v>4.3336725577E10</v>
      </c>
      <c r="E4353" s="681" t="s">
        <v>6621</v>
      </c>
      <c r="F4353" s="656" t="s">
        <v>436</v>
      </c>
      <c r="G4353" s="681">
        <v>2795.0</v>
      </c>
      <c r="H4353" s="682" t="s">
        <v>6622</v>
      </c>
    </row>
    <row r="4354">
      <c r="A4354" s="546" t="s">
        <v>439</v>
      </c>
      <c r="B4354" s="653" t="s">
        <v>433</v>
      </c>
      <c r="C4354" s="680">
        <v>46085.0</v>
      </c>
      <c r="D4354" s="681">
        <v>4.0154686824E10</v>
      </c>
      <c r="E4354" s="681" t="s">
        <v>6623</v>
      </c>
      <c r="F4354" s="656" t="s">
        <v>436</v>
      </c>
      <c r="G4354" s="681">
        <v>2693.0</v>
      </c>
      <c r="H4354" s="682" t="s">
        <v>6622</v>
      </c>
    </row>
    <row r="4355">
      <c r="A4355" s="546" t="s">
        <v>439</v>
      </c>
      <c r="B4355" s="653" t="s">
        <v>433</v>
      </c>
      <c r="C4355" s="680">
        <v>46085.0</v>
      </c>
      <c r="D4355" s="681">
        <v>3.4008933E10</v>
      </c>
      <c r="E4355" s="681" t="s">
        <v>4857</v>
      </c>
      <c r="F4355" s="656" t="s">
        <v>436</v>
      </c>
      <c r="G4355" s="681">
        <v>1911.0</v>
      </c>
      <c r="H4355" s="682" t="s">
        <v>6622</v>
      </c>
    </row>
    <row r="4356">
      <c r="A4356" s="546" t="s">
        <v>617</v>
      </c>
      <c r="B4356" s="653" t="s">
        <v>3583</v>
      </c>
      <c r="C4356" s="680">
        <v>46085.0</v>
      </c>
      <c r="D4356" s="681">
        <v>4.7348582804E10</v>
      </c>
      <c r="E4356" s="681" t="s">
        <v>6624</v>
      </c>
      <c r="F4356" s="656" t="s">
        <v>436</v>
      </c>
      <c r="G4356" s="681">
        <v>2083.0</v>
      </c>
      <c r="H4356" s="682" t="s">
        <v>5817</v>
      </c>
    </row>
    <row r="4357">
      <c r="A4357" s="546" t="s">
        <v>617</v>
      </c>
      <c r="B4357" s="653" t="s">
        <v>449</v>
      </c>
      <c r="C4357" s="680">
        <v>46085.0</v>
      </c>
      <c r="D4357" s="681">
        <v>4.3471667182E10</v>
      </c>
      <c r="E4357" s="681" t="s">
        <v>4165</v>
      </c>
      <c r="F4357" s="656" t="s">
        <v>436</v>
      </c>
      <c r="G4357" s="681">
        <v>1994.0</v>
      </c>
      <c r="H4357" s="682" t="s">
        <v>5817</v>
      </c>
    </row>
    <row r="4358">
      <c r="A4358" s="546" t="s">
        <v>617</v>
      </c>
      <c r="B4358" s="653" t="s">
        <v>433</v>
      </c>
      <c r="C4358" s="680">
        <v>46085.0</v>
      </c>
      <c r="D4358" s="681">
        <v>4.8673020072E10</v>
      </c>
      <c r="E4358" s="681" t="s">
        <v>5759</v>
      </c>
      <c r="F4358" s="656" t="s">
        <v>436</v>
      </c>
      <c r="G4358" s="681">
        <v>529.0</v>
      </c>
      <c r="H4358" s="682" t="s">
        <v>5817</v>
      </c>
    </row>
    <row r="4359">
      <c r="A4359" s="546" t="s">
        <v>617</v>
      </c>
      <c r="B4359" s="653" t="s">
        <v>449</v>
      </c>
      <c r="C4359" s="680">
        <v>46085.0</v>
      </c>
      <c r="D4359" s="681">
        <v>4.8840023573E10</v>
      </c>
      <c r="E4359" s="653" t="s">
        <v>6625</v>
      </c>
      <c r="F4359" s="656" t="s">
        <v>436</v>
      </c>
      <c r="G4359" s="681">
        <v>7850.0</v>
      </c>
      <c r="H4359" s="682" t="s">
        <v>5817</v>
      </c>
    </row>
    <row r="4360">
      <c r="A4360" s="546" t="s">
        <v>617</v>
      </c>
      <c r="B4360" s="653" t="s">
        <v>433</v>
      </c>
      <c r="C4360" s="680">
        <v>46085.0</v>
      </c>
      <c r="D4360" s="681">
        <v>4.8450265757E10</v>
      </c>
      <c r="E4360" s="681" t="s">
        <v>6626</v>
      </c>
      <c r="F4360" s="656" t="s">
        <v>436</v>
      </c>
      <c r="G4360" s="681">
        <v>1674.0</v>
      </c>
      <c r="H4360" s="682" t="s">
        <v>5817</v>
      </c>
    </row>
    <row r="4361">
      <c r="A4361" s="546" t="s">
        <v>617</v>
      </c>
      <c r="B4361" s="653" t="s">
        <v>449</v>
      </c>
      <c r="C4361" s="680">
        <v>46085.0</v>
      </c>
      <c r="D4361" s="681">
        <v>5.0150402512E10</v>
      </c>
      <c r="E4361" s="681" t="s">
        <v>6277</v>
      </c>
      <c r="F4361" s="656" t="s">
        <v>436</v>
      </c>
      <c r="G4361" s="681">
        <v>1209.0</v>
      </c>
      <c r="H4361" s="682" t="s">
        <v>5817</v>
      </c>
    </row>
    <row r="4362">
      <c r="A4362" s="546" t="s">
        <v>617</v>
      </c>
      <c r="B4362" s="653" t="s">
        <v>3583</v>
      </c>
      <c r="C4362" s="680">
        <v>46085.0</v>
      </c>
      <c r="D4362" s="681">
        <v>4.2918453763E10</v>
      </c>
      <c r="E4362" s="681" t="s">
        <v>5759</v>
      </c>
      <c r="F4362" s="656" t="s">
        <v>436</v>
      </c>
      <c r="G4362" s="681">
        <v>3336.0</v>
      </c>
      <c r="H4362" s="682" t="s">
        <v>5817</v>
      </c>
    </row>
    <row r="4363">
      <c r="A4363" s="546" t="s">
        <v>439</v>
      </c>
      <c r="B4363" s="653" t="s">
        <v>449</v>
      </c>
      <c r="C4363" s="680">
        <v>46085.0</v>
      </c>
      <c r="D4363" s="681">
        <v>4.5857297326E10</v>
      </c>
      <c r="E4363" s="681" t="s">
        <v>6627</v>
      </c>
      <c r="F4363" s="656" t="s">
        <v>436</v>
      </c>
      <c r="G4363" s="681">
        <v>933.0</v>
      </c>
      <c r="H4363" s="682" t="s">
        <v>6622</v>
      </c>
    </row>
    <row r="4364">
      <c r="A4364" s="546" t="s">
        <v>439</v>
      </c>
      <c r="B4364" s="653" t="s">
        <v>449</v>
      </c>
      <c r="C4364" s="680">
        <v>46085.0</v>
      </c>
      <c r="D4364" s="681">
        <v>4.7316359397E10</v>
      </c>
      <c r="E4364" s="681" t="s">
        <v>6628</v>
      </c>
      <c r="F4364" s="656" t="s">
        <v>436</v>
      </c>
      <c r="G4364" s="681">
        <v>1231.0</v>
      </c>
      <c r="H4364" s="682" t="s">
        <v>6622</v>
      </c>
    </row>
    <row r="4365">
      <c r="A4365" s="546" t="s">
        <v>617</v>
      </c>
      <c r="B4365" s="653" t="s">
        <v>433</v>
      </c>
      <c r="C4365" s="680">
        <v>46085.0</v>
      </c>
      <c r="D4365" s="681">
        <v>4.4353104277E10</v>
      </c>
      <c r="E4365" s="681" t="s">
        <v>5630</v>
      </c>
      <c r="F4365" s="656" t="s">
        <v>436</v>
      </c>
      <c r="G4365" s="681">
        <v>1260.0</v>
      </c>
      <c r="H4365" s="682" t="s">
        <v>5817</v>
      </c>
    </row>
    <row r="4366">
      <c r="A4366" s="546" t="s">
        <v>617</v>
      </c>
      <c r="B4366" s="653" t="s">
        <v>433</v>
      </c>
      <c r="C4366" s="680">
        <v>46085.0</v>
      </c>
      <c r="D4366" s="681">
        <v>3.798310272E10</v>
      </c>
      <c r="E4366" s="681" t="s">
        <v>6629</v>
      </c>
      <c r="F4366" s="656" t="s">
        <v>436</v>
      </c>
      <c r="G4366" s="681">
        <v>1991.0</v>
      </c>
      <c r="H4366" s="682" t="s">
        <v>5817</v>
      </c>
    </row>
    <row r="4367">
      <c r="A4367" s="546" t="s">
        <v>617</v>
      </c>
      <c r="B4367" s="653" t="s">
        <v>3583</v>
      </c>
      <c r="C4367" s="680">
        <v>46085.0</v>
      </c>
      <c r="D4367" s="681">
        <v>3.9067986636E10</v>
      </c>
      <c r="E4367" s="681" t="s">
        <v>6630</v>
      </c>
      <c r="F4367" s="656" t="s">
        <v>436</v>
      </c>
      <c r="G4367" s="681">
        <v>1280.0</v>
      </c>
      <c r="H4367" s="682" t="s">
        <v>5817</v>
      </c>
    </row>
    <row r="4368">
      <c r="A4368" s="546" t="s">
        <v>617</v>
      </c>
      <c r="B4368" s="653" t="s">
        <v>449</v>
      </c>
      <c r="C4368" s="680">
        <v>46086.0</v>
      </c>
      <c r="D4368" s="681">
        <v>4.8125761021E10</v>
      </c>
      <c r="E4368" s="681" t="s">
        <v>6026</v>
      </c>
      <c r="F4368" s="656" t="s">
        <v>436</v>
      </c>
      <c r="G4368" s="681">
        <v>189.0</v>
      </c>
      <c r="H4368" s="682" t="s">
        <v>5817</v>
      </c>
    </row>
    <row r="4369">
      <c r="A4369" s="546" t="s">
        <v>617</v>
      </c>
      <c r="B4369" s="653" t="s">
        <v>449</v>
      </c>
      <c r="C4369" s="680">
        <v>46086.0</v>
      </c>
      <c r="D4369" s="681">
        <v>4.9913908465E10</v>
      </c>
      <c r="E4369" s="681" t="s">
        <v>6631</v>
      </c>
      <c r="F4369" s="656" t="s">
        <v>436</v>
      </c>
      <c r="G4369" s="681">
        <v>325.0</v>
      </c>
      <c r="H4369" s="682" t="s">
        <v>5817</v>
      </c>
    </row>
    <row r="4370">
      <c r="A4370" s="546" t="s">
        <v>617</v>
      </c>
      <c r="B4370" s="653" t="s">
        <v>433</v>
      </c>
      <c r="C4370" s="680">
        <v>46086.0</v>
      </c>
      <c r="D4370" s="681">
        <v>4.7311587218E10</v>
      </c>
      <c r="E4370" s="681" t="s">
        <v>6026</v>
      </c>
      <c r="F4370" s="656" t="s">
        <v>436</v>
      </c>
      <c r="G4370" s="681">
        <v>9103.0</v>
      </c>
      <c r="H4370" s="682" t="s">
        <v>5817</v>
      </c>
    </row>
    <row r="4371">
      <c r="A4371" s="546" t="s">
        <v>823</v>
      </c>
      <c r="B4371" s="653" t="s">
        <v>449</v>
      </c>
      <c r="C4371" s="680">
        <v>46086.0</v>
      </c>
      <c r="D4371" s="681">
        <v>3.9080890881E10</v>
      </c>
      <c r="E4371" s="681" t="s">
        <v>5430</v>
      </c>
      <c r="F4371" s="656" t="s">
        <v>436</v>
      </c>
      <c r="G4371" s="681">
        <v>407.0</v>
      </c>
      <c r="H4371" s="682" t="s">
        <v>4558</v>
      </c>
    </row>
    <row r="4372">
      <c r="A4372" s="546" t="s">
        <v>617</v>
      </c>
      <c r="B4372" s="653" t="s">
        <v>433</v>
      </c>
      <c r="C4372" s="680">
        <v>46086.0</v>
      </c>
      <c r="D4372" s="681">
        <v>4.565158561E10</v>
      </c>
      <c r="E4372" s="681" t="s">
        <v>6131</v>
      </c>
      <c r="F4372" s="656" t="s">
        <v>436</v>
      </c>
      <c r="G4372" s="681">
        <v>5246.0</v>
      </c>
      <c r="H4372" s="682" t="s">
        <v>5817</v>
      </c>
    </row>
    <row r="4373">
      <c r="A4373" s="546" t="s">
        <v>823</v>
      </c>
      <c r="B4373" s="653" t="s">
        <v>449</v>
      </c>
      <c r="C4373" s="680">
        <v>46086.0</v>
      </c>
      <c r="D4373" s="681">
        <v>4.8142798792E10</v>
      </c>
      <c r="E4373" s="681" t="s">
        <v>5468</v>
      </c>
      <c r="F4373" s="656" t="s">
        <v>436</v>
      </c>
      <c r="G4373" s="681">
        <v>282.0</v>
      </c>
      <c r="H4373" s="682" t="s">
        <v>4558</v>
      </c>
    </row>
    <row r="4374">
      <c r="A4374" s="546" t="s">
        <v>617</v>
      </c>
      <c r="B4374" s="653" t="s">
        <v>433</v>
      </c>
      <c r="C4374" s="680">
        <v>46086.0</v>
      </c>
      <c r="D4374" s="681">
        <v>4.9891986269E10</v>
      </c>
      <c r="E4374" s="681" t="s">
        <v>6632</v>
      </c>
      <c r="F4374" s="656" t="s">
        <v>436</v>
      </c>
      <c r="G4374" s="681">
        <v>922.0</v>
      </c>
      <c r="H4374" s="682" t="s">
        <v>5817</v>
      </c>
    </row>
    <row r="4375">
      <c r="A4375" s="546" t="s">
        <v>823</v>
      </c>
      <c r="B4375" s="653" t="s">
        <v>449</v>
      </c>
      <c r="C4375" s="680">
        <v>46086.0</v>
      </c>
      <c r="D4375" s="681">
        <v>4.6963419012E10</v>
      </c>
      <c r="E4375" s="681" t="s">
        <v>5536</v>
      </c>
      <c r="F4375" s="656" t="s">
        <v>436</v>
      </c>
      <c r="G4375" s="681">
        <v>868.0</v>
      </c>
      <c r="H4375" s="682" t="s">
        <v>4558</v>
      </c>
    </row>
    <row r="4376">
      <c r="A4376" s="546" t="s">
        <v>439</v>
      </c>
      <c r="B4376" s="653" t="s">
        <v>449</v>
      </c>
      <c r="C4376" s="680">
        <v>46086.0</v>
      </c>
      <c r="D4376" s="681">
        <v>4.2654469182E10</v>
      </c>
      <c r="E4376" s="681" t="s">
        <v>4165</v>
      </c>
      <c r="F4376" s="656" t="s">
        <v>436</v>
      </c>
      <c r="G4376" s="681">
        <v>1974.0</v>
      </c>
      <c r="H4376" s="682" t="s">
        <v>6622</v>
      </c>
    </row>
    <row r="4377">
      <c r="A4377" s="546" t="s">
        <v>617</v>
      </c>
      <c r="B4377" s="653" t="s">
        <v>449</v>
      </c>
      <c r="C4377" s="680">
        <v>46086.0</v>
      </c>
      <c r="D4377" s="681">
        <v>4.7149598707E10</v>
      </c>
      <c r="E4377" s="681" t="s">
        <v>6633</v>
      </c>
      <c r="F4377" s="656" t="s">
        <v>436</v>
      </c>
      <c r="G4377" s="681">
        <v>1574.0</v>
      </c>
      <c r="H4377" s="682" t="s">
        <v>5817</v>
      </c>
    </row>
    <row r="4378">
      <c r="A4378" s="546" t="s">
        <v>823</v>
      </c>
      <c r="B4378" s="653" t="s">
        <v>449</v>
      </c>
      <c r="C4378" s="680">
        <v>46086.0</v>
      </c>
      <c r="D4378" s="681">
        <v>1.8768434143E10</v>
      </c>
      <c r="E4378" s="681" t="s">
        <v>4854</v>
      </c>
      <c r="F4378" s="656" t="s">
        <v>436</v>
      </c>
      <c r="G4378" s="681">
        <v>236.0</v>
      </c>
      <c r="H4378" s="682" t="s">
        <v>4558</v>
      </c>
    </row>
    <row r="4379">
      <c r="A4379" s="546" t="s">
        <v>617</v>
      </c>
      <c r="B4379" s="653" t="s">
        <v>433</v>
      </c>
      <c r="C4379" s="680">
        <v>46086.0</v>
      </c>
      <c r="D4379" s="681">
        <v>4.7253431083E10</v>
      </c>
      <c r="E4379" s="681" t="s">
        <v>5630</v>
      </c>
      <c r="F4379" s="656" t="s">
        <v>436</v>
      </c>
      <c r="G4379" s="681">
        <v>3713.0</v>
      </c>
      <c r="H4379" s="682" t="s">
        <v>5817</v>
      </c>
    </row>
    <row r="4380">
      <c r="A4380" s="546" t="s">
        <v>617</v>
      </c>
      <c r="B4380" s="653" t="s">
        <v>433</v>
      </c>
      <c r="C4380" s="680">
        <v>46086.0</v>
      </c>
      <c r="D4380" s="681">
        <v>3.2320438756E10</v>
      </c>
      <c r="E4380" s="681" t="s">
        <v>6634</v>
      </c>
      <c r="F4380" s="656" t="s">
        <v>436</v>
      </c>
      <c r="G4380" s="681">
        <v>4259.0</v>
      </c>
      <c r="H4380" s="682" t="s">
        <v>5817</v>
      </c>
    </row>
    <row r="4381">
      <c r="A4381" s="546" t="s">
        <v>617</v>
      </c>
      <c r="B4381" s="653" t="s">
        <v>433</v>
      </c>
      <c r="C4381" s="680">
        <v>46086.0</v>
      </c>
      <c r="D4381" s="681">
        <v>4.8338402729E10</v>
      </c>
      <c r="E4381" s="681" t="s">
        <v>5125</v>
      </c>
      <c r="F4381" s="656" t="s">
        <v>436</v>
      </c>
      <c r="G4381" s="681">
        <v>1869.0</v>
      </c>
      <c r="H4381" s="682" t="s">
        <v>5817</v>
      </c>
    </row>
    <row r="4382">
      <c r="A4382" s="546" t="s">
        <v>439</v>
      </c>
      <c r="B4382" s="653" t="s">
        <v>433</v>
      </c>
      <c r="C4382" s="680">
        <v>46086.0</v>
      </c>
      <c r="D4382" s="681">
        <v>3.517306252E10</v>
      </c>
      <c r="E4382" s="681" t="s">
        <v>6635</v>
      </c>
      <c r="F4382" s="656" t="s">
        <v>436</v>
      </c>
      <c r="G4382" s="681">
        <v>2455.0</v>
      </c>
      <c r="H4382" s="682" t="s">
        <v>6622</v>
      </c>
    </row>
    <row r="4383">
      <c r="A4383" s="546" t="s">
        <v>617</v>
      </c>
      <c r="B4383" s="653" t="s">
        <v>3583</v>
      </c>
      <c r="C4383" s="680">
        <v>46086.0</v>
      </c>
      <c r="D4383" s="681">
        <v>4.7175225741E10</v>
      </c>
      <c r="E4383" s="681" t="s">
        <v>6636</v>
      </c>
      <c r="F4383" s="656" t="s">
        <v>436</v>
      </c>
      <c r="G4383" s="681">
        <v>1453.0</v>
      </c>
      <c r="H4383" s="682" t="s">
        <v>5817</v>
      </c>
    </row>
    <row r="4384">
      <c r="A4384" s="546" t="s">
        <v>617</v>
      </c>
      <c r="B4384" s="653" t="s">
        <v>449</v>
      </c>
      <c r="C4384" s="680">
        <v>46086.0</v>
      </c>
      <c r="D4384" s="681">
        <v>4.7286872303E10</v>
      </c>
      <c r="E4384" s="681" t="s">
        <v>6391</v>
      </c>
      <c r="F4384" s="656" t="s">
        <v>436</v>
      </c>
      <c r="G4384" s="681">
        <v>1795.0</v>
      </c>
      <c r="H4384" s="682" t="s">
        <v>5817</v>
      </c>
    </row>
    <row r="4385">
      <c r="A4385" s="546" t="s">
        <v>617</v>
      </c>
      <c r="B4385" s="653" t="s">
        <v>449</v>
      </c>
      <c r="C4385" s="680">
        <v>46086.0</v>
      </c>
      <c r="D4385" s="681">
        <v>4.8932736045E10</v>
      </c>
      <c r="E4385" s="681" t="s">
        <v>5759</v>
      </c>
      <c r="F4385" s="656" t="s">
        <v>436</v>
      </c>
      <c r="G4385" s="681">
        <v>3238.0</v>
      </c>
      <c r="H4385" s="682" t="s">
        <v>5817</v>
      </c>
    </row>
    <row r="4386">
      <c r="A4386" s="546" t="s">
        <v>617</v>
      </c>
      <c r="B4386" s="653" t="s">
        <v>449</v>
      </c>
      <c r="C4386" s="680">
        <v>46086.0</v>
      </c>
      <c r="D4386" s="681">
        <v>4.8391386257E10</v>
      </c>
      <c r="E4386" s="681" t="s">
        <v>6277</v>
      </c>
      <c r="F4386" s="656" t="s">
        <v>436</v>
      </c>
      <c r="G4386" s="681">
        <v>693.0</v>
      </c>
      <c r="H4386" s="682" t="s">
        <v>5817</v>
      </c>
    </row>
    <row r="4387">
      <c r="A4387" s="546" t="s">
        <v>617</v>
      </c>
      <c r="B4387" s="653" t="s">
        <v>433</v>
      </c>
      <c r="C4387" s="680">
        <v>46086.0</v>
      </c>
      <c r="D4387" s="681">
        <v>4.7492217812E10</v>
      </c>
      <c r="E4387" s="681" t="s">
        <v>6391</v>
      </c>
      <c r="F4387" s="656" t="s">
        <v>436</v>
      </c>
      <c r="G4387" s="681">
        <v>500.0</v>
      </c>
      <c r="H4387" s="682" t="s">
        <v>5817</v>
      </c>
    </row>
    <row r="4388">
      <c r="A4388" s="546" t="s">
        <v>617</v>
      </c>
      <c r="B4388" s="653" t="s">
        <v>449</v>
      </c>
      <c r="C4388" s="680">
        <v>46086.0</v>
      </c>
      <c r="D4388" s="681">
        <v>4.7442597519E10</v>
      </c>
      <c r="E4388" s="681" t="s">
        <v>5759</v>
      </c>
      <c r="F4388" s="656" t="s">
        <v>436</v>
      </c>
      <c r="G4388" s="681">
        <v>5086.0</v>
      </c>
      <c r="H4388" s="682" t="s">
        <v>5817</v>
      </c>
    </row>
    <row r="4389">
      <c r="A4389" s="546" t="s">
        <v>617</v>
      </c>
      <c r="B4389" s="653" t="s">
        <v>449</v>
      </c>
      <c r="C4389" s="680">
        <v>46086.0</v>
      </c>
      <c r="D4389" s="681">
        <v>4.5861330278E10</v>
      </c>
      <c r="E4389" s="681" t="s">
        <v>4165</v>
      </c>
      <c r="F4389" s="656" t="s">
        <v>436</v>
      </c>
      <c r="G4389" s="681">
        <v>1702.0</v>
      </c>
      <c r="H4389" s="682" t="s">
        <v>5817</v>
      </c>
    </row>
    <row r="4390">
      <c r="A4390" s="546" t="s">
        <v>432</v>
      </c>
      <c r="B4390" s="653" t="s">
        <v>449</v>
      </c>
      <c r="C4390" s="680">
        <v>46087.0</v>
      </c>
      <c r="D4390" s="681">
        <v>3.6238702283E10</v>
      </c>
      <c r="E4390" s="681" t="s">
        <v>85</v>
      </c>
      <c r="F4390" s="656" t="s">
        <v>436</v>
      </c>
      <c r="G4390" s="681" t="s">
        <v>6637</v>
      </c>
      <c r="H4390" s="682" t="s">
        <v>438</v>
      </c>
    </row>
    <row r="4391">
      <c r="A4391" s="546" t="s">
        <v>432</v>
      </c>
      <c r="B4391" s="653" t="s">
        <v>449</v>
      </c>
      <c r="C4391" s="680">
        <v>46087.0</v>
      </c>
      <c r="D4391" s="681">
        <v>5.0204000625E10</v>
      </c>
      <c r="E4391" s="681" t="s">
        <v>85</v>
      </c>
      <c r="F4391" s="656" t="s">
        <v>436</v>
      </c>
      <c r="G4391" s="681" t="s">
        <v>3904</v>
      </c>
      <c r="H4391" s="682" t="s">
        <v>438</v>
      </c>
    </row>
    <row r="4392">
      <c r="A4392" s="546" t="s">
        <v>617</v>
      </c>
      <c r="B4392" s="653" t="s">
        <v>449</v>
      </c>
      <c r="C4392" s="680">
        <v>46087.0</v>
      </c>
      <c r="D4392" s="681">
        <v>4.2663189171E10</v>
      </c>
      <c r="E4392" s="681" t="s">
        <v>4854</v>
      </c>
      <c r="F4392" s="656" t="s">
        <v>436</v>
      </c>
      <c r="G4392" s="681" t="s">
        <v>6638</v>
      </c>
      <c r="H4392" s="682" t="s">
        <v>696</v>
      </c>
    </row>
    <row r="4393">
      <c r="A4393" s="546" t="s">
        <v>439</v>
      </c>
      <c r="B4393" s="653" t="s">
        <v>449</v>
      </c>
      <c r="C4393" s="680">
        <v>46087.0</v>
      </c>
      <c r="D4393" s="681">
        <v>4.4649314401E10</v>
      </c>
      <c r="E4393" s="681" t="s">
        <v>6639</v>
      </c>
      <c r="F4393" s="656" t="s">
        <v>436</v>
      </c>
      <c r="G4393" s="681" t="s">
        <v>2334</v>
      </c>
      <c r="H4393" s="682" t="s">
        <v>6593</v>
      </c>
    </row>
    <row r="4394">
      <c r="A4394" s="546" t="s">
        <v>823</v>
      </c>
      <c r="B4394" s="653" t="s">
        <v>449</v>
      </c>
      <c r="C4394" s="680" t="s">
        <v>6640</v>
      </c>
      <c r="D4394" s="681">
        <v>4.8155724791E10</v>
      </c>
      <c r="E4394" s="681" t="s">
        <v>6641</v>
      </c>
      <c r="F4394" s="656" t="s">
        <v>436</v>
      </c>
      <c r="G4394" s="681">
        <v>399.0</v>
      </c>
      <c r="H4394" s="682" t="s">
        <v>4558</v>
      </c>
    </row>
    <row r="4395">
      <c r="A4395" s="546" t="s">
        <v>823</v>
      </c>
      <c r="B4395" s="653" t="s">
        <v>433</v>
      </c>
      <c r="C4395" s="680">
        <v>46087.0</v>
      </c>
      <c r="D4395" s="681">
        <v>5.0008942502E10</v>
      </c>
      <c r="E4395" s="681" t="s">
        <v>4165</v>
      </c>
      <c r="F4395" s="656" t="s">
        <v>436</v>
      </c>
      <c r="G4395" s="681">
        <v>3716.0</v>
      </c>
      <c r="H4395" s="682" t="s">
        <v>4558</v>
      </c>
    </row>
    <row r="4396">
      <c r="A4396" s="546" t="s">
        <v>617</v>
      </c>
      <c r="B4396" s="653" t="s">
        <v>6642</v>
      </c>
      <c r="C4396" s="680">
        <v>46087.0</v>
      </c>
      <c r="D4396" s="681">
        <v>3.8471210108E10</v>
      </c>
      <c r="E4396" s="681" t="s">
        <v>6335</v>
      </c>
      <c r="F4396" s="656" t="s">
        <v>436</v>
      </c>
      <c r="G4396" s="681" t="s">
        <v>6643</v>
      </c>
      <c r="H4396" s="682" t="s">
        <v>696</v>
      </c>
    </row>
    <row r="4397">
      <c r="A4397" s="546" t="s">
        <v>617</v>
      </c>
      <c r="B4397" s="653" t="s">
        <v>449</v>
      </c>
      <c r="C4397" s="680">
        <v>46087.0</v>
      </c>
      <c r="D4397" s="681">
        <v>5.0010162096E10</v>
      </c>
      <c r="E4397" s="681" t="s">
        <v>6644</v>
      </c>
      <c r="F4397" s="656" t="s">
        <v>436</v>
      </c>
      <c r="G4397" s="681" t="s">
        <v>3112</v>
      </c>
      <c r="H4397" s="681" t="s">
        <v>696</v>
      </c>
    </row>
    <row r="4398">
      <c r="A4398" s="546" t="s">
        <v>617</v>
      </c>
      <c r="B4398" s="653" t="s">
        <v>433</v>
      </c>
      <c r="C4398" s="680">
        <v>46087.0</v>
      </c>
      <c r="D4398" s="681">
        <v>4.7252233127E10</v>
      </c>
      <c r="E4398" s="681" t="s">
        <v>6645</v>
      </c>
      <c r="F4398" s="656" t="s">
        <v>436</v>
      </c>
      <c r="G4398" s="681" t="s">
        <v>6646</v>
      </c>
      <c r="H4398" s="681" t="s">
        <v>696</v>
      </c>
    </row>
    <row r="4399">
      <c r="A4399" s="546" t="s">
        <v>617</v>
      </c>
      <c r="B4399" s="653" t="s">
        <v>449</v>
      </c>
      <c r="C4399" s="680">
        <v>46087.0</v>
      </c>
      <c r="D4399" s="681">
        <v>4.7372745332E10</v>
      </c>
      <c r="E4399" s="681" t="s">
        <v>6647</v>
      </c>
      <c r="F4399" s="656" t="s">
        <v>436</v>
      </c>
      <c r="G4399" s="681" t="s">
        <v>6648</v>
      </c>
      <c r="H4399" s="681" t="s">
        <v>696</v>
      </c>
    </row>
    <row r="4400">
      <c r="A4400" s="546" t="s">
        <v>617</v>
      </c>
      <c r="B4400" s="653" t="s">
        <v>449</v>
      </c>
      <c r="C4400" s="680">
        <v>46087.0</v>
      </c>
      <c r="D4400" s="681">
        <v>3.5582114241E10</v>
      </c>
      <c r="E4400" s="681" t="s">
        <v>6295</v>
      </c>
      <c r="F4400" s="656" t="s">
        <v>436</v>
      </c>
      <c r="G4400" s="681" t="s">
        <v>6649</v>
      </c>
      <c r="H4400" s="681" t="s">
        <v>696</v>
      </c>
    </row>
    <row r="4401">
      <c r="A4401" s="546" t="s">
        <v>617</v>
      </c>
      <c r="B4401" s="653" t="s">
        <v>449</v>
      </c>
      <c r="C4401" s="680">
        <v>46087.0</v>
      </c>
      <c r="D4401" s="681">
        <v>4.3400994496E10</v>
      </c>
      <c r="E4401" s="681" t="s">
        <v>6650</v>
      </c>
      <c r="F4401" s="656" t="s">
        <v>436</v>
      </c>
      <c r="G4401" s="681" t="s">
        <v>6651</v>
      </c>
      <c r="H4401" s="681" t="s">
        <v>696</v>
      </c>
    </row>
    <row r="4402">
      <c r="A4402" s="546" t="s">
        <v>617</v>
      </c>
      <c r="B4402" s="653" t="s">
        <v>449</v>
      </c>
      <c r="C4402" s="680">
        <v>46087.0</v>
      </c>
      <c r="D4402" s="681">
        <v>4.6776156841E10</v>
      </c>
      <c r="E4402" s="681" t="s">
        <v>5253</v>
      </c>
      <c r="F4402" s="656" t="s">
        <v>436</v>
      </c>
      <c r="G4402" s="681" t="s">
        <v>6652</v>
      </c>
      <c r="H4402" s="681" t="s">
        <v>696</v>
      </c>
    </row>
    <row r="4403">
      <c r="A4403" s="546" t="s">
        <v>617</v>
      </c>
      <c r="B4403" s="653" t="s">
        <v>449</v>
      </c>
      <c r="C4403" s="680">
        <v>46087.0</v>
      </c>
      <c r="D4403" s="681">
        <v>5.0372466964E10</v>
      </c>
      <c r="E4403" s="681" t="s">
        <v>5383</v>
      </c>
      <c r="F4403" s="656" t="s">
        <v>436</v>
      </c>
      <c r="G4403" s="681" t="s">
        <v>1988</v>
      </c>
      <c r="H4403" s="681" t="s">
        <v>696</v>
      </c>
    </row>
    <row r="4404">
      <c r="A4404" s="546" t="s">
        <v>439</v>
      </c>
      <c r="B4404" s="653" t="s">
        <v>449</v>
      </c>
      <c r="C4404" s="680">
        <v>46087.0</v>
      </c>
      <c r="D4404" s="681">
        <v>4.8493037485E10</v>
      </c>
      <c r="E4404" s="681" t="s">
        <v>4165</v>
      </c>
      <c r="F4404" s="656" t="s">
        <v>436</v>
      </c>
      <c r="G4404" s="681" t="s">
        <v>3904</v>
      </c>
      <c r="H4404" s="681" t="s">
        <v>6593</v>
      </c>
    </row>
    <row r="4405">
      <c r="A4405" s="546" t="s">
        <v>432</v>
      </c>
      <c r="B4405" s="653" t="s">
        <v>449</v>
      </c>
      <c r="C4405" s="680">
        <v>46087.0</v>
      </c>
      <c r="D4405" s="681">
        <v>4.4565560067E10</v>
      </c>
      <c r="E4405" s="681" t="s">
        <v>5542</v>
      </c>
      <c r="F4405" s="656" t="s">
        <v>436</v>
      </c>
      <c r="G4405" s="681" t="s">
        <v>6653</v>
      </c>
      <c r="H4405" s="681" t="s">
        <v>438</v>
      </c>
    </row>
    <row r="4406">
      <c r="A4406" s="546" t="s">
        <v>439</v>
      </c>
      <c r="B4406" s="653" t="s">
        <v>449</v>
      </c>
      <c r="C4406" s="680">
        <v>46088.0</v>
      </c>
      <c r="D4406" s="681">
        <v>4.8694518916E10</v>
      </c>
      <c r="E4406" s="681" t="s">
        <v>5315</v>
      </c>
      <c r="F4406" s="656" t="s">
        <v>436</v>
      </c>
      <c r="G4406" s="681">
        <v>960.0</v>
      </c>
      <c r="H4406" s="682" t="s">
        <v>6622</v>
      </c>
    </row>
    <row r="4407">
      <c r="A4407" s="546" t="s">
        <v>617</v>
      </c>
      <c r="B4407" s="653" t="s">
        <v>449</v>
      </c>
      <c r="C4407" s="680">
        <v>46088.0</v>
      </c>
      <c r="D4407" s="681">
        <v>4.7428453445E10</v>
      </c>
      <c r="E4407" s="681" t="s">
        <v>5469</v>
      </c>
      <c r="F4407" s="656" t="s">
        <v>436</v>
      </c>
      <c r="G4407" s="681" t="s">
        <v>6654</v>
      </c>
      <c r="H4407" s="681" t="s">
        <v>696</v>
      </c>
    </row>
    <row r="4408">
      <c r="A4408" s="546" t="s">
        <v>617</v>
      </c>
      <c r="B4408" s="653" t="s">
        <v>433</v>
      </c>
      <c r="C4408" s="680">
        <v>46088.0</v>
      </c>
      <c r="D4408" s="681">
        <v>4.5635357327E10</v>
      </c>
      <c r="E4408" s="681" t="s">
        <v>6613</v>
      </c>
      <c r="F4408" s="656" t="s">
        <v>436</v>
      </c>
      <c r="G4408" s="681" t="s">
        <v>6655</v>
      </c>
      <c r="H4408" s="681" t="s">
        <v>696</v>
      </c>
    </row>
    <row r="4409">
      <c r="A4409" s="546" t="s">
        <v>823</v>
      </c>
      <c r="B4409" s="653" t="s">
        <v>433</v>
      </c>
      <c r="C4409" s="680">
        <v>46089.0</v>
      </c>
      <c r="D4409" s="681">
        <v>4.8943105203E10</v>
      </c>
      <c r="E4409" s="681" t="s">
        <v>4129</v>
      </c>
      <c r="F4409" s="656" t="s">
        <v>436</v>
      </c>
      <c r="G4409" s="681" t="s">
        <v>6656</v>
      </c>
      <c r="H4409" s="681" t="s">
        <v>1096</v>
      </c>
    </row>
    <row r="4410">
      <c r="A4410" s="546" t="s">
        <v>823</v>
      </c>
      <c r="B4410" s="653" t="s">
        <v>449</v>
      </c>
      <c r="C4410" s="680">
        <v>46089.0</v>
      </c>
      <c r="D4410" s="681">
        <v>4.7475367208E10</v>
      </c>
      <c r="E4410" s="681" t="s">
        <v>6295</v>
      </c>
      <c r="F4410" s="656" t="s">
        <v>436</v>
      </c>
      <c r="G4410" s="681" t="s">
        <v>6657</v>
      </c>
      <c r="H4410" s="681" t="s">
        <v>1096</v>
      </c>
    </row>
    <row r="4411">
      <c r="A4411" s="546" t="s">
        <v>439</v>
      </c>
      <c r="B4411" s="653" t="s">
        <v>449</v>
      </c>
      <c r="C4411" s="680">
        <v>46088.0</v>
      </c>
      <c r="D4411" s="681">
        <v>4.6227514749E10</v>
      </c>
      <c r="E4411" s="681" t="s">
        <v>6658</v>
      </c>
      <c r="F4411" s="656" t="s">
        <v>436</v>
      </c>
      <c r="G4411" s="681">
        <v>960.0</v>
      </c>
      <c r="H4411" s="682" t="s">
        <v>6622</v>
      </c>
    </row>
    <row r="4412">
      <c r="A4412" s="546" t="s">
        <v>439</v>
      </c>
      <c r="B4412" s="653" t="s">
        <v>449</v>
      </c>
      <c r="C4412" s="680">
        <v>46088.0</v>
      </c>
      <c r="D4412" s="681">
        <v>5.0455038693E10</v>
      </c>
      <c r="E4412" s="681" t="s">
        <v>6659</v>
      </c>
      <c r="F4412" s="656" t="s">
        <v>436</v>
      </c>
      <c r="G4412" s="681">
        <v>663.0</v>
      </c>
      <c r="H4412" s="682" t="s">
        <v>6622</v>
      </c>
    </row>
    <row r="4413">
      <c r="A4413" s="546" t="s">
        <v>439</v>
      </c>
      <c r="B4413" s="653" t="s">
        <v>449</v>
      </c>
      <c r="C4413" s="680">
        <v>46088.0</v>
      </c>
      <c r="D4413" s="681">
        <v>4.6859348426E10</v>
      </c>
      <c r="E4413" s="681" t="s">
        <v>6660</v>
      </c>
      <c r="F4413" s="656" t="s">
        <v>436</v>
      </c>
      <c r="G4413" s="699"/>
      <c r="H4413" s="682" t="s">
        <v>6622</v>
      </c>
    </row>
    <row r="4414">
      <c r="A4414" s="546" t="s">
        <v>617</v>
      </c>
      <c r="B4414" s="653" t="s">
        <v>433</v>
      </c>
      <c r="C4414" s="680">
        <v>46088.0</v>
      </c>
      <c r="D4414" s="681">
        <v>3.2164024672E10</v>
      </c>
      <c r="E4414" s="681" t="s">
        <v>5253</v>
      </c>
      <c r="F4414" s="656" t="s">
        <v>436</v>
      </c>
      <c r="G4414" s="681" t="s">
        <v>6661</v>
      </c>
      <c r="H4414" s="681" t="s">
        <v>696</v>
      </c>
    </row>
    <row r="4415">
      <c r="A4415" s="546" t="s">
        <v>617</v>
      </c>
      <c r="B4415" s="653" t="s">
        <v>433</v>
      </c>
      <c r="C4415" s="680">
        <v>46088.0</v>
      </c>
      <c r="D4415" s="681">
        <v>4.731611837E10</v>
      </c>
      <c r="E4415" s="681" t="s">
        <v>5253</v>
      </c>
      <c r="F4415" s="656" t="s">
        <v>436</v>
      </c>
      <c r="G4415" s="681" t="s">
        <v>6662</v>
      </c>
      <c r="H4415" s="681" t="s">
        <v>696</v>
      </c>
    </row>
    <row r="4416">
      <c r="A4416" s="546" t="s">
        <v>823</v>
      </c>
      <c r="B4416" s="653" t="s">
        <v>449</v>
      </c>
      <c r="C4416" s="680">
        <v>46088.0</v>
      </c>
      <c r="D4416" s="681">
        <v>3.4974182193E10</v>
      </c>
      <c r="E4416" s="681" t="s">
        <v>5383</v>
      </c>
      <c r="F4416" s="656" t="s">
        <v>436</v>
      </c>
      <c r="G4416" s="681" t="s">
        <v>3935</v>
      </c>
      <c r="H4416" s="681" t="s">
        <v>1096</v>
      </c>
    </row>
    <row r="4417">
      <c r="A4417" s="546" t="s">
        <v>617</v>
      </c>
      <c r="B4417" s="653" t="s">
        <v>449</v>
      </c>
      <c r="C4417" s="680">
        <v>46088.0</v>
      </c>
      <c r="D4417" s="681">
        <v>4.7355092162E10</v>
      </c>
      <c r="E4417" s="681" t="s">
        <v>5253</v>
      </c>
      <c r="F4417" s="656" t="s">
        <v>436</v>
      </c>
      <c r="G4417" s="681" t="s">
        <v>3860</v>
      </c>
      <c r="H4417" s="681" t="s">
        <v>696</v>
      </c>
    </row>
    <row r="4418">
      <c r="A4418" s="546" t="s">
        <v>617</v>
      </c>
      <c r="B4418" s="653" t="s">
        <v>433</v>
      </c>
      <c r="C4418" s="680">
        <v>46088.0</v>
      </c>
      <c r="D4418" s="681">
        <v>4.8224289933E10</v>
      </c>
      <c r="E4418" s="681" t="s">
        <v>5253</v>
      </c>
      <c r="F4418" s="656" t="s">
        <v>436</v>
      </c>
      <c r="G4418" s="681" t="s">
        <v>3860</v>
      </c>
      <c r="H4418" s="681" t="s">
        <v>696</v>
      </c>
    </row>
    <row r="4419">
      <c r="A4419" s="546" t="s">
        <v>617</v>
      </c>
      <c r="B4419" s="653" t="s">
        <v>433</v>
      </c>
      <c r="C4419" s="680">
        <v>46089.0</v>
      </c>
      <c r="D4419" s="681">
        <v>2.8182592241E10</v>
      </c>
      <c r="E4419" s="681" t="s">
        <v>6588</v>
      </c>
      <c r="F4419" s="656" t="s">
        <v>436</v>
      </c>
      <c r="G4419" s="681">
        <v>2595.0</v>
      </c>
      <c r="H4419" s="682" t="s">
        <v>5817</v>
      </c>
    </row>
    <row r="4420">
      <c r="A4420" s="546" t="s">
        <v>617</v>
      </c>
      <c r="B4420" s="653" t="s">
        <v>449</v>
      </c>
      <c r="C4420" s="680">
        <v>46089.0</v>
      </c>
      <c r="D4420" s="681">
        <v>5.036676786E10</v>
      </c>
      <c r="E4420" s="681" t="s">
        <v>6026</v>
      </c>
      <c r="F4420" s="656" t="s">
        <v>436</v>
      </c>
      <c r="G4420" s="681">
        <v>567.0</v>
      </c>
      <c r="H4420" s="682" t="s">
        <v>5817</v>
      </c>
    </row>
    <row r="4421">
      <c r="A4421" s="546" t="s">
        <v>617</v>
      </c>
      <c r="B4421" s="653" t="s">
        <v>433</v>
      </c>
      <c r="C4421" s="680">
        <v>46089.0</v>
      </c>
      <c r="D4421" s="681">
        <v>4.5697510103E10</v>
      </c>
      <c r="E4421" s="681" t="s">
        <v>5759</v>
      </c>
      <c r="F4421" s="656" t="s">
        <v>436</v>
      </c>
      <c r="G4421" s="681">
        <v>882.0</v>
      </c>
      <c r="H4421" s="682" t="s">
        <v>5817</v>
      </c>
    </row>
    <row r="4422">
      <c r="A4422" s="546" t="s">
        <v>617</v>
      </c>
      <c r="B4422" s="653" t="s">
        <v>433</v>
      </c>
      <c r="C4422" s="680">
        <v>46089.0</v>
      </c>
      <c r="D4422" s="681">
        <v>3.3706658687E10</v>
      </c>
      <c r="E4422" s="681" t="s">
        <v>6663</v>
      </c>
      <c r="F4422" s="656" t="s">
        <v>436</v>
      </c>
      <c r="G4422" s="681">
        <v>3114.0</v>
      </c>
      <c r="H4422" s="682" t="s">
        <v>5817</v>
      </c>
    </row>
    <row r="4423">
      <c r="A4423" s="546" t="s">
        <v>617</v>
      </c>
      <c r="B4423" s="653" t="s">
        <v>449</v>
      </c>
      <c r="C4423" s="680">
        <v>46089.0</v>
      </c>
      <c r="D4423" s="681">
        <v>4.8383262243E10</v>
      </c>
      <c r="E4423" s="681" t="s">
        <v>6488</v>
      </c>
      <c r="F4423" s="656" t="s">
        <v>436</v>
      </c>
      <c r="G4423" s="681">
        <v>1568.0</v>
      </c>
      <c r="H4423" s="682" t="s">
        <v>5817</v>
      </c>
    </row>
    <row r="4424">
      <c r="A4424" s="546" t="s">
        <v>617</v>
      </c>
      <c r="B4424" s="653" t="s">
        <v>433</v>
      </c>
      <c r="C4424" s="680">
        <v>46089.0</v>
      </c>
      <c r="D4424" s="681">
        <v>4.8383285149E10</v>
      </c>
      <c r="E4424" s="681" t="s">
        <v>6382</v>
      </c>
      <c r="F4424" s="656" t="s">
        <v>436</v>
      </c>
      <c r="G4424" s="681">
        <v>1299.0</v>
      </c>
      <c r="H4424" s="682" t="s">
        <v>5817</v>
      </c>
    </row>
    <row r="4425">
      <c r="A4425" s="546" t="s">
        <v>617</v>
      </c>
      <c r="B4425" s="653" t="s">
        <v>433</v>
      </c>
      <c r="C4425" s="680">
        <v>46089.0</v>
      </c>
      <c r="D4425" s="681">
        <v>5.0058169176E10</v>
      </c>
      <c r="E4425" s="681" t="s">
        <v>4165</v>
      </c>
      <c r="F4425" s="656" t="s">
        <v>436</v>
      </c>
      <c r="G4425" s="681">
        <v>1970.0</v>
      </c>
      <c r="H4425" s="682" t="s">
        <v>5817</v>
      </c>
    </row>
    <row r="4426">
      <c r="A4426" s="546" t="s">
        <v>617</v>
      </c>
      <c r="B4426" s="653" t="s">
        <v>497</v>
      </c>
      <c r="C4426" s="680">
        <v>46089.0</v>
      </c>
      <c r="D4426" s="681">
        <v>4.0920827515E10</v>
      </c>
      <c r="E4426" s="681" t="s">
        <v>6664</v>
      </c>
      <c r="F4426" s="656" t="s">
        <v>436</v>
      </c>
      <c r="G4426" s="681">
        <v>80.0</v>
      </c>
      <c r="H4426" s="682" t="s">
        <v>5817</v>
      </c>
    </row>
    <row r="4427">
      <c r="A4427" s="546" t="s">
        <v>617</v>
      </c>
      <c r="B4427" s="653" t="s">
        <v>433</v>
      </c>
      <c r="C4427" s="680">
        <v>46089.0</v>
      </c>
      <c r="D4427" s="681">
        <v>5.0377724937E10</v>
      </c>
      <c r="E4427" s="681" t="s">
        <v>5253</v>
      </c>
      <c r="F4427" s="656" t="s">
        <v>436</v>
      </c>
      <c r="G4427" s="681">
        <v>475.0</v>
      </c>
      <c r="H4427" s="682" t="s">
        <v>5817</v>
      </c>
    </row>
    <row r="4428">
      <c r="A4428" s="546" t="s">
        <v>617</v>
      </c>
      <c r="B4428" s="653" t="s">
        <v>433</v>
      </c>
      <c r="C4428" s="680">
        <v>46089.0</v>
      </c>
      <c r="D4428" s="681">
        <v>4.5684607652E10</v>
      </c>
      <c r="E4428" s="681" t="s">
        <v>6131</v>
      </c>
      <c r="F4428" s="656" t="s">
        <v>436</v>
      </c>
      <c r="G4428" s="681">
        <v>7833.0</v>
      </c>
      <c r="H4428" s="682" t="s">
        <v>5817</v>
      </c>
    </row>
    <row r="4429">
      <c r="A4429" s="546" t="s">
        <v>439</v>
      </c>
      <c r="B4429" s="653" t="s">
        <v>433</v>
      </c>
      <c r="C4429" s="680">
        <v>46089.0</v>
      </c>
      <c r="D4429" s="681">
        <v>4.7064459197E10</v>
      </c>
      <c r="E4429" s="681" t="s">
        <v>6665</v>
      </c>
      <c r="F4429" s="656" t="s">
        <v>436</v>
      </c>
      <c r="G4429" s="681">
        <v>1037.0</v>
      </c>
      <c r="H4429" s="682" t="s">
        <v>6622</v>
      </c>
    </row>
    <row r="4430">
      <c r="A4430" s="546" t="s">
        <v>617</v>
      </c>
      <c r="B4430" s="653" t="s">
        <v>3583</v>
      </c>
      <c r="C4430" s="680">
        <v>46089.0</v>
      </c>
      <c r="D4430" s="681">
        <v>4.8578249463E10</v>
      </c>
      <c r="E4430" s="681" t="s">
        <v>6666</v>
      </c>
      <c r="F4430" s="656" t="s">
        <v>436</v>
      </c>
      <c r="G4430" s="681">
        <v>2706.0</v>
      </c>
      <c r="H4430" s="682" t="s">
        <v>5817</v>
      </c>
    </row>
    <row r="4431">
      <c r="A4431" s="546" t="s">
        <v>617</v>
      </c>
      <c r="B4431" s="653" t="s">
        <v>449</v>
      </c>
      <c r="C4431" s="680">
        <v>46090.0</v>
      </c>
      <c r="D4431" s="681">
        <v>4.9140271855E10</v>
      </c>
      <c r="E4431" s="681" t="s">
        <v>5320</v>
      </c>
      <c r="F4431" s="656" t="s">
        <v>436</v>
      </c>
      <c r="G4431" s="681" t="s">
        <v>1914</v>
      </c>
      <c r="H4431" s="682" t="s">
        <v>1096</v>
      </c>
    </row>
    <row r="4432">
      <c r="A4432" s="546" t="s">
        <v>432</v>
      </c>
      <c r="B4432" s="653" t="s">
        <v>449</v>
      </c>
      <c r="C4432" s="680">
        <v>46090.0</v>
      </c>
      <c r="D4432" s="681">
        <v>4.0916755862E10</v>
      </c>
      <c r="E4432" s="681" t="s">
        <v>6634</v>
      </c>
      <c r="F4432" s="656" t="s">
        <v>436</v>
      </c>
      <c r="G4432" s="681">
        <v>1403.0</v>
      </c>
      <c r="H4432" s="682" t="s">
        <v>5817</v>
      </c>
    </row>
    <row r="4433">
      <c r="A4433" s="546" t="s">
        <v>432</v>
      </c>
      <c r="B4433" s="653" t="s">
        <v>433</v>
      </c>
      <c r="C4433" s="680">
        <v>46090.0</v>
      </c>
      <c r="D4433" s="681">
        <v>4.7482860869E10</v>
      </c>
      <c r="E4433" s="681" t="s">
        <v>6666</v>
      </c>
      <c r="F4433" s="656" t="s">
        <v>436</v>
      </c>
      <c r="G4433" s="681">
        <v>3890.0</v>
      </c>
      <c r="H4433" s="682" t="s">
        <v>5817</v>
      </c>
    </row>
    <row r="4434">
      <c r="A4434" s="546" t="s">
        <v>432</v>
      </c>
      <c r="B4434" s="653" t="s">
        <v>6667</v>
      </c>
      <c r="C4434" s="680">
        <v>46090.0</v>
      </c>
      <c r="D4434" s="681">
        <v>4.7269510429E10</v>
      </c>
      <c r="E4434" s="681" t="s">
        <v>6668</v>
      </c>
      <c r="F4434" s="656" t="s">
        <v>436</v>
      </c>
      <c r="G4434" s="681">
        <v>1161.0</v>
      </c>
      <c r="H4434" s="682" t="s">
        <v>5817</v>
      </c>
    </row>
    <row r="4435">
      <c r="A4435" s="546" t="s">
        <v>432</v>
      </c>
      <c r="B4435" s="653" t="s">
        <v>433</v>
      </c>
      <c r="C4435" s="680">
        <v>46090.0</v>
      </c>
      <c r="D4435" s="681">
        <v>5.0372635601E10</v>
      </c>
      <c r="E4435" s="681" t="s">
        <v>6026</v>
      </c>
      <c r="F4435" s="656" t="s">
        <v>436</v>
      </c>
      <c r="G4435" s="681">
        <v>20743.0</v>
      </c>
      <c r="H4435" s="682" t="s">
        <v>5817</v>
      </c>
    </row>
    <row r="4436">
      <c r="A4436" s="546" t="s">
        <v>432</v>
      </c>
      <c r="B4436" s="653" t="s">
        <v>449</v>
      </c>
      <c r="C4436" s="680">
        <v>46090.0</v>
      </c>
      <c r="D4436" s="681">
        <v>4.8513982764E10</v>
      </c>
      <c r="E4436" s="681" t="s">
        <v>6448</v>
      </c>
      <c r="F4436" s="656" t="s">
        <v>436</v>
      </c>
      <c r="G4436" s="681">
        <v>9024.0</v>
      </c>
      <c r="H4436" s="682" t="s">
        <v>5817</v>
      </c>
    </row>
    <row r="4437">
      <c r="A4437" s="546" t="s">
        <v>432</v>
      </c>
      <c r="B4437" s="653" t="s">
        <v>449</v>
      </c>
      <c r="C4437" s="680">
        <v>46090.0</v>
      </c>
      <c r="D4437" s="681">
        <v>4.7172643151E10</v>
      </c>
      <c r="E4437" s="681" t="s">
        <v>6549</v>
      </c>
      <c r="F4437" s="656" t="s">
        <v>436</v>
      </c>
      <c r="G4437" s="681">
        <v>1491.0</v>
      </c>
      <c r="H4437" s="682" t="s">
        <v>5817</v>
      </c>
    </row>
    <row r="4438">
      <c r="A4438" s="546" t="s">
        <v>823</v>
      </c>
      <c r="B4438" s="653" t="s">
        <v>449</v>
      </c>
      <c r="C4438" s="680">
        <v>46090.0</v>
      </c>
      <c r="D4438" s="681">
        <v>4.7140436101E10</v>
      </c>
      <c r="E4438" s="681" t="s">
        <v>6669</v>
      </c>
      <c r="F4438" s="656" t="s">
        <v>436</v>
      </c>
      <c r="G4438" s="681" t="s">
        <v>6670</v>
      </c>
      <c r="H4438" s="682" t="s">
        <v>4558</v>
      </c>
    </row>
    <row r="4439">
      <c r="A4439" s="546" t="s">
        <v>823</v>
      </c>
      <c r="B4439" s="653" t="s">
        <v>433</v>
      </c>
      <c r="C4439" s="680">
        <v>46090.0</v>
      </c>
      <c r="D4439" s="681">
        <v>4.6869060338E10</v>
      </c>
      <c r="E4439" s="681" t="s">
        <v>6671</v>
      </c>
      <c r="F4439" s="656" t="s">
        <v>436</v>
      </c>
      <c r="G4439" s="681">
        <v>1227.0</v>
      </c>
      <c r="H4439" s="682" t="s">
        <v>4558</v>
      </c>
    </row>
    <row r="4440">
      <c r="A4440" s="546" t="s">
        <v>432</v>
      </c>
      <c r="B4440" s="653" t="s">
        <v>433</v>
      </c>
      <c r="C4440" s="680">
        <v>46090.0</v>
      </c>
      <c r="D4440" s="681">
        <v>4.7061891581E10</v>
      </c>
      <c r="E4440" s="681" t="s">
        <v>5759</v>
      </c>
      <c r="F4440" s="656" t="s">
        <v>436</v>
      </c>
      <c r="G4440" s="681">
        <v>4318.0</v>
      </c>
      <c r="H4440" s="682" t="s">
        <v>5817</v>
      </c>
    </row>
    <row r="4441">
      <c r="A4441" s="546" t="s">
        <v>432</v>
      </c>
      <c r="B4441" s="653" t="s">
        <v>433</v>
      </c>
      <c r="C4441" s="680">
        <v>46090.0</v>
      </c>
      <c r="D4441" s="681">
        <v>4.7260318675E10</v>
      </c>
      <c r="E4441" s="681" t="s">
        <v>5759</v>
      </c>
      <c r="F4441" s="656" t="s">
        <v>436</v>
      </c>
      <c r="G4441" s="681">
        <v>4328.0</v>
      </c>
      <c r="H4441" s="682" t="s">
        <v>5817</v>
      </c>
    </row>
    <row r="4442">
      <c r="A4442" s="546" t="s">
        <v>439</v>
      </c>
      <c r="B4442" s="653" t="s">
        <v>433</v>
      </c>
      <c r="C4442" s="680">
        <v>46090.0</v>
      </c>
      <c r="D4442" s="681">
        <v>4.7431128295E10</v>
      </c>
      <c r="E4442" s="681" t="s">
        <v>5383</v>
      </c>
      <c r="F4442" s="656" t="s">
        <v>436</v>
      </c>
      <c r="G4442" s="681">
        <v>3060.0</v>
      </c>
      <c r="H4442" s="682" t="s">
        <v>6622</v>
      </c>
    </row>
    <row r="4443">
      <c r="A4443" s="546" t="s">
        <v>439</v>
      </c>
      <c r="B4443" s="653" t="s">
        <v>449</v>
      </c>
      <c r="C4443" s="680">
        <v>46090.0</v>
      </c>
      <c r="D4443" s="681">
        <v>4.861992296E10</v>
      </c>
      <c r="E4443" s="681" t="s">
        <v>6672</v>
      </c>
      <c r="F4443" s="656" t="s">
        <v>436</v>
      </c>
      <c r="G4443" s="681">
        <v>492.0</v>
      </c>
      <c r="H4443" s="682" t="s">
        <v>6622</v>
      </c>
    </row>
    <row r="4444">
      <c r="A4444" s="546" t="s">
        <v>439</v>
      </c>
      <c r="B4444" s="653" t="s">
        <v>433</v>
      </c>
      <c r="C4444" s="680">
        <v>46090.0</v>
      </c>
      <c r="D4444" s="681">
        <v>2.4223014757E10</v>
      </c>
      <c r="E4444" s="681" t="s">
        <v>5630</v>
      </c>
      <c r="F4444" s="656" t="s">
        <v>436</v>
      </c>
      <c r="G4444" s="681">
        <v>2696.0</v>
      </c>
      <c r="H4444" s="682" t="s">
        <v>6622</v>
      </c>
    </row>
    <row r="4445">
      <c r="A4445" s="546" t="s">
        <v>439</v>
      </c>
      <c r="B4445" s="653" t="s">
        <v>449</v>
      </c>
      <c r="C4445" s="680">
        <v>46090.0</v>
      </c>
      <c r="D4445" s="681">
        <v>4.7177893632E10</v>
      </c>
      <c r="E4445" s="681" t="s">
        <v>5631</v>
      </c>
      <c r="F4445" s="656" t="s">
        <v>436</v>
      </c>
      <c r="G4445" s="681">
        <v>840.0</v>
      </c>
      <c r="H4445" s="682" t="s">
        <v>6622</v>
      </c>
    </row>
    <row r="4446">
      <c r="A4446" s="546" t="s">
        <v>432</v>
      </c>
      <c r="B4446" s="653" t="s">
        <v>433</v>
      </c>
      <c r="C4446" s="680">
        <v>46090.0</v>
      </c>
      <c r="D4446" s="681">
        <v>3.7077415057E10</v>
      </c>
      <c r="E4446" s="681" t="s">
        <v>5656</v>
      </c>
      <c r="F4446" s="656" t="s">
        <v>436</v>
      </c>
      <c r="G4446" s="681">
        <v>762.0</v>
      </c>
      <c r="H4446" s="682" t="s">
        <v>5817</v>
      </c>
    </row>
    <row r="4447">
      <c r="A4447" s="546" t="s">
        <v>432</v>
      </c>
      <c r="B4447" s="653" t="s">
        <v>433</v>
      </c>
      <c r="C4447" s="680">
        <v>46090.0</v>
      </c>
      <c r="D4447" s="681">
        <v>3.60492924E10</v>
      </c>
      <c r="E4447" s="681" t="s">
        <v>6544</v>
      </c>
      <c r="F4447" s="656" t="s">
        <v>436</v>
      </c>
      <c r="G4447" s="681">
        <v>993.0</v>
      </c>
      <c r="H4447" s="682" t="s">
        <v>5817</v>
      </c>
    </row>
    <row r="4448">
      <c r="A4448" s="546" t="s">
        <v>432</v>
      </c>
      <c r="B4448" s="653" t="s">
        <v>449</v>
      </c>
      <c r="C4448" s="680">
        <v>46090.0</v>
      </c>
      <c r="D4448" s="681">
        <v>1.4369156809E10</v>
      </c>
      <c r="E4448" s="681" t="s">
        <v>6457</v>
      </c>
      <c r="F4448" s="656" t="s">
        <v>436</v>
      </c>
      <c r="G4448" s="681">
        <v>892.0</v>
      </c>
      <c r="H4448" s="682" t="s">
        <v>5817</v>
      </c>
    </row>
    <row r="4449">
      <c r="A4449" s="546" t="s">
        <v>432</v>
      </c>
      <c r="B4449" s="653" t="s">
        <v>449</v>
      </c>
      <c r="C4449" s="680">
        <v>46090.0</v>
      </c>
      <c r="D4449" s="681">
        <v>1.4369156819E10</v>
      </c>
      <c r="E4449" s="681" t="s">
        <v>6457</v>
      </c>
      <c r="F4449" s="656" t="s">
        <v>436</v>
      </c>
      <c r="G4449" s="681">
        <v>892.0</v>
      </c>
      <c r="H4449" s="682" t="s">
        <v>5817</v>
      </c>
    </row>
    <row r="4450">
      <c r="A4450" s="546" t="s">
        <v>432</v>
      </c>
      <c r="B4450" s="653" t="s">
        <v>433</v>
      </c>
      <c r="C4450" s="680">
        <v>46090.0</v>
      </c>
      <c r="D4450" s="681">
        <v>4.7272535413E10</v>
      </c>
      <c r="E4450" s="681" t="s">
        <v>5759</v>
      </c>
      <c r="F4450" s="656" t="s">
        <v>436</v>
      </c>
      <c r="G4450" s="681">
        <v>1256.0</v>
      </c>
      <c r="H4450" s="682" t="s">
        <v>5817</v>
      </c>
    </row>
    <row r="4451">
      <c r="A4451" s="546" t="s">
        <v>432</v>
      </c>
      <c r="B4451" s="653" t="s">
        <v>433</v>
      </c>
      <c r="C4451" s="680">
        <v>46090.0</v>
      </c>
      <c r="D4451" s="681">
        <v>5.0230763912E10</v>
      </c>
      <c r="E4451" s="681" t="s">
        <v>4165</v>
      </c>
      <c r="F4451" s="656" t="s">
        <v>436</v>
      </c>
      <c r="G4451" s="681">
        <v>481.0</v>
      </c>
      <c r="H4451" s="682" t="s">
        <v>5817</v>
      </c>
    </row>
    <row r="4452">
      <c r="A4452" s="546" t="s">
        <v>432</v>
      </c>
      <c r="B4452" s="653" t="s">
        <v>433</v>
      </c>
      <c r="C4452" s="680">
        <v>46090.0</v>
      </c>
      <c r="D4452" s="681">
        <v>3.6037196379E10</v>
      </c>
      <c r="E4452" s="681" t="s">
        <v>6673</v>
      </c>
      <c r="F4452" s="656" t="s">
        <v>436</v>
      </c>
      <c r="G4452" s="681">
        <v>1660.0</v>
      </c>
      <c r="H4452" s="682" t="s">
        <v>5817</v>
      </c>
    </row>
    <row r="4453">
      <c r="A4453" s="546" t="s">
        <v>432</v>
      </c>
      <c r="B4453" s="653" t="s">
        <v>3583</v>
      </c>
      <c r="C4453" s="680">
        <v>46090.0</v>
      </c>
      <c r="D4453" s="681">
        <v>4.0078937894E10</v>
      </c>
      <c r="E4453" s="681" t="s">
        <v>6636</v>
      </c>
      <c r="F4453" s="656" t="s">
        <v>436</v>
      </c>
      <c r="G4453" s="681">
        <v>2964.0</v>
      </c>
      <c r="H4453" s="682" t="s">
        <v>5817</v>
      </c>
    </row>
    <row r="4454">
      <c r="A4454" s="546" t="s">
        <v>432</v>
      </c>
      <c r="B4454" s="653" t="s">
        <v>433</v>
      </c>
      <c r="C4454" s="680">
        <v>46090.0</v>
      </c>
      <c r="D4454" s="681">
        <v>3.7181708172E10</v>
      </c>
      <c r="E4454" s="681" t="s">
        <v>5630</v>
      </c>
      <c r="F4454" s="656" t="s">
        <v>436</v>
      </c>
      <c r="G4454" s="681">
        <v>3094.0</v>
      </c>
      <c r="H4454" s="682" t="s">
        <v>5817</v>
      </c>
    </row>
    <row r="4455">
      <c r="A4455" s="546" t="s">
        <v>432</v>
      </c>
      <c r="B4455" s="653" t="s">
        <v>433</v>
      </c>
      <c r="C4455" s="680">
        <v>46090.0</v>
      </c>
      <c r="D4455" s="681">
        <v>5.0338039323E10</v>
      </c>
      <c r="E4455" s="681" t="s">
        <v>6674</v>
      </c>
      <c r="F4455" s="656" t="s">
        <v>436</v>
      </c>
      <c r="G4455" s="681">
        <v>229.0</v>
      </c>
      <c r="H4455" s="682" t="s">
        <v>5817</v>
      </c>
    </row>
    <row r="4456">
      <c r="A4456" s="546" t="s">
        <v>432</v>
      </c>
      <c r="B4456" s="653" t="s">
        <v>433</v>
      </c>
      <c r="C4456" s="680">
        <v>46090.0</v>
      </c>
      <c r="D4456" s="681">
        <v>3.7160490226E10</v>
      </c>
      <c r="E4456" s="681" t="s">
        <v>5759</v>
      </c>
      <c r="F4456" s="656" t="s">
        <v>436</v>
      </c>
      <c r="G4456" s="681">
        <v>3532.0</v>
      </c>
      <c r="H4456" s="682" t="s">
        <v>5817</v>
      </c>
    </row>
    <row r="4457">
      <c r="A4457" s="546" t="s">
        <v>823</v>
      </c>
      <c r="B4457" s="653" t="s">
        <v>433</v>
      </c>
      <c r="C4457" s="680">
        <v>46063.0</v>
      </c>
      <c r="D4457" s="681">
        <v>3.6369206137E10</v>
      </c>
      <c r="E4457" s="681" t="s">
        <v>5759</v>
      </c>
      <c r="F4457" s="656" t="s">
        <v>436</v>
      </c>
      <c r="G4457" s="681">
        <v>1630.0</v>
      </c>
      <c r="H4457" s="682" t="s">
        <v>4558</v>
      </c>
    </row>
    <row r="4458">
      <c r="A4458" s="546" t="s">
        <v>823</v>
      </c>
      <c r="B4458" s="653" t="s">
        <v>433</v>
      </c>
      <c r="C4458" s="680">
        <v>46063.0</v>
      </c>
      <c r="D4458" s="681">
        <v>2.100189738393E12</v>
      </c>
      <c r="E4458" s="681" t="s">
        <v>5759</v>
      </c>
      <c r="F4458" s="656" t="s">
        <v>436</v>
      </c>
      <c r="G4458" s="681">
        <v>1192.0</v>
      </c>
      <c r="H4458" s="682" t="s">
        <v>4558</v>
      </c>
    </row>
    <row r="4459">
      <c r="A4459" s="546" t="s">
        <v>823</v>
      </c>
      <c r="B4459" s="653" t="s">
        <v>433</v>
      </c>
      <c r="C4459" s="680">
        <v>46063.0</v>
      </c>
      <c r="D4459" s="681">
        <v>4.3407042142E10</v>
      </c>
      <c r="E4459" s="681" t="s">
        <v>5759</v>
      </c>
      <c r="F4459" s="656" t="s">
        <v>436</v>
      </c>
      <c r="G4459" s="681">
        <v>1138.0</v>
      </c>
      <c r="H4459" s="682" t="s">
        <v>4558</v>
      </c>
    </row>
    <row r="4460">
      <c r="A4460" s="546" t="s">
        <v>823</v>
      </c>
      <c r="B4460" s="653" t="s">
        <v>433</v>
      </c>
      <c r="C4460" s="680">
        <v>46063.0</v>
      </c>
      <c r="D4460" s="681">
        <v>4.7158503652E10</v>
      </c>
      <c r="E4460" s="681" t="s">
        <v>5984</v>
      </c>
      <c r="F4460" s="656" t="s">
        <v>436</v>
      </c>
      <c r="G4460" s="681">
        <v>2539.0</v>
      </c>
      <c r="H4460" s="682" t="s">
        <v>4558</v>
      </c>
    </row>
    <row r="4461">
      <c r="A4461" s="546" t="s">
        <v>617</v>
      </c>
      <c r="B4461" s="653" t="s">
        <v>449</v>
      </c>
      <c r="C4461" s="680">
        <v>46091.0</v>
      </c>
      <c r="D4461" s="681">
        <v>5.0605686249E10</v>
      </c>
      <c r="E4461" s="681" t="s">
        <v>6397</v>
      </c>
      <c r="F4461" s="656" t="s">
        <v>436</v>
      </c>
      <c r="G4461" s="681" t="s">
        <v>6675</v>
      </c>
      <c r="H4461" s="682" t="s">
        <v>696</v>
      </c>
    </row>
    <row r="4462">
      <c r="A4462" s="546" t="s">
        <v>823</v>
      </c>
      <c r="B4462" s="653" t="s">
        <v>433</v>
      </c>
      <c r="C4462" s="680">
        <v>46091.0</v>
      </c>
      <c r="D4462" s="681">
        <v>4.9477077605E10</v>
      </c>
      <c r="E4462" s="681" t="s">
        <v>6676</v>
      </c>
      <c r="F4462" s="656" t="s">
        <v>436</v>
      </c>
      <c r="G4462" s="681">
        <v>3609.0</v>
      </c>
      <c r="H4462" s="682" t="s">
        <v>4558</v>
      </c>
    </row>
    <row r="4463">
      <c r="A4463" s="546" t="s">
        <v>439</v>
      </c>
      <c r="B4463" s="653" t="s">
        <v>433</v>
      </c>
      <c r="C4463" s="680">
        <v>46091.0</v>
      </c>
      <c r="D4463" s="681">
        <v>4.9925997599E10</v>
      </c>
      <c r="E4463" s="681" t="s">
        <v>4165</v>
      </c>
      <c r="F4463" s="656" t="s">
        <v>436</v>
      </c>
      <c r="G4463" s="681" t="s">
        <v>5673</v>
      </c>
      <c r="H4463" s="682" t="s">
        <v>6593</v>
      </c>
    </row>
    <row r="4464">
      <c r="A4464" s="546" t="s">
        <v>439</v>
      </c>
      <c r="B4464" s="653" t="s">
        <v>433</v>
      </c>
      <c r="C4464" s="680">
        <v>46091.0</v>
      </c>
      <c r="D4464" s="681">
        <v>4.9925997594E10</v>
      </c>
      <c r="E4464" s="681" t="s">
        <v>4165</v>
      </c>
      <c r="F4464" s="656" t="s">
        <v>436</v>
      </c>
      <c r="G4464" s="681" t="s">
        <v>5673</v>
      </c>
      <c r="H4464" s="682" t="s">
        <v>6593</v>
      </c>
    </row>
    <row r="4465">
      <c r="A4465" s="546" t="s">
        <v>439</v>
      </c>
      <c r="B4465" s="653" t="s">
        <v>433</v>
      </c>
      <c r="C4465" s="680">
        <v>46091.0</v>
      </c>
      <c r="D4465" s="681">
        <v>4.9925997597E10</v>
      </c>
      <c r="E4465" s="681" t="s">
        <v>5759</v>
      </c>
      <c r="F4465" s="656" t="s">
        <v>436</v>
      </c>
      <c r="G4465" s="681" t="s">
        <v>6677</v>
      </c>
      <c r="H4465" s="682" t="s">
        <v>6678</v>
      </c>
    </row>
    <row r="4466">
      <c r="A4466" s="546" t="s">
        <v>439</v>
      </c>
      <c r="B4466" s="653" t="s">
        <v>433</v>
      </c>
      <c r="C4466" s="680">
        <v>46091.0</v>
      </c>
      <c r="D4466" s="681">
        <v>4.9925997595E10</v>
      </c>
      <c r="E4466" s="681" t="s">
        <v>5759</v>
      </c>
      <c r="F4466" s="656" t="s">
        <v>436</v>
      </c>
      <c r="G4466" s="681" t="s">
        <v>6677</v>
      </c>
      <c r="H4466" s="682" t="s">
        <v>6678</v>
      </c>
    </row>
    <row r="4467">
      <c r="A4467" s="546" t="s">
        <v>439</v>
      </c>
      <c r="B4467" s="653" t="s">
        <v>5908</v>
      </c>
      <c r="C4467" s="680">
        <v>46092.0</v>
      </c>
      <c r="D4467" s="681">
        <v>3.6551929114E10</v>
      </c>
      <c r="E4467" s="681" t="s">
        <v>4165</v>
      </c>
      <c r="F4467" s="656" t="s">
        <v>436</v>
      </c>
      <c r="G4467" s="681" t="s">
        <v>3301</v>
      </c>
      <c r="H4467" s="682" t="s">
        <v>6678</v>
      </c>
    </row>
    <row r="4468">
      <c r="A4468" s="546" t="s">
        <v>439</v>
      </c>
      <c r="B4468" s="653" t="s">
        <v>5908</v>
      </c>
      <c r="C4468" s="680">
        <v>46092.0</v>
      </c>
      <c r="D4468" s="681">
        <v>4.7046829617E10</v>
      </c>
      <c r="E4468" s="681" t="s">
        <v>6324</v>
      </c>
      <c r="F4468" s="656" t="s">
        <v>436</v>
      </c>
      <c r="G4468" s="681" t="s">
        <v>4311</v>
      </c>
      <c r="H4468" s="682" t="s">
        <v>6678</v>
      </c>
    </row>
    <row r="4469">
      <c r="A4469" s="546" t="s">
        <v>439</v>
      </c>
      <c r="B4469" s="653" t="s">
        <v>5908</v>
      </c>
      <c r="C4469" s="680">
        <v>46092.0</v>
      </c>
      <c r="D4469" s="681">
        <v>4.6934123646E10</v>
      </c>
      <c r="E4469" s="681" t="s">
        <v>5055</v>
      </c>
      <c r="F4469" s="656" t="s">
        <v>436</v>
      </c>
      <c r="G4469" s="681" t="s">
        <v>2485</v>
      </c>
      <c r="H4469" s="682" t="s">
        <v>6678</v>
      </c>
    </row>
    <row r="4470">
      <c r="A4470" s="546" t="s">
        <v>617</v>
      </c>
      <c r="B4470" s="653" t="s">
        <v>433</v>
      </c>
      <c r="C4470" s="680">
        <v>46093.0</v>
      </c>
      <c r="D4470" s="681">
        <v>4.2646446447E10</v>
      </c>
      <c r="E4470" s="681" t="s">
        <v>5759</v>
      </c>
      <c r="F4470" s="656" t="s">
        <v>436</v>
      </c>
      <c r="G4470" s="681">
        <v>4529.0</v>
      </c>
      <c r="H4470" s="682" t="s">
        <v>5817</v>
      </c>
    </row>
    <row r="4471">
      <c r="A4471" s="546" t="s">
        <v>432</v>
      </c>
      <c r="B4471" s="653" t="s">
        <v>433</v>
      </c>
      <c r="C4471" s="680">
        <v>46093.0</v>
      </c>
      <c r="D4471" s="681">
        <v>4.0665392892E10</v>
      </c>
      <c r="E4471" s="681" t="s">
        <v>5895</v>
      </c>
      <c r="F4471" s="656" t="s">
        <v>436</v>
      </c>
      <c r="G4471" s="681" t="s">
        <v>6679</v>
      </c>
      <c r="H4471" s="682" t="s">
        <v>438</v>
      </c>
    </row>
    <row r="4472">
      <c r="A4472" s="546" t="s">
        <v>432</v>
      </c>
      <c r="B4472" s="653" t="s">
        <v>433</v>
      </c>
      <c r="C4472" s="680">
        <v>46093.0</v>
      </c>
      <c r="D4472" s="681">
        <v>4.8011937567E10</v>
      </c>
      <c r="E4472" s="681" t="s">
        <v>6680</v>
      </c>
      <c r="F4472" s="656" t="s">
        <v>436</v>
      </c>
      <c r="G4472" s="681" t="s">
        <v>6681</v>
      </c>
      <c r="H4472" s="682" t="s">
        <v>438</v>
      </c>
    </row>
    <row r="4473">
      <c r="A4473" s="546" t="s">
        <v>432</v>
      </c>
      <c r="B4473" s="653" t="s">
        <v>433</v>
      </c>
      <c r="C4473" s="680">
        <v>46093.0</v>
      </c>
      <c r="D4473" s="681">
        <v>4.8011935767E10</v>
      </c>
      <c r="E4473" s="681" t="s">
        <v>6436</v>
      </c>
      <c r="F4473" s="656" t="s">
        <v>436</v>
      </c>
      <c r="G4473" s="681" t="s">
        <v>6681</v>
      </c>
      <c r="H4473" s="682" t="s">
        <v>438</v>
      </c>
    </row>
    <row r="4474">
      <c r="A4474" s="546" t="s">
        <v>432</v>
      </c>
      <c r="B4474" s="653" t="s">
        <v>433</v>
      </c>
      <c r="C4474" s="680">
        <v>46093.0</v>
      </c>
      <c r="D4474" s="681">
        <v>4.8462186339E10</v>
      </c>
      <c r="E4474" s="681" t="s">
        <v>6682</v>
      </c>
      <c r="F4474" s="656" t="s">
        <v>436</v>
      </c>
      <c r="G4474" s="681" t="s">
        <v>6683</v>
      </c>
      <c r="H4474" s="682" t="s">
        <v>438</v>
      </c>
    </row>
    <row r="4475">
      <c r="A4475" s="546" t="s">
        <v>432</v>
      </c>
      <c r="B4475" s="653" t="s">
        <v>433</v>
      </c>
      <c r="C4475" s="680">
        <v>46093.0</v>
      </c>
      <c r="D4475" s="681">
        <v>4.8151864964E10</v>
      </c>
      <c r="E4475" s="681" t="s">
        <v>6684</v>
      </c>
      <c r="F4475" s="656" t="s">
        <v>436</v>
      </c>
      <c r="G4475" s="681" t="s">
        <v>6685</v>
      </c>
      <c r="H4475" s="682" t="s">
        <v>438</v>
      </c>
    </row>
    <row r="4476">
      <c r="A4476" s="546" t="s">
        <v>432</v>
      </c>
      <c r="B4476" s="653" t="s">
        <v>433</v>
      </c>
      <c r="C4476" s="680">
        <v>46093.0</v>
      </c>
      <c r="D4476" s="681">
        <v>5.0051087677E10</v>
      </c>
      <c r="E4476" s="681" t="s">
        <v>6686</v>
      </c>
      <c r="F4476" s="656" t="s">
        <v>436</v>
      </c>
      <c r="G4476" s="681" t="s">
        <v>6687</v>
      </c>
      <c r="H4476" s="682" t="s">
        <v>438</v>
      </c>
    </row>
    <row r="4477">
      <c r="A4477" s="546" t="s">
        <v>432</v>
      </c>
      <c r="B4477" s="653" t="s">
        <v>433</v>
      </c>
      <c r="C4477" s="680">
        <v>46093.0</v>
      </c>
      <c r="D4477" s="681">
        <v>3.1116869481E10</v>
      </c>
      <c r="E4477" s="681" t="s">
        <v>6631</v>
      </c>
      <c r="F4477" s="656" t="s">
        <v>436</v>
      </c>
      <c r="G4477" s="681" t="s">
        <v>6688</v>
      </c>
      <c r="H4477" s="682" t="s">
        <v>438</v>
      </c>
    </row>
    <row r="4478">
      <c r="A4478" s="546" t="s">
        <v>617</v>
      </c>
      <c r="B4478" s="653" t="s">
        <v>433</v>
      </c>
      <c r="C4478" s="680">
        <v>46093.0</v>
      </c>
      <c r="D4478" s="681">
        <v>4.7176886805E10</v>
      </c>
      <c r="E4478" s="681" t="s">
        <v>6131</v>
      </c>
      <c r="F4478" s="656" t="s">
        <v>436</v>
      </c>
      <c r="G4478" s="681">
        <v>3038.0</v>
      </c>
      <c r="H4478" s="682" t="s">
        <v>5817</v>
      </c>
    </row>
    <row r="4479">
      <c r="A4479" s="546" t="s">
        <v>432</v>
      </c>
      <c r="B4479" s="653" t="s">
        <v>433</v>
      </c>
      <c r="C4479" s="680">
        <v>46093.0</v>
      </c>
      <c r="D4479" s="681">
        <v>4.4625598819E10</v>
      </c>
      <c r="E4479" s="681" t="s">
        <v>4226</v>
      </c>
      <c r="F4479" s="656" t="s">
        <v>436</v>
      </c>
      <c r="G4479" s="681">
        <v>10499.0</v>
      </c>
      <c r="H4479" s="682" t="s">
        <v>438</v>
      </c>
    </row>
    <row r="4480">
      <c r="A4480" s="546" t="s">
        <v>439</v>
      </c>
      <c r="B4480" s="653" t="s">
        <v>433</v>
      </c>
      <c r="C4480" s="680">
        <v>46093.0</v>
      </c>
      <c r="D4480" s="681">
        <v>4.3287112722E10</v>
      </c>
      <c r="E4480" s="681" t="s">
        <v>6689</v>
      </c>
      <c r="F4480" s="656" t="s">
        <v>436</v>
      </c>
      <c r="G4480" s="681">
        <v>990.0</v>
      </c>
      <c r="H4480" s="682" t="s">
        <v>6622</v>
      </c>
    </row>
    <row r="4481">
      <c r="A4481" s="546" t="s">
        <v>617</v>
      </c>
      <c r="B4481" s="653" t="s">
        <v>433</v>
      </c>
      <c r="C4481" s="680">
        <v>46093.0</v>
      </c>
      <c r="D4481" s="681">
        <v>4.9046845053E10</v>
      </c>
      <c r="E4481" s="681" t="s">
        <v>5759</v>
      </c>
      <c r="F4481" s="656" t="s">
        <v>436</v>
      </c>
      <c r="G4481" s="681">
        <v>2451.0</v>
      </c>
      <c r="H4481" s="682" t="s">
        <v>5817</v>
      </c>
    </row>
    <row r="4482">
      <c r="A4482" s="546" t="s">
        <v>617</v>
      </c>
      <c r="B4482" s="653" t="s">
        <v>433</v>
      </c>
      <c r="C4482" s="680">
        <v>46093.0</v>
      </c>
      <c r="D4482" s="681">
        <v>3.5425789627E10</v>
      </c>
      <c r="E4482" s="681" t="s">
        <v>6549</v>
      </c>
      <c r="F4482" s="656" t="s">
        <v>436</v>
      </c>
      <c r="G4482" s="681">
        <v>2223.0</v>
      </c>
      <c r="H4482" s="682" t="s">
        <v>5817</v>
      </c>
    </row>
    <row r="4483">
      <c r="A4483" s="546" t="s">
        <v>617</v>
      </c>
      <c r="B4483" s="653" t="s">
        <v>433</v>
      </c>
      <c r="C4483" s="680">
        <v>46093.0</v>
      </c>
      <c r="D4483" s="681">
        <v>4.9046893591E10</v>
      </c>
      <c r="E4483" s="681" t="s">
        <v>5759</v>
      </c>
      <c r="F4483" s="656" t="s">
        <v>436</v>
      </c>
      <c r="G4483" s="681">
        <v>2451.0</v>
      </c>
      <c r="H4483" s="682" t="s">
        <v>5817</v>
      </c>
    </row>
    <row r="4484">
      <c r="A4484" s="546" t="s">
        <v>432</v>
      </c>
      <c r="B4484" s="653" t="s">
        <v>433</v>
      </c>
      <c r="C4484" s="680">
        <v>46093.0</v>
      </c>
      <c r="D4484" s="681">
        <v>4.1579393732E10</v>
      </c>
      <c r="E4484" s="681" t="s">
        <v>5895</v>
      </c>
      <c r="F4484" s="656" t="s">
        <v>436</v>
      </c>
      <c r="G4484" s="681" t="s">
        <v>5258</v>
      </c>
      <c r="H4484" s="682" t="s">
        <v>438</v>
      </c>
    </row>
    <row r="4485">
      <c r="A4485" s="546" t="s">
        <v>617</v>
      </c>
      <c r="B4485" s="653" t="s">
        <v>433</v>
      </c>
      <c r="C4485" s="680">
        <v>46093.0</v>
      </c>
      <c r="D4485" s="681">
        <v>4.7087952244E10</v>
      </c>
      <c r="E4485" s="681" t="s">
        <v>6026</v>
      </c>
      <c r="F4485" s="656" t="s">
        <v>436</v>
      </c>
      <c r="G4485" s="681">
        <v>598.0</v>
      </c>
      <c r="H4485" s="682" t="s">
        <v>5817</v>
      </c>
    </row>
    <row r="4486">
      <c r="A4486" s="546" t="s">
        <v>617</v>
      </c>
      <c r="B4486" s="653" t="s">
        <v>433</v>
      </c>
      <c r="C4486" s="680">
        <v>46093.0</v>
      </c>
      <c r="D4486" s="681">
        <v>4.7250309079E10</v>
      </c>
      <c r="E4486" s="681" t="s">
        <v>5759</v>
      </c>
      <c r="F4486" s="656" t="s">
        <v>436</v>
      </c>
      <c r="G4486" s="681">
        <v>2221.0</v>
      </c>
      <c r="H4486" s="682" t="s">
        <v>5817</v>
      </c>
    </row>
    <row r="4487">
      <c r="A4487" s="546" t="s">
        <v>617</v>
      </c>
      <c r="B4487" s="653" t="s">
        <v>433</v>
      </c>
      <c r="C4487" s="680">
        <v>46093.0</v>
      </c>
      <c r="D4487" s="681">
        <v>4.8349554433E10</v>
      </c>
      <c r="E4487" s="681" t="s">
        <v>6690</v>
      </c>
      <c r="F4487" s="656" t="s">
        <v>436</v>
      </c>
      <c r="G4487" s="681">
        <v>1920.0</v>
      </c>
      <c r="H4487" s="682" t="s">
        <v>5817</v>
      </c>
    </row>
    <row r="4488">
      <c r="A4488" s="546" t="s">
        <v>439</v>
      </c>
      <c r="B4488" s="653" t="s">
        <v>5908</v>
      </c>
      <c r="C4488" s="680">
        <v>46093.0</v>
      </c>
      <c r="D4488" s="681">
        <v>4.5812006689E10</v>
      </c>
      <c r="E4488" s="681" t="s">
        <v>4741</v>
      </c>
      <c r="F4488" s="656" t="s">
        <v>436</v>
      </c>
      <c r="G4488" s="681">
        <v>1312.0</v>
      </c>
      <c r="H4488" s="682" t="s">
        <v>6622</v>
      </c>
    </row>
    <row r="4489">
      <c r="A4489" s="546" t="s">
        <v>439</v>
      </c>
      <c r="B4489" s="653" t="s">
        <v>5908</v>
      </c>
      <c r="C4489" s="680">
        <v>46093.0</v>
      </c>
      <c r="D4489" s="681">
        <v>4.687678325E10</v>
      </c>
      <c r="E4489" s="681" t="s">
        <v>6691</v>
      </c>
      <c r="F4489" s="656" t="s">
        <v>436</v>
      </c>
      <c r="G4489" s="681">
        <v>1663.0</v>
      </c>
      <c r="H4489" s="682" t="s">
        <v>6622</v>
      </c>
    </row>
    <row r="4490">
      <c r="A4490" s="546" t="s">
        <v>432</v>
      </c>
      <c r="B4490" s="653" t="s">
        <v>433</v>
      </c>
      <c r="C4490" s="680">
        <v>46093.0</v>
      </c>
      <c r="D4490" s="681">
        <v>4.7524759415E10</v>
      </c>
      <c r="E4490" s="681" t="s">
        <v>5895</v>
      </c>
      <c r="F4490" s="656" t="s">
        <v>436</v>
      </c>
      <c r="G4490" s="681" t="s">
        <v>3074</v>
      </c>
      <c r="H4490" s="682" t="s">
        <v>438</v>
      </c>
    </row>
    <row r="4491">
      <c r="A4491" s="546" t="s">
        <v>432</v>
      </c>
      <c r="B4491" s="653" t="s">
        <v>5908</v>
      </c>
      <c r="C4491" s="680">
        <v>46093.0</v>
      </c>
      <c r="D4491" s="681">
        <v>4.7054500618E10</v>
      </c>
      <c r="E4491" s="681" t="s">
        <v>6692</v>
      </c>
      <c r="F4491" s="656" t="s">
        <v>436</v>
      </c>
      <c r="G4491" s="681" t="s">
        <v>6693</v>
      </c>
      <c r="H4491" s="682" t="s">
        <v>438</v>
      </c>
    </row>
    <row r="4492">
      <c r="A4492" s="546" t="s">
        <v>432</v>
      </c>
      <c r="B4492" s="653" t="s">
        <v>5908</v>
      </c>
      <c r="C4492" s="680">
        <v>46093.0</v>
      </c>
      <c r="D4492" s="681">
        <v>4.7235349047E10</v>
      </c>
      <c r="E4492" s="681" t="s">
        <v>85</v>
      </c>
      <c r="F4492" s="656" t="s">
        <v>436</v>
      </c>
      <c r="G4492" s="681" t="s">
        <v>5879</v>
      </c>
      <c r="H4492" s="682" t="s">
        <v>438</v>
      </c>
    </row>
    <row r="4493">
      <c r="A4493" s="546" t="s">
        <v>439</v>
      </c>
      <c r="B4493" s="653" t="s">
        <v>5908</v>
      </c>
      <c r="C4493" s="680">
        <v>46093.0</v>
      </c>
      <c r="D4493" s="681">
        <v>4.0795350018E10</v>
      </c>
      <c r="E4493" s="681" t="s">
        <v>5383</v>
      </c>
      <c r="F4493" s="656" t="s">
        <v>436</v>
      </c>
      <c r="G4493" s="681">
        <v>2572.0</v>
      </c>
      <c r="H4493" s="682" t="s">
        <v>6622</v>
      </c>
    </row>
    <row r="4494">
      <c r="A4494" s="546" t="s">
        <v>617</v>
      </c>
      <c r="B4494" s="653" t="s">
        <v>688</v>
      </c>
      <c r="C4494" s="680">
        <v>46093.0</v>
      </c>
      <c r="D4494" s="681">
        <v>4.5826287223E10</v>
      </c>
      <c r="E4494" s="681" t="s">
        <v>5025</v>
      </c>
      <c r="F4494" s="656" t="s">
        <v>436</v>
      </c>
      <c r="G4494" s="681">
        <v>2950.0</v>
      </c>
      <c r="H4494" s="682" t="s">
        <v>5817</v>
      </c>
    </row>
    <row r="4495">
      <c r="A4495" s="546" t="s">
        <v>617</v>
      </c>
      <c r="B4495" s="653" t="s">
        <v>449</v>
      </c>
      <c r="C4495" s="680">
        <v>46093.0</v>
      </c>
      <c r="D4495" s="681">
        <v>4.8228710272E10</v>
      </c>
      <c r="E4495" s="681" t="s">
        <v>6694</v>
      </c>
      <c r="F4495" s="656" t="s">
        <v>436</v>
      </c>
      <c r="G4495" s="681">
        <v>4016.0</v>
      </c>
      <c r="H4495" s="682" t="s">
        <v>5817</v>
      </c>
    </row>
    <row r="4496">
      <c r="A4496" s="546" t="s">
        <v>617</v>
      </c>
      <c r="B4496" s="653" t="s">
        <v>449</v>
      </c>
      <c r="C4496" s="680">
        <v>46093.0</v>
      </c>
      <c r="D4496" s="681">
        <v>3.1499028217E10</v>
      </c>
      <c r="E4496" s="681" t="s">
        <v>6496</v>
      </c>
      <c r="F4496" s="656" t="s">
        <v>436</v>
      </c>
      <c r="G4496" s="681">
        <v>1457.0</v>
      </c>
      <c r="H4496" s="682" t="s">
        <v>5817</v>
      </c>
    </row>
    <row r="4497">
      <c r="A4497" s="546" t="s">
        <v>617</v>
      </c>
      <c r="B4497" s="653" t="s">
        <v>433</v>
      </c>
      <c r="C4497" s="680">
        <v>46094.0</v>
      </c>
      <c r="D4497" s="681">
        <v>5.0725094935E10</v>
      </c>
      <c r="E4497" s="681" t="s">
        <v>6026</v>
      </c>
      <c r="F4497" s="656" t="s">
        <v>436</v>
      </c>
      <c r="G4497" s="681">
        <v>1115.0</v>
      </c>
      <c r="H4497" s="682" t="s">
        <v>5817</v>
      </c>
    </row>
    <row r="4498">
      <c r="A4498" s="546" t="s">
        <v>617</v>
      </c>
      <c r="B4498" s="653" t="s">
        <v>433</v>
      </c>
      <c r="C4498" s="680">
        <v>46094.0</v>
      </c>
      <c r="D4498" s="681">
        <v>4.7339937375E10</v>
      </c>
      <c r="E4498" s="681" t="s">
        <v>6026</v>
      </c>
      <c r="F4498" s="656" t="s">
        <v>436</v>
      </c>
      <c r="G4498" s="681">
        <v>10820.0</v>
      </c>
      <c r="H4498" s="682" t="s">
        <v>5817</v>
      </c>
    </row>
    <row r="4499">
      <c r="A4499" s="546" t="s">
        <v>617</v>
      </c>
      <c r="B4499" s="653" t="s">
        <v>433</v>
      </c>
      <c r="C4499" s="680">
        <v>46094.0</v>
      </c>
      <c r="D4499" s="681">
        <v>4.5725712113E10</v>
      </c>
      <c r="E4499" s="681" t="s">
        <v>6026</v>
      </c>
      <c r="F4499" s="656" t="s">
        <v>436</v>
      </c>
      <c r="G4499" s="681">
        <v>670.0</v>
      </c>
      <c r="H4499" s="682" t="s">
        <v>5817</v>
      </c>
    </row>
    <row r="4500">
      <c r="A4500" s="546" t="s">
        <v>617</v>
      </c>
      <c r="B4500" s="653" t="s">
        <v>433</v>
      </c>
      <c r="C4500" s="680">
        <v>46094.0</v>
      </c>
      <c r="D4500" s="681">
        <v>3.4452668195E10</v>
      </c>
      <c r="E4500" s="681" t="s">
        <v>6131</v>
      </c>
      <c r="F4500" s="656" t="s">
        <v>436</v>
      </c>
      <c r="G4500" s="681">
        <v>1940.0</v>
      </c>
      <c r="H4500" s="682" t="s">
        <v>5817</v>
      </c>
    </row>
    <row r="4501">
      <c r="A4501" s="546" t="s">
        <v>617</v>
      </c>
      <c r="B4501" s="653" t="s">
        <v>433</v>
      </c>
      <c r="C4501" s="680">
        <v>46094.0</v>
      </c>
      <c r="D4501" s="681">
        <v>4.5608913145E10</v>
      </c>
      <c r="E4501" s="681" t="s">
        <v>5383</v>
      </c>
      <c r="F4501" s="656" t="s">
        <v>436</v>
      </c>
      <c r="G4501" s="681">
        <v>3453.0</v>
      </c>
      <c r="H4501" s="682" t="s">
        <v>5817</v>
      </c>
    </row>
    <row r="4502">
      <c r="A4502" s="546" t="s">
        <v>617</v>
      </c>
      <c r="B4502" s="653" t="s">
        <v>433</v>
      </c>
      <c r="C4502" s="680">
        <v>46094.0</v>
      </c>
      <c r="D4502" s="681">
        <v>4.6878127888E10</v>
      </c>
      <c r="E4502" s="681" t="s">
        <v>5630</v>
      </c>
      <c r="F4502" s="656" t="s">
        <v>436</v>
      </c>
      <c r="G4502" s="681">
        <v>3291.0</v>
      </c>
      <c r="H4502" s="682" t="s">
        <v>5817</v>
      </c>
    </row>
    <row r="4503">
      <c r="A4503" s="546" t="s">
        <v>617</v>
      </c>
      <c r="B4503" s="653" t="s">
        <v>433</v>
      </c>
      <c r="C4503" s="680">
        <v>46094.0</v>
      </c>
      <c r="D4503" s="681">
        <v>4.8674915764E10</v>
      </c>
      <c r="E4503" s="681" t="s">
        <v>6488</v>
      </c>
      <c r="F4503" s="656" t="s">
        <v>436</v>
      </c>
      <c r="G4503" s="681">
        <v>1730.0</v>
      </c>
      <c r="H4503" s="682" t="s">
        <v>5817</v>
      </c>
    </row>
    <row r="4504">
      <c r="A4504" s="546" t="s">
        <v>617</v>
      </c>
      <c r="B4504" s="653" t="s">
        <v>433</v>
      </c>
      <c r="C4504" s="680">
        <v>46094.0</v>
      </c>
      <c r="D4504" s="681">
        <v>4.3205057868E10</v>
      </c>
      <c r="E4504" s="681" t="s">
        <v>6630</v>
      </c>
      <c r="F4504" s="656" t="s">
        <v>436</v>
      </c>
      <c r="G4504" s="681">
        <v>1896.0</v>
      </c>
      <c r="H4504" s="682" t="s">
        <v>5817</v>
      </c>
    </row>
    <row r="4505">
      <c r="A4505" s="546" t="s">
        <v>617</v>
      </c>
      <c r="B4505" s="653" t="s">
        <v>449</v>
      </c>
      <c r="C4505" s="680">
        <v>46094.0</v>
      </c>
      <c r="D4505" s="681">
        <v>5.0299485094E10</v>
      </c>
      <c r="E4505" s="681" t="s">
        <v>6457</v>
      </c>
      <c r="F4505" s="656" t="s">
        <v>436</v>
      </c>
      <c r="G4505" s="681">
        <v>241.0</v>
      </c>
      <c r="H4505" s="682" t="s">
        <v>5817</v>
      </c>
    </row>
    <row r="4506">
      <c r="A4506" s="546" t="s">
        <v>432</v>
      </c>
      <c r="B4506" s="653" t="s">
        <v>433</v>
      </c>
      <c r="C4506" s="680">
        <v>46094.0</v>
      </c>
      <c r="D4506" s="681">
        <v>3.8557357837E10</v>
      </c>
      <c r="E4506" s="681" t="s">
        <v>4811</v>
      </c>
      <c r="F4506" s="656" t="s">
        <v>436</v>
      </c>
      <c r="G4506" s="681" t="s">
        <v>6695</v>
      </c>
      <c r="H4506" s="682" t="s">
        <v>438</v>
      </c>
    </row>
    <row r="4507">
      <c r="A4507" s="546" t="s">
        <v>617</v>
      </c>
      <c r="B4507" s="653" t="s">
        <v>433</v>
      </c>
      <c r="C4507" s="680">
        <v>46094.0</v>
      </c>
      <c r="D4507" s="681">
        <v>4.7356447326E10</v>
      </c>
      <c r="E4507" s="681" t="s">
        <v>6131</v>
      </c>
      <c r="F4507" s="656" t="s">
        <v>436</v>
      </c>
      <c r="G4507" s="681">
        <v>6670.0</v>
      </c>
      <c r="H4507" s="682" t="s">
        <v>5817</v>
      </c>
    </row>
    <row r="4508">
      <c r="A4508" s="546" t="s">
        <v>617</v>
      </c>
      <c r="B4508" s="653" t="s">
        <v>433</v>
      </c>
      <c r="C4508" s="680">
        <v>46094.0</v>
      </c>
      <c r="D4508" s="681">
        <v>4.8681690539E10</v>
      </c>
      <c r="E4508" s="681" t="s">
        <v>5759</v>
      </c>
      <c r="F4508" s="656" t="s">
        <v>436</v>
      </c>
      <c r="G4508" s="681">
        <v>3615.0</v>
      </c>
      <c r="H4508" s="682" t="s">
        <v>5817</v>
      </c>
    </row>
    <row r="4509">
      <c r="A4509" s="546" t="s">
        <v>617</v>
      </c>
      <c r="B4509" s="653" t="s">
        <v>433</v>
      </c>
      <c r="C4509" s="680">
        <v>46094.0</v>
      </c>
      <c r="D4509" s="681">
        <v>5.0729815497E10</v>
      </c>
      <c r="E4509" s="681" t="s">
        <v>6026</v>
      </c>
      <c r="F4509" s="656" t="s">
        <v>436</v>
      </c>
      <c r="G4509" s="681">
        <v>1805.0</v>
      </c>
      <c r="H4509" s="682" t="s">
        <v>5817</v>
      </c>
    </row>
    <row r="4510">
      <c r="A4510" s="546" t="s">
        <v>617</v>
      </c>
      <c r="B4510" s="653" t="s">
        <v>449</v>
      </c>
      <c r="C4510" s="680">
        <v>46094.0</v>
      </c>
      <c r="D4510" s="681">
        <v>4.3385966232E10</v>
      </c>
      <c r="E4510" s="681" t="s">
        <v>6026</v>
      </c>
      <c r="F4510" s="656" t="s">
        <v>436</v>
      </c>
      <c r="G4510" s="681">
        <v>401.0</v>
      </c>
      <c r="H4510" s="682" t="s">
        <v>5817</v>
      </c>
    </row>
    <row r="4511">
      <c r="A4511" s="546" t="s">
        <v>617</v>
      </c>
      <c r="B4511" s="653" t="s">
        <v>449</v>
      </c>
      <c r="C4511" s="680">
        <v>46094.0</v>
      </c>
      <c r="D4511" s="681">
        <v>4.3385966236E10</v>
      </c>
      <c r="E4511" s="681" t="s">
        <v>6026</v>
      </c>
      <c r="F4511" s="656" t="s">
        <v>436</v>
      </c>
      <c r="G4511" s="681">
        <v>401.0</v>
      </c>
      <c r="H4511" s="682" t="s">
        <v>5817</v>
      </c>
    </row>
    <row r="4512">
      <c r="A4512" s="546" t="s">
        <v>432</v>
      </c>
      <c r="B4512" s="653" t="s">
        <v>449</v>
      </c>
      <c r="C4512" s="680">
        <v>46094.0</v>
      </c>
      <c r="D4512" s="681">
        <v>4.3761145861E10</v>
      </c>
      <c r="E4512" s="653" t="s">
        <v>4860</v>
      </c>
      <c r="F4512" s="656" t="s">
        <v>436</v>
      </c>
      <c r="G4512" s="681" t="s">
        <v>799</v>
      </c>
      <c r="H4512" s="682" t="s">
        <v>438</v>
      </c>
    </row>
    <row r="4513">
      <c r="A4513" s="546" t="s">
        <v>432</v>
      </c>
      <c r="B4513" s="653" t="s">
        <v>433</v>
      </c>
      <c r="C4513" s="680">
        <v>46094.0</v>
      </c>
      <c r="D4513" s="681">
        <v>4.6894086816E10</v>
      </c>
      <c r="E4513" s="653" t="s">
        <v>1648</v>
      </c>
      <c r="F4513" s="656" t="s">
        <v>436</v>
      </c>
      <c r="G4513" s="681" t="s">
        <v>4882</v>
      </c>
      <c r="H4513" s="682" t="s">
        <v>438</v>
      </c>
    </row>
    <row r="4514">
      <c r="A4514" s="546" t="s">
        <v>432</v>
      </c>
      <c r="B4514" s="653" t="s">
        <v>433</v>
      </c>
      <c r="C4514" s="680">
        <v>46094.0</v>
      </c>
      <c r="D4514" s="681">
        <v>4.6499443361E10</v>
      </c>
      <c r="E4514" s="653" t="s">
        <v>6696</v>
      </c>
      <c r="F4514" s="656" t="s">
        <v>436</v>
      </c>
      <c r="G4514" s="681" t="s">
        <v>2279</v>
      </c>
      <c r="H4514" s="682" t="s">
        <v>438</v>
      </c>
    </row>
    <row r="4515">
      <c r="A4515" s="546" t="s">
        <v>432</v>
      </c>
      <c r="B4515" s="653" t="s">
        <v>433</v>
      </c>
      <c r="C4515" s="680">
        <v>46094.0</v>
      </c>
      <c r="D4515" s="681">
        <v>4.719359873E10</v>
      </c>
      <c r="E4515" s="653" t="s">
        <v>6697</v>
      </c>
      <c r="F4515" s="656" t="s">
        <v>436</v>
      </c>
      <c r="G4515" s="681" t="s">
        <v>3044</v>
      </c>
      <c r="H4515" s="682" t="s">
        <v>438</v>
      </c>
    </row>
    <row r="4516">
      <c r="A4516" s="546" t="s">
        <v>432</v>
      </c>
      <c r="B4516" s="653" t="s">
        <v>433</v>
      </c>
      <c r="C4516" s="680">
        <v>46094.0</v>
      </c>
      <c r="D4516" s="681">
        <v>4.8693893829E10</v>
      </c>
      <c r="E4516" s="653" t="s">
        <v>6698</v>
      </c>
      <c r="F4516" s="656" t="s">
        <v>436</v>
      </c>
      <c r="G4516" s="681" t="s">
        <v>6699</v>
      </c>
      <c r="H4516" s="682" t="s">
        <v>438</v>
      </c>
    </row>
    <row r="4517">
      <c r="A4517" s="546" t="s">
        <v>432</v>
      </c>
      <c r="B4517" s="653" t="s">
        <v>433</v>
      </c>
      <c r="C4517" s="680">
        <v>46094.0</v>
      </c>
      <c r="D4517" s="681">
        <v>3.4726926811E10</v>
      </c>
      <c r="E4517" s="653" t="s">
        <v>5895</v>
      </c>
      <c r="F4517" s="656" t="s">
        <v>436</v>
      </c>
      <c r="G4517" s="681" t="s">
        <v>6146</v>
      </c>
      <c r="H4517" s="682" t="s">
        <v>438</v>
      </c>
    </row>
    <row r="4518">
      <c r="A4518" s="546" t="s">
        <v>617</v>
      </c>
      <c r="B4518" s="653" t="s">
        <v>433</v>
      </c>
      <c r="C4518" s="680">
        <v>46094.0</v>
      </c>
      <c r="D4518" s="681">
        <v>4.8950636368E10</v>
      </c>
      <c r="E4518" s="653" t="s">
        <v>6700</v>
      </c>
      <c r="F4518" s="656" t="s">
        <v>436</v>
      </c>
      <c r="G4518" s="681">
        <v>452.0</v>
      </c>
      <c r="H4518" s="682" t="s">
        <v>5817</v>
      </c>
    </row>
    <row r="4519">
      <c r="A4519" s="546" t="s">
        <v>617</v>
      </c>
      <c r="B4519" s="653" t="s">
        <v>433</v>
      </c>
      <c r="C4519" s="680">
        <v>46094.0</v>
      </c>
      <c r="D4519" s="681">
        <v>4.3644726591E10</v>
      </c>
      <c r="E4519" s="653" t="s">
        <v>6701</v>
      </c>
      <c r="F4519" s="656" t="s">
        <v>436</v>
      </c>
      <c r="G4519" s="681">
        <v>2990.0</v>
      </c>
      <c r="H4519" s="682" t="s">
        <v>5817</v>
      </c>
    </row>
    <row r="4520">
      <c r="A4520" s="546" t="s">
        <v>617</v>
      </c>
      <c r="B4520" s="653" t="s">
        <v>433</v>
      </c>
      <c r="C4520" s="680">
        <v>46094.0</v>
      </c>
      <c r="D4520" s="681">
        <v>3.3667228918E10</v>
      </c>
      <c r="E4520" s="653" t="s">
        <v>6702</v>
      </c>
      <c r="F4520" s="656" t="s">
        <v>436</v>
      </c>
      <c r="G4520" s="681">
        <v>2615.0</v>
      </c>
      <c r="H4520" s="682" t="s">
        <v>5817</v>
      </c>
    </row>
    <row r="4521">
      <c r="A4521" s="546" t="s">
        <v>617</v>
      </c>
      <c r="B4521" s="653" t="s">
        <v>433</v>
      </c>
      <c r="C4521" s="680">
        <v>46094.0</v>
      </c>
      <c r="D4521" s="681">
        <v>4.8144331322E10</v>
      </c>
      <c r="E4521" s="653" t="s">
        <v>6201</v>
      </c>
      <c r="F4521" s="656" t="s">
        <v>436</v>
      </c>
      <c r="G4521" s="681">
        <v>288.0</v>
      </c>
      <c r="H4521" s="682" t="s">
        <v>5817</v>
      </c>
    </row>
    <row r="4522">
      <c r="A4522" s="546" t="s">
        <v>617</v>
      </c>
      <c r="B4522" s="653" t="s">
        <v>449</v>
      </c>
      <c r="C4522" s="680">
        <v>46094.0</v>
      </c>
      <c r="D4522" s="681">
        <v>3.7007329819E10</v>
      </c>
      <c r="E4522" s="653" t="s">
        <v>6496</v>
      </c>
      <c r="F4522" s="656" t="s">
        <v>436</v>
      </c>
      <c r="G4522" s="681">
        <v>103.0</v>
      </c>
      <c r="H4522" s="682" t="s">
        <v>5817</v>
      </c>
    </row>
    <row r="4523">
      <c r="A4523" s="546" t="s">
        <v>617</v>
      </c>
      <c r="B4523" s="653" t="s">
        <v>433</v>
      </c>
      <c r="C4523" s="680">
        <v>46094.0</v>
      </c>
      <c r="D4523" s="681">
        <v>4.6857484891E10</v>
      </c>
      <c r="E4523" s="653" t="s">
        <v>6703</v>
      </c>
      <c r="F4523" s="656" t="s">
        <v>436</v>
      </c>
      <c r="G4523" s="681">
        <v>2255.0</v>
      </c>
      <c r="H4523" s="682" t="s">
        <v>5817</v>
      </c>
    </row>
    <row r="4524">
      <c r="A4524" s="546" t="s">
        <v>617</v>
      </c>
      <c r="B4524" s="653" t="s">
        <v>433</v>
      </c>
      <c r="C4524" s="680">
        <v>46094.0</v>
      </c>
      <c r="D4524" s="681">
        <v>4.7408786688E10</v>
      </c>
      <c r="E4524" s="653" t="s">
        <v>6673</v>
      </c>
      <c r="F4524" s="656" t="s">
        <v>436</v>
      </c>
      <c r="G4524" s="681">
        <v>3197.0</v>
      </c>
      <c r="H4524" s="682" t="s">
        <v>5817</v>
      </c>
    </row>
    <row r="4525">
      <c r="A4525" s="546" t="s">
        <v>617</v>
      </c>
      <c r="B4525" s="653" t="s">
        <v>433</v>
      </c>
      <c r="C4525" s="680">
        <v>46094.0</v>
      </c>
      <c r="D4525" s="681">
        <v>4.7237538395E10</v>
      </c>
      <c r="E4525" s="653" t="s">
        <v>6704</v>
      </c>
      <c r="F4525" s="656" t="s">
        <v>436</v>
      </c>
      <c r="G4525" s="681">
        <v>1591.0</v>
      </c>
      <c r="H4525" s="682" t="s">
        <v>5817</v>
      </c>
    </row>
    <row r="4526">
      <c r="A4526" s="546" t="s">
        <v>617</v>
      </c>
      <c r="B4526" s="653" t="s">
        <v>433</v>
      </c>
      <c r="C4526" s="680">
        <v>46094.0</v>
      </c>
      <c r="D4526" s="681">
        <v>4.2089409229E10</v>
      </c>
      <c r="E4526" s="653" t="s">
        <v>6705</v>
      </c>
      <c r="F4526" s="656" t="s">
        <v>436</v>
      </c>
      <c r="G4526" s="681">
        <v>3080.0</v>
      </c>
      <c r="H4526" s="682" t="s">
        <v>5817</v>
      </c>
    </row>
    <row r="4527">
      <c r="A4527" s="546" t="s">
        <v>617</v>
      </c>
      <c r="B4527" s="653" t="s">
        <v>433</v>
      </c>
      <c r="C4527" s="680">
        <v>46094.0</v>
      </c>
      <c r="D4527" s="681">
        <v>4.5602051412E10</v>
      </c>
      <c r="E4527" s="653" t="s">
        <v>5759</v>
      </c>
      <c r="F4527" s="656" t="s">
        <v>436</v>
      </c>
      <c r="G4527" s="681">
        <v>5219.0</v>
      </c>
      <c r="H4527" s="682" t="s">
        <v>5817</v>
      </c>
    </row>
    <row r="4528">
      <c r="A4528" s="546" t="s">
        <v>617</v>
      </c>
      <c r="B4528" s="653" t="s">
        <v>433</v>
      </c>
      <c r="C4528" s="680">
        <v>46094.0</v>
      </c>
      <c r="D4528" s="681">
        <v>4.8832710007E10</v>
      </c>
      <c r="E4528" s="653" t="s">
        <v>5383</v>
      </c>
      <c r="F4528" s="656" t="s">
        <v>436</v>
      </c>
      <c r="G4528" s="681">
        <v>2304.0</v>
      </c>
      <c r="H4528" s="682" t="s">
        <v>5817</v>
      </c>
    </row>
    <row r="4529">
      <c r="A4529" s="546" t="s">
        <v>432</v>
      </c>
      <c r="B4529" s="653" t="s">
        <v>449</v>
      </c>
      <c r="C4529" s="680">
        <v>46094.0</v>
      </c>
      <c r="D4529" s="681">
        <v>4.8394242865E10</v>
      </c>
      <c r="E4529" s="653" t="s">
        <v>85</v>
      </c>
      <c r="F4529" s="656" t="s">
        <v>436</v>
      </c>
      <c r="G4529" s="681" t="s">
        <v>3136</v>
      </c>
      <c r="H4529" s="682" t="s">
        <v>438</v>
      </c>
    </row>
    <row r="4530">
      <c r="A4530" s="546" t="s">
        <v>617</v>
      </c>
      <c r="B4530" s="653" t="s">
        <v>433</v>
      </c>
      <c r="C4530" s="680">
        <v>46094.0</v>
      </c>
      <c r="D4530" s="681">
        <v>4.6994540657E10</v>
      </c>
      <c r="E4530" s="653" t="s">
        <v>6196</v>
      </c>
      <c r="F4530" s="656" t="s">
        <v>436</v>
      </c>
      <c r="G4530" s="681">
        <v>1299.0</v>
      </c>
      <c r="H4530" s="682" t="s">
        <v>5817</v>
      </c>
    </row>
    <row r="4531">
      <c r="A4531" s="546" t="s">
        <v>617</v>
      </c>
      <c r="B4531" s="653" t="s">
        <v>497</v>
      </c>
      <c r="C4531" s="680">
        <v>46094.0</v>
      </c>
      <c r="D4531" s="681">
        <v>4.8326139745E10</v>
      </c>
      <c r="E4531" s="653" t="s">
        <v>6676</v>
      </c>
      <c r="F4531" s="656" t="s">
        <v>436</v>
      </c>
      <c r="G4531" s="681">
        <v>214.0</v>
      </c>
      <c r="H4531" s="682" t="s">
        <v>5817</v>
      </c>
    </row>
    <row r="4532">
      <c r="A4532" s="546" t="s">
        <v>432</v>
      </c>
      <c r="B4532" s="653" t="s">
        <v>433</v>
      </c>
      <c r="C4532" s="680">
        <v>46094.0</v>
      </c>
      <c r="D4532" s="681">
        <v>4.7683590994E10</v>
      </c>
      <c r="E4532" s="653" t="s">
        <v>4226</v>
      </c>
      <c r="F4532" s="656" t="s">
        <v>436</v>
      </c>
      <c r="G4532" s="681" t="s">
        <v>6706</v>
      </c>
      <c r="H4532" s="682" t="s">
        <v>438</v>
      </c>
    </row>
    <row r="4533">
      <c r="A4533" s="546" t="s">
        <v>617</v>
      </c>
      <c r="B4533" s="653" t="s">
        <v>688</v>
      </c>
      <c r="C4533" s="680">
        <v>46094.0</v>
      </c>
      <c r="D4533" s="681">
        <v>4.0840210629E10</v>
      </c>
      <c r="E4533" s="653" t="s">
        <v>4854</v>
      </c>
      <c r="F4533" s="656" t="s">
        <v>436</v>
      </c>
      <c r="G4533" s="681">
        <v>3825.0</v>
      </c>
      <c r="H4533" s="682" t="s">
        <v>5817</v>
      </c>
    </row>
    <row r="4534">
      <c r="A4534" s="546" t="s">
        <v>617</v>
      </c>
      <c r="B4534" s="653" t="s">
        <v>688</v>
      </c>
      <c r="C4534" s="680">
        <v>46094.0</v>
      </c>
      <c r="D4534" s="681">
        <v>4.7178123826E10</v>
      </c>
      <c r="E4534" s="653" t="s">
        <v>6707</v>
      </c>
      <c r="F4534" s="656" t="s">
        <v>436</v>
      </c>
      <c r="G4534" s="681">
        <v>2706.0</v>
      </c>
      <c r="H4534" s="682" t="s">
        <v>5817</v>
      </c>
    </row>
    <row r="4535">
      <c r="A4535" s="546" t="s">
        <v>617</v>
      </c>
      <c r="B4535" s="653" t="s">
        <v>433</v>
      </c>
      <c r="C4535" s="680">
        <v>46094.0</v>
      </c>
      <c r="D4535" s="681">
        <v>5.0723528669E10</v>
      </c>
      <c r="E4535" s="653" t="s">
        <v>4165</v>
      </c>
      <c r="F4535" s="656" t="s">
        <v>436</v>
      </c>
      <c r="G4535" s="681">
        <v>476.0</v>
      </c>
      <c r="H4535" s="682" t="s">
        <v>5817</v>
      </c>
    </row>
    <row r="4536">
      <c r="A4536" s="546" t="s">
        <v>617</v>
      </c>
      <c r="B4536" s="653" t="s">
        <v>433</v>
      </c>
      <c r="C4536" s="680">
        <v>46094.0</v>
      </c>
      <c r="D4536" s="681">
        <v>4.7276999861E10</v>
      </c>
      <c r="E4536" s="653" t="s">
        <v>6630</v>
      </c>
      <c r="F4536" s="656" t="s">
        <v>436</v>
      </c>
      <c r="G4536" s="681">
        <v>1084.0</v>
      </c>
      <c r="H4536" s="682" t="s">
        <v>5817</v>
      </c>
    </row>
    <row r="4537">
      <c r="A4537" s="546" t="s">
        <v>432</v>
      </c>
      <c r="B4537" s="653" t="s">
        <v>449</v>
      </c>
      <c r="C4537" s="680">
        <v>46094.0</v>
      </c>
      <c r="D4537" s="681">
        <v>4.0347336558E10</v>
      </c>
      <c r="E4537" s="653" t="s">
        <v>85</v>
      </c>
      <c r="F4537" s="656" t="s">
        <v>436</v>
      </c>
      <c r="G4537" s="681" t="s">
        <v>4966</v>
      </c>
      <c r="H4537" s="682" t="s">
        <v>438</v>
      </c>
    </row>
    <row r="4538">
      <c r="A4538" s="546" t="s">
        <v>617</v>
      </c>
      <c r="B4538" s="653" t="s">
        <v>449</v>
      </c>
      <c r="C4538" s="680">
        <v>46094.0</v>
      </c>
      <c r="D4538" s="681">
        <v>3.7790793043E10</v>
      </c>
      <c r="E4538" s="653" t="s">
        <v>6258</v>
      </c>
      <c r="F4538" s="656" t="s">
        <v>436</v>
      </c>
      <c r="G4538" s="681">
        <v>1510.0</v>
      </c>
      <c r="H4538" s="682" t="s">
        <v>5817</v>
      </c>
    </row>
    <row r="4539">
      <c r="A4539" s="546" t="s">
        <v>617</v>
      </c>
      <c r="B4539" s="653" t="s">
        <v>449</v>
      </c>
      <c r="C4539" s="680">
        <v>46095.0</v>
      </c>
      <c r="D4539" s="681">
        <v>4.8499175074E10</v>
      </c>
      <c r="E4539" s="653" t="s">
        <v>6150</v>
      </c>
      <c r="F4539" s="656" t="s">
        <v>436</v>
      </c>
      <c r="G4539" s="681" t="s">
        <v>576</v>
      </c>
      <c r="H4539" s="682" t="s">
        <v>696</v>
      </c>
    </row>
    <row r="4540">
      <c r="A4540" s="546" t="s">
        <v>617</v>
      </c>
      <c r="B4540" s="653" t="s">
        <v>449</v>
      </c>
      <c r="C4540" s="680">
        <v>46095.0</v>
      </c>
      <c r="D4540" s="681">
        <v>4.2169554757E10</v>
      </c>
      <c r="E4540" s="653" t="s">
        <v>5541</v>
      </c>
      <c r="F4540" s="656" t="s">
        <v>436</v>
      </c>
      <c r="G4540" s="681" t="s">
        <v>4427</v>
      </c>
      <c r="H4540" s="682" t="s">
        <v>696</v>
      </c>
    </row>
    <row r="4541">
      <c r="A4541" s="546" t="s">
        <v>823</v>
      </c>
      <c r="B4541" s="653" t="s">
        <v>433</v>
      </c>
      <c r="C4541" s="680">
        <v>46095.0</v>
      </c>
      <c r="D4541" s="681">
        <v>4.4487148867E10</v>
      </c>
      <c r="E4541" s="653" t="s">
        <v>4857</v>
      </c>
      <c r="F4541" s="656" t="s">
        <v>436</v>
      </c>
      <c r="G4541" s="681" t="s">
        <v>5597</v>
      </c>
      <c r="H4541" s="682" t="s">
        <v>1096</v>
      </c>
    </row>
    <row r="4542">
      <c r="A4542" s="546" t="s">
        <v>617</v>
      </c>
      <c r="B4542" s="653" t="s">
        <v>449</v>
      </c>
      <c r="C4542" s="680">
        <v>46095.0</v>
      </c>
      <c r="D4542" s="681">
        <v>4.8623861595E10</v>
      </c>
      <c r="E4542" s="653" t="s">
        <v>4854</v>
      </c>
      <c r="F4542" s="656" t="s">
        <v>436</v>
      </c>
      <c r="G4542" s="681" t="s">
        <v>2260</v>
      </c>
      <c r="H4542" s="682" t="s">
        <v>696</v>
      </c>
    </row>
    <row r="4543">
      <c r="A4543" s="546" t="s">
        <v>617</v>
      </c>
      <c r="B4543" s="700" t="s">
        <v>449</v>
      </c>
      <c r="C4543" s="701">
        <v>46095.0</v>
      </c>
      <c r="D4543" s="702">
        <v>4.747533783E10</v>
      </c>
      <c r="E4543" s="702" t="s">
        <v>6708</v>
      </c>
      <c r="F4543" s="656" t="s">
        <v>436</v>
      </c>
      <c r="G4543" s="582" t="s">
        <v>6445</v>
      </c>
      <c r="H4543" s="682" t="s">
        <v>696</v>
      </c>
    </row>
    <row r="4544">
      <c r="A4544" s="546" t="s">
        <v>823</v>
      </c>
      <c r="B4544" s="700" t="s">
        <v>449</v>
      </c>
      <c r="C4544" s="701">
        <v>46095.0</v>
      </c>
      <c r="D4544" s="681">
        <v>4.7201064088E10</v>
      </c>
      <c r="E4544" s="653" t="s">
        <v>6709</v>
      </c>
      <c r="F4544" s="656" t="s">
        <v>436</v>
      </c>
      <c r="G4544" s="681" t="s">
        <v>6710</v>
      </c>
      <c r="H4544" s="682" t="s">
        <v>1096</v>
      </c>
    </row>
    <row r="4545">
      <c r="A4545" s="546" t="s">
        <v>823</v>
      </c>
      <c r="B4545" s="653" t="s">
        <v>433</v>
      </c>
      <c r="C4545" s="701">
        <v>46095.0</v>
      </c>
      <c r="D4545" s="681">
        <v>4.7705667594E10</v>
      </c>
      <c r="E4545" s="653" t="s">
        <v>6709</v>
      </c>
      <c r="F4545" s="656" t="s">
        <v>436</v>
      </c>
      <c r="G4545" s="681" t="s">
        <v>6710</v>
      </c>
      <c r="H4545" s="682" t="s">
        <v>1096</v>
      </c>
    </row>
    <row r="4546">
      <c r="A4546" s="546" t="s">
        <v>617</v>
      </c>
      <c r="B4546" s="653" t="s">
        <v>449</v>
      </c>
      <c r="C4546" s="680">
        <v>46095.0</v>
      </c>
      <c r="D4546" s="681">
        <v>4.3638910859E10</v>
      </c>
      <c r="E4546" s="653" t="s">
        <v>6711</v>
      </c>
      <c r="F4546" s="656" t="s">
        <v>436</v>
      </c>
      <c r="G4546" s="681" t="s">
        <v>4810</v>
      </c>
      <c r="H4546" s="682" t="s">
        <v>696</v>
      </c>
    </row>
    <row r="4547">
      <c r="A4547" s="546" t="s">
        <v>617</v>
      </c>
      <c r="B4547" s="653" t="s">
        <v>449</v>
      </c>
      <c r="C4547" s="680">
        <v>46095.0</v>
      </c>
      <c r="D4547" s="681">
        <v>4.8833868618E10</v>
      </c>
      <c r="E4547" s="653" t="s">
        <v>4854</v>
      </c>
      <c r="F4547" s="656" t="s">
        <v>436</v>
      </c>
      <c r="G4547" s="681" t="s">
        <v>6712</v>
      </c>
      <c r="H4547" s="682" t="s">
        <v>696</v>
      </c>
    </row>
    <row r="4548">
      <c r="A4548" s="546" t="s">
        <v>617</v>
      </c>
      <c r="B4548" s="653" t="s">
        <v>497</v>
      </c>
      <c r="C4548" s="680">
        <v>46095.0</v>
      </c>
      <c r="D4548" s="681">
        <v>4.6876993804E10</v>
      </c>
      <c r="E4548" s="653" t="s">
        <v>4824</v>
      </c>
      <c r="F4548" s="656" t="s">
        <v>436</v>
      </c>
      <c r="G4548" s="681" t="s">
        <v>6464</v>
      </c>
      <c r="H4548" s="682" t="s">
        <v>696</v>
      </c>
    </row>
    <row r="4549">
      <c r="A4549" s="546" t="s">
        <v>617</v>
      </c>
      <c r="B4549" s="653" t="s">
        <v>449</v>
      </c>
      <c r="C4549" s="680">
        <v>46095.0</v>
      </c>
      <c r="D4549" s="681">
        <v>4.6946374608E10</v>
      </c>
      <c r="E4549" s="653" t="s">
        <v>5125</v>
      </c>
      <c r="F4549" s="656" t="s">
        <v>436</v>
      </c>
      <c r="G4549" s="681" t="s">
        <v>6713</v>
      </c>
      <c r="H4549" s="682" t="s">
        <v>696</v>
      </c>
    </row>
    <row r="4550">
      <c r="A4550" s="546" t="s">
        <v>617</v>
      </c>
      <c r="B4550" s="653" t="s">
        <v>449</v>
      </c>
      <c r="C4550" s="680">
        <v>46095.0</v>
      </c>
      <c r="D4550" s="681">
        <v>3.9466984385E10</v>
      </c>
      <c r="E4550" s="653" t="s">
        <v>6714</v>
      </c>
      <c r="F4550" s="656" t="s">
        <v>436</v>
      </c>
      <c r="G4550" s="681" t="s">
        <v>6715</v>
      </c>
      <c r="H4550" s="682" t="s">
        <v>696</v>
      </c>
    </row>
    <row r="4551">
      <c r="A4551" s="546" t="s">
        <v>617</v>
      </c>
      <c r="B4551" s="653" t="s">
        <v>497</v>
      </c>
      <c r="C4551" s="680">
        <v>46095.0</v>
      </c>
      <c r="D4551" s="681">
        <v>4.0920827515E10</v>
      </c>
      <c r="E4551" s="653" t="s">
        <v>6716</v>
      </c>
      <c r="F4551" s="656" t="s">
        <v>436</v>
      </c>
      <c r="G4551" s="681" t="s">
        <v>6717</v>
      </c>
      <c r="H4551" s="682" t="s">
        <v>696</v>
      </c>
    </row>
    <row r="4552">
      <c r="A4552" s="546" t="s">
        <v>617</v>
      </c>
      <c r="B4552" s="653" t="s">
        <v>433</v>
      </c>
      <c r="C4552" s="680">
        <v>46096.0</v>
      </c>
      <c r="D4552" s="681">
        <v>5.0975126832E10</v>
      </c>
      <c r="E4552" s="653" t="s">
        <v>4854</v>
      </c>
      <c r="F4552" s="656" t="s">
        <v>436</v>
      </c>
      <c r="G4552" s="681" t="s">
        <v>6718</v>
      </c>
      <c r="H4552" s="682" t="s">
        <v>696</v>
      </c>
    </row>
    <row r="4553">
      <c r="A4553" s="546" t="s">
        <v>617</v>
      </c>
      <c r="B4553" s="653" t="s">
        <v>449</v>
      </c>
      <c r="C4553" s="680">
        <v>46096.0</v>
      </c>
      <c r="D4553" s="681">
        <v>4.9827039581E10</v>
      </c>
      <c r="E4553" s="653" t="s">
        <v>5253</v>
      </c>
      <c r="F4553" s="656" t="s">
        <v>436</v>
      </c>
      <c r="G4553" s="681" t="s">
        <v>6719</v>
      </c>
      <c r="H4553" s="682" t="s">
        <v>696</v>
      </c>
    </row>
    <row r="4554">
      <c r="A4554" s="546" t="s">
        <v>617</v>
      </c>
      <c r="B4554" s="653" t="s">
        <v>3583</v>
      </c>
      <c r="C4554" s="680">
        <v>46096.0</v>
      </c>
      <c r="D4554" s="681">
        <v>4.6924956242E10</v>
      </c>
      <c r="E4554" s="653" t="s">
        <v>5253</v>
      </c>
      <c r="F4554" s="656" t="s">
        <v>436</v>
      </c>
      <c r="G4554" s="681" t="s">
        <v>6720</v>
      </c>
      <c r="H4554" s="682" t="s">
        <v>696</v>
      </c>
    </row>
    <row r="4555">
      <c r="A4555" s="546" t="s">
        <v>617</v>
      </c>
      <c r="B4555" s="653" t="s">
        <v>433</v>
      </c>
      <c r="C4555" s="680">
        <v>46097.0</v>
      </c>
      <c r="D4555" s="681">
        <v>4.8677918234E10</v>
      </c>
      <c r="E4555" s="653" t="s">
        <v>5630</v>
      </c>
      <c r="F4555" s="656" t="s">
        <v>436</v>
      </c>
      <c r="G4555" s="681">
        <v>1995.0</v>
      </c>
      <c r="H4555" s="682" t="s">
        <v>5817</v>
      </c>
    </row>
    <row r="4556">
      <c r="A4556" s="546" t="s">
        <v>617</v>
      </c>
      <c r="B4556" s="653" t="s">
        <v>449</v>
      </c>
      <c r="C4556" s="680">
        <v>46097.0</v>
      </c>
      <c r="D4556" s="681">
        <v>4.6503631611E10</v>
      </c>
      <c r="E4556" s="653" t="s">
        <v>6277</v>
      </c>
      <c r="F4556" s="656" t="s">
        <v>436</v>
      </c>
      <c r="G4556" s="681">
        <v>1913.0</v>
      </c>
      <c r="H4556" s="682" t="s">
        <v>5817</v>
      </c>
    </row>
    <row r="4557">
      <c r="A4557" s="546" t="s">
        <v>617</v>
      </c>
      <c r="B4557" s="653" t="s">
        <v>449</v>
      </c>
      <c r="C4557" s="680">
        <v>46097.0</v>
      </c>
      <c r="D4557" s="681">
        <v>4.6362708294E10</v>
      </c>
      <c r="E4557" s="653" t="s">
        <v>4165</v>
      </c>
      <c r="F4557" s="656" t="s">
        <v>436</v>
      </c>
      <c r="G4557" s="681" t="s">
        <v>2373</v>
      </c>
      <c r="H4557" s="682" t="s">
        <v>5817</v>
      </c>
    </row>
    <row r="4558">
      <c r="A4558" s="546" t="s">
        <v>432</v>
      </c>
      <c r="B4558" s="653" t="s">
        <v>433</v>
      </c>
      <c r="C4558" s="680">
        <v>46097.0</v>
      </c>
      <c r="D4558" s="681">
        <v>4.9112279081E10</v>
      </c>
      <c r="E4558" s="653" t="s">
        <v>1648</v>
      </c>
      <c r="F4558" s="656" t="s">
        <v>436</v>
      </c>
      <c r="G4558" s="681" t="s">
        <v>5478</v>
      </c>
      <c r="H4558" s="682" t="s">
        <v>438</v>
      </c>
    </row>
    <row r="4559">
      <c r="A4559" s="546" t="s">
        <v>617</v>
      </c>
      <c r="B4559" s="653" t="s">
        <v>449</v>
      </c>
      <c r="C4559" s="680">
        <v>46097.0</v>
      </c>
      <c r="D4559" s="681">
        <v>5.0997680035E10</v>
      </c>
      <c r="E4559" s="653" t="s">
        <v>6026</v>
      </c>
      <c r="F4559" s="656" t="s">
        <v>436</v>
      </c>
      <c r="G4559" s="681" t="s">
        <v>4650</v>
      </c>
      <c r="H4559" s="682" t="s">
        <v>5817</v>
      </c>
    </row>
    <row r="4560">
      <c r="A4560" s="546" t="s">
        <v>432</v>
      </c>
      <c r="B4560" s="653" t="s">
        <v>433</v>
      </c>
      <c r="C4560" s="680">
        <v>46097.0</v>
      </c>
      <c r="D4560" s="681">
        <v>4.4126044791E10</v>
      </c>
      <c r="E4560" s="653" t="s">
        <v>1648</v>
      </c>
      <c r="F4560" s="656" t="s">
        <v>436</v>
      </c>
      <c r="G4560" s="681" t="s">
        <v>6721</v>
      </c>
      <c r="H4560" s="682" t="s">
        <v>438</v>
      </c>
    </row>
    <row r="4561">
      <c r="A4561" s="546" t="s">
        <v>432</v>
      </c>
      <c r="B4561" s="653" t="s">
        <v>433</v>
      </c>
      <c r="C4561" s="680">
        <v>46097.0</v>
      </c>
      <c r="D4561" s="681">
        <v>3.8261127841E10</v>
      </c>
      <c r="E4561" s="653" t="s">
        <v>1648</v>
      </c>
      <c r="F4561" s="656" t="s">
        <v>436</v>
      </c>
      <c r="G4561" s="681" t="s">
        <v>4725</v>
      </c>
      <c r="H4561" s="682" t="s">
        <v>438</v>
      </c>
    </row>
    <row r="4562">
      <c r="A4562" s="546" t="s">
        <v>432</v>
      </c>
      <c r="B4562" s="653" t="s">
        <v>433</v>
      </c>
      <c r="C4562" s="680">
        <v>46097.0</v>
      </c>
      <c r="D4562" s="681">
        <v>4.7194605319E10</v>
      </c>
      <c r="E4562" s="653" t="s">
        <v>1648</v>
      </c>
      <c r="F4562" s="656" t="s">
        <v>436</v>
      </c>
      <c r="G4562" s="681" t="s">
        <v>4890</v>
      </c>
      <c r="H4562" s="682" t="s">
        <v>438</v>
      </c>
    </row>
    <row r="4563">
      <c r="A4563" s="546" t="s">
        <v>617</v>
      </c>
      <c r="B4563" s="653" t="s">
        <v>433</v>
      </c>
      <c r="C4563" s="680">
        <v>46097.0</v>
      </c>
      <c r="D4563" s="681">
        <v>4.9116787768E10</v>
      </c>
      <c r="E4563" s="653" t="s">
        <v>6722</v>
      </c>
      <c r="F4563" s="656" t="s">
        <v>436</v>
      </c>
      <c r="G4563" s="681" t="s">
        <v>5222</v>
      </c>
      <c r="H4563" s="682" t="s">
        <v>5817</v>
      </c>
    </row>
    <row r="4564">
      <c r="A4564" s="546" t="s">
        <v>617</v>
      </c>
      <c r="B4564" s="653" t="s">
        <v>433</v>
      </c>
      <c r="C4564" s="680">
        <v>46097.0</v>
      </c>
      <c r="D4564" s="681">
        <v>4.6924857424E10</v>
      </c>
      <c r="E4564" s="653" t="s">
        <v>6288</v>
      </c>
      <c r="F4564" s="656" t="s">
        <v>436</v>
      </c>
      <c r="G4564" s="681" t="s">
        <v>1883</v>
      </c>
      <c r="H4564" s="682" t="s">
        <v>5817</v>
      </c>
    </row>
    <row r="4565">
      <c r="A4565" s="546" t="s">
        <v>617</v>
      </c>
      <c r="B4565" s="653" t="s">
        <v>433</v>
      </c>
      <c r="C4565" s="680">
        <v>46097.0</v>
      </c>
      <c r="D4565" s="681">
        <v>5.1055081137E10</v>
      </c>
      <c r="E4565" s="653" t="s">
        <v>5656</v>
      </c>
      <c r="F4565" s="656" t="s">
        <v>436</v>
      </c>
      <c r="G4565" s="681" t="s">
        <v>2734</v>
      </c>
      <c r="H4565" s="682" t="s">
        <v>5817</v>
      </c>
    </row>
    <row r="4566">
      <c r="A4566" s="546" t="s">
        <v>617</v>
      </c>
      <c r="B4566" s="653" t="s">
        <v>433</v>
      </c>
      <c r="C4566" s="680">
        <v>46097.0</v>
      </c>
      <c r="D4566" s="681">
        <v>4.9116739575E10</v>
      </c>
      <c r="E4566" s="653" t="s">
        <v>6100</v>
      </c>
      <c r="F4566" s="656" t="s">
        <v>436</v>
      </c>
      <c r="G4566" s="681" t="s">
        <v>6719</v>
      </c>
      <c r="H4566" s="682" t="s">
        <v>5817</v>
      </c>
    </row>
    <row r="4567">
      <c r="A4567" s="546" t="s">
        <v>617</v>
      </c>
      <c r="B4567" s="653" t="s">
        <v>433</v>
      </c>
      <c r="C4567" s="680">
        <v>46097.0</v>
      </c>
      <c r="D4567" s="681">
        <v>4.8340757623E10</v>
      </c>
      <c r="E4567" s="653" t="s">
        <v>6100</v>
      </c>
      <c r="F4567" s="656" t="s">
        <v>436</v>
      </c>
      <c r="G4567" s="681" t="s">
        <v>6723</v>
      </c>
      <c r="H4567" s="682" t="s">
        <v>5817</v>
      </c>
    </row>
    <row r="4568">
      <c r="A4568" s="546" t="s">
        <v>617</v>
      </c>
      <c r="B4568" s="653" t="s">
        <v>433</v>
      </c>
      <c r="C4568" s="680">
        <v>46097.0</v>
      </c>
      <c r="D4568" s="681">
        <v>4.4092557046E10</v>
      </c>
      <c r="E4568" s="653" t="s">
        <v>6724</v>
      </c>
      <c r="F4568" s="656" t="s">
        <v>436</v>
      </c>
      <c r="G4568" s="681" t="s">
        <v>5170</v>
      </c>
      <c r="H4568" s="682" t="s">
        <v>5817</v>
      </c>
    </row>
    <row r="4569">
      <c r="A4569" s="546" t="s">
        <v>617</v>
      </c>
      <c r="B4569" s="653" t="s">
        <v>433</v>
      </c>
      <c r="C4569" s="680">
        <v>46097.0</v>
      </c>
      <c r="D4569" s="681">
        <v>4.8400605689E10</v>
      </c>
      <c r="E4569" s="653" t="s">
        <v>6725</v>
      </c>
      <c r="F4569" s="656" t="s">
        <v>436</v>
      </c>
      <c r="G4569" s="681">
        <v>1372.0</v>
      </c>
      <c r="H4569" s="682" t="s">
        <v>5817</v>
      </c>
    </row>
    <row r="4570">
      <c r="A4570" s="546" t="s">
        <v>617</v>
      </c>
      <c r="B4570" s="653" t="s">
        <v>433</v>
      </c>
      <c r="C4570" s="680">
        <v>46097.0</v>
      </c>
      <c r="D4570" s="681">
        <v>4.8965297077E10</v>
      </c>
      <c r="E4570" s="653" t="s">
        <v>6630</v>
      </c>
      <c r="F4570" s="656" t="s">
        <v>436</v>
      </c>
      <c r="G4570" s="681" t="s">
        <v>5864</v>
      </c>
      <c r="H4570" s="682" t="s">
        <v>5817</v>
      </c>
    </row>
    <row r="4571">
      <c r="A4571" s="546" t="s">
        <v>617</v>
      </c>
      <c r="B4571" s="653" t="s">
        <v>433</v>
      </c>
      <c r="C4571" s="680">
        <v>46097.0</v>
      </c>
      <c r="D4571" s="681">
        <v>4.0681741006E10</v>
      </c>
      <c r="E4571" s="653" t="s">
        <v>6630</v>
      </c>
      <c r="F4571" s="656" t="s">
        <v>436</v>
      </c>
      <c r="G4571" s="681" t="s">
        <v>3463</v>
      </c>
      <c r="H4571" s="682" t="s">
        <v>5817</v>
      </c>
    </row>
    <row r="4572">
      <c r="A4572" s="546" t="s">
        <v>617</v>
      </c>
      <c r="B4572" s="653" t="s">
        <v>433</v>
      </c>
      <c r="C4572" s="680">
        <v>46097.0</v>
      </c>
      <c r="D4572" s="681">
        <v>4.775675746E10</v>
      </c>
      <c r="E4572" s="653" t="s">
        <v>6026</v>
      </c>
      <c r="F4572" s="656" t="s">
        <v>436</v>
      </c>
      <c r="G4572" s="681" t="s">
        <v>4039</v>
      </c>
      <c r="H4572" s="682" t="s">
        <v>5817</v>
      </c>
    </row>
    <row r="4573">
      <c r="A4573" s="546" t="s">
        <v>617</v>
      </c>
      <c r="B4573" s="653" t="s">
        <v>433</v>
      </c>
      <c r="C4573" s="680">
        <v>46098.0</v>
      </c>
      <c r="D4573" s="681">
        <v>4.6875349953E10</v>
      </c>
      <c r="E4573" s="653" t="s">
        <v>6131</v>
      </c>
      <c r="F4573" s="656" t="s">
        <v>436</v>
      </c>
      <c r="G4573" s="681" t="s">
        <v>6726</v>
      </c>
      <c r="H4573" s="682" t="s">
        <v>5817</v>
      </c>
    </row>
    <row r="4574">
      <c r="A4574" s="546" t="s">
        <v>617</v>
      </c>
      <c r="B4574" s="653" t="s">
        <v>688</v>
      </c>
      <c r="C4574" s="680">
        <v>46098.0</v>
      </c>
      <c r="D4574" s="681">
        <v>4.7429308685E10</v>
      </c>
      <c r="E4574" s="653" t="s">
        <v>6633</v>
      </c>
      <c r="F4574" s="656" t="s">
        <v>436</v>
      </c>
      <c r="G4574" s="681" t="s">
        <v>6727</v>
      </c>
      <c r="H4574" s="682" t="s">
        <v>5817</v>
      </c>
    </row>
    <row r="4575">
      <c r="A4575" s="546" t="s">
        <v>617</v>
      </c>
      <c r="B4575" s="653" t="s">
        <v>433</v>
      </c>
      <c r="C4575" s="680">
        <v>46098.0</v>
      </c>
      <c r="D4575" s="681">
        <v>3.6777756459E10</v>
      </c>
      <c r="E4575" s="653" t="s">
        <v>5383</v>
      </c>
      <c r="F4575" s="656" t="s">
        <v>436</v>
      </c>
      <c r="G4575" s="681" t="s">
        <v>1627</v>
      </c>
      <c r="H4575" s="682" t="s">
        <v>5817</v>
      </c>
    </row>
    <row r="4576">
      <c r="A4576" s="546" t="s">
        <v>617</v>
      </c>
      <c r="B4576" s="653" t="s">
        <v>433</v>
      </c>
      <c r="C4576" s="680">
        <v>46098.0</v>
      </c>
      <c r="D4576" s="681">
        <v>4.86833008E10</v>
      </c>
      <c r="E4576" s="653" t="s">
        <v>6295</v>
      </c>
      <c r="F4576" s="656" t="s">
        <v>436</v>
      </c>
      <c r="G4576" s="681" t="s">
        <v>2699</v>
      </c>
      <c r="H4576" s="682" t="s">
        <v>5817</v>
      </c>
    </row>
    <row r="4577">
      <c r="A4577" s="546" t="s">
        <v>617</v>
      </c>
      <c r="B4577" s="653" t="s">
        <v>433</v>
      </c>
      <c r="C4577" s="680">
        <v>46098.0</v>
      </c>
      <c r="D4577" s="681">
        <v>4.5626645172E10</v>
      </c>
      <c r="E4577" s="653" t="s">
        <v>5656</v>
      </c>
      <c r="F4577" s="656" t="s">
        <v>436</v>
      </c>
      <c r="G4577" s="681" t="s">
        <v>5283</v>
      </c>
      <c r="H4577" s="682" t="s">
        <v>5817</v>
      </c>
    </row>
    <row r="4578">
      <c r="A4578" s="546" t="s">
        <v>617</v>
      </c>
      <c r="B4578" s="653" t="s">
        <v>449</v>
      </c>
      <c r="C4578" s="680">
        <v>46098.0</v>
      </c>
      <c r="D4578" s="681">
        <v>3.2003616284E10</v>
      </c>
      <c r="E4578" s="653" t="s">
        <v>4104</v>
      </c>
      <c r="F4578" s="656" t="s">
        <v>436</v>
      </c>
      <c r="G4578" s="681" t="s">
        <v>4544</v>
      </c>
      <c r="H4578" s="682" t="s">
        <v>5817</v>
      </c>
    </row>
    <row r="4579">
      <c r="A4579" s="546" t="s">
        <v>617</v>
      </c>
      <c r="B4579" s="653" t="s">
        <v>449</v>
      </c>
      <c r="C4579" s="680">
        <v>46098.0</v>
      </c>
      <c r="D4579" s="681">
        <v>4.9091112855E10</v>
      </c>
      <c r="E4579" s="653" t="s">
        <v>6728</v>
      </c>
      <c r="F4579" s="656" t="s">
        <v>436</v>
      </c>
      <c r="G4579" s="681" t="s">
        <v>6729</v>
      </c>
      <c r="H4579" s="682" t="s">
        <v>5817</v>
      </c>
    </row>
    <row r="4580">
      <c r="A4580" s="546" t="s">
        <v>617</v>
      </c>
      <c r="B4580" s="653" t="s">
        <v>497</v>
      </c>
      <c r="C4580" s="680">
        <v>46098.0</v>
      </c>
      <c r="D4580" s="681">
        <v>4.6892876581E10</v>
      </c>
      <c r="E4580" s="653" t="s">
        <v>5759</v>
      </c>
      <c r="F4580" s="656" t="s">
        <v>436</v>
      </c>
      <c r="G4580" s="681" t="s">
        <v>3047</v>
      </c>
      <c r="H4580" s="682" t="s">
        <v>5817</v>
      </c>
    </row>
    <row r="4581">
      <c r="A4581" s="546" t="s">
        <v>617</v>
      </c>
      <c r="B4581" s="653" t="s">
        <v>433</v>
      </c>
      <c r="C4581" s="680">
        <v>46098.0</v>
      </c>
      <c r="D4581" s="681">
        <v>4.9042637895E10</v>
      </c>
      <c r="E4581" s="653" t="s">
        <v>6730</v>
      </c>
      <c r="F4581" s="656" t="s">
        <v>436</v>
      </c>
      <c r="G4581" s="681" t="s">
        <v>2473</v>
      </c>
      <c r="H4581" s="682" t="s">
        <v>5817</v>
      </c>
    </row>
    <row r="4582">
      <c r="A4582" s="546" t="s">
        <v>617</v>
      </c>
      <c r="B4582" s="653" t="s">
        <v>449</v>
      </c>
      <c r="C4582" s="680">
        <v>46098.0</v>
      </c>
      <c r="D4582" s="681">
        <v>4.8561961575E10</v>
      </c>
      <c r="E4582" s="653" t="s">
        <v>5759</v>
      </c>
      <c r="F4582" s="656" t="s">
        <v>436</v>
      </c>
      <c r="G4582" s="681" t="s">
        <v>6731</v>
      </c>
      <c r="H4582" s="682" t="s">
        <v>5817</v>
      </c>
    </row>
    <row r="4583">
      <c r="A4583" s="546" t="s">
        <v>439</v>
      </c>
      <c r="B4583" s="653" t="s">
        <v>449</v>
      </c>
      <c r="C4583" s="680">
        <v>46098.0</v>
      </c>
      <c r="D4583" s="681">
        <v>3.0752570832E10</v>
      </c>
      <c r="E4583" s="653" t="s">
        <v>6732</v>
      </c>
      <c r="F4583" s="656" t="s">
        <v>436</v>
      </c>
      <c r="G4583" s="681" t="s">
        <v>4918</v>
      </c>
      <c r="H4583" s="682" t="s">
        <v>6733</v>
      </c>
    </row>
    <row r="4584">
      <c r="A4584" s="546" t="s">
        <v>617</v>
      </c>
      <c r="B4584" s="653" t="s">
        <v>433</v>
      </c>
      <c r="C4584" s="680">
        <v>46098.0</v>
      </c>
      <c r="D4584" s="681">
        <v>4.9098846127E10</v>
      </c>
      <c r="E4584" s="653" t="s">
        <v>6734</v>
      </c>
      <c r="F4584" s="656" t="s">
        <v>436</v>
      </c>
      <c r="G4584" s="681" t="s">
        <v>6735</v>
      </c>
      <c r="H4584" s="682" t="s">
        <v>5817</v>
      </c>
    </row>
    <row r="4585">
      <c r="A4585" s="546" t="s">
        <v>617</v>
      </c>
      <c r="B4585" s="653" t="s">
        <v>433</v>
      </c>
      <c r="C4585" s="680">
        <v>46098.0</v>
      </c>
      <c r="D4585" s="681">
        <v>4.8378247754E10</v>
      </c>
      <c r="E4585" s="653" t="s">
        <v>5383</v>
      </c>
      <c r="F4585" s="656" t="s">
        <v>436</v>
      </c>
      <c r="G4585" s="681" t="s">
        <v>6736</v>
      </c>
      <c r="H4585" s="682" t="s">
        <v>5817</v>
      </c>
    </row>
    <row r="4586">
      <c r="A4586" s="546" t="s">
        <v>617</v>
      </c>
      <c r="B4586" s="653" t="s">
        <v>433</v>
      </c>
      <c r="C4586" s="680">
        <v>46098.0</v>
      </c>
      <c r="D4586" s="681">
        <v>3.7229567267E10</v>
      </c>
      <c r="E4586" s="653" t="s">
        <v>6624</v>
      </c>
      <c r="F4586" s="656" t="s">
        <v>436</v>
      </c>
      <c r="G4586" s="681" t="s">
        <v>3367</v>
      </c>
      <c r="H4586" s="682" t="s">
        <v>5817</v>
      </c>
    </row>
    <row r="4587">
      <c r="A4587" s="546" t="s">
        <v>617</v>
      </c>
      <c r="B4587" s="653" t="s">
        <v>433</v>
      </c>
      <c r="C4587" s="680">
        <v>46098.0</v>
      </c>
      <c r="D4587" s="681">
        <v>4.3115687725E10</v>
      </c>
      <c r="E4587" s="653" t="s">
        <v>5759</v>
      </c>
      <c r="F4587" s="656" t="s">
        <v>436</v>
      </c>
      <c r="G4587" s="681" t="s">
        <v>5687</v>
      </c>
      <c r="H4587" s="682" t="s">
        <v>5817</v>
      </c>
    </row>
    <row r="4588">
      <c r="A4588" s="546" t="s">
        <v>439</v>
      </c>
      <c r="B4588" s="653" t="s">
        <v>449</v>
      </c>
      <c r="C4588" s="680">
        <v>46098.0</v>
      </c>
      <c r="D4588" s="681">
        <v>5.0079656403E10</v>
      </c>
      <c r="E4588" s="653" t="s">
        <v>6737</v>
      </c>
      <c r="F4588" s="656" t="s">
        <v>436</v>
      </c>
      <c r="G4588" s="681" t="s">
        <v>6738</v>
      </c>
      <c r="H4588" s="682" t="s">
        <v>6733</v>
      </c>
    </row>
    <row r="4589">
      <c r="A4589" s="546" t="s">
        <v>617</v>
      </c>
      <c r="B4589" s="653" t="s">
        <v>433</v>
      </c>
      <c r="C4589" s="680">
        <v>46098.0</v>
      </c>
      <c r="D4589" s="681">
        <v>4.9116941655E10</v>
      </c>
      <c r="E4589" s="653" t="s">
        <v>5759</v>
      </c>
      <c r="F4589" s="656" t="s">
        <v>436</v>
      </c>
      <c r="G4589" s="681" t="s">
        <v>5687</v>
      </c>
      <c r="H4589" s="682" t="s">
        <v>5817</v>
      </c>
    </row>
    <row r="4590">
      <c r="A4590" s="546" t="s">
        <v>617</v>
      </c>
      <c r="B4590" s="653" t="s">
        <v>433</v>
      </c>
      <c r="C4590" s="680">
        <v>46098.0</v>
      </c>
      <c r="D4590" s="681">
        <v>4.5622376291E10</v>
      </c>
      <c r="E4590" s="653" t="s">
        <v>5630</v>
      </c>
      <c r="F4590" s="656" t="s">
        <v>436</v>
      </c>
      <c r="G4590" s="681" t="s">
        <v>6739</v>
      </c>
      <c r="H4590" s="682" t="s">
        <v>5817</v>
      </c>
    </row>
    <row r="4591">
      <c r="A4591" s="546" t="s">
        <v>617</v>
      </c>
      <c r="B4591" s="653" t="s">
        <v>433</v>
      </c>
      <c r="C4591" s="680">
        <v>46098.0</v>
      </c>
      <c r="D4591" s="681">
        <v>4.7204612746E10</v>
      </c>
      <c r="E4591" s="653" t="s">
        <v>6740</v>
      </c>
      <c r="F4591" s="656" t="s">
        <v>436</v>
      </c>
      <c r="G4591" s="681" t="s">
        <v>6741</v>
      </c>
      <c r="H4591" s="682" t="s">
        <v>5817</v>
      </c>
    </row>
    <row r="4592">
      <c r="A4592" s="546" t="s">
        <v>823</v>
      </c>
      <c r="B4592" s="653" t="s">
        <v>449</v>
      </c>
      <c r="C4592" s="680">
        <v>46099.0</v>
      </c>
      <c r="D4592" s="681">
        <v>5.1054567566E10</v>
      </c>
      <c r="E4592" s="653" t="s">
        <v>4887</v>
      </c>
      <c r="F4592" s="656" t="s">
        <v>436</v>
      </c>
      <c r="G4592" s="681">
        <v>711.0</v>
      </c>
      <c r="H4592" s="682" t="s">
        <v>4558</v>
      </c>
    </row>
    <row r="4593">
      <c r="A4593" s="546" t="s">
        <v>823</v>
      </c>
      <c r="B4593" s="653" t="s">
        <v>449</v>
      </c>
      <c r="C4593" s="680">
        <v>46099.0</v>
      </c>
      <c r="D4593" s="681">
        <v>5.0866098302E10</v>
      </c>
      <c r="E4593" s="653" t="s">
        <v>5430</v>
      </c>
      <c r="F4593" s="656" t="s">
        <v>436</v>
      </c>
      <c r="G4593" s="681">
        <v>2756.0</v>
      </c>
      <c r="H4593" s="682" t="s">
        <v>4558</v>
      </c>
    </row>
    <row r="4594">
      <c r="A4594" s="546" t="s">
        <v>432</v>
      </c>
      <c r="B4594" s="653" t="s">
        <v>449</v>
      </c>
      <c r="C4594" s="680">
        <v>46099.0</v>
      </c>
      <c r="D4594" s="681">
        <v>4.7566903435E10</v>
      </c>
      <c r="E4594" s="653" t="s">
        <v>4310</v>
      </c>
      <c r="F4594" s="656" t="s">
        <v>436</v>
      </c>
      <c r="G4594" s="681" t="s">
        <v>3380</v>
      </c>
      <c r="H4594" s="682" t="s">
        <v>438</v>
      </c>
    </row>
    <row r="4595">
      <c r="A4595" s="546" t="s">
        <v>823</v>
      </c>
      <c r="B4595" s="653" t="s">
        <v>449</v>
      </c>
      <c r="C4595" s="680">
        <v>46099.0</v>
      </c>
      <c r="D4595" s="681">
        <v>4.7473731063E10</v>
      </c>
      <c r="E4595" s="653" t="s">
        <v>4854</v>
      </c>
      <c r="F4595" s="656" t="s">
        <v>436</v>
      </c>
      <c r="G4595" s="681">
        <v>1478.0</v>
      </c>
      <c r="H4595" s="682" t="s">
        <v>4558</v>
      </c>
    </row>
    <row r="4596">
      <c r="A4596" s="546" t="s">
        <v>823</v>
      </c>
      <c r="B4596" s="653" t="s">
        <v>449</v>
      </c>
      <c r="C4596" s="680">
        <v>46099.0</v>
      </c>
      <c r="D4596" s="681">
        <v>5.0270726356E10</v>
      </c>
      <c r="E4596" s="653" t="s">
        <v>6742</v>
      </c>
      <c r="F4596" s="656" t="s">
        <v>436</v>
      </c>
      <c r="G4596" s="681">
        <v>1525.0</v>
      </c>
      <c r="H4596" s="682" t="s">
        <v>4558</v>
      </c>
    </row>
    <row r="4597">
      <c r="A4597" s="546" t="s">
        <v>823</v>
      </c>
      <c r="B4597" s="653" t="s">
        <v>449</v>
      </c>
      <c r="C4597" s="680">
        <v>46099.0</v>
      </c>
      <c r="D4597" s="681">
        <v>5.0284380871E10</v>
      </c>
      <c r="E4597" s="653" t="s">
        <v>6742</v>
      </c>
      <c r="F4597" s="656" t="s">
        <v>436</v>
      </c>
      <c r="G4597" s="681">
        <v>1369.0</v>
      </c>
      <c r="H4597" s="682" t="s">
        <v>4558</v>
      </c>
    </row>
    <row r="4598">
      <c r="A4598" s="546" t="s">
        <v>823</v>
      </c>
      <c r="B4598" s="653" t="s">
        <v>449</v>
      </c>
      <c r="C4598" s="680">
        <v>46099.0</v>
      </c>
      <c r="D4598" s="681">
        <v>4.9147393394E10</v>
      </c>
      <c r="E4598" s="653" t="s">
        <v>6742</v>
      </c>
      <c r="F4598" s="656" t="s">
        <v>436</v>
      </c>
      <c r="G4598" s="681">
        <v>1991.0</v>
      </c>
      <c r="H4598" s="682" t="s">
        <v>4558</v>
      </c>
    </row>
    <row r="4599">
      <c r="A4599" s="546" t="s">
        <v>823</v>
      </c>
      <c r="B4599" s="653" t="s">
        <v>449</v>
      </c>
      <c r="C4599" s="680">
        <v>46099.0</v>
      </c>
      <c r="D4599" s="681">
        <v>4.8034802231E10</v>
      </c>
      <c r="E4599" s="653" t="s">
        <v>6742</v>
      </c>
      <c r="F4599" s="656" t="s">
        <v>436</v>
      </c>
      <c r="G4599" s="681">
        <v>683.0</v>
      </c>
      <c r="H4599" s="682" t="s">
        <v>4558</v>
      </c>
    </row>
    <row r="4600">
      <c r="A4600" s="546" t="s">
        <v>823</v>
      </c>
      <c r="B4600" s="653" t="s">
        <v>3583</v>
      </c>
      <c r="C4600" s="680">
        <v>46099.0</v>
      </c>
      <c r="D4600" s="681">
        <v>4.0635804916E10</v>
      </c>
      <c r="E4600" s="653" t="s">
        <v>6743</v>
      </c>
      <c r="F4600" s="656" t="s">
        <v>436</v>
      </c>
      <c r="G4600" s="681">
        <v>545.0</v>
      </c>
      <c r="H4600" s="682" t="s">
        <v>4558</v>
      </c>
    </row>
    <row r="4601">
      <c r="A4601" s="546" t="s">
        <v>432</v>
      </c>
      <c r="B4601" s="653" t="s">
        <v>433</v>
      </c>
      <c r="C4601" s="680">
        <v>46099.0</v>
      </c>
      <c r="D4601" s="681">
        <v>9.175862137E9</v>
      </c>
      <c r="E4601" s="653" t="s">
        <v>4226</v>
      </c>
      <c r="F4601" s="656" t="s">
        <v>436</v>
      </c>
      <c r="G4601" s="681" t="s">
        <v>6744</v>
      </c>
      <c r="H4601" s="682" t="s">
        <v>438</v>
      </c>
    </row>
    <row r="4602">
      <c r="A4602" s="546" t="s">
        <v>432</v>
      </c>
      <c r="B4602" s="653" t="s">
        <v>6745</v>
      </c>
      <c r="C4602" s="680">
        <v>46099.0</v>
      </c>
      <c r="D4602" s="681">
        <v>5.1148643918E10</v>
      </c>
      <c r="E4602" s="653" t="s">
        <v>6746</v>
      </c>
      <c r="F4602" s="656" t="s">
        <v>436</v>
      </c>
      <c r="G4602" s="681" t="s">
        <v>6157</v>
      </c>
      <c r="H4602" s="682" t="s">
        <v>438</v>
      </c>
    </row>
    <row r="4603">
      <c r="A4603" s="546" t="s">
        <v>432</v>
      </c>
      <c r="B4603" s="653" t="s">
        <v>6745</v>
      </c>
      <c r="C4603" s="680">
        <v>46099.0</v>
      </c>
      <c r="D4603" s="681">
        <v>5.1148643916E10</v>
      </c>
      <c r="E4603" s="653" t="s">
        <v>6746</v>
      </c>
      <c r="F4603" s="656" t="s">
        <v>436</v>
      </c>
      <c r="G4603" s="681" t="s">
        <v>6157</v>
      </c>
      <c r="H4603" s="682" t="s">
        <v>438</v>
      </c>
    </row>
    <row r="4604">
      <c r="A4604" s="546" t="s">
        <v>432</v>
      </c>
      <c r="B4604" s="653" t="s">
        <v>6745</v>
      </c>
      <c r="C4604" s="680">
        <v>46099.0</v>
      </c>
      <c r="D4604" s="681">
        <v>5.1148643914E10</v>
      </c>
      <c r="E4604" s="653" t="s">
        <v>6746</v>
      </c>
      <c r="F4604" s="656" t="s">
        <v>436</v>
      </c>
      <c r="G4604" s="681" t="s">
        <v>6157</v>
      </c>
      <c r="H4604" s="682" t="s">
        <v>438</v>
      </c>
    </row>
    <row r="4605">
      <c r="A4605" s="546" t="s">
        <v>432</v>
      </c>
      <c r="B4605" s="653" t="s">
        <v>6745</v>
      </c>
      <c r="C4605" s="680">
        <v>46099.0</v>
      </c>
      <c r="D4605" s="681">
        <v>5.1148643923E10</v>
      </c>
      <c r="E4605" s="653" t="s">
        <v>6746</v>
      </c>
      <c r="F4605" s="656" t="s">
        <v>436</v>
      </c>
      <c r="G4605" s="681" t="s">
        <v>6157</v>
      </c>
      <c r="H4605" s="682" t="s">
        <v>438</v>
      </c>
    </row>
    <row r="4606">
      <c r="A4606" s="546" t="s">
        <v>617</v>
      </c>
      <c r="B4606" s="653" t="s">
        <v>3583</v>
      </c>
      <c r="C4606" s="680">
        <v>46099.0</v>
      </c>
      <c r="D4606" s="681">
        <v>4.2679840259E10</v>
      </c>
      <c r="E4606" s="653" t="s">
        <v>5345</v>
      </c>
      <c r="F4606" s="656" t="s">
        <v>436</v>
      </c>
      <c r="G4606" s="681" t="s">
        <v>6747</v>
      </c>
      <c r="H4606" s="682" t="s">
        <v>696</v>
      </c>
    </row>
    <row r="4607">
      <c r="A4607" s="546" t="s">
        <v>617</v>
      </c>
      <c r="B4607" s="653" t="s">
        <v>449</v>
      </c>
      <c r="C4607" s="680">
        <v>46099.0</v>
      </c>
      <c r="D4607" s="681">
        <v>4.4638783472E10</v>
      </c>
      <c r="E4607" s="653" t="s">
        <v>6748</v>
      </c>
      <c r="F4607" s="656" t="s">
        <v>436</v>
      </c>
      <c r="G4607" s="681" t="s">
        <v>6749</v>
      </c>
      <c r="H4607" s="682" t="s">
        <v>696</v>
      </c>
    </row>
    <row r="4608">
      <c r="A4608" s="546" t="s">
        <v>617</v>
      </c>
      <c r="B4608" s="653" t="s">
        <v>449</v>
      </c>
      <c r="C4608" s="680">
        <v>46099.0</v>
      </c>
      <c r="D4608" s="681">
        <v>4.7239235219E10</v>
      </c>
      <c r="E4608" s="653" t="s">
        <v>6750</v>
      </c>
      <c r="F4608" s="656" t="s">
        <v>436</v>
      </c>
      <c r="G4608" s="681" t="s">
        <v>6014</v>
      </c>
      <c r="H4608" s="682" t="s">
        <v>696</v>
      </c>
    </row>
    <row r="4609">
      <c r="A4609" s="546" t="s">
        <v>823</v>
      </c>
      <c r="B4609" s="653" t="s">
        <v>3583</v>
      </c>
      <c r="C4609" s="680">
        <v>46099.0</v>
      </c>
      <c r="D4609" s="681">
        <v>3.6676608007E10</v>
      </c>
      <c r="E4609" s="653" t="s">
        <v>6751</v>
      </c>
      <c r="F4609" s="656" t="s">
        <v>436</v>
      </c>
      <c r="G4609" s="681">
        <v>545.0</v>
      </c>
      <c r="H4609" s="682" t="s">
        <v>4558</v>
      </c>
    </row>
    <row r="4610">
      <c r="A4610" s="546" t="s">
        <v>432</v>
      </c>
      <c r="B4610" s="653" t="s">
        <v>6752</v>
      </c>
      <c r="C4610" s="680">
        <v>46099.0</v>
      </c>
      <c r="D4610" s="681">
        <v>4.7700560464E10</v>
      </c>
      <c r="E4610" s="653" t="s">
        <v>6753</v>
      </c>
      <c r="F4610" s="656" t="s">
        <v>436</v>
      </c>
      <c r="G4610" s="681" t="s">
        <v>6754</v>
      </c>
      <c r="H4610" s="682" t="s">
        <v>438</v>
      </c>
    </row>
    <row r="4611">
      <c r="A4611" s="546" t="s">
        <v>823</v>
      </c>
      <c r="B4611" s="653" t="s">
        <v>449</v>
      </c>
      <c r="C4611" s="680">
        <v>46099.0</v>
      </c>
      <c r="D4611" s="681">
        <v>3.4383533471E10</v>
      </c>
      <c r="E4611" s="653" t="s">
        <v>5253</v>
      </c>
      <c r="F4611" s="656" t="s">
        <v>436</v>
      </c>
      <c r="G4611" s="681">
        <v>22088.0</v>
      </c>
      <c r="H4611" s="682" t="s">
        <v>4558</v>
      </c>
    </row>
    <row r="4612">
      <c r="A4612" s="546" t="s">
        <v>432</v>
      </c>
      <c r="B4612" s="653" t="s">
        <v>6752</v>
      </c>
      <c r="C4612" s="680">
        <v>46099.0</v>
      </c>
      <c r="D4612" s="681">
        <v>4.7435857362E10</v>
      </c>
      <c r="E4612" s="653" t="s">
        <v>6753</v>
      </c>
      <c r="F4612" s="656" t="s">
        <v>436</v>
      </c>
      <c r="G4612" s="681" t="s">
        <v>6755</v>
      </c>
      <c r="H4612" s="682" t="s">
        <v>438</v>
      </c>
    </row>
    <row r="4613">
      <c r="A4613" s="546" t="s">
        <v>432</v>
      </c>
      <c r="B4613" s="653" t="s">
        <v>6752</v>
      </c>
      <c r="C4613" s="680">
        <v>46099.0</v>
      </c>
      <c r="D4613" s="681">
        <v>4.6463854179E10</v>
      </c>
      <c r="E4613" s="653" t="s">
        <v>6753</v>
      </c>
      <c r="F4613" s="656" t="s">
        <v>436</v>
      </c>
      <c r="G4613" s="681" t="s">
        <v>6756</v>
      </c>
      <c r="H4613" s="682" t="s">
        <v>438</v>
      </c>
    </row>
    <row r="4614">
      <c r="A4614" s="546" t="s">
        <v>617</v>
      </c>
      <c r="B4614" s="653" t="s">
        <v>449</v>
      </c>
      <c r="C4614" s="680">
        <v>46099.0</v>
      </c>
      <c r="D4614" s="681">
        <v>4.3968621221E10</v>
      </c>
      <c r="E4614" s="653" t="s">
        <v>5253</v>
      </c>
      <c r="F4614" s="656" t="s">
        <v>436</v>
      </c>
      <c r="G4614" s="681" t="s">
        <v>6757</v>
      </c>
      <c r="H4614" s="682" t="s">
        <v>696</v>
      </c>
    </row>
    <row r="4615">
      <c r="A4615" s="546" t="s">
        <v>617</v>
      </c>
      <c r="B4615" s="653" t="s">
        <v>449</v>
      </c>
      <c r="C4615" s="680">
        <v>46099.0</v>
      </c>
      <c r="D4615" s="681">
        <v>4.9213498047E10</v>
      </c>
      <c r="E4615" s="653" t="s">
        <v>6758</v>
      </c>
      <c r="F4615" s="656" t="s">
        <v>436</v>
      </c>
      <c r="G4615" s="681" t="s">
        <v>6759</v>
      </c>
      <c r="H4615" s="682" t="s">
        <v>696</v>
      </c>
    </row>
    <row r="4616">
      <c r="A4616" s="546" t="s">
        <v>432</v>
      </c>
      <c r="B4616" s="653" t="s">
        <v>449</v>
      </c>
      <c r="C4616" s="680">
        <v>46099.0</v>
      </c>
      <c r="D4616" s="681">
        <v>3.4008686812E10</v>
      </c>
      <c r="E4616" s="653" t="s">
        <v>85</v>
      </c>
      <c r="F4616" s="656" t="s">
        <v>436</v>
      </c>
      <c r="G4616" s="681" t="s">
        <v>6760</v>
      </c>
      <c r="H4616" s="682" t="s">
        <v>438</v>
      </c>
    </row>
    <row r="4617">
      <c r="A4617" s="546" t="s">
        <v>823</v>
      </c>
      <c r="B4617" s="653" t="s">
        <v>449</v>
      </c>
      <c r="C4617" s="680">
        <v>46099.0</v>
      </c>
      <c r="D4617" s="681">
        <v>3.539139605E10</v>
      </c>
      <c r="E4617" s="653" t="s">
        <v>4310</v>
      </c>
      <c r="F4617" s="656" t="s">
        <v>436</v>
      </c>
      <c r="G4617" s="681">
        <v>2388.0</v>
      </c>
      <c r="H4617" s="682" t="s">
        <v>4558</v>
      </c>
    </row>
    <row r="4618">
      <c r="A4618" s="546" t="s">
        <v>823</v>
      </c>
      <c r="B4618" s="653" t="s">
        <v>449</v>
      </c>
      <c r="C4618" s="680">
        <v>46099.0</v>
      </c>
      <c r="D4618" s="681">
        <v>4.9425292899E10</v>
      </c>
      <c r="E4618" s="653" t="s">
        <v>4310</v>
      </c>
      <c r="F4618" s="656" t="s">
        <v>436</v>
      </c>
      <c r="G4618" s="681">
        <v>1712.0</v>
      </c>
      <c r="H4618" s="682" t="s">
        <v>4558</v>
      </c>
    </row>
    <row r="4619">
      <c r="A4619" s="546" t="s">
        <v>823</v>
      </c>
      <c r="B4619" s="653" t="s">
        <v>449</v>
      </c>
      <c r="C4619" s="680">
        <v>46099.0</v>
      </c>
      <c r="D4619" s="681">
        <v>3.9220888514E10</v>
      </c>
      <c r="E4619" s="653" t="s">
        <v>4857</v>
      </c>
      <c r="F4619" s="656" t="s">
        <v>436</v>
      </c>
      <c r="G4619" s="681">
        <v>9073.0</v>
      </c>
      <c r="H4619" s="682" t="s">
        <v>4558</v>
      </c>
    </row>
    <row r="4620">
      <c r="A4620" s="546" t="s">
        <v>823</v>
      </c>
      <c r="B4620" s="653" t="s">
        <v>449</v>
      </c>
      <c r="C4620" s="680">
        <v>46099.0</v>
      </c>
      <c r="D4620" s="681">
        <v>4.4647469241E10</v>
      </c>
      <c r="E4620" s="653" t="s">
        <v>6761</v>
      </c>
      <c r="F4620" s="656" t="s">
        <v>436</v>
      </c>
      <c r="G4620" s="681">
        <v>3072.0</v>
      </c>
      <c r="H4620" s="682" t="s">
        <v>4558</v>
      </c>
    </row>
    <row r="4621">
      <c r="A4621" s="546" t="s">
        <v>823</v>
      </c>
      <c r="B4621" s="653" t="s">
        <v>449</v>
      </c>
      <c r="C4621" s="680">
        <v>46099.0</v>
      </c>
      <c r="D4621" s="681">
        <v>4.7194104696E10</v>
      </c>
      <c r="E4621" s="653" t="s">
        <v>6762</v>
      </c>
      <c r="F4621" s="656" t="s">
        <v>436</v>
      </c>
      <c r="G4621" s="681">
        <v>879.0</v>
      </c>
      <c r="H4621" s="682" t="s">
        <v>4558</v>
      </c>
    </row>
    <row r="4622">
      <c r="A4622" s="546" t="s">
        <v>823</v>
      </c>
      <c r="B4622" s="653" t="s">
        <v>449</v>
      </c>
      <c r="C4622" s="680">
        <v>46099.0</v>
      </c>
      <c r="D4622" s="681">
        <v>4.369478255E10</v>
      </c>
      <c r="E4622" s="653" t="s">
        <v>6352</v>
      </c>
      <c r="F4622" s="656" t="s">
        <v>436</v>
      </c>
      <c r="G4622" s="681">
        <v>7068.0</v>
      </c>
      <c r="H4622" s="682" t="s">
        <v>4558</v>
      </c>
    </row>
    <row r="4623">
      <c r="A4623" s="546" t="s">
        <v>823</v>
      </c>
      <c r="B4623" s="653" t="s">
        <v>449</v>
      </c>
      <c r="C4623" s="680">
        <v>46099.0</v>
      </c>
      <c r="D4623" s="681">
        <v>3.1334954227E10</v>
      </c>
      <c r="E4623" s="653" t="s">
        <v>6352</v>
      </c>
      <c r="F4623" s="656" t="s">
        <v>436</v>
      </c>
      <c r="G4623" s="681">
        <v>7068.0</v>
      </c>
      <c r="H4623" s="682" t="s">
        <v>4558</v>
      </c>
    </row>
    <row r="4624">
      <c r="A4624" s="546" t="s">
        <v>439</v>
      </c>
      <c r="B4624" s="653" t="s">
        <v>3583</v>
      </c>
      <c r="C4624" s="680">
        <v>46099.0</v>
      </c>
      <c r="D4624" s="681">
        <v>4.9870314794E10</v>
      </c>
      <c r="E4624" s="653" t="s">
        <v>6763</v>
      </c>
      <c r="F4624" s="656" t="s">
        <v>436</v>
      </c>
      <c r="G4624" s="681" t="s">
        <v>6764</v>
      </c>
      <c r="H4624" s="682" t="s">
        <v>6678</v>
      </c>
    </row>
    <row r="4625">
      <c r="A4625" s="546" t="s">
        <v>617</v>
      </c>
      <c r="B4625" s="653" t="s">
        <v>449</v>
      </c>
      <c r="C4625" s="680">
        <v>46099.0</v>
      </c>
      <c r="D4625" s="681">
        <v>3.9069434995E10</v>
      </c>
      <c r="E4625" s="653" t="s">
        <v>5253</v>
      </c>
      <c r="F4625" s="656" t="s">
        <v>436</v>
      </c>
      <c r="G4625" s="681" t="s">
        <v>4407</v>
      </c>
      <c r="H4625" s="682" t="s">
        <v>696</v>
      </c>
    </row>
    <row r="4626">
      <c r="A4626" s="546" t="s">
        <v>439</v>
      </c>
      <c r="B4626" s="653" t="s">
        <v>6208</v>
      </c>
      <c r="C4626" s="680">
        <v>46100.0</v>
      </c>
      <c r="D4626" s="681">
        <v>5.1289513705E10</v>
      </c>
      <c r="E4626" s="653" t="s">
        <v>5055</v>
      </c>
      <c r="F4626" s="656" t="s">
        <v>436</v>
      </c>
      <c r="G4626" s="681" t="s">
        <v>6017</v>
      </c>
      <c r="H4626" s="682" t="s">
        <v>6678</v>
      </c>
    </row>
    <row r="4627">
      <c r="A4627" s="546" t="s">
        <v>439</v>
      </c>
      <c r="B4627" s="653" t="s">
        <v>449</v>
      </c>
      <c r="C4627" s="680">
        <v>46100.0</v>
      </c>
      <c r="D4627" s="681">
        <v>4.5637680224E10</v>
      </c>
      <c r="E4627" s="653" t="s">
        <v>5336</v>
      </c>
      <c r="F4627" s="656" t="s">
        <v>436</v>
      </c>
      <c r="G4627" s="681" t="s">
        <v>589</v>
      </c>
      <c r="H4627" s="682" t="s">
        <v>6678</v>
      </c>
    </row>
    <row r="4628">
      <c r="A4628" s="546" t="s">
        <v>439</v>
      </c>
      <c r="B4628" s="653" t="s">
        <v>449</v>
      </c>
      <c r="C4628" s="680">
        <v>46100.0</v>
      </c>
      <c r="D4628" s="681">
        <v>4.564312508E10</v>
      </c>
      <c r="E4628" s="653" t="s">
        <v>6765</v>
      </c>
      <c r="F4628" s="656" t="s">
        <v>436</v>
      </c>
      <c r="G4628" s="681" t="s">
        <v>6766</v>
      </c>
      <c r="H4628" s="682" t="s">
        <v>6678</v>
      </c>
    </row>
    <row r="4629">
      <c r="A4629" s="546" t="s">
        <v>617</v>
      </c>
      <c r="B4629" s="653" t="s">
        <v>449</v>
      </c>
      <c r="C4629" s="680">
        <v>46100.0</v>
      </c>
      <c r="D4629" s="681">
        <v>5.0092066821E10</v>
      </c>
      <c r="E4629" s="653" t="s">
        <v>4222</v>
      </c>
      <c r="F4629" s="656" t="s">
        <v>436</v>
      </c>
      <c r="G4629" s="681" t="s">
        <v>6767</v>
      </c>
      <c r="H4629" s="682" t="s">
        <v>696</v>
      </c>
    </row>
    <row r="4630">
      <c r="A4630" s="546" t="s">
        <v>617</v>
      </c>
      <c r="B4630" s="653" t="s">
        <v>433</v>
      </c>
      <c r="C4630" s="680">
        <v>46100.0</v>
      </c>
      <c r="D4630" s="681">
        <v>4.8568892681E10</v>
      </c>
      <c r="E4630" s="653" t="s">
        <v>5253</v>
      </c>
      <c r="F4630" s="656" t="s">
        <v>436</v>
      </c>
      <c r="G4630" s="681" t="s">
        <v>6768</v>
      </c>
      <c r="H4630" s="682" t="s">
        <v>696</v>
      </c>
    </row>
    <row r="4631">
      <c r="A4631" s="546" t="s">
        <v>617</v>
      </c>
      <c r="B4631" s="653" t="s">
        <v>449</v>
      </c>
      <c r="C4631" s="680">
        <v>46100.0</v>
      </c>
      <c r="D4631" s="681">
        <v>5.1162095304E10</v>
      </c>
      <c r="E4631" s="653" t="s">
        <v>6769</v>
      </c>
      <c r="F4631" s="656" t="s">
        <v>436</v>
      </c>
      <c r="G4631" s="681" t="s">
        <v>4920</v>
      </c>
      <c r="H4631" s="682" t="s">
        <v>696</v>
      </c>
    </row>
    <row r="4632">
      <c r="A4632" s="546" t="s">
        <v>439</v>
      </c>
      <c r="B4632" s="653" t="s">
        <v>449</v>
      </c>
      <c r="C4632" s="680">
        <v>46101.0</v>
      </c>
      <c r="D4632" s="681">
        <v>5.1173678523E10</v>
      </c>
      <c r="E4632" s="653" t="s">
        <v>6770</v>
      </c>
      <c r="F4632" s="656" t="s">
        <v>436</v>
      </c>
      <c r="G4632" s="681">
        <v>762.0</v>
      </c>
      <c r="H4632" s="682" t="s">
        <v>6733</v>
      </c>
    </row>
    <row r="4633">
      <c r="A4633" s="546" t="s">
        <v>617</v>
      </c>
      <c r="B4633" s="653" t="s">
        <v>433</v>
      </c>
      <c r="C4633" s="680">
        <v>46101.0</v>
      </c>
      <c r="D4633" s="681">
        <v>4.5692555147E10</v>
      </c>
      <c r="E4633" s="653" t="s">
        <v>4854</v>
      </c>
      <c r="F4633" s="656" t="s">
        <v>436</v>
      </c>
      <c r="G4633" s="681">
        <v>410.0</v>
      </c>
      <c r="H4633" s="682" t="s">
        <v>4558</v>
      </c>
    </row>
    <row r="4634">
      <c r="A4634" s="546" t="s">
        <v>439</v>
      </c>
      <c r="B4634" s="653" t="s">
        <v>433</v>
      </c>
      <c r="C4634" s="680">
        <v>46101.0</v>
      </c>
      <c r="D4634" s="681">
        <v>3.4645568337E10</v>
      </c>
      <c r="E4634" s="653" t="s">
        <v>6771</v>
      </c>
      <c r="F4634" s="656" t="s">
        <v>436</v>
      </c>
      <c r="G4634" s="681">
        <v>2245.0</v>
      </c>
      <c r="H4634" s="682" t="s">
        <v>6733</v>
      </c>
    </row>
    <row r="4635">
      <c r="A4635" s="546" t="s">
        <v>439</v>
      </c>
      <c r="B4635" s="653" t="s">
        <v>449</v>
      </c>
      <c r="C4635" s="680">
        <v>46101.0</v>
      </c>
      <c r="D4635" s="681">
        <v>5.116230289E10</v>
      </c>
      <c r="E4635" s="653" t="s">
        <v>6772</v>
      </c>
      <c r="F4635" s="656" t="s">
        <v>436</v>
      </c>
      <c r="G4635" s="681">
        <v>256.0</v>
      </c>
      <c r="H4635" s="682" t="s">
        <v>6733</v>
      </c>
    </row>
    <row r="4636">
      <c r="A4636" s="546" t="s">
        <v>617</v>
      </c>
      <c r="B4636" s="653" t="s">
        <v>449</v>
      </c>
      <c r="C4636" s="680">
        <v>46101.0</v>
      </c>
      <c r="D4636" s="681">
        <v>3.4809186329E10</v>
      </c>
      <c r="E4636" s="653" t="s">
        <v>6761</v>
      </c>
      <c r="F4636" s="656" t="s">
        <v>436</v>
      </c>
      <c r="G4636" s="681">
        <v>1622.0</v>
      </c>
      <c r="H4636" s="682" t="s">
        <v>4558</v>
      </c>
    </row>
    <row r="4637">
      <c r="A4637" s="546" t="s">
        <v>823</v>
      </c>
      <c r="B4637" s="653" t="s">
        <v>449</v>
      </c>
      <c r="C4637" s="680">
        <v>46102.0</v>
      </c>
      <c r="D4637" s="681">
        <v>2.9228150869E10</v>
      </c>
      <c r="E4637" s="653" t="s">
        <v>6773</v>
      </c>
      <c r="F4637" s="656" t="s">
        <v>436</v>
      </c>
      <c r="G4637" s="681">
        <v>3010.0</v>
      </c>
      <c r="H4637" s="682" t="s">
        <v>4558</v>
      </c>
    </row>
    <row r="4638">
      <c r="A4638" s="546" t="s">
        <v>823</v>
      </c>
      <c r="B4638" s="653" t="s">
        <v>449</v>
      </c>
      <c r="C4638" s="680">
        <v>46102.0</v>
      </c>
      <c r="D4638" s="681">
        <v>5.0113969094E10</v>
      </c>
      <c r="E4638" s="653" t="s">
        <v>6773</v>
      </c>
      <c r="F4638" s="656" t="s">
        <v>436</v>
      </c>
      <c r="G4638" s="681">
        <v>2913.0</v>
      </c>
      <c r="H4638" s="682" t="s">
        <v>4558</v>
      </c>
    </row>
    <row r="4639">
      <c r="A4639" s="546" t="s">
        <v>823</v>
      </c>
      <c r="B4639" s="653" t="s">
        <v>449</v>
      </c>
      <c r="C4639" s="680">
        <v>46102.0</v>
      </c>
      <c r="D4639" s="681">
        <v>5.0086915386E10</v>
      </c>
      <c r="E4639" s="653" t="s">
        <v>6773</v>
      </c>
      <c r="F4639" s="656" t="s">
        <v>436</v>
      </c>
      <c r="G4639" s="681">
        <v>2047.0</v>
      </c>
      <c r="H4639" s="682" t="s">
        <v>4558</v>
      </c>
    </row>
    <row r="4640">
      <c r="A4640" s="546" t="s">
        <v>823</v>
      </c>
      <c r="B4640" s="653" t="s">
        <v>449</v>
      </c>
      <c r="C4640" s="680">
        <v>46102.0</v>
      </c>
      <c r="D4640" s="681">
        <v>4.222507341E10</v>
      </c>
      <c r="E4640" s="653" t="s">
        <v>6773</v>
      </c>
      <c r="F4640" s="656" t="s">
        <v>436</v>
      </c>
      <c r="G4640" s="681">
        <v>2932.0</v>
      </c>
      <c r="H4640" s="682" t="s">
        <v>4558</v>
      </c>
    </row>
    <row r="4641">
      <c r="A4641" s="546" t="s">
        <v>432</v>
      </c>
      <c r="B4641" s="653" t="s">
        <v>433</v>
      </c>
      <c r="C4641" s="680">
        <v>46102.0</v>
      </c>
      <c r="D4641" s="681">
        <v>4.4759544483E10</v>
      </c>
      <c r="E4641" s="653" t="s">
        <v>1648</v>
      </c>
      <c r="F4641" s="656" t="s">
        <v>436</v>
      </c>
      <c r="G4641" s="681" t="s">
        <v>6774</v>
      </c>
      <c r="H4641" s="682" t="s">
        <v>438</v>
      </c>
    </row>
    <row r="4642">
      <c r="A4642" s="546" t="s">
        <v>823</v>
      </c>
      <c r="B4642" s="653" t="s">
        <v>449</v>
      </c>
      <c r="C4642" s="680">
        <v>46102.0</v>
      </c>
      <c r="D4642" s="681">
        <v>4.727521268E10</v>
      </c>
      <c r="E4642" s="653" t="s">
        <v>6775</v>
      </c>
      <c r="F4642" s="656" t="s">
        <v>436</v>
      </c>
      <c r="G4642" s="681">
        <v>2368.0</v>
      </c>
      <c r="H4642" s="682" t="s">
        <v>4558</v>
      </c>
    </row>
    <row r="4643">
      <c r="A4643" s="546" t="s">
        <v>823</v>
      </c>
      <c r="B4643" s="653" t="s">
        <v>449</v>
      </c>
      <c r="C4643" s="680">
        <v>46102.0</v>
      </c>
      <c r="D4643" s="681">
        <v>4.4743203345E10</v>
      </c>
      <c r="E4643" s="653" t="s">
        <v>6776</v>
      </c>
      <c r="F4643" s="656" t="s">
        <v>436</v>
      </c>
      <c r="G4643" s="681">
        <v>3343.0</v>
      </c>
      <c r="H4643" s="682" t="s">
        <v>4558</v>
      </c>
    </row>
    <row r="4644">
      <c r="A4644" s="546" t="s">
        <v>823</v>
      </c>
      <c r="B4644" s="653" t="s">
        <v>449</v>
      </c>
      <c r="C4644" s="680">
        <v>46102.0</v>
      </c>
      <c r="D4644" s="681">
        <v>5.1172387692E10</v>
      </c>
      <c r="E4644" s="653" t="s">
        <v>6777</v>
      </c>
      <c r="F4644" s="656" t="s">
        <v>436</v>
      </c>
      <c r="G4644" s="681">
        <v>1694.0</v>
      </c>
      <c r="H4644" s="682" t="s">
        <v>4558</v>
      </c>
    </row>
    <row r="4645">
      <c r="A4645" s="546" t="s">
        <v>432</v>
      </c>
      <c r="B4645" s="653" t="s">
        <v>433</v>
      </c>
      <c r="C4645" s="680">
        <v>46102.0</v>
      </c>
      <c r="D4645" s="681">
        <v>5.1190492658E10</v>
      </c>
      <c r="E4645" s="653" t="s">
        <v>85</v>
      </c>
      <c r="F4645" s="656" t="s">
        <v>436</v>
      </c>
      <c r="G4645" s="681" t="s">
        <v>6778</v>
      </c>
      <c r="H4645" s="682" t="s">
        <v>438</v>
      </c>
    </row>
    <row r="4646">
      <c r="A4646" s="546" t="s">
        <v>432</v>
      </c>
      <c r="B4646" s="653" t="s">
        <v>433</v>
      </c>
      <c r="C4646" s="680">
        <v>46102.0</v>
      </c>
      <c r="D4646" s="681">
        <v>4.71932588E10</v>
      </c>
      <c r="E4646" s="653" t="s">
        <v>6696</v>
      </c>
      <c r="F4646" s="656" t="s">
        <v>436</v>
      </c>
      <c r="G4646" s="681" t="s">
        <v>6779</v>
      </c>
      <c r="H4646" s="682" t="s">
        <v>438</v>
      </c>
    </row>
    <row r="4647">
      <c r="A4647" s="546" t="s">
        <v>432</v>
      </c>
      <c r="B4647" s="653" t="s">
        <v>433</v>
      </c>
      <c r="C4647" s="680">
        <v>46102.0</v>
      </c>
      <c r="D4647" s="681">
        <v>4.9113307992E10</v>
      </c>
      <c r="E4647" s="653" t="s">
        <v>6780</v>
      </c>
      <c r="F4647" s="656" t="s">
        <v>436</v>
      </c>
      <c r="G4647" s="681" t="s">
        <v>6781</v>
      </c>
      <c r="H4647" s="682" t="s">
        <v>438</v>
      </c>
    </row>
    <row r="4648">
      <c r="A4648" s="546" t="s">
        <v>617</v>
      </c>
      <c r="B4648" s="653" t="s">
        <v>449</v>
      </c>
      <c r="C4648" s="680">
        <v>46102.0</v>
      </c>
      <c r="D4648" s="681">
        <v>4.3083330336E10</v>
      </c>
      <c r="E4648" s="653" t="s">
        <v>5383</v>
      </c>
      <c r="F4648" s="656" t="s">
        <v>436</v>
      </c>
      <c r="G4648" s="681">
        <v>683.0</v>
      </c>
      <c r="H4648" s="682" t="s">
        <v>6733</v>
      </c>
    </row>
    <row r="4649">
      <c r="A4649" s="546" t="s">
        <v>432</v>
      </c>
      <c r="B4649" s="653" t="s">
        <v>449</v>
      </c>
      <c r="C4649" s="680">
        <v>46102.0</v>
      </c>
      <c r="D4649" s="681">
        <v>4.9872166921E10</v>
      </c>
      <c r="E4649" s="653" t="s">
        <v>4226</v>
      </c>
      <c r="F4649" s="656" t="s">
        <v>436</v>
      </c>
      <c r="G4649" s="681" t="s">
        <v>6782</v>
      </c>
      <c r="H4649" s="682" t="s">
        <v>438</v>
      </c>
    </row>
    <row r="4650">
      <c r="A4650" s="546" t="s">
        <v>432</v>
      </c>
      <c r="B4650" s="653" t="s">
        <v>433</v>
      </c>
      <c r="C4650" s="680">
        <v>46102.0</v>
      </c>
      <c r="D4650" s="681">
        <v>3.4170087987E10</v>
      </c>
      <c r="E4650" s="653" t="s">
        <v>6783</v>
      </c>
      <c r="F4650" s="656" t="s">
        <v>436</v>
      </c>
      <c r="G4650" s="681" t="s">
        <v>957</v>
      </c>
      <c r="H4650" s="682" t="s">
        <v>438</v>
      </c>
    </row>
    <row r="4651">
      <c r="A4651" s="546" t="s">
        <v>432</v>
      </c>
      <c r="B4651" s="653" t="s">
        <v>449</v>
      </c>
      <c r="C4651" s="680">
        <v>46102.0</v>
      </c>
      <c r="D4651" s="681">
        <v>3.6003611329E10</v>
      </c>
      <c r="E4651" s="653" t="s">
        <v>4310</v>
      </c>
      <c r="F4651" s="656" t="s">
        <v>436</v>
      </c>
      <c r="G4651" s="681" t="s">
        <v>957</v>
      </c>
      <c r="H4651" s="682" t="s">
        <v>438</v>
      </c>
    </row>
    <row r="4652">
      <c r="A4652" s="546" t="s">
        <v>432</v>
      </c>
      <c r="B4652" s="653" t="s">
        <v>433</v>
      </c>
      <c r="C4652" s="680">
        <v>46102.0</v>
      </c>
      <c r="D4652" s="681">
        <v>4.7259504599E10</v>
      </c>
      <c r="E4652" s="653" t="s">
        <v>4226</v>
      </c>
      <c r="F4652" s="656" t="s">
        <v>436</v>
      </c>
      <c r="G4652" s="681" t="s">
        <v>6338</v>
      </c>
      <c r="H4652" s="682" t="s">
        <v>438</v>
      </c>
    </row>
    <row r="4653">
      <c r="A4653" s="546" t="s">
        <v>617</v>
      </c>
      <c r="B4653" s="653" t="s">
        <v>449</v>
      </c>
      <c r="C4653" s="680">
        <v>46102.0</v>
      </c>
      <c r="D4653" s="681">
        <v>3.6612475947E10</v>
      </c>
      <c r="E4653" s="653" t="s">
        <v>5253</v>
      </c>
      <c r="F4653" s="656" t="s">
        <v>436</v>
      </c>
      <c r="G4653" s="681">
        <v>4934.0</v>
      </c>
      <c r="H4653" s="682" t="s">
        <v>6733</v>
      </c>
    </row>
    <row r="4654">
      <c r="A4654" s="546" t="s">
        <v>823</v>
      </c>
      <c r="B4654" s="653" t="s">
        <v>449</v>
      </c>
      <c r="C4654" s="680">
        <v>46102.0</v>
      </c>
      <c r="D4654" s="681">
        <v>4.9709687458E10</v>
      </c>
      <c r="E4654" s="653" t="s">
        <v>4165</v>
      </c>
      <c r="F4654" s="656" t="s">
        <v>436</v>
      </c>
      <c r="G4654" s="681">
        <v>170.0</v>
      </c>
      <c r="H4654" s="682" t="s">
        <v>4558</v>
      </c>
    </row>
    <row r="4655">
      <c r="A4655" s="546" t="s">
        <v>432</v>
      </c>
      <c r="B4655" s="653" t="s">
        <v>433</v>
      </c>
      <c r="C4655" s="680">
        <v>46102.0</v>
      </c>
      <c r="D4655" s="681">
        <v>4.9112896216E10</v>
      </c>
      <c r="E4655" s="653" t="s">
        <v>6784</v>
      </c>
      <c r="F4655" s="656" t="s">
        <v>436</v>
      </c>
      <c r="G4655" s="681" t="s">
        <v>2483</v>
      </c>
      <c r="H4655" s="682" t="s">
        <v>438</v>
      </c>
    </row>
    <row r="4656">
      <c r="A4656" s="546" t="s">
        <v>823</v>
      </c>
      <c r="B4656" s="653" t="s">
        <v>449</v>
      </c>
      <c r="C4656" s="680">
        <v>46102.0</v>
      </c>
      <c r="D4656" s="681">
        <v>4.7475578241E10</v>
      </c>
      <c r="E4656" s="653" t="s">
        <v>4165</v>
      </c>
      <c r="F4656" s="656" t="s">
        <v>436</v>
      </c>
      <c r="G4656" s="681">
        <v>1872.0</v>
      </c>
      <c r="H4656" s="682" t="s">
        <v>4558</v>
      </c>
    </row>
    <row r="4657">
      <c r="A4657" s="546" t="s">
        <v>432</v>
      </c>
      <c r="B4657" s="653" t="s">
        <v>433</v>
      </c>
      <c r="C4657" s="680">
        <v>46102.0</v>
      </c>
      <c r="D4657" s="681">
        <v>5.0975118524E10</v>
      </c>
      <c r="E4657" s="653" t="s">
        <v>6785</v>
      </c>
      <c r="F4657" s="656" t="s">
        <v>436</v>
      </c>
      <c r="G4657" s="681" t="s">
        <v>6786</v>
      </c>
      <c r="H4657" s="682" t="s">
        <v>438</v>
      </c>
    </row>
    <row r="4658">
      <c r="A4658" s="546" t="s">
        <v>432</v>
      </c>
      <c r="B4658" s="653" t="s">
        <v>449</v>
      </c>
      <c r="C4658" s="680">
        <v>46102.0</v>
      </c>
      <c r="D4658" s="681">
        <v>3.2387482322E10</v>
      </c>
      <c r="E4658" s="653" t="s">
        <v>6787</v>
      </c>
      <c r="F4658" s="656" t="s">
        <v>436</v>
      </c>
      <c r="G4658" s="681" t="s">
        <v>6788</v>
      </c>
      <c r="H4658" s="682" t="s">
        <v>438</v>
      </c>
    </row>
    <row r="4659">
      <c r="A4659" s="546" t="s">
        <v>432</v>
      </c>
      <c r="B4659" s="653" t="s">
        <v>6789</v>
      </c>
      <c r="C4659" s="680">
        <v>46102.0</v>
      </c>
      <c r="D4659" s="681">
        <v>3.278404536E10</v>
      </c>
      <c r="E4659" s="653" t="s">
        <v>6783</v>
      </c>
      <c r="F4659" s="656" t="s">
        <v>436</v>
      </c>
      <c r="G4659" s="681" t="s">
        <v>1618</v>
      </c>
      <c r="H4659" s="682" t="s">
        <v>438</v>
      </c>
    </row>
    <row r="4660">
      <c r="A4660" s="546" t="s">
        <v>432</v>
      </c>
      <c r="B4660" s="653" t="s">
        <v>433</v>
      </c>
      <c r="C4660" s="680">
        <v>46102.0</v>
      </c>
      <c r="D4660" s="681">
        <v>3.7710165497E10</v>
      </c>
      <c r="E4660" s="653" t="s">
        <v>6499</v>
      </c>
      <c r="F4660" s="656" t="s">
        <v>436</v>
      </c>
      <c r="G4660" s="681" t="s">
        <v>2155</v>
      </c>
      <c r="H4660" s="682" t="s">
        <v>438</v>
      </c>
    </row>
    <row r="4661">
      <c r="A4661" s="546" t="s">
        <v>432</v>
      </c>
      <c r="B4661" s="653" t="s">
        <v>433</v>
      </c>
      <c r="C4661" s="680">
        <v>46102.0</v>
      </c>
      <c r="D4661" s="681">
        <v>1.6799569447E10</v>
      </c>
      <c r="E4661" s="653" t="s">
        <v>6790</v>
      </c>
      <c r="F4661" s="656" t="s">
        <v>436</v>
      </c>
      <c r="G4661" s="681" t="s">
        <v>5386</v>
      </c>
      <c r="H4661" s="682" t="s">
        <v>438</v>
      </c>
    </row>
    <row r="4662">
      <c r="A4662" s="546" t="s">
        <v>432</v>
      </c>
      <c r="B4662" s="653" t="s">
        <v>449</v>
      </c>
      <c r="C4662" s="680">
        <v>46102.0</v>
      </c>
      <c r="D4662" s="681">
        <v>4.9424871211E10</v>
      </c>
      <c r="E4662" s="653" t="s">
        <v>4226</v>
      </c>
      <c r="F4662" s="656" t="s">
        <v>436</v>
      </c>
      <c r="G4662" s="681" t="s">
        <v>6791</v>
      </c>
      <c r="H4662" s="682" t="s">
        <v>438</v>
      </c>
    </row>
    <row r="4663">
      <c r="A4663" s="546" t="s">
        <v>617</v>
      </c>
      <c r="B4663" s="653" t="s">
        <v>449</v>
      </c>
      <c r="C4663" s="680">
        <v>46103.0</v>
      </c>
      <c r="D4663" s="681">
        <v>5.1247467861E10</v>
      </c>
      <c r="E4663" s="653" t="s">
        <v>4741</v>
      </c>
      <c r="F4663" s="656" t="s">
        <v>436</v>
      </c>
      <c r="G4663" s="681" t="s">
        <v>6792</v>
      </c>
      <c r="H4663" s="682" t="s">
        <v>696</v>
      </c>
    </row>
    <row r="4664">
      <c r="A4664" s="546" t="s">
        <v>823</v>
      </c>
      <c r="B4664" s="653" t="s">
        <v>433</v>
      </c>
      <c r="C4664" s="680">
        <v>46103.0</v>
      </c>
      <c r="D4664" s="681">
        <v>4.6961900112E10</v>
      </c>
      <c r="E4664" s="653" t="s">
        <v>6793</v>
      </c>
      <c r="F4664" s="656" t="s">
        <v>436</v>
      </c>
      <c r="G4664" s="681">
        <v>688.0</v>
      </c>
      <c r="H4664" s="682" t="s">
        <v>4558</v>
      </c>
    </row>
    <row r="4665">
      <c r="A4665" s="546" t="s">
        <v>823</v>
      </c>
      <c r="B4665" s="653" t="s">
        <v>433</v>
      </c>
      <c r="C4665" s="680">
        <v>46103.0</v>
      </c>
      <c r="D4665" s="681">
        <v>4.862821694E10</v>
      </c>
      <c r="E4665" s="653" t="s">
        <v>6762</v>
      </c>
      <c r="F4665" s="656" t="s">
        <v>436</v>
      </c>
      <c r="G4665" s="681">
        <v>575.0</v>
      </c>
      <c r="H4665" s="682" t="s">
        <v>4558</v>
      </c>
    </row>
    <row r="4666">
      <c r="A4666" s="546" t="s">
        <v>439</v>
      </c>
      <c r="B4666" s="653" t="s">
        <v>449</v>
      </c>
      <c r="C4666" s="680">
        <v>46103.0</v>
      </c>
      <c r="D4666" s="681">
        <v>4.9147337381E10</v>
      </c>
      <c r="E4666" s="653" t="s">
        <v>6707</v>
      </c>
      <c r="F4666" s="656" t="s">
        <v>436</v>
      </c>
      <c r="G4666" s="681">
        <v>958.0</v>
      </c>
      <c r="H4666" s="682" t="s">
        <v>6733</v>
      </c>
    </row>
    <row r="4667">
      <c r="A4667" s="546" t="s">
        <v>823</v>
      </c>
      <c r="B4667" s="653" t="s">
        <v>449</v>
      </c>
      <c r="C4667" s="680">
        <v>46103.0</v>
      </c>
      <c r="D4667" s="681">
        <v>4.9142305761E10</v>
      </c>
      <c r="E4667" s="653" t="s">
        <v>6794</v>
      </c>
      <c r="F4667" s="656" t="s">
        <v>436</v>
      </c>
      <c r="G4667" s="681">
        <v>2425.0</v>
      </c>
      <c r="H4667" s="682" t="s">
        <v>4558</v>
      </c>
    </row>
    <row r="4668">
      <c r="A4668" s="546" t="s">
        <v>617</v>
      </c>
      <c r="B4668" s="653" t="s">
        <v>449</v>
      </c>
      <c r="C4668" s="680">
        <v>46103.0</v>
      </c>
      <c r="D4668" s="681">
        <v>5.1173667215E10</v>
      </c>
      <c r="E4668" s="653" t="s">
        <v>4165</v>
      </c>
      <c r="F4668" s="656" t="s">
        <v>436</v>
      </c>
      <c r="G4668" s="681" t="s">
        <v>5757</v>
      </c>
      <c r="H4668" s="682" t="s">
        <v>696</v>
      </c>
    </row>
    <row r="4669">
      <c r="A4669" s="546" t="s">
        <v>617</v>
      </c>
      <c r="B4669" s="653" t="s">
        <v>449</v>
      </c>
      <c r="C4669" s="680">
        <v>46103.0</v>
      </c>
      <c r="D4669" s="681">
        <v>5.0080156979E10</v>
      </c>
      <c r="E4669" s="653" t="s">
        <v>6795</v>
      </c>
      <c r="F4669" s="656" t="s">
        <v>436</v>
      </c>
      <c r="G4669" s="681" t="s">
        <v>4818</v>
      </c>
      <c r="H4669" s="682" t="s">
        <v>696</v>
      </c>
    </row>
    <row r="4670">
      <c r="A4670" s="546" t="s">
        <v>617</v>
      </c>
      <c r="B4670" s="653" t="s">
        <v>449</v>
      </c>
      <c r="C4670" s="680">
        <v>46103.0</v>
      </c>
      <c r="D4670" s="681">
        <v>4.8708121112E10</v>
      </c>
      <c r="E4670" s="653" t="s">
        <v>5630</v>
      </c>
      <c r="F4670" s="656" t="s">
        <v>436</v>
      </c>
      <c r="G4670" s="681" t="s">
        <v>6796</v>
      </c>
      <c r="H4670" s="682" t="s">
        <v>696</v>
      </c>
    </row>
    <row r="4671">
      <c r="A4671" s="546" t="s">
        <v>823</v>
      </c>
      <c r="B4671" s="653" t="s">
        <v>449</v>
      </c>
      <c r="C4671" s="680">
        <v>46103.0</v>
      </c>
      <c r="D4671" s="681">
        <v>4.9107828466E10</v>
      </c>
      <c r="E4671" s="653" t="s">
        <v>4887</v>
      </c>
      <c r="F4671" s="656" t="s">
        <v>436</v>
      </c>
      <c r="G4671" s="681">
        <v>281.0</v>
      </c>
      <c r="H4671" s="682" t="s">
        <v>4558</v>
      </c>
    </row>
    <row r="4672">
      <c r="A4672" s="546" t="s">
        <v>617</v>
      </c>
      <c r="B4672" s="653" t="s">
        <v>449</v>
      </c>
      <c r="C4672" s="680">
        <v>46103.0</v>
      </c>
      <c r="D4672" s="681">
        <v>4.8943703165E10</v>
      </c>
      <c r="E4672" s="653" t="s">
        <v>4741</v>
      </c>
      <c r="F4672" s="656" t="s">
        <v>436</v>
      </c>
      <c r="G4672" s="681" t="s">
        <v>6128</v>
      </c>
      <c r="H4672" s="682" t="s">
        <v>696</v>
      </c>
    </row>
    <row r="4673">
      <c r="A4673" s="546" t="s">
        <v>823</v>
      </c>
      <c r="B4673" s="653" t="s">
        <v>449</v>
      </c>
      <c r="C4673" s="680">
        <v>46103.0</v>
      </c>
      <c r="D4673" s="681">
        <v>4.9112649715E10</v>
      </c>
      <c r="E4673" s="653" t="s">
        <v>6797</v>
      </c>
      <c r="F4673" s="656" t="s">
        <v>436</v>
      </c>
      <c r="G4673" s="681">
        <v>11619.0</v>
      </c>
      <c r="H4673" s="682" t="s">
        <v>4558</v>
      </c>
    </row>
    <row r="4674">
      <c r="A4674" s="546" t="s">
        <v>439</v>
      </c>
      <c r="B4674" s="653" t="s">
        <v>449</v>
      </c>
      <c r="C4674" s="680">
        <v>46104.0</v>
      </c>
      <c r="D4674" s="681">
        <v>3.7115681531E10</v>
      </c>
      <c r="E4674" s="653" t="s">
        <v>4854</v>
      </c>
      <c r="F4674" s="656" t="s">
        <v>436</v>
      </c>
      <c r="G4674" s="681" t="s">
        <v>6798</v>
      </c>
      <c r="H4674" s="682" t="s">
        <v>6593</v>
      </c>
    </row>
    <row r="4675">
      <c r="A4675" s="546" t="s">
        <v>439</v>
      </c>
      <c r="B4675" s="653" t="s">
        <v>433</v>
      </c>
      <c r="C4675" s="680">
        <v>46104.0</v>
      </c>
      <c r="D4675" s="681">
        <v>4.4749163607E10</v>
      </c>
      <c r="E4675" s="653" t="s">
        <v>6799</v>
      </c>
      <c r="F4675" s="656" t="s">
        <v>436</v>
      </c>
      <c r="G4675" s="681" t="s">
        <v>4855</v>
      </c>
      <c r="H4675" s="682" t="s">
        <v>6593</v>
      </c>
    </row>
    <row r="4676">
      <c r="A4676" s="546" t="s">
        <v>439</v>
      </c>
      <c r="B4676" s="653" t="s">
        <v>433</v>
      </c>
      <c r="C4676" s="680">
        <v>46104.0</v>
      </c>
      <c r="D4676" s="681">
        <v>4.7435970769E10</v>
      </c>
      <c r="E4676" s="653" t="s">
        <v>6765</v>
      </c>
      <c r="F4676" s="656" t="s">
        <v>436</v>
      </c>
      <c r="G4676" s="681" t="s">
        <v>4093</v>
      </c>
      <c r="H4676" s="682" t="s">
        <v>6593</v>
      </c>
    </row>
    <row r="4677">
      <c r="A4677" s="546" t="s">
        <v>439</v>
      </c>
      <c r="B4677" s="653" t="s">
        <v>433</v>
      </c>
      <c r="C4677" s="680">
        <v>46104.0</v>
      </c>
      <c r="D4677" s="681">
        <v>4.8351387822E10</v>
      </c>
      <c r="E4677" s="653" t="s">
        <v>6800</v>
      </c>
      <c r="F4677" s="656" t="s">
        <v>436</v>
      </c>
      <c r="G4677" s="681" t="s">
        <v>748</v>
      </c>
      <c r="H4677" s="682" t="s">
        <v>6593</v>
      </c>
    </row>
    <row r="4678">
      <c r="A4678" s="546" t="s">
        <v>617</v>
      </c>
      <c r="B4678" s="653" t="s">
        <v>449</v>
      </c>
      <c r="C4678" s="680">
        <v>46104.0</v>
      </c>
      <c r="D4678" s="681">
        <v>4.4625859041E10</v>
      </c>
      <c r="E4678" s="653" t="s">
        <v>4824</v>
      </c>
      <c r="F4678" s="656" t="s">
        <v>436</v>
      </c>
      <c r="G4678" s="681" t="s">
        <v>574</v>
      </c>
      <c r="H4678" s="682" t="s">
        <v>696</v>
      </c>
    </row>
    <row r="4679">
      <c r="A4679" s="546" t="s">
        <v>617</v>
      </c>
      <c r="B4679" s="653" t="s">
        <v>449</v>
      </c>
      <c r="C4679" s="680">
        <v>46104.0</v>
      </c>
      <c r="D4679" s="681">
        <v>4.9231975655E10</v>
      </c>
      <c r="E4679" s="653" t="s">
        <v>6801</v>
      </c>
      <c r="F4679" s="656" t="s">
        <v>436</v>
      </c>
      <c r="G4679" s="681" t="s">
        <v>4019</v>
      </c>
      <c r="H4679" s="682" t="s">
        <v>696</v>
      </c>
    </row>
    <row r="4680">
      <c r="A4680" s="546" t="s">
        <v>617</v>
      </c>
      <c r="B4680" s="653" t="s">
        <v>433</v>
      </c>
      <c r="C4680" s="680">
        <v>46104.0</v>
      </c>
      <c r="D4680" s="681">
        <v>4.9243341863E10</v>
      </c>
      <c r="E4680" s="653" t="s">
        <v>5253</v>
      </c>
      <c r="F4680" s="656" t="s">
        <v>436</v>
      </c>
      <c r="G4680" s="681" t="s">
        <v>6802</v>
      </c>
      <c r="H4680" s="682" t="s">
        <v>696</v>
      </c>
    </row>
    <row r="4681">
      <c r="A4681" s="546" t="s">
        <v>439</v>
      </c>
      <c r="B4681" s="653" t="s">
        <v>449</v>
      </c>
      <c r="C4681" s="680">
        <v>46104.0</v>
      </c>
      <c r="D4681" s="681">
        <v>4.9233391857E10</v>
      </c>
      <c r="E4681" s="653" t="s">
        <v>4200</v>
      </c>
      <c r="F4681" s="656" t="s">
        <v>436</v>
      </c>
      <c r="G4681" s="681" t="s">
        <v>6803</v>
      </c>
      <c r="H4681" s="682" t="s">
        <v>6593</v>
      </c>
    </row>
    <row r="4682">
      <c r="A4682" s="546" t="s">
        <v>617</v>
      </c>
      <c r="B4682" s="653" t="s">
        <v>433</v>
      </c>
      <c r="C4682" s="680">
        <v>46104.0</v>
      </c>
      <c r="D4682" s="681">
        <v>4.747441365E10</v>
      </c>
      <c r="E4682" s="653" t="s">
        <v>5383</v>
      </c>
      <c r="F4682" s="656" t="s">
        <v>436</v>
      </c>
      <c r="G4682" s="681" t="s">
        <v>6804</v>
      </c>
      <c r="H4682" s="682" t="s">
        <v>696</v>
      </c>
    </row>
    <row r="4683">
      <c r="A4683" s="546" t="s">
        <v>439</v>
      </c>
      <c r="B4683" s="653" t="s">
        <v>433</v>
      </c>
      <c r="C4683" s="680">
        <v>46104.0</v>
      </c>
      <c r="D4683" s="681">
        <v>4.7817254204E10</v>
      </c>
      <c r="E4683" s="653" t="s">
        <v>5253</v>
      </c>
      <c r="F4683" s="656" t="s">
        <v>436</v>
      </c>
      <c r="G4683" s="681" t="s">
        <v>2137</v>
      </c>
      <c r="H4683" s="682" t="s">
        <v>6593</v>
      </c>
    </row>
    <row r="4684">
      <c r="A4684" s="546" t="s">
        <v>432</v>
      </c>
      <c r="B4684" s="653" t="s">
        <v>433</v>
      </c>
      <c r="C4684" s="680">
        <v>46105.0</v>
      </c>
      <c r="D4684" s="681">
        <v>4.6260266441E10</v>
      </c>
      <c r="E4684" s="653" t="s">
        <v>85</v>
      </c>
      <c r="F4684" s="656" t="s">
        <v>436</v>
      </c>
      <c r="G4684" s="681" t="s">
        <v>5861</v>
      </c>
      <c r="H4684" s="682" t="s">
        <v>438</v>
      </c>
    </row>
    <row r="4685">
      <c r="A4685" s="546" t="s">
        <v>432</v>
      </c>
      <c r="B4685" s="653" t="s">
        <v>433</v>
      </c>
      <c r="C4685" s="680">
        <v>46105.0</v>
      </c>
      <c r="D4685" s="681">
        <v>4.9245118892E10</v>
      </c>
      <c r="E4685" s="653" t="s">
        <v>85</v>
      </c>
      <c r="F4685" s="656" t="s">
        <v>436</v>
      </c>
      <c r="G4685" s="681" t="s">
        <v>5595</v>
      </c>
      <c r="H4685" s="682" t="s">
        <v>438</v>
      </c>
    </row>
    <row r="4686">
      <c r="A4686" s="546" t="s">
        <v>432</v>
      </c>
      <c r="B4686" s="653" t="s">
        <v>433</v>
      </c>
      <c r="C4686" s="680">
        <v>46105.0</v>
      </c>
      <c r="D4686" s="681">
        <v>4.9507019646E10</v>
      </c>
      <c r="E4686" s="653" t="s">
        <v>4226</v>
      </c>
      <c r="F4686" s="656" t="s">
        <v>436</v>
      </c>
      <c r="G4686" s="681" t="s">
        <v>1474</v>
      </c>
      <c r="H4686" s="682" t="s">
        <v>438</v>
      </c>
    </row>
    <row r="4687">
      <c r="A4687" s="546" t="s">
        <v>439</v>
      </c>
      <c r="B4687" s="653" t="s">
        <v>433</v>
      </c>
      <c r="C4687" s="680">
        <v>46105.0</v>
      </c>
      <c r="D4687" s="681">
        <v>3.9537916803E10</v>
      </c>
      <c r="E4687" s="653" t="s">
        <v>6805</v>
      </c>
      <c r="F4687" s="656" t="s">
        <v>436</v>
      </c>
      <c r="G4687" s="681">
        <v>731.0</v>
      </c>
      <c r="H4687" s="682" t="s">
        <v>6733</v>
      </c>
    </row>
    <row r="4688">
      <c r="A4688" s="546" t="s">
        <v>439</v>
      </c>
      <c r="B4688" s="653" t="s">
        <v>433</v>
      </c>
      <c r="C4688" s="680">
        <v>46105.0</v>
      </c>
      <c r="D4688" s="681">
        <v>4.669898558E10</v>
      </c>
      <c r="E4688" s="653" t="s">
        <v>4165</v>
      </c>
      <c r="F4688" s="656" t="s">
        <v>436</v>
      </c>
      <c r="G4688" s="681">
        <v>1019.0</v>
      </c>
      <c r="H4688" s="682" t="s">
        <v>6733</v>
      </c>
    </row>
    <row r="4689">
      <c r="A4689" s="546" t="s">
        <v>617</v>
      </c>
      <c r="B4689" s="653" t="s">
        <v>449</v>
      </c>
      <c r="C4689" s="680">
        <v>46105.0</v>
      </c>
      <c r="D4689" s="681">
        <v>3.2383408978E10</v>
      </c>
      <c r="E4689" s="653" t="s">
        <v>5966</v>
      </c>
      <c r="F4689" s="656" t="s">
        <v>436</v>
      </c>
      <c r="G4689" s="681">
        <v>483.0</v>
      </c>
      <c r="H4689" s="682" t="s">
        <v>4558</v>
      </c>
    </row>
    <row r="4690">
      <c r="A4690" s="546" t="s">
        <v>432</v>
      </c>
      <c r="B4690" s="653" t="s">
        <v>433</v>
      </c>
      <c r="C4690" s="680">
        <v>46105.0</v>
      </c>
      <c r="D4690" s="681">
        <v>3.6337828294E10</v>
      </c>
      <c r="E4690" s="653" t="s">
        <v>4165</v>
      </c>
      <c r="F4690" s="656" t="s">
        <v>436</v>
      </c>
      <c r="G4690" s="681" t="s">
        <v>6806</v>
      </c>
      <c r="H4690" s="682" t="s">
        <v>438</v>
      </c>
    </row>
    <row r="4691">
      <c r="A4691" s="546" t="s">
        <v>432</v>
      </c>
      <c r="B4691" s="653" t="s">
        <v>433</v>
      </c>
      <c r="C4691" s="680">
        <v>46105.0</v>
      </c>
      <c r="D4691" s="681">
        <v>5.0072619303E10</v>
      </c>
      <c r="E4691" s="653" t="s">
        <v>85</v>
      </c>
      <c r="F4691" s="656" t="s">
        <v>436</v>
      </c>
      <c r="G4691" s="681" t="s">
        <v>3256</v>
      </c>
      <c r="H4691" s="682" t="s">
        <v>438</v>
      </c>
    </row>
    <row r="4692">
      <c r="A4692" s="546" t="s">
        <v>439</v>
      </c>
      <c r="B4692" s="653" t="s">
        <v>433</v>
      </c>
      <c r="C4692" s="680">
        <v>46105.0</v>
      </c>
      <c r="D4692" s="681">
        <v>4.8963921843E10</v>
      </c>
      <c r="E4692" s="653" t="s">
        <v>5336</v>
      </c>
      <c r="F4692" s="656" t="s">
        <v>436</v>
      </c>
      <c r="G4692" s="681">
        <v>3296.0</v>
      </c>
      <c r="H4692" s="682" t="s">
        <v>6733</v>
      </c>
    </row>
    <row r="4693">
      <c r="A4693" s="546" t="s">
        <v>617</v>
      </c>
      <c r="B4693" s="653" t="s">
        <v>449</v>
      </c>
      <c r="C4693" s="680">
        <v>46105.0</v>
      </c>
      <c r="D4693" s="681">
        <v>4.9095171314E10</v>
      </c>
      <c r="E4693" s="653" t="s">
        <v>5345</v>
      </c>
      <c r="F4693" s="656" t="s">
        <v>436</v>
      </c>
      <c r="G4693" s="681">
        <v>5470.0</v>
      </c>
      <c r="H4693" s="682" t="s">
        <v>4558</v>
      </c>
    </row>
    <row r="4694">
      <c r="A4694" s="546" t="s">
        <v>432</v>
      </c>
      <c r="B4694" s="653" t="s">
        <v>433</v>
      </c>
      <c r="C4694" s="680">
        <v>46105.0</v>
      </c>
      <c r="D4694" s="681">
        <v>4.8149498353E10</v>
      </c>
      <c r="E4694" s="653" t="s">
        <v>1648</v>
      </c>
      <c r="F4694" s="656" t="s">
        <v>436</v>
      </c>
      <c r="G4694" s="681" t="s">
        <v>6807</v>
      </c>
      <c r="H4694" s="682" t="s">
        <v>438</v>
      </c>
    </row>
    <row r="4695">
      <c r="A4695" s="546" t="s">
        <v>432</v>
      </c>
      <c r="B4695" s="653" t="s">
        <v>433</v>
      </c>
      <c r="C4695" s="680">
        <v>46105.0</v>
      </c>
      <c r="D4695" s="681">
        <v>4.6459565474E10</v>
      </c>
      <c r="E4695" s="653" t="s">
        <v>4226</v>
      </c>
      <c r="F4695" s="656" t="s">
        <v>436</v>
      </c>
      <c r="G4695" s="681" t="s">
        <v>6808</v>
      </c>
      <c r="H4695" s="682" t="s">
        <v>438</v>
      </c>
    </row>
    <row r="4696">
      <c r="A4696" s="546" t="s">
        <v>432</v>
      </c>
      <c r="B4696" s="653" t="s">
        <v>433</v>
      </c>
      <c r="C4696" s="680">
        <v>46105.0</v>
      </c>
      <c r="D4696" s="681">
        <v>3.348258627E10</v>
      </c>
      <c r="E4696" s="653" t="s">
        <v>4226</v>
      </c>
      <c r="F4696" s="656" t="s">
        <v>436</v>
      </c>
      <c r="G4696" s="681" t="s">
        <v>1834</v>
      </c>
      <c r="H4696" s="682" t="s">
        <v>438</v>
      </c>
    </row>
    <row r="4697">
      <c r="A4697" s="546" t="s">
        <v>432</v>
      </c>
      <c r="B4697" s="653" t="s">
        <v>433</v>
      </c>
      <c r="C4697" s="680">
        <v>46106.0</v>
      </c>
      <c r="D4697" s="681">
        <v>4.8806100998E10</v>
      </c>
      <c r="E4697" s="653" t="s">
        <v>4226</v>
      </c>
      <c r="F4697" s="656" t="s">
        <v>436</v>
      </c>
      <c r="G4697" s="681" t="s">
        <v>6809</v>
      </c>
      <c r="H4697" s="682" t="s">
        <v>438</v>
      </c>
    </row>
    <row r="4698">
      <c r="A4698" s="546" t="s">
        <v>432</v>
      </c>
      <c r="B4698" s="653" t="s">
        <v>433</v>
      </c>
      <c r="C4698" s="680">
        <v>46106.0</v>
      </c>
      <c r="D4698" s="681">
        <v>4.9110255886E10</v>
      </c>
      <c r="E4698" s="653" t="s">
        <v>85</v>
      </c>
      <c r="F4698" s="656" t="s">
        <v>436</v>
      </c>
      <c r="G4698" s="681" t="s">
        <v>6810</v>
      </c>
      <c r="H4698" s="682" t="s">
        <v>438</v>
      </c>
    </row>
    <row r="4699">
      <c r="A4699" s="546" t="s">
        <v>432</v>
      </c>
      <c r="B4699" s="653" t="s">
        <v>433</v>
      </c>
      <c r="C4699" s="680">
        <v>46106.0</v>
      </c>
      <c r="D4699" s="681">
        <v>4.7151772531E10</v>
      </c>
      <c r="E4699" s="653" t="s">
        <v>85</v>
      </c>
      <c r="F4699" s="656" t="s">
        <v>436</v>
      </c>
      <c r="G4699" s="681" t="s">
        <v>6811</v>
      </c>
      <c r="H4699" s="682" t="s">
        <v>438</v>
      </c>
    </row>
    <row r="4700">
      <c r="A4700" s="546" t="s">
        <v>432</v>
      </c>
      <c r="B4700" s="653" t="s">
        <v>449</v>
      </c>
      <c r="C4700" s="680">
        <v>46106.0</v>
      </c>
      <c r="D4700" s="681">
        <v>5.1456516773E10</v>
      </c>
      <c r="E4700" s="653" t="s">
        <v>6812</v>
      </c>
      <c r="F4700" s="656" t="s">
        <v>436</v>
      </c>
      <c r="G4700" s="681" t="s">
        <v>6813</v>
      </c>
      <c r="H4700" s="682" t="s">
        <v>438</v>
      </c>
    </row>
    <row r="4701">
      <c r="A4701" s="546" t="s">
        <v>617</v>
      </c>
      <c r="B4701" s="653" t="s">
        <v>688</v>
      </c>
      <c r="C4701" s="680">
        <v>46106.0</v>
      </c>
      <c r="D4701" s="681">
        <v>4.9120073096E10</v>
      </c>
      <c r="E4701" s="653" t="s">
        <v>6277</v>
      </c>
      <c r="F4701" s="656" t="s">
        <v>436</v>
      </c>
      <c r="G4701" s="681">
        <v>1367.0</v>
      </c>
      <c r="H4701" s="682" t="s">
        <v>5817</v>
      </c>
    </row>
    <row r="4702">
      <c r="A4702" s="546" t="s">
        <v>432</v>
      </c>
      <c r="B4702" s="653" t="s">
        <v>433</v>
      </c>
      <c r="C4702" s="680">
        <v>46106.0</v>
      </c>
      <c r="D4702" s="681">
        <v>4.7428218341E10</v>
      </c>
      <c r="E4702" s="653" t="s">
        <v>4226</v>
      </c>
      <c r="F4702" s="656" t="s">
        <v>436</v>
      </c>
      <c r="G4702" s="681" t="s">
        <v>3136</v>
      </c>
      <c r="H4702" s="682" t="s">
        <v>438</v>
      </c>
    </row>
    <row r="4703">
      <c r="A4703" s="546" t="s">
        <v>432</v>
      </c>
      <c r="B4703" s="653" t="s">
        <v>433</v>
      </c>
      <c r="C4703" s="680">
        <v>46106.0</v>
      </c>
      <c r="D4703" s="681">
        <v>4.8623773674E10</v>
      </c>
      <c r="E4703" s="653" t="s">
        <v>4226</v>
      </c>
      <c r="F4703" s="656" t="s">
        <v>436</v>
      </c>
      <c r="G4703" s="681" t="s">
        <v>3136</v>
      </c>
      <c r="H4703" s="682" t="s">
        <v>438</v>
      </c>
    </row>
    <row r="4704">
      <c r="A4704" s="546" t="s">
        <v>439</v>
      </c>
      <c r="B4704" s="653" t="s">
        <v>449</v>
      </c>
      <c r="C4704" s="680">
        <v>46106.0</v>
      </c>
      <c r="D4704" s="681">
        <v>4.9953760513E10</v>
      </c>
      <c r="E4704" s="653" t="s">
        <v>5966</v>
      </c>
      <c r="F4704" s="656" t="s">
        <v>436</v>
      </c>
      <c r="G4704" s="681">
        <v>36.0</v>
      </c>
      <c r="H4704" s="682" t="s">
        <v>6733</v>
      </c>
    </row>
    <row r="4705">
      <c r="A4705" s="546" t="s">
        <v>432</v>
      </c>
      <c r="B4705" s="653" t="s">
        <v>433</v>
      </c>
      <c r="C4705" s="680">
        <v>46106.0</v>
      </c>
      <c r="D4705" s="681">
        <v>4.9410987341E10</v>
      </c>
      <c r="E4705" s="653" t="s">
        <v>5895</v>
      </c>
      <c r="F4705" s="656" t="s">
        <v>436</v>
      </c>
      <c r="G4705" s="681" t="s">
        <v>6814</v>
      </c>
      <c r="H4705" s="682" t="s">
        <v>438</v>
      </c>
    </row>
    <row r="4706">
      <c r="A4706" s="546" t="s">
        <v>432</v>
      </c>
      <c r="B4706" s="653" t="s">
        <v>433</v>
      </c>
      <c r="C4706" s="680">
        <v>46106.0</v>
      </c>
      <c r="D4706" s="681">
        <v>4.9505037113E10</v>
      </c>
      <c r="E4706" s="653" t="s">
        <v>5895</v>
      </c>
      <c r="F4706" s="656" t="s">
        <v>436</v>
      </c>
      <c r="G4706" s="681" t="s">
        <v>6815</v>
      </c>
      <c r="H4706" s="682" t="s">
        <v>438</v>
      </c>
    </row>
    <row r="4707">
      <c r="A4707" s="546" t="s">
        <v>432</v>
      </c>
      <c r="B4707" s="653" t="s">
        <v>433</v>
      </c>
      <c r="C4707" s="680">
        <v>46106.0</v>
      </c>
      <c r="D4707" s="681">
        <v>4.7310012943E10</v>
      </c>
      <c r="E4707" s="653" t="s">
        <v>5895</v>
      </c>
      <c r="F4707" s="656" t="s">
        <v>436</v>
      </c>
      <c r="G4707" s="681" t="s">
        <v>6816</v>
      </c>
      <c r="H4707" s="682" t="s">
        <v>438</v>
      </c>
    </row>
    <row r="4708">
      <c r="A4708" s="546" t="s">
        <v>432</v>
      </c>
      <c r="B4708" s="653" t="s">
        <v>433</v>
      </c>
      <c r="C4708" s="680">
        <v>46106.0</v>
      </c>
      <c r="D4708" s="681">
        <v>4.7351381956E10</v>
      </c>
      <c r="E4708" s="653" t="s">
        <v>6817</v>
      </c>
      <c r="F4708" s="656" t="s">
        <v>436</v>
      </c>
      <c r="G4708" s="681" t="s">
        <v>3657</v>
      </c>
      <c r="H4708" s="682" t="s">
        <v>438</v>
      </c>
    </row>
    <row r="4709">
      <c r="A4709" s="546" t="s">
        <v>432</v>
      </c>
      <c r="B4709" s="653" t="s">
        <v>433</v>
      </c>
      <c r="C4709" s="680">
        <v>46106.0</v>
      </c>
      <c r="D4709" s="681">
        <v>3.1547902418E10</v>
      </c>
      <c r="E4709" s="653" t="s">
        <v>4226</v>
      </c>
      <c r="F4709" s="656" t="s">
        <v>436</v>
      </c>
      <c r="G4709" s="681" t="s">
        <v>6818</v>
      </c>
      <c r="H4709" s="682" t="s">
        <v>438</v>
      </c>
    </row>
    <row r="4710">
      <c r="A4710" s="546" t="s">
        <v>432</v>
      </c>
      <c r="B4710" s="653" t="s">
        <v>433</v>
      </c>
      <c r="C4710" s="680">
        <v>46106.0</v>
      </c>
      <c r="D4710" s="681">
        <v>4.9405190184E10</v>
      </c>
      <c r="E4710" s="653" t="s">
        <v>4811</v>
      </c>
      <c r="F4710" s="656" t="s">
        <v>436</v>
      </c>
      <c r="G4710" s="681" t="s">
        <v>6819</v>
      </c>
      <c r="H4710" s="682" t="s">
        <v>438</v>
      </c>
    </row>
    <row r="4711">
      <c r="A4711" s="546" t="s">
        <v>432</v>
      </c>
      <c r="B4711" s="653" t="s">
        <v>433</v>
      </c>
      <c r="C4711" s="680">
        <v>46106.0</v>
      </c>
      <c r="D4711" s="681">
        <v>4.3175951193E10</v>
      </c>
      <c r="E4711" s="653" t="s">
        <v>85</v>
      </c>
      <c r="F4711" s="656" t="s">
        <v>436</v>
      </c>
      <c r="G4711" s="681" t="s">
        <v>6820</v>
      </c>
      <c r="H4711" s="682" t="s">
        <v>438</v>
      </c>
    </row>
    <row r="4712">
      <c r="A4712" s="546" t="s">
        <v>432</v>
      </c>
      <c r="B4712" s="653" t="s">
        <v>433</v>
      </c>
      <c r="C4712" s="680">
        <v>46106.0</v>
      </c>
      <c r="D4712" s="681">
        <v>4.0142762768E10</v>
      </c>
      <c r="E4712" s="653" t="s">
        <v>5895</v>
      </c>
      <c r="F4712" s="656" t="s">
        <v>436</v>
      </c>
      <c r="G4712" s="681" t="s">
        <v>6821</v>
      </c>
      <c r="H4712" s="682" t="s">
        <v>438</v>
      </c>
    </row>
    <row r="4713">
      <c r="A4713" s="546" t="s">
        <v>439</v>
      </c>
      <c r="B4713" s="653" t="s">
        <v>449</v>
      </c>
      <c r="C4713" s="680">
        <v>46106.0</v>
      </c>
      <c r="D4713" s="681">
        <v>3.80700556E10</v>
      </c>
      <c r="E4713" s="653" t="s">
        <v>4854</v>
      </c>
      <c r="F4713" s="656" t="s">
        <v>436</v>
      </c>
      <c r="G4713" s="681">
        <v>7194.0</v>
      </c>
      <c r="H4713" s="682" t="s">
        <v>6733</v>
      </c>
    </row>
    <row r="4714">
      <c r="A4714" s="546" t="s">
        <v>439</v>
      </c>
      <c r="B4714" s="653" t="s">
        <v>449</v>
      </c>
      <c r="C4714" s="680">
        <v>46106.0</v>
      </c>
      <c r="D4714" s="681">
        <v>2.6096891932E10</v>
      </c>
      <c r="E4714" s="653" t="s">
        <v>6822</v>
      </c>
      <c r="F4714" s="656" t="s">
        <v>436</v>
      </c>
      <c r="G4714" s="681">
        <v>551.0</v>
      </c>
      <c r="H4714" s="682" t="s">
        <v>6733</v>
      </c>
    </row>
    <row r="4715">
      <c r="A4715" s="546" t="s">
        <v>432</v>
      </c>
      <c r="B4715" s="653" t="s">
        <v>433</v>
      </c>
      <c r="C4715" s="680">
        <v>46106.0</v>
      </c>
      <c r="D4715" s="681">
        <v>4.4431270364E10</v>
      </c>
      <c r="E4715" s="653" t="s">
        <v>1648</v>
      </c>
      <c r="F4715" s="656" t="s">
        <v>436</v>
      </c>
      <c r="G4715" s="681" t="s">
        <v>6823</v>
      </c>
      <c r="H4715" s="682" t="s">
        <v>6824</v>
      </c>
    </row>
    <row r="4716">
      <c r="A4716" s="546" t="s">
        <v>432</v>
      </c>
      <c r="B4716" s="653" t="s">
        <v>433</v>
      </c>
      <c r="C4716" s="680">
        <v>46106.0</v>
      </c>
      <c r="D4716" s="681">
        <v>4.9427254882E10</v>
      </c>
      <c r="E4716" s="653" t="s">
        <v>6825</v>
      </c>
      <c r="F4716" s="656" t="s">
        <v>436</v>
      </c>
      <c r="G4716" s="681" t="s">
        <v>6521</v>
      </c>
      <c r="H4716" s="682" t="s">
        <v>438</v>
      </c>
    </row>
    <row r="4717">
      <c r="A4717" s="546" t="s">
        <v>432</v>
      </c>
      <c r="B4717" s="653" t="s">
        <v>449</v>
      </c>
      <c r="C4717" s="680">
        <v>46106.0</v>
      </c>
      <c r="D4717" s="681">
        <v>4.6280900299E10</v>
      </c>
      <c r="E4717" s="653" t="s">
        <v>5895</v>
      </c>
      <c r="F4717" s="656" t="s">
        <v>436</v>
      </c>
      <c r="G4717" s="681" t="s">
        <v>6826</v>
      </c>
      <c r="H4717" s="682" t="s">
        <v>438</v>
      </c>
    </row>
    <row r="4718">
      <c r="A4718" s="546" t="s">
        <v>432</v>
      </c>
      <c r="B4718" s="653" t="s">
        <v>449</v>
      </c>
      <c r="C4718" s="680">
        <v>46106.0</v>
      </c>
      <c r="D4718" s="681">
        <v>4.6280899979E10</v>
      </c>
      <c r="E4718" s="653" t="s">
        <v>5895</v>
      </c>
      <c r="F4718" s="656" t="s">
        <v>436</v>
      </c>
      <c r="G4718" s="681" t="s">
        <v>6826</v>
      </c>
      <c r="H4718" s="682" t="s">
        <v>438</v>
      </c>
    </row>
    <row r="4719">
      <c r="A4719" s="546" t="s">
        <v>823</v>
      </c>
      <c r="B4719" s="653" t="s">
        <v>449</v>
      </c>
      <c r="C4719" s="680">
        <v>46106.0</v>
      </c>
      <c r="D4719" s="681">
        <v>3.2383395991E10</v>
      </c>
      <c r="E4719" s="653" t="s">
        <v>4857</v>
      </c>
      <c r="F4719" s="656" t="s">
        <v>436</v>
      </c>
      <c r="G4719" s="681">
        <v>1371.0</v>
      </c>
      <c r="H4719" s="682" t="s">
        <v>4558</v>
      </c>
    </row>
    <row r="4720">
      <c r="A4720" s="546" t="s">
        <v>432</v>
      </c>
      <c r="B4720" s="653" t="s">
        <v>433</v>
      </c>
      <c r="C4720" s="680">
        <v>46106.0</v>
      </c>
      <c r="D4720" s="681">
        <v>4.6299442622E10</v>
      </c>
      <c r="E4720" s="653" t="s">
        <v>4758</v>
      </c>
      <c r="F4720" s="656" t="s">
        <v>436</v>
      </c>
      <c r="G4720" s="681" t="s">
        <v>6827</v>
      </c>
      <c r="H4720" s="682" t="s">
        <v>438</v>
      </c>
    </row>
    <row r="4721">
      <c r="A4721" s="546" t="s">
        <v>432</v>
      </c>
      <c r="B4721" s="653" t="s">
        <v>433</v>
      </c>
      <c r="C4721" s="680">
        <v>46106.0</v>
      </c>
      <c r="D4721" s="681">
        <v>4.8331869231E10</v>
      </c>
      <c r="E4721" s="653" t="s">
        <v>4811</v>
      </c>
      <c r="F4721" s="656" t="s">
        <v>436</v>
      </c>
      <c r="G4721" s="681" t="s">
        <v>6828</v>
      </c>
      <c r="H4721" s="682" t="s">
        <v>438</v>
      </c>
    </row>
    <row r="4722">
      <c r="A4722" s="546" t="s">
        <v>432</v>
      </c>
      <c r="B4722" s="653" t="s">
        <v>433</v>
      </c>
      <c r="C4722" s="680">
        <v>46106.0</v>
      </c>
      <c r="D4722" s="681">
        <v>4.6299442614E10</v>
      </c>
      <c r="E4722" s="653" t="s">
        <v>1648</v>
      </c>
      <c r="F4722" s="656" t="s">
        <v>436</v>
      </c>
      <c r="G4722" s="681" t="s">
        <v>6827</v>
      </c>
      <c r="H4722" s="682" t="s">
        <v>438</v>
      </c>
    </row>
    <row r="4723">
      <c r="A4723" s="546" t="s">
        <v>823</v>
      </c>
      <c r="B4723" s="653" t="s">
        <v>449</v>
      </c>
      <c r="C4723" s="680">
        <v>46106.0</v>
      </c>
      <c r="D4723" s="681">
        <v>4.8809483203E10</v>
      </c>
      <c r="E4723" s="653" t="s">
        <v>6829</v>
      </c>
      <c r="F4723" s="656" t="s">
        <v>436</v>
      </c>
      <c r="G4723" s="681">
        <v>4264.0</v>
      </c>
      <c r="H4723" s="682" t="s">
        <v>4558</v>
      </c>
    </row>
    <row r="4724">
      <c r="A4724" s="546" t="s">
        <v>432</v>
      </c>
      <c r="B4724" s="653" t="s">
        <v>433</v>
      </c>
      <c r="C4724" s="680">
        <v>46106.0</v>
      </c>
      <c r="D4724" s="681">
        <v>4.8331869175E10</v>
      </c>
      <c r="E4724" s="653" t="s">
        <v>6830</v>
      </c>
      <c r="F4724" s="656" t="s">
        <v>436</v>
      </c>
      <c r="G4724" s="681" t="s">
        <v>6828</v>
      </c>
      <c r="H4724" s="682" t="s">
        <v>438</v>
      </c>
    </row>
    <row r="4725">
      <c r="A4725" s="546" t="s">
        <v>432</v>
      </c>
      <c r="B4725" s="653" t="s">
        <v>433</v>
      </c>
      <c r="C4725" s="680">
        <v>46106.0</v>
      </c>
      <c r="D4725" s="681">
        <v>4.0640463245E10</v>
      </c>
      <c r="E4725" s="653" t="s">
        <v>5895</v>
      </c>
      <c r="F4725" s="656" t="s">
        <v>436</v>
      </c>
      <c r="G4725" s="681" t="s">
        <v>6831</v>
      </c>
      <c r="H4725" s="682" t="s">
        <v>438</v>
      </c>
    </row>
    <row r="4726">
      <c r="A4726" s="546" t="s">
        <v>432</v>
      </c>
      <c r="B4726" s="653" t="s">
        <v>433</v>
      </c>
      <c r="C4726" s="680">
        <v>46106.0</v>
      </c>
      <c r="D4726" s="681">
        <v>4.0261709977E10</v>
      </c>
      <c r="E4726" s="653" t="s">
        <v>6783</v>
      </c>
      <c r="F4726" s="656" t="s">
        <v>436</v>
      </c>
      <c r="G4726" s="681" t="s">
        <v>6832</v>
      </c>
      <c r="H4726" s="682" t="s">
        <v>438</v>
      </c>
    </row>
    <row r="4727">
      <c r="A4727" s="546" t="s">
        <v>432</v>
      </c>
      <c r="B4727" s="653" t="s">
        <v>433</v>
      </c>
      <c r="C4727" s="680">
        <v>46106.0</v>
      </c>
      <c r="D4727" s="681">
        <v>4.9044365596E10</v>
      </c>
      <c r="E4727" s="653" t="s">
        <v>5895</v>
      </c>
      <c r="F4727" s="656" t="s">
        <v>436</v>
      </c>
      <c r="G4727" s="681" t="s">
        <v>6833</v>
      </c>
      <c r="H4727" s="682" t="s">
        <v>438</v>
      </c>
    </row>
    <row r="4728">
      <c r="A4728" s="546" t="s">
        <v>432</v>
      </c>
      <c r="B4728" s="653" t="s">
        <v>433</v>
      </c>
      <c r="C4728" s="680">
        <v>46106.0</v>
      </c>
      <c r="D4728" s="681">
        <v>3.925282277E10</v>
      </c>
      <c r="E4728" s="653" t="s">
        <v>4758</v>
      </c>
      <c r="F4728" s="656" t="s">
        <v>436</v>
      </c>
      <c r="G4728" s="681" t="s">
        <v>6834</v>
      </c>
      <c r="H4728" s="682" t="s">
        <v>438</v>
      </c>
    </row>
    <row r="4729">
      <c r="A4729" s="546" t="s">
        <v>432</v>
      </c>
      <c r="B4729" s="653" t="s">
        <v>433</v>
      </c>
      <c r="C4729" s="680">
        <v>46106.0</v>
      </c>
      <c r="D4729" s="681">
        <v>4.9242740155E10</v>
      </c>
      <c r="E4729" s="653" t="s">
        <v>4226</v>
      </c>
      <c r="F4729" s="656" t="s">
        <v>436</v>
      </c>
      <c r="G4729" s="681" t="s">
        <v>6835</v>
      </c>
      <c r="H4729" s="682" t="s">
        <v>438</v>
      </c>
    </row>
    <row r="4730">
      <c r="A4730" s="546" t="s">
        <v>432</v>
      </c>
      <c r="B4730" s="653" t="s">
        <v>433</v>
      </c>
      <c r="C4730" s="680">
        <v>46106.0</v>
      </c>
      <c r="D4730" s="681">
        <v>4.7251667668E10</v>
      </c>
      <c r="E4730" s="653" t="s">
        <v>6836</v>
      </c>
      <c r="F4730" s="656" t="s">
        <v>436</v>
      </c>
      <c r="G4730" s="681" t="s">
        <v>6837</v>
      </c>
      <c r="H4730" s="682" t="s">
        <v>438</v>
      </c>
    </row>
    <row r="4731">
      <c r="A4731" s="546" t="s">
        <v>439</v>
      </c>
      <c r="B4731" s="653" t="s">
        <v>449</v>
      </c>
      <c r="C4731" s="680">
        <v>46106.0</v>
      </c>
      <c r="D4731" s="681">
        <v>3.0757642137E10</v>
      </c>
      <c r="E4731" s="653" t="s">
        <v>6838</v>
      </c>
      <c r="F4731" s="656" t="s">
        <v>436</v>
      </c>
      <c r="G4731" s="681">
        <v>2503.0</v>
      </c>
      <c r="H4731" s="682" t="s">
        <v>6733</v>
      </c>
    </row>
    <row r="4732">
      <c r="A4732" s="546" t="s">
        <v>432</v>
      </c>
      <c r="B4732" s="653" t="s">
        <v>449</v>
      </c>
      <c r="C4732" s="680">
        <v>46106.0</v>
      </c>
      <c r="D4732" s="681">
        <v>4.9326486867E10</v>
      </c>
      <c r="E4732" s="653" t="s">
        <v>5895</v>
      </c>
      <c r="F4732" s="656" t="s">
        <v>436</v>
      </c>
      <c r="G4732" s="681" t="s">
        <v>6839</v>
      </c>
      <c r="H4732" s="682" t="s">
        <v>438</v>
      </c>
    </row>
    <row r="4733">
      <c r="A4733" s="546" t="s">
        <v>439</v>
      </c>
      <c r="B4733" s="653" t="s">
        <v>449</v>
      </c>
      <c r="C4733" s="680">
        <v>46106.0</v>
      </c>
      <c r="D4733" s="681">
        <v>4.8461678857E10</v>
      </c>
      <c r="E4733" s="653" t="s">
        <v>4165</v>
      </c>
      <c r="F4733" s="656" t="s">
        <v>436</v>
      </c>
      <c r="G4733" s="681">
        <v>509.0</v>
      </c>
      <c r="H4733" s="682" t="s">
        <v>6733</v>
      </c>
    </row>
    <row r="4734">
      <c r="A4734" s="546" t="s">
        <v>439</v>
      </c>
      <c r="B4734" s="653" t="s">
        <v>449</v>
      </c>
      <c r="C4734" s="680">
        <v>46106.0</v>
      </c>
      <c r="D4734" s="681">
        <v>3.5919849978E10</v>
      </c>
      <c r="E4734" s="653" t="s">
        <v>4165</v>
      </c>
      <c r="F4734" s="656" t="s">
        <v>436</v>
      </c>
      <c r="G4734" s="681">
        <v>646.0</v>
      </c>
      <c r="H4734" s="682" t="s">
        <v>6733</v>
      </c>
    </row>
    <row r="4735">
      <c r="A4735" s="546" t="s">
        <v>439</v>
      </c>
      <c r="B4735" s="653" t="s">
        <v>449</v>
      </c>
      <c r="C4735" s="680">
        <v>46106.0</v>
      </c>
      <c r="D4735" s="681">
        <v>4.8697236566E10</v>
      </c>
      <c r="E4735" s="653" t="s">
        <v>5336</v>
      </c>
      <c r="F4735" s="656" t="s">
        <v>436</v>
      </c>
      <c r="G4735" s="681">
        <v>573.0</v>
      </c>
      <c r="H4735" s="682" t="s">
        <v>6733</v>
      </c>
    </row>
    <row r="4736">
      <c r="A4736" s="546" t="s">
        <v>617</v>
      </c>
      <c r="B4736" s="653" t="s">
        <v>449</v>
      </c>
      <c r="C4736" s="680">
        <v>46106.0</v>
      </c>
      <c r="D4736" s="681">
        <v>5.0094471236E10</v>
      </c>
      <c r="E4736" s="653" t="s">
        <v>5759</v>
      </c>
      <c r="F4736" s="656" t="s">
        <v>436</v>
      </c>
      <c r="G4736" s="681">
        <v>1304.0</v>
      </c>
      <c r="H4736" s="682" t="s">
        <v>5817</v>
      </c>
    </row>
    <row r="4737">
      <c r="A4737" s="546" t="s">
        <v>617</v>
      </c>
      <c r="B4737" s="653" t="s">
        <v>449</v>
      </c>
      <c r="C4737" s="680">
        <v>46106.0</v>
      </c>
      <c r="D4737" s="681">
        <v>5.0522706262E10</v>
      </c>
      <c r="E4737" s="653" t="s">
        <v>5759</v>
      </c>
      <c r="F4737" s="656" t="s">
        <v>436</v>
      </c>
      <c r="G4737" s="681">
        <v>864.0</v>
      </c>
      <c r="H4737" s="682" t="s">
        <v>5817</v>
      </c>
    </row>
    <row r="4738">
      <c r="A4738" s="546" t="s">
        <v>617</v>
      </c>
      <c r="B4738" s="653" t="s">
        <v>449</v>
      </c>
      <c r="C4738" s="680">
        <v>46106.0</v>
      </c>
      <c r="D4738" s="681">
        <v>4.9223763885E10</v>
      </c>
      <c r="E4738" s="653" t="s">
        <v>6155</v>
      </c>
      <c r="F4738" s="656" t="s">
        <v>436</v>
      </c>
      <c r="G4738" s="681">
        <v>2644.0</v>
      </c>
      <c r="H4738" s="682" t="s">
        <v>5817</v>
      </c>
    </row>
    <row r="4739">
      <c r="A4739" s="546" t="s">
        <v>617</v>
      </c>
      <c r="B4739" s="653" t="s">
        <v>433</v>
      </c>
      <c r="C4739" s="680">
        <v>46106.0</v>
      </c>
      <c r="D4739" s="681">
        <v>4.7149054239E10</v>
      </c>
      <c r="E4739" s="653" t="s">
        <v>6840</v>
      </c>
      <c r="F4739" s="656" t="s">
        <v>436</v>
      </c>
      <c r="G4739" s="681">
        <v>2346.0</v>
      </c>
      <c r="H4739" s="682" t="s">
        <v>5817</v>
      </c>
    </row>
    <row r="4740">
      <c r="A4740" s="546" t="s">
        <v>617</v>
      </c>
      <c r="B4740" s="653" t="s">
        <v>433</v>
      </c>
      <c r="C4740" s="680">
        <v>46106.0</v>
      </c>
      <c r="D4740" s="681">
        <v>4.9219346295E10</v>
      </c>
      <c r="E4740" s="653" t="s">
        <v>6563</v>
      </c>
      <c r="F4740" s="656" t="s">
        <v>436</v>
      </c>
      <c r="G4740" s="681">
        <v>1406.0</v>
      </c>
      <c r="H4740" s="682" t="s">
        <v>5817</v>
      </c>
    </row>
    <row r="4741">
      <c r="A4741" s="546" t="s">
        <v>617</v>
      </c>
      <c r="B4741" s="653" t="s">
        <v>449</v>
      </c>
      <c r="C4741" s="680">
        <v>46106.0</v>
      </c>
      <c r="D4741" s="681">
        <v>5.1457745365E10</v>
      </c>
      <c r="E4741" s="653" t="s">
        <v>6840</v>
      </c>
      <c r="F4741" s="656" t="s">
        <v>436</v>
      </c>
      <c r="G4741" s="681">
        <v>1261.0</v>
      </c>
      <c r="H4741" s="682" t="s">
        <v>5817</v>
      </c>
    </row>
    <row r="4742">
      <c r="A4742" s="546" t="s">
        <v>617</v>
      </c>
      <c r="B4742" s="653" t="s">
        <v>433</v>
      </c>
      <c r="C4742" s="680">
        <v>46106.0</v>
      </c>
      <c r="D4742" s="681">
        <v>4.3267866893E10</v>
      </c>
      <c r="E4742" s="653" t="s">
        <v>5759</v>
      </c>
      <c r="F4742" s="656" t="s">
        <v>436</v>
      </c>
      <c r="G4742" s="681">
        <v>3178.0</v>
      </c>
      <c r="H4742" s="682" t="s">
        <v>5817</v>
      </c>
    </row>
    <row r="4743">
      <c r="A4743" s="546" t="s">
        <v>617</v>
      </c>
      <c r="B4743" s="653" t="s">
        <v>449</v>
      </c>
      <c r="C4743" s="680">
        <v>46106.0</v>
      </c>
      <c r="D4743" s="681">
        <v>5.0032604301E10</v>
      </c>
      <c r="E4743" s="653" t="s">
        <v>5630</v>
      </c>
      <c r="F4743" s="656" t="s">
        <v>436</v>
      </c>
      <c r="G4743" s="681">
        <v>4386.0</v>
      </c>
      <c r="H4743" s="682" t="s">
        <v>5817</v>
      </c>
    </row>
    <row r="4744">
      <c r="A4744" s="546" t="s">
        <v>617</v>
      </c>
      <c r="B4744" s="653" t="s">
        <v>433</v>
      </c>
      <c r="C4744" s="680">
        <v>46106.0</v>
      </c>
      <c r="D4744" s="681">
        <v>4.9205439546E10</v>
      </c>
      <c r="E4744" s="653" t="s">
        <v>6636</v>
      </c>
      <c r="F4744" s="656" t="s">
        <v>436</v>
      </c>
      <c r="G4744" s="681">
        <v>5120.0</v>
      </c>
      <c r="H4744" s="682" t="s">
        <v>5817</v>
      </c>
    </row>
    <row r="4745">
      <c r="A4745" s="546" t="s">
        <v>617</v>
      </c>
      <c r="B4745" s="653" t="s">
        <v>3583</v>
      </c>
      <c r="C4745" s="680">
        <v>46106.0</v>
      </c>
      <c r="D4745" s="681">
        <v>4.9943213723E10</v>
      </c>
      <c r="E4745" s="653" t="s">
        <v>5383</v>
      </c>
      <c r="F4745" s="656" t="s">
        <v>436</v>
      </c>
      <c r="G4745" s="681">
        <v>19448.0</v>
      </c>
      <c r="H4745" s="682" t="s">
        <v>5817</v>
      </c>
    </row>
    <row r="4746">
      <c r="A4746" s="546" t="s">
        <v>617</v>
      </c>
      <c r="B4746" s="653" t="s">
        <v>433</v>
      </c>
      <c r="C4746" s="680">
        <v>46106.0</v>
      </c>
      <c r="D4746" s="681">
        <v>4.9140761582E10</v>
      </c>
      <c r="E4746" s="653" t="s">
        <v>5759</v>
      </c>
      <c r="F4746" s="656" t="s">
        <v>436</v>
      </c>
      <c r="G4746" s="681">
        <v>1935.0</v>
      </c>
      <c r="H4746" s="682" t="s">
        <v>5817</v>
      </c>
    </row>
    <row r="4747">
      <c r="A4747" s="546" t="s">
        <v>617</v>
      </c>
      <c r="B4747" s="653" t="s">
        <v>449</v>
      </c>
      <c r="C4747" s="680">
        <v>46107.0</v>
      </c>
      <c r="D4747" s="681">
        <v>4.9676096506E10</v>
      </c>
      <c r="E4747" s="653" t="s">
        <v>4165</v>
      </c>
      <c r="F4747" s="656" t="s">
        <v>436</v>
      </c>
      <c r="G4747" s="681" t="s">
        <v>1478</v>
      </c>
      <c r="H4747" s="682" t="s">
        <v>696</v>
      </c>
    </row>
    <row r="4748">
      <c r="A4748" s="546" t="s">
        <v>823</v>
      </c>
      <c r="B4748" s="653" t="s">
        <v>433</v>
      </c>
      <c r="C4748" s="680">
        <v>46107.0</v>
      </c>
      <c r="D4748" s="681">
        <v>4.8024975213E10</v>
      </c>
      <c r="E4748" s="653" t="s">
        <v>4857</v>
      </c>
      <c r="F4748" s="656" t="s">
        <v>436</v>
      </c>
      <c r="G4748" s="699"/>
      <c r="H4748" s="682" t="s">
        <v>4558</v>
      </c>
    </row>
    <row r="4749">
      <c r="A4749" s="546" t="s">
        <v>439</v>
      </c>
      <c r="B4749" s="653" t="s">
        <v>433</v>
      </c>
      <c r="C4749" s="680">
        <v>46107.0</v>
      </c>
      <c r="D4749" s="681">
        <v>4.8407539028E10</v>
      </c>
      <c r="E4749" s="653" t="s">
        <v>6277</v>
      </c>
      <c r="F4749" s="656" t="s">
        <v>436</v>
      </c>
      <c r="G4749" s="681" t="s">
        <v>6841</v>
      </c>
      <c r="H4749" s="682" t="s">
        <v>6593</v>
      </c>
    </row>
    <row r="4750">
      <c r="A4750" s="546" t="s">
        <v>439</v>
      </c>
      <c r="B4750" s="653" t="s">
        <v>449</v>
      </c>
      <c r="C4750" s="680">
        <v>46107.0</v>
      </c>
      <c r="D4750" s="681">
        <v>5.0082824256E10</v>
      </c>
      <c r="E4750" s="653" t="s">
        <v>4165</v>
      </c>
      <c r="F4750" s="656" t="s">
        <v>436</v>
      </c>
      <c r="G4750" s="681" t="s">
        <v>6842</v>
      </c>
      <c r="H4750" s="682" t="s">
        <v>6593</v>
      </c>
    </row>
    <row r="4751">
      <c r="A4751" s="546" t="s">
        <v>439</v>
      </c>
      <c r="B4751" s="653" t="s">
        <v>433</v>
      </c>
      <c r="C4751" s="680">
        <v>46107.0</v>
      </c>
      <c r="D4751" s="681">
        <v>4.9497573439E10</v>
      </c>
      <c r="E4751" s="653" t="s">
        <v>6843</v>
      </c>
      <c r="F4751" s="656" t="s">
        <v>436</v>
      </c>
      <c r="G4751" s="681" t="s">
        <v>6844</v>
      </c>
      <c r="H4751" s="682" t="s">
        <v>6593</v>
      </c>
    </row>
    <row r="4752">
      <c r="A4752" s="546" t="s">
        <v>439</v>
      </c>
      <c r="B4752" s="653" t="s">
        <v>449</v>
      </c>
      <c r="C4752" s="680">
        <v>46107.0</v>
      </c>
      <c r="D4752" s="681">
        <v>3.5932971202E10</v>
      </c>
      <c r="E4752" s="653" t="s">
        <v>6845</v>
      </c>
      <c r="F4752" s="656" t="s">
        <v>436</v>
      </c>
      <c r="G4752" s="681" t="s">
        <v>6846</v>
      </c>
      <c r="H4752" s="682" t="s">
        <v>6593</v>
      </c>
    </row>
    <row r="4753">
      <c r="A4753" s="546" t="s">
        <v>439</v>
      </c>
      <c r="B4753" s="653" t="s">
        <v>449</v>
      </c>
      <c r="C4753" s="680">
        <v>46107.0</v>
      </c>
      <c r="D4753" s="681">
        <v>4.5830208575E10</v>
      </c>
      <c r="E4753" s="653" t="s">
        <v>5315</v>
      </c>
      <c r="F4753" s="656" t="s">
        <v>436</v>
      </c>
      <c r="G4753" s="681" t="s">
        <v>6847</v>
      </c>
      <c r="H4753" s="682" t="s">
        <v>6593</v>
      </c>
    </row>
    <row r="4754">
      <c r="A4754" s="546" t="s">
        <v>617</v>
      </c>
      <c r="B4754" s="653" t="s">
        <v>449</v>
      </c>
      <c r="C4754" s="680">
        <v>46107.0</v>
      </c>
      <c r="D4754" s="681">
        <v>4.5854274539E10</v>
      </c>
      <c r="E4754" s="653" t="s">
        <v>6848</v>
      </c>
      <c r="F4754" s="656" t="s">
        <v>436</v>
      </c>
      <c r="G4754" s="681" t="s">
        <v>6849</v>
      </c>
      <c r="H4754" s="682" t="s">
        <v>696</v>
      </c>
    </row>
    <row r="4755">
      <c r="A4755" s="546" t="s">
        <v>617</v>
      </c>
      <c r="B4755" s="653" t="s">
        <v>449</v>
      </c>
      <c r="C4755" s="680">
        <v>46107.0</v>
      </c>
      <c r="D4755" s="681">
        <v>4.7054618317E10</v>
      </c>
      <c r="E4755" s="653" t="s">
        <v>5253</v>
      </c>
      <c r="F4755" s="656" t="s">
        <v>436</v>
      </c>
      <c r="G4755" s="681" t="s">
        <v>6850</v>
      </c>
      <c r="H4755" s="682" t="s">
        <v>696</v>
      </c>
    </row>
    <row r="4756">
      <c r="A4756" s="546" t="s">
        <v>823</v>
      </c>
      <c r="B4756" s="653" t="s">
        <v>449</v>
      </c>
      <c r="C4756" s="680">
        <v>46107.0</v>
      </c>
      <c r="D4756" s="681">
        <v>4.9358978461E10</v>
      </c>
      <c r="E4756" s="653" t="s">
        <v>6851</v>
      </c>
      <c r="F4756" s="656" t="s">
        <v>436</v>
      </c>
      <c r="G4756" s="681">
        <v>2077.0</v>
      </c>
      <c r="H4756" s="682" t="s">
        <v>4558</v>
      </c>
    </row>
    <row r="4757">
      <c r="A4757" s="546" t="s">
        <v>823</v>
      </c>
      <c r="B4757" s="653" t="s">
        <v>433</v>
      </c>
      <c r="C4757" s="680">
        <v>46107.0</v>
      </c>
      <c r="D4757" s="681">
        <v>3.6048280068E10</v>
      </c>
      <c r="E4757" s="653" t="s">
        <v>6762</v>
      </c>
      <c r="F4757" s="656" t="s">
        <v>436</v>
      </c>
      <c r="G4757" s="681">
        <v>289.0</v>
      </c>
      <c r="H4757" s="682" t="s">
        <v>4558</v>
      </c>
    </row>
    <row r="4758">
      <c r="A4758" s="546" t="s">
        <v>823</v>
      </c>
      <c r="B4758" s="653" t="s">
        <v>433</v>
      </c>
      <c r="C4758" s="680">
        <v>46107.0</v>
      </c>
      <c r="D4758" s="681">
        <v>3.4343479281E10</v>
      </c>
      <c r="E4758" s="653" t="s">
        <v>6852</v>
      </c>
      <c r="F4758" s="656" t="s">
        <v>436</v>
      </c>
      <c r="G4758" s="681">
        <v>255.0</v>
      </c>
      <c r="H4758" s="682" t="s">
        <v>4558</v>
      </c>
    </row>
    <row r="4759">
      <c r="A4759" s="546" t="s">
        <v>439</v>
      </c>
      <c r="B4759" s="653" t="s">
        <v>433</v>
      </c>
      <c r="C4759" s="680">
        <v>46107.0</v>
      </c>
      <c r="D4759" s="681">
        <v>4.7051048421E10</v>
      </c>
      <c r="E4759" s="653" t="s">
        <v>5952</v>
      </c>
      <c r="F4759" s="656" t="s">
        <v>436</v>
      </c>
      <c r="G4759" s="681" t="s">
        <v>2954</v>
      </c>
      <c r="H4759" s="682" t="s">
        <v>6593</v>
      </c>
    </row>
    <row r="4760">
      <c r="A4760" s="546" t="s">
        <v>823</v>
      </c>
      <c r="B4760" s="653" t="s">
        <v>449</v>
      </c>
      <c r="C4760" s="680">
        <v>46107.0</v>
      </c>
      <c r="D4760" s="681">
        <v>4.9395852516E10</v>
      </c>
      <c r="E4760" s="653" t="s">
        <v>6853</v>
      </c>
      <c r="F4760" s="656" t="s">
        <v>436</v>
      </c>
      <c r="G4760" s="681">
        <v>275.0</v>
      </c>
      <c r="H4760" s="682" t="s">
        <v>4558</v>
      </c>
    </row>
    <row r="4761">
      <c r="A4761" s="546" t="s">
        <v>823</v>
      </c>
      <c r="B4761" s="653" t="s">
        <v>449</v>
      </c>
      <c r="C4761" s="680">
        <v>46107.0</v>
      </c>
      <c r="D4761" s="681">
        <v>5.15552328E10</v>
      </c>
      <c r="E4761" s="653" t="s">
        <v>6854</v>
      </c>
      <c r="F4761" s="656" t="s">
        <v>436</v>
      </c>
      <c r="G4761" s="681">
        <v>1425.0</v>
      </c>
      <c r="H4761" s="682" t="s">
        <v>4558</v>
      </c>
    </row>
    <row r="4762">
      <c r="A4762" s="546" t="s">
        <v>617</v>
      </c>
      <c r="B4762" s="653" t="s">
        <v>449</v>
      </c>
      <c r="C4762" s="680">
        <v>46108.0</v>
      </c>
      <c r="D4762" s="681">
        <v>5.1696196476E10</v>
      </c>
      <c r="E4762" s="653" t="s">
        <v>6855</v>
      </c>
      <c r="F4762" s="656" t="s">
        <v>436</v>
      </c>
      <c r="G4762" s="681">
        <v>2896.0</v>
      </c>
      <c r="H4762" s="682" t="s">
        <v>6733</v>
      </c>
    </row>
    <row r="4763">
      <c r="A4763" s="546" t="s">
        <v>617</v>
      </c>
      <c r="B4763" s="653" t="s">
        <v>449</v>
      </c>
      <c r="C4763" s="680">
        <v>46108.0</v>
      </c>
      <c r="D4763" s="681">
        <v>4.0869409806E10</v>
      </c>
      <c r="E4763" s="653" t="s">
        <v>6856</v>
      </c>
      <c r="F4763" s="656" t="s">
        <v>436</v>
      </c>
      <c r="G4763" s="681">
        <v>426.0</v>
      </c>
      <c r="H4763" s="682" t="s">
        <v>6733</v>
      </c>
    </row>
    <row r="4764">
      <c r="A4764" s="546" t="s">
        <v>617</v>
      </c>
      <c r="B4764" s="653" t="s">
        <v>449</v>
      </c>
      <c r="C4764" s="680">
        <v>46108.0</v>
      </c>
      <c r="D4764" s="681">
        <v>5.1570043075E10</v>
      </c>
      <c r="E4764" s="653" t="s">
        <v>4165</v>
      </c>
      <c r="F4764" s="656" t="s">
        <v>436</v>
      </c>
      <c r="G4764" s="681">
        <v>413.0</v>
      </c>
      <c r="H4764" s="682" t="s">
        <v>6733</v>
      </c>
    </row>
    <row r="4765">
      <c r="A4765" s="546" t="s">
        <v>439</v>
      </c>
      <c r="B4765" s="653" t="s">
        <v>449</v>
      </c>
      <c r="C4765" s="680">
        <v>46108.0</v>
      </c>
      <c r="D4765" s="681">
        <v>3.0573164875E10</v>
      </c>
      <c r="E4765" s="653" t="s">
        <v>4165</v>
      </c>
      <c r="F4765" s="656" t="s">
        <v>436</v>
      </c>
      <c r="G4765" s="681" t="s">
        <v>6444</v>
      </c>
      <c r="H4765" s="682" t="s">
        <v>6593</v>
      </c>
    </row>
    <row r="4766">
      <c r="A4766" s="546" t="s">
        <v>617</v>
      </c>
      <c r="B4766" s="653" t="s">
        <v>449</v>
      </c>
      <c r="C4766" s="680">
        <v>46108.0</v>
      </c>
      <c r="D4766" s="681">
        <v>4.8961656193E10</v>
      </c>
      <c r="E4766" s="653" t="s">
        <v>6857</v>
      </c>
      <c r="F4766" s="656" t="s">
        <v>436</v>
      </c>
      <c r="G4766" s="681">
        <v>2792.0</v>
      </c>
      <c r="H4766" s="682" t="s">
        <v>6733</v>
      </c>
    </row>
    <row r="4767">
      <c r="A4767" s="546" t="s">
        <v>617</v>
      </c>
      <c r="B4767" s="653" t="s">
        <v>449</v>
      </c>
      <c r="C4767" s="680">
        <v>46108.0</v>
      </c>
      <c r="D4767" s="681">
        <v>4.8961391882E10</v>
      </c>
      <c r="E4767" s="653" t="s">
        <v>85</v>
      </c>
      <c r="F4767" s="656" t="s">
        <v>436</v>
      </c>
      <c r="G4767" s="681">
        <v>3492.0</v>
      </c>
      <c r="H4767" s="682" t="s">
        <v>6733</v>
      </c>
    </row>
    <row r="4768">
      <c r="A4768" s="546" t="s">
        <v>617</v>
      </c>
      <c r="B4768" s="653" t="s">
        <v>449</v>
      </c>
      <c r="C4768" s="680">
        <v>46108.0</v>
      </c>
      <c r="D4768" s="681">
        <v>4.879468914E10</v>
      </c>
      <c r="E4768" s="653" t="s">
        <v>4854</v>
      </c>
      <c r="F4768" s="656" t="s">
        <v>436</v>
      </c>
      <c r="G4768" s="681">
        <v>6530.0</v>
      </c>
      <c r="H4768" s="682" t="s">
        <v>6733</v>
      </c>
    </row>
    <row r="4769">
      <c r="A4769" s="546" t="s">
        <v>617</v>
      </c>
      <c r="B4769" s="653" t="s">
        <v>449</v>
      </c>
      <c r="C4769" s="680">
        <v>46108.0</v>
      </c>
      <c r="D4769" s="681">
        <v>3.3891155793E10</v>
      </c>
      <c r="E4769" s="653" t="s">
        <v>6858</v>
      </c>
      <c r="F4769" s="656" t="s">
        <v>436</v>
      </c>
      <c r="G4769" s="681">
        <v>6530.0</v>
      </c>
      <c r="H4769" s="682" t="s">
        <v>6733</v>
      </c>
    </row>
    <row r="4770">
      <c r="A4770" s="546" t="s">
        <v>617</v>
      </c>
      <c r="B4770" s="653" t="s">
        <v>433</v>
      </c>
      <c r="C4770" s="680">
        <v>46109.0</v>
      </c>
      <c r="D4770" s="681">
        <v>4.8824731839E10</v>
      </c>
      <c r="E4770" s="653" t="s">
        <v>5759</v>
      </c>
      <c r="F4770" s="656" t="s">
        <v>436</v>
      </c>
      <c r="G4770" s="681">
        <v>6697.0</v>
      </c>
      <c r="H4770" s="682" t="s">
        <v>5817</v>
      </c>
    </row>
    <row r="4771">
      <c r="A4771" s="546" t="s">
        <v>617</v>
      </c>
      <c r="B4771" s="653" t="s">
        <v>433</v>
      </c>
      <c r="C4771" s="680">
        <v>46109.0</v>
      </c>
      <c r="D4771" s="681">
        <v>4.9481219526E10</v>
      </c>
      <c r="E4771" s="653" t="s">
        <v>5383</v>
      </c>
      <c r="F4771" s="656" t="s">
        <v>436</v>
      </c>
      <c r="G4771" s="681">
        <v>5259.0</v>
      </c>
      <c r="H4771" s="682" t="s">
        <v>5817</v>
      </c>
    </row>
    <row r="4772">
      <c r="A4772" s="546" t="s">
        <v>617</v>
      </c>
      <c r="B4772" s="653" t="s">
        <v>433</v>
      </c>
      <c r="C4772" s="680">
        <v>46109.0</v>
      </c>
      <c r="D4772" s="681">
        <v>5.0411613559E10</v>
      </c>
      <c r="E4772" s="653" t="s">
        <v>5759</v>
      </c>
      <c r="F4772" s="656" t="s">
        <v>436</v>
      </c>
      <c r="G4772" s="681">
        <v>2689.0</v>
      </c>
      <c r="H4772" s="682" t="s">
        <v>5817</v>
      </c>
    </row>
    <row r="4773">
      <c r="A4773" s="546" t="s">
        <v>617</v>
      </c>
      <c r="B4773" s="653" t="s">
        <v>433</v>
      </c>
      <c r="C4773" s="680">
        <v>46109.0</v>
      </c>
      <c r="D4773" s="681">
        <v>4.8185873035E10</v>
      </c>
      <c r="E4773" s="653" t="s">
        <v>6549</v>
      </c>
      <c r="F4773" s="656" t="s">
        <v>436</v>
      </c>
      <c r="G4773" s="681">
        <v>3097.0</v>
      </c>
      <c r="H4773" s="682" t="s">
        <v>5817</v>
      </c>
    </row>
    <row r="4774">
      <c r="A4774" s="546" t="s">
        <v>617</v>
      </c>
      <c r="B4774" s="653" t="s">
        <v>433</v>
      </c>
      <c r="C4774" s="680">
        <v>46109.0</v>
      </c>
      <c r="D4774" s="681">
        <v>3.9250514623E10</v>
      </c>
      <c r="E4774" s="653" t="s">
        <v>6701</v>
      </c>
      <c r="F4774" s="656" t="s">
        <v>436</v>
      </c>
      <c r="G4774" s="681">
        <v>5259.0</v>
      </c>
      <c r="H4774" s="682" t="s">
        <v>5817</v>
      </c>
    </row>
    <row r="4775">
      <c r="A4775" s="546" t="s">
        <v>617</v>
      </c>
      <c r="B4775" s="653" t="s">
        <v>433</v>
      </c>
      <c r="C4775" s="680">
        <v>46109.0</v>
      </c>
      <c r="D4775" s="681">
        <v>4.8685272448E10</v>
      </c>
      <c r="E4775" s="653" t="s">
        <v>5656</v>
      </c>
      <c r="F4775" s="656" t="s">
        <v>436</v>
      </c>
      <c r="G4775" s="681">
        <v>5259.0</v>
      </c>
      <c r="H4775" s="682" t="s">
        <v>5817</v>
      </c>
    </row>
    <row r="4776">
      <c r="A4776" s="546" t="s">
        <v>617</v>
      </c>
      <c r="B4776" s="653" t="s">
        <v>433</v>
      </c>
      <c r="C4776" s="680">
        <v>46109.0</v>
      </c>
      <c r="D4776" s="681">
        <v>4.9415108728E10</v>
      </c>
      <c r="E4776" s="653" t="s">
        <v>5630</v>
      </c>
      <c r="F4776" s="656" t="s">
        <v>436</v>
      </c>
      <c r="G4776" s="681">
        <v>2395.0</v>
      </c>
      <c r="H4776" s="682" t="s">
        <v>5817</v>
      </c>
    </row>
    <row r="4777">
      <c r="A4777" s="546" t="s">
        <v>617</v>
      </c>
      <c r="B4777" s="653" t="s">
        <v>433</v>
      </c>
      <c r="C4777" s="680">
        <v>46109.0</v>
      </c>
      <c r="D4777" s="681">
        <v>4.9341346004E10</v>
      </c>
      <c r="E4777" s="653" t="s">
        <v>6100</v>
      </c>
      <c r="F4777" s="656" t="s">
        <v>436</v>
      </c>
      <c r="G4777" s="681">
        <v>2473.0</v>
      </c>
      <c r="H4777" s="682" t="s">
        <v>5817</v>
      </c>
    </row>
    <row r="4778">
      <c r="A4778" s="546" t="s">
        <v>617</v>
      </c>
      <c r="B4778" s="653" t="s">
        <v>433</v>
      </c>
      <c r="C4778" s="680">
        <v>46109.0</v>
      </c>
      <c r="D4778" s="681">
        <v>4.9223751097E10</v>
      </c>
      <c r="E4778" s="653" t="s">
        <v>5656</v>
      </c>
      <c r="F4778" s="656" t="s">
        <v>436</v>
      </c>
      <c r="G4778" s="681">
        <v>3554.0</v>
      </c>
      <c r="H4778" s="682" t="s">
        <v>5817</v>
      </c>
    </row>
    <row r="4779">
      <c r="A4779" s="546" t="s">
        <v>439</v>
      </c>
      <c r="B4779" s="653" t="s">
        <v>433</v>
      </c>
      <c r="C4779" s="680">
        <v>46109.0</v>
      </c>
      <c r="D4779" s="681">
        <v>4.6783689586E10</v>
      </c>
      <c r="E4779" s="653" t="s">
        <v>5055</v>
      </c>
      <c r="F4779" s="656" t="s">
        <v>436</v>
      </c>
      <c r="G4779" s="681">
        <v>509.0</v>
      </c>
      <c r="H4779" s="682" t="s">
        <v>6733</v>
      </c>
    </row>
    <row r="4780">
      <c r="A4780" s="546" t="s">
        <v>617</v>
      </c>
      <c r="B4780" s="653" t="s">
        <v>3583</v>
      </c>
      <c r="C4780" s="680">
        <v>46109.0</v>
      </c>
      <c r="D4780" s="681">
        <v>4.2915735003E10</v>
      </c>
      <c r="E4780" s="653" t="s">
        <v>4165</v>
      </c>
      <c r="F4780" s="656" t="s">
        <v>436</v>
      </c>
      <c r="G4780" s="681">
        <v>7568.0</v>
      </c>
      <c r="H4780" s="682" t="s">
        <v>5817</v>
      </c>
    </row>
    <row r="4781">
      <c r="A4781" s="546" t="s">
        <v>617</v>
      </c>
      <c r="B4781" s="653" t="s">
        <v>433</v>
      </c>
      <c r="C4781" s="680">
        <v>46109.0</v>
      </c>
      <c r="D4781" s="681">
        <v>2.5991876373E10</v>
      </c>
      <c r="E4781" s="653" t="s">
        <v>6859</v>
      </c>
      <c r="F4781" s="656" t="s">
        <v>436</v>
      </c>
      <c r="G4781" s="681">
        <v>1071.0</v>
      </c>
      <c r="H4781" s="682" t="s">
        <v>5817</v>
      </c>
    </row>
    <row r="4782">
      <c r="A4782" s="546" t="s">
        <v>617</v>
      </c>
      <c r="B4782" s="653" t="s">
        <v>433</v>
      </c>
      <c r="C4782" s="680">
        <v>46109.0</v>
      </c>
      <c r="D4782" s="681">
        <v>5.163492818E10</v>
      </c>
      <c r="E4782" s="653" t="s">
        <v>6348</v>
      </c>
      <c r="F4782" s="656" t="s">
        <v>436</v>
      </c>
      <c r="G4782" s="681">
        <v>2076.0</v>
      </c>
      <c r="H4782" s="682" t="s">
        <v>5817</v>
      </c>
    </row>
    <row r="4783">
      <c r="A4783" s="546" t="s">
        <v>617</v>
      </c>
      <c r="B4783" s="653" t="s">
        <v>433</v>
      </c>
      <c r="C4783" s="680">
        <v>46109.0</v>
      </c>
      <c r="D4783" s="681">
        <v>4.8955753811E10</v>
      </c>
      <c r="E4783" s="653" t="s">
        <v>6260</v>
      </c>
      <c r="F4783" s="656" t="s">
        <v>436</v>
      </c>
      <c r="G4783" s="681">
        <v>3937.0</v>
      </c>
      <c r="H4783" s="682" t="s">
        <v>5817</v>
      </c>
    </row>
    <row r="4784">
      <c r="A4784" s="546" t="s">
        <v>617</v>
      </c>
      <c r="B4784" s="653" t="s">
        <v>449</v>
      </c>
      <c r="C4784" s="680">
        <v>46109.0</v>
      </c>
      <c r="D4784" s="681">
        <v>4.8793220909E10</v>
      </c>
      <c r="E4784" s="653" t="s">
        <v>5759</v>
      </c>
      <c r="F4784" s="656" t="s">
        <v>436</v>
      </c>
      <c r="G4784" s="681">
        <v>2056.0</v>
      </c>
      <c r="H4784" s="682" t="s">
        <v>5817</v>
      </c>
    </row>
    <row r="4785">
      <c r="A4785" s="546" t="s">
        <v>439</v>
      </c>
      <c r="B4785" s="653" t="s">
        <v>449</v>
      </c>
      <c r="C4785" s="680">
        <v>46109.0</v>
      </c>
      <c r="D4785" s="681">
        <v>4.8331434866E10</v>
      </c>
      <c r="E4785" s="653" t="s">
        <v>5336</v>
      </c>
      <c r="F4785" s="656" t="s">
        <v>436</v>
      </c>
      <c r="G4785" s="681">
        <v>2654.0</v>
      </c>
      <c r="H4785" s="682" t="s">
        <v>6733</v>
      </c>
    </row>
    <row r="4786">
      <c r="A4786" s="546" t="s">
        <v>617</v>
      </c>
      <c r="B4786" s="653" t="s">
        <v>688</v>
      </c>
      <c r="C4786" s="680">
        <v>46109.0</v>
      </c>
      <c r="D4786" s="681">
        <v>4.8622449673E10</v>
      </c>
      <c r="E4786" s="653" t="s">
        <v>5630</v>
      </c>
      <c r="F4786" s="656" t="s">
        <v>436</v>
      </c>
      <c r="G4786" s="681">
        <v>1414.0</v>
      </c>
      <c r="H4786" s="682" t="s">
        <v>5817</v>
      </c>
    </row>
    <row r="4787">
      <c r="A4787" s="546" t="s">
        <v>439</v>
      </c>
      <c r="B4787" s="653" t="s">
        <v>449</v>
      </c>
      <c r="C4787" s="680">
        <v>46109.0</v>
      </c>
      <c r="D4787" s="681">
        <v>3.4611018969E10</v>
      </c>
      <c r="E4787" s="653" t="s">
        <v>5336</v>
      </c>
      <c r="F4787" s="656" t="s">
        <v>436</v>
      </c>
      <c r="G4787" s="681">
        <v>1241.0</v>
      </c>
      <c r="H4787" s="682" t="s">
        <v>6733</v>
      </c>
    </row>
    <row r="4788">
      <c r="A4788" s="546" t="s">
        <v>439</v>
      </c>
      <c r="B4788" s="653" t="s">
        <v>449</v>
      </c>
      <c r="C4788" s="680">
        <v>46109.0</v>
      </c>
      <c r="D4788" s="681">
        <v>5.163927465E10</v>
      </c>
      <c r="E4788" s="653" t="s">
        <v>6529</v>
      </c>
      <c r="F4788" s="656" t="s">
        <v>436</v>
      </c>
      <c r="G4788" s="681">
        <v>235.0</v>
      </c>
      <c r="H4788" s="682" t="s">
        <v>6733</v>
      </c>
    </row>
    <row r="4789">
      <c r="A4789" s="546" t="s">
        <v>617</v>
      </c>
      <c r="B4789" s="653" t="s">
        <v>433</v>
      </c>
      <c r="C4789" s="680">
        <v>46109.0</v>
      </c>
      <c r="D4789" s="681">
        <v>3.513076332E10</v>
      </c>
      <c r="E4789" s="653" t="s">
        <v>6100</v>
      </c>
      <c r="F4789" s="656" t="s">
        <v>436</v>
      </c>
      <c r="G4789" s="681">
        <v>2179.0</v>
      </c>
      <c r="H4789" s="682" t="s">
        <v>5817</v>
      </c>
    </row>
    <row r="4790">
      <c r="A4790" s="546" t="s">
        <v>617</v>
      </c>
      <c r="B4790" s="653" t="s">
        <v>688</v>
      </c>
      <c r="C4790" s="680">
        <v>46109.0</v>
      </c>
      <c r="D4790" s="681">
        <v>5.1634457805E10</v>
      </c>
      <c r="E4790" s="653" t="s">
        <v>6496</v>
      </c>
      <c r="F4790" s="656" t="s">
        <v>436</v>
      </c>
      <c r="G4790" s="681">
        <v>8085.0</v>
      </c>
      <c r="H4790" s="682" t="s">
        <v>5817</v>
      </c>
    </row>
    <row r="4791">
      <c r="A4791" s="546" t="s">
        <v>617</v>
      </c>
      <c r="B4791" s="653" t="s">
        <v>433</v>
      </c>
      <c r="C4791" s="680">
        <v>46109.0</v>
      </c>
      <c r="D4791" s="681">
        <v>5.0033528812E10</v>
      </c>
      <c r="E4791" s="653" t="s">
        <v>5630</v>
      </c>
      <c r="F4791" s="656" t="s">
        <v>436</v>
      </c>
      <c r="G4791" s="681">
        <v>2913.0</v>
      </c>
      <c r="H4791" s="682" t="s">
        <v>5817</v>
      </c>
    </row>
    <row r="4792">
      <c r="A4792" s="546" t="s">
        <v>617</v>
      </c>
      <c r="B4792" s="653" t="s">
        <v>688</v>
      </c>
      <c r="C4792" s="680">
        <v>46109.0</v>
      </c>
      <c r="D4792" s="681">
        <v>4.8707596197E10</v>
      </c>
      <c r="E4792" s="653" t="s">
        <v>6105</v>
      </c>
      <c r="F4792" s="656" t="s">
        <v>436</v>
      </c>
      <c r="G4792" s="681">
        <v>780.0</v>
      </c>
      <c r="H4792" s="682" t="s">
        <v>5817</v>
      </c>
    </row>
    <row r="4793">
      <c r="A4793" s="546" t="s">
        <v>432</v>
      </c>
      <c r="B4793" s="653" t="s">
        <v>449</v>
      </c>
      <c r="C4793" s="680">
        <v>46109.0</v>
      </c>
      <c r="D4793" s="681">
        <v>4.950009213E10</v>
      </c>
      <c r="E4793" s="653" t="s">
        <v>6860</v>
      </c>
      <c r="F4793" s="656" t="s">
        <v>436</v>
      </c>
      <c r="G4793" s="681" t="s">
        <v>5968</v>
      </c>
      <c r="H4793" s="682" t="s">
        <v>438</v>
      </c>
    </row>
    <row r="4794">
      <c r="A4794" s="546" t="s">
        <v>439</v>
      </c>
      <c r="B4794" s="653" t="s">
        <v>449</v>
      </c>
      <c r="C4794" s="680">
        <v>46109.0</v>
      </c>
      <c r="D4794" s="681">
        <v>3.3542449448E10</v>
      </c>
      <c r="E4794" s="653" t="s">
        <v>5315</v>
      </c>
      <c r="F4794" s="656" t="s">
        <v>436</v>
      </c>
      <c r="G4794" s="681">
        <v>2895.0</v>
      </c>
      <c r="H4794" s="682" t="s">
        <v>6733</v>
      </c>
    </row>
    <row r="4795">
      <c r="A4795" s="546" t="s">
        <v>439</v>
      </c>
      <c r="B4795" s="653" t="s">
        <v>449</v>
      </c>
      <c r="C4795" s="680">
        <v>46109.0</v>
      </c>
      <c r="D4795" s="681">
        <v>4.9031866904E10</v>
      </c>
      <c r="E4795" s="653" t="s">
        <v>5315</v>
      </c>
      <c r="F4795" s="656" t="s">
        <v>436</v>
      </c>
      <c r="G4795" s="681">
        <v>1197.0</v>
      </c>
      <c r="H4795" s="682" t="s">
        <v>6733</v>
      </c>
    </row>
    <row r="4796">
      <c r="A4796" s="546" t="s">
        <v>617</v>
      </c>
      <c r="B4796" s="653" t="s">
        <v>433</v>
      </c>
      <c r="C4796" s="680">
        <v>46109.0</v>
      </c>
      <c r="D4796" s="681">
        <v>4.857417533E10</v>
      </c>
      <c r="E4796" s="653" t="s">
        <v>6277</v>
      </c>
      <c r="F4796" s="656" t="s">
        <v>436</v>
      </c>
      <c r="G4796" s="681">
        <v>2275.0</v>
      </c>
      <c r="H4796" s="682" t="s">
        <v>5817</v>
      </c>
    </row>
    <row r="4797">
      <c r="A4797" s="546" t="s">
        <v>617</v>
      </c>
      <c r="B4797" s="653" t="s">
        <v>449</v>
      </c>
      <c r="C4797" s="680">
        <v>46109.0</v>
      </c>
      <c r="D4797" s="681">
        <v>5.1635327025E10</v>
      </c>
      <c r="E4797" s="653" t="s">
        <v>4165</v>
      </c>
      <c r="F4797" s="656" t="s">
        <v>436</v>
      </c>
      <c r="G4797" s="681">
        <v>572.0</v>
      </c>
      <c r="H4797" s="682" t="s">
        <v>5817</v>
      </c>
    </row>
    <row r="4798">
      <c r="A4798" s="546" t="s">
        <v>432</v>
      </c>
      <c r="B4798" s="653" t="s">
        <v>6861</v>
      </c>
      <c r="C4798" s="680">
        <v>46110.0</v>
      </c>
      <c r="D4798" s="681">
        <v>5.0420761547E10</v>
      </c>
      <c r="E4798" s="653" t="s">
        <v>5253</v>
      </c>
      <c r="F4798" s="656" t="s">
        <v>436</v>
      </c>
      <c r="G4798" s="681">
        <v>907.0</v>
      </c>
      <c r="H4798" s="682" t="s">
        <v>438</v>
      </c>
    </row>
    <row r="4799">
      <c r="A4799" s="546" t="s">
        <v>432</v>
      </c>
      <c r="B4799" s="653" t="s">
        <v>433</v>
      </c>
      <c r="C4799" s="680">
        <v>46110.0</v>
      </c>
      <c r="D4799" s="681">
        <v>4.8827947632E10</v>
      </c>
      <c r="E4799" s="653" t="s">
        <v>4165</v>
      </c>
      <c r="F4799" s="656" t="s">
        <v>436</v>
      </c>
      <c r="G4799" s="681">
        <v>1032.0</v>
      </c>
      <c r="H4799" s="682" t="s">
        <v>438</v>
      </c>
    </row>
    <row r="4800">
      <c r="A4800" s="546" t="s">
        <v>823</v>
      </c>
      <c r="B4800" s="653" t="s">
        <v>449</v>
      </c>
      <c r="C4800" s="680">
        <v>46110.0</v>
      </c>
      <c r="D4800" s="681">
        <v>4.563826489E10</v>
      </c>
      <c r="E4800" s="653" t="s">
        <v>6862</v>
      </c>
      <c r="F4800" s="656" t="s">
        <v>436</v>
      </c>
      <c r="G4800" s="681">
        <v>267.0</v>
      </c>
      <c r="H4800" s="682" t="s">
        <v>4558</v>
      </c>
    </row>
    <row r="4801">
      <c r="A4801" s="546" t="s">
        <v>823</v>
      </c>
      <c r="B4801" s="653" t="s">
        <v>433</v>
      </c>
      <c r="C4801" s="680">
        <v>46110.0</v>
      </c>
      <c r="D4801" s="681">
        <v>2.8854993626E10</v>
      </c>
      <c r="E4801" s="653" t="s">
        <v>6762</v>
      </c>
      <c r="F4801" s="656" t="s">
        <v>436</v>
      </c>
      <c r="G4801" s="681">
        <v>285.0</v>
      </c>
      <c r="H4801" s="682" t="s">
        <v>4558</v>
      </c>
    </row>
    <row r="4802">
      <c r="A4802" s="546" t="s">
        <v>823</v>
      </c>
      <c r="B4802" s="653" t="s">
        <v>433</v>
      </c>
      <c r="C4802" s="680">
        <v>46110.0</v>
      </c>
      <c r="D4802" s="681">
        <v>5.1718827921E10</v>
      </c>
      <c r="E4802" s="653" t="s">
        <v>6762</v>
      </c>
      <c r="F4802" s="656" t="s">
        <v>436</v>
      </c>
      <c r="G4802" s="681">
        <v>678.0</v>
      </c>
      <c r="H4802" s="682" t="s">
        <v>4558</v>
      </c>
    </row>
    <row r="4803">
      <c r="A4803" s="546" t="s">
        <v>823</v>
      </c>
      <c r="B4803" s="653" t="s">
        <v>449</v>
      </c>
      <c r="C4803" s="680">
        <v>46110.0</v>
      </c>
      <c r="D4803" s="681">
        <v>4.8456199934E10</v>
      </c>
      <c r="E4803" s="653" t="s">
        <v>4857</v>
      </c>
      <c r="F4803" s="656" t="s">
        <v>436</v>
      </c>
      <c r="G4803" s="681">
        <v>1334.0</v>
      </c>
      <c r="H4803" s="682" t="s">
        <v>4558</v>
      </c>
    </row>
    <row r="4804">
      <c r="A4804" s="546" t="s">
        <v>823</v>
      </c>
      <c r="B4804" s="653" t="s">
        <v>433</v>
      </c>
      <c r="C4804" s="680">
        <v>46110.0</v>
      </c>
      <c r="D4804" s="681">
        <v>4.9356791573E10</v>
      </c>
      <c r="E4804" s="653" t="s">
        <v>4857</v>
      </c>
      <c r="F4804" s="656" t="s">
        <v>436</v>
      </c>
      <c r="G4804" s="681">
        <v>2511.0</v>
      </c>
      <c r="H4804" s="682" t="s">
        <v>4558</v>
      </c>
    </row>
    <row r="4805">
      <c r="A4805" s="546" t="s">
        <v>432</v>
      </c>
      <c r="B4805" s="653" t="s">
        <v>449</v>
      </c>
      <c r="C4805" s="680">
        <v>46110.0</v>
      </c>
      <c r="D4805" s="681">
        <v>3.0969300158E10</v>
      </c>
      <c r="E4805" s="653" t="s">
        <v>6863</v>
      </c>
      <c r="F4805" s="656" t="s">
        <v>436</v>
      </c>
      <c r="G4805" s="681">
        <v>2490.0</v>
      </c>
      <c r="H4805" s="682" t="s">
        <v>6864</v>
      </c>
    </row>
    <row r="4806">
      <c r="A4806" s="546" t="s">
        <v>823</v>
      </c>
      <c r="B4806" s="653" t="s">
        <v>433</v>
      </c>
      <c r="C4806" s="680">
        <v>46111.0</v>
      </c>
      <c r="D4806" s="681">
        <v>3.6891758067E10</v>
      </c>
      <c r="E4806" s="653" t="s">
        <v>6865</v>
      </c>
      <c r="F4806" s="656" t="s">
        <v>436</v>
      </c>
      <c r="G4806" s="681">
        <v>1106.0</v>
      </c>
      <c r="H4806" s="682" t="s">
        <v>4558</v>
      </c>
    </row>
    <row r="4807">
      <c r="A4807" s="546" t="s">
        <v>823</v>
      </c>
      <c r="B4807" s="653" t="s">
        <v>433</v>
      </c>
      <c r="C4807" s="680">
        <v>46111.0</v>
      </c>
      <c r="D4807" s="681">
        <v>4.3081406141E10</v>
      </c>
      <c r="E4807" s="653" t="s">
        <v>6866</v>
      </c>
      <c r="F4807" s="656" t="s">
        <v>436</v>
      </c>
      <c r="G4807" s="681">
        <v>445.0</v>
      </c>
      <c r="H4807" s="682" t="s">
        <v>4558</v>
      </c>
    </row>
    <row r="4808">
      <c r="A4808" s="546" t="s">
        <v>823</v>
      </c>
      <c r="B4808" s="653" t="s">
        <v>433</v>
      </c>
      <c r="C4808" s="680">
        <v>46111.0</v>
      </c>
      <c r="D4808" s="681">
        <v>5.174151783E10</v>
      </c>
      <c r="E4808" s="653" t="s">
        <v>6762</v>
      </c>
      <c r="F4808" s="656" t="s">
        <v>436</v>
      </c>
      <c r="G4808" s="681">
        <v>494.0</v>
      </c>
      <c r="H4808" s="682" t="s">
        <v>4558</v>
      </c>
    </row>
    <row r="4809">
      <c r="A4809" s="546" t="s">
        <v>823</v>
      </c>
      <c r="B4809" s="653" t="s">
        <v>433</v>
      </c>
      <c r="C4809" s="680">
        <v>46111.0</v>
      </c>
      <c r="D4809" s="681">
        <v>5.1741432817E10</v>
      </c>
      <c r="E4809" s="653" t="s">
        <v>6762</v>
      </c>
      <c r="F4809" s="656" t="s">
        <v>436</v>
      </c>
      <c r="G4809" s="681">
        <v>331.0</v>
      </c>
      <c r="H4809" s="682" t="s">
        <v>4558</v>
      </c>
    </row>
    <row r="4810">
      <c r="A4810" s="546" t="s">
        <v>617</v>
      </c>
      <c r="B4810" s="653" t="s">
        <v>449</v>
      </c>
      <c r="C4810" s="680">
        <v>46111.0</v>
      </c>
      <c r="D4810" s="681">
        <v>4.9345279835E10</v>
      </c>
      <c r="E4810" s="653" t="s">
        <v>5382</v>
      </c>
      <c r="F4810" s="656" t="s">
        <v>436</v>
      </c>
      <c r="G4810" s="681" t="s">
        <v>3655</v>
      </c>
      <c r="H4810" s="682" t="s">
        <v>696</v>
      </c>
    </row>
    <row r="4811">
      <c r="A4811" s="546" t="s">
        <v>617</v>
      </c>
      <c r="B4811" s="653" t="s">
        <v>433</v>
      </c>
      <c r="C4811" s="680">
        <v>46111.0</v>
      </c>
      <c r="D4811" s="681">
        <v>4.9055113447E10</v>
      </c>
      <c r="E4811" s="653" t="s">
        <v>5253</v>
      </c>
      <c r="F4811" s="656" t="s">
        <v>436</v>
      </c>
      <c r="G4811" s="681" t="s">
        <v>6867</v>
      </c>
      <c r="H4811" s="682" t="s">
        <v>696</v>
      </c>
    </row>
    <row r="4812">
      <c r="A4812" s="546" t="s">
        <v>617</v>
      </c>
      <c r="B4812" s="653" t="s">
        <v>449</v>
      </c>
      <c r="C4812" s="680">
        <v>46111.0</v>
      </c>
      <c r="D4812" s="681">
        <v>4.4254781609E10</v>
      </c>
      <c r="E4812" s="653" t="s">
        <v>5253</v>
      </c>
      <c r="F4812" s="656" t="s">
        <v>436</v>
      </c>
      <c r="G4812" s="681" t="s">
        <v>2836</v>
      </c>
      <c r="H4812" s="682" t="s">
        <v>696</v>
      </c>
    </row>
    <row r="4813">
      <c r="A4813" s="546" t="s">
        <v>617</v>
      </c>
      <c r="B4813" s="653" t="s">
        <v>449</v>
      </c>
      <c r="C4813" s="680">
        <v>46111.0</v>
      </c>
      <c r="D4813" s="681">
        <v>5.0412326841E10</v>
      </c>
      <c r="E4813" s="653" t="s">
        <v>5253</v>
      </c>
      <c r="F4813" s="656" t="s">
        <v>436</v>
      </c>
      <c r="G4813" s="681" t="s">
        <v>6173</v>
      </c>
      <c r="H4813" s="682" t="s">
        <v>696</v>
      </c>
    </row>
    <row r="4814">
      <c r="A4814" s="546" t="s">
        <v>617</v>
      </c>
      <c r="B4814" s="653" t="s">
        <v>449</v>
      </c>
      <c r="C4814" s="680">
        <v>46111.0</v>
      </c>
      <c r="D4814" s="681">
        <v>4.3832733187E10</v>
      </c>
      <c r="E4814" s="653" t="s">
        <v>6613</v>
      </c>
      <c r="F4814" s="656" t="s">
        <v>436</v>
      </c>
      <c r="G4814" s="681" t="s">
        <v>6868</v>
      </c>
      <c r="H4814" s="682" t="s">
        <v>696</v>
      </c>
    </row>
    <row r="4815">
      <c r="A4815" s="546" t="s">
        <v>617</v>
      </c>
      <c r="B4815" s="653" t="s">
        <v>449</v>
      </c>
      <c r="C4815" s="680">
        <v>46111.0</v>
      </c>
      <c r="D4815" s="681">
        <v>3.2641776075E10</v>
      </c>
      <c r="E4815" s="653" t="s">
        <v>5253</v>
      </c>
      <c r="F4815" s="656" t="s">
        <v>436</v>
      </c>
      <c r="G4815" s="681" t="s">
        <v>2881</v>
      </c>
      <c r="H4815" s="682" t="s">
        <v>696</v>
      </c>
    </row>
    <row r="4816">
      <c r="A4816" s="546" t="s">
        <v>617</v>
      </c>
      <c r="B4816" s="653" t="s">
        <v>449</v>
      </c>
      <c r="C4816" s="680">
        <v>46111.0</v>
      </c>
      <c r="D4816" s="681">
        <v>4.7153634219E10</v>
      </c>
      <c r="E4816" s="653" t="s">
        <v>5253</v>
      </c>
      <c r="F4816" s="656" t="s">
        <v>436</v>
      </c>
      <c r="G4816" s="681" t="s">
        <v>2836</v>
      </c>
      <c r="H4816" s="682" t="s">
        <v>696</v>
      </c>
    </row>
    <row r="4817">
      <c r="A4817" s="546" t="s">
        <v>617</v>
      </c>
      <c r="B4817" s="653" t="s">
        <v>449</v>
      </c>
      <c r="C4817" s="680">
        <v>46111.0</v>
      </c>
      <c r="D4817" s="681">
        <v>5.1162276413E10</v>
      </c>
      <c r="E4817" s="653" t="s">
        <v>4824</v>
      </c>
      <c r="F4817" s="656" t="s">
        <v>436</v>
      </c>
      <c r="G4817" s="681" t="s">
        <v>2958</v>
      </c>
      <c r="H4817" s="682" t="s">
        <v>696</v>
      </c>
    </row>
    <row r="4818">
      <c r="A4818" s="546" t="s">
        <v>823</v>
      </c>
      <c r="B4818" s="653" t="s">
        <v>449</v>
      </c>
      <c r="C4818" s="680">
        <v>46111.0</v>
      </c>
      <c r="D4818" s="681">
        <v>4.9492685038E10</v>
      </c>
      <c r="E4818" s="653" t="s">
        <v>4857</v>
      </c>
      <c r="F4818" s="656" t="s">
        <v>436</v>
      </c>
      <c r="G4818" s="681">
        <v>3603.0</v>
      </c>
      <c r="H4818" s="682" t="s">
        <v>4558</v>
      </c>
    </row>
    <row r="4819">
      <c r="A4819" s="546" t="s">
        <v>823</v>
      </c>
      <c r="B4819" s="653" t="s">
        <v>449</v>
      </c>
      <c r="C4819" s="680">
        <v>46111.0</v>
      </c>
      <c r="D4819" s="681">
        <v>4.9394196539E10</v>
      </c>
      <c r="E4819" s="653" t="s">
        <v>4857</v>
      </c>
      <c r="F4819" s="656" t="s">
        <v>436</v>
      </c>
      <c r="G4819" s="681">
        <v>2940.0</v>
      </c>
      <c r="H4819" s="682" t="s">
        <v>4558</v>
      </c>
    </row>
    <row r="4820">
      <c r="A4820" s="546" t="s">
        <v>823</v>
      </c>
      <c r="B4820" s="653" t="s">
        <v>449</v>
      </c>
      <c r="C4820" s="680">
        <v>46111.0</v>
      </c>
      <c r="D4820" s="681">
        <v>4.9364709604E10</v>
      </c>
      <c r="E4820" s="653" t="s">
        <v>4857</v>
      </c>
      <c r="F4820" s="656" t="s">
        <v>436</v>
      </c>
      <c r="G4820" s="681">
        <v>2356.0</v>
      </c>
      <c r="H4820" s="682" t="s">
        <v>4558</v>
      </c>
    </row>
    <row r="4821">
      <c r="A4821" s="546" t="s">
        <v>823</v>
      </c>
      <c r="B4821" s="653" t="s">
        <v>449</v>
      </c>
      <c r="C4821" s="680">
        <v>46111.0</v>
      </c>
      <c r="D4821" s="681">
        <v>5.0637461716E10</v>
      </c>
      <c r="E4821" s="653" t="s">
        <v>4857</v>
      </c>
      <c r="F4821" s="656" t="s">
        <v>436</v>
      </c>
      <c r="G4821" s="681">
        <v>3159.0</v>
      </c>
      <c r="H4821" s="682" t="s">
        <v>4558</v>
      </c>
    </row>
    <row r="4822">
      <c r="A4822" s="546" t="s">
        <v>823</v>
      </c>
      <c r="B4822" s="653" t="s">
        <v>449</v>
      </c>
      <c r="C4822" s="680">
        <v>46111.0</v>
      </c>
      <c r="D4822" s="681">
        <v>5.0224144576E10</v>
      </c>
      <c r="E4822" s="653" t="s">
        <v>4857</v>
      </c>
      <c r="F4822" s="656" t="s">
        <v>436</v>
      </c>
      <c r="G4822" s="681">
        <v>3647.0</v>
      </c>
      <c r="H4822" s="682" t="s">
        <v>4558</v>
      </c>
    </row>
    <row r="4823">
      <c r="A4823" s="546" t="s">
        <v>823</v>
      </c>
      <c r="B4823" s="653" t="s">
        <v>449</v>
      </c>
      <c r="C4823" s="680">
        <v>46111.0</v>
      </c>
      <c r="D4823" s="681">
        <v>3.0477655527E10</v>
      </c>
      <c r="E4823" s="653" t="s">
        <v>4857</v>
      </c>
      <c r="F4823" s="656" t="s">
        <v>436</v>
      </c>
      <c r="G4823" s="681">
        <v>1100.0</v>
      </c>
      <c r="H4823" s="682" t="s">
        <v>4558</v>
      </c>
    </row>
    <row r="4824">
      <c r="A4824" s="546" t="s">
        <v>617</v>
      </c>
      <c r="B4824" s="653" t="s">
        <v>449</v>
      </c>
      <c r="C4824" s="680">
        <v>46111.0</v>
      </c>
      <c r="D4824" s="681">
        <v>4.561282251E10</v>
      </c>
      <c r="E4824" s="653" t="s">
        <v>4857</v>
      </c>
      <c r="F4824" s="656" t="s">
        <v>436</v>
      </c>
      <c r="G4824" s="681">
        <v>1721.0</v>
      </c>
      <c r="H4824" s="682" t="s">
        <v>6733</v>
      </c>
    </row>
    <row r="4825">
      <c r="A4825" s="546" t="s">
        <v>823</v>
      </c>
      <c r="B4825" s="653" t="s">
        <v>433</v>
      </c>
      <c r="C4825" s="680">
        <v>46111.0</v>
      </c>
      <c r="D4825" s="681">
        <v>5.0016414006E10</v>
      </c>
      <c r="E4825" s="653" t="s">
        <v>4165</v>
      </c>
      <c r="F4825" s="656" t="s">
        <v>436</v>
      </c>
      <c r="G4825" s="681">
        <v>2037.0</v>
      </c>
      <c r="H4825" s="682" t="s">
        <v>4558</v>
      </c>
    </row>
    <row r="4826">
      <c r="A4826" s="546" t="s">
        <v>823</v>
      </c>
      <c r="B4826" s="653" t="s">
        <v>433</v>
      </c>
      <c r="C4826" s="680">
        <v>46111.0</v>
      </c>
      <c r="D4826" s="681">
        <v>5.1741976602E10</v>
      </c>
      <c r="E4826" s="653" t="s">
        <v>4165</v>
      </c>
      <c r="F4826" s="656" t="s">
        <v>436</v>
      </c>
      <c r="G4826" s="681">
        <v>256.0</v>
      </c>
      <c r="H4826" s="682" t="s">
        <v>4558</v>
      </c>
    </row>
    <row r="4827">
      <c r="A4827" s="546" t="s">
        <v>823</v>
      </c>
      <c r="B4827" s="653" t="s">
        <v>433</v>
      </c>
      <c r="C4827" s="680">
        <v>46111.0</v>
      </c>
      <c r="D4827" s="681">
        <v>4.7164581527E10</v>
      </c>
      <c r="E4827" s="653" t="s">
        <v>6762</v>
      </c>
      <c r="F4827" s="656" t="s">
        <v>436</v>
      </c>
      <c r="G4827" s="681">
        <v>521.0</v>
      </c>
      <c r="H4827" s="682" t="s">
        <v>4558</v>
      </c>
    </row>
    <row r="4828">
      <c r="A4828" s="546" t="s">
        <v>617</v>
      </c>
      <c r="B4828" s="653" t="s">
        <v>449</v>
      </c>
      <c r="C4828" s="680">
        <v>46111.0</v>
      </c>
      <c r="D4828" s="681">
        <v>4.8971947993E10</v>
      </c>
      <c r="E4828" s="653" t="s">
        <v>5315</v>
      </c>
      <c r="F4828" s="656" t="s">
        <v>436</v>
      </c>
      <c r="G4828" s="681">
        <v>765.0</v>
      </c>
      <c r="H4828" s="682" t="s">
        <v>6733</v>
      </c>
    </row>
    <row r="4829">
      <c r="A4829" s="546" t="s">
        <v>439</v>
      </c>
      <c r="B4829" s="653" t="s">
        <v>449</v>
      </c>
      <c r="C4829" s="680">
        <v>46112.0</v>
      </c>
      <c r="D4829" s="681">
        <v>4.8958891679E10</v>
      </c>
      <c r="E4829" s="653" t="s">
        <v>5055</v>
      </c>
      <c r="F4829" s="656" t="s">
        <v>436</v>
      </c>
      <c r="G4829" s="681" t="s">
        <v>1804</v>
      </c>
      <c r="H4829" s="682" t="s">
        <v>6593</v>
      </c>
    </row>
    <row r="4830">
      <c r="A4830" s="546" t="s">
        <v>617</v>
      </c>
      <c r="B4830" s="653" t="s">
        <v>497</v>
      </c>
      <c r="C4830" s="680">
        <v>46112.0</v>
      </c>
      <c r="D4830" s="681">
        <v>5.1552790097E10</v>
      </c>
      <c r="E4830" s="653" t="s">
        <v>5055</v>
      </c>
      <c r="F4830" s="656" t="s">
        <v>436</v>
      </c>
      <c r="G4830" s="681">
        <v>1991.0</v>
      </c>
      <c r="H4830" s="682" t="s">
        <v>6733</v>
      </c>
    </row>
    <row r="4831">
      <c r="A4831" s="546" t="s">
        <v>617</v>
      </c>
      <c r="B4831" s="653" t="s">
        <v>449</v>
      </c>
      <c r="C4831" s="680">
        <v>46112.0</v>
      </c>
      <c r="D4831" s="681">
        <v>5.0076538661E10</v>
      </c>
      <c r="E4831" s="653" t="s">
        <v>5320</v>
      </c>
      <c r="F4831" s="656" t="s">
        <v>436</v>
      </c>
      <c r="G4831" s="681" t="s">
        <v>6869</v>
      </c>
      <c r="H4831" s="682" t="s">
        <v>696</v>
      </c>
    </row>
    <row r="4832">
      <c r="A4832" s="546" t="s">
        <v>617</v>
      </c>
      <c r="B4832" s="653" t="s">
        <v>449</v>
      </c>
      <c r="C4832" s="680">
        <v>46112.0</v>
      </c>
      <c r="D4832" s="681">
        <v>5.1782891386E10</v>
      </c>
      <c r="E4832" s="653" t="s">
        <v>4165</v>
      </c>
      <c r="F4832" s="656" t="s">
        <v>436</v>
      </c>
      <c r="G4832" s="681" t="s">
        <v>2550</v>
      </c>
      <c r="H4832" s="682" t="s">
        <v>696</v>
      </c>
    </row>
    <row r="4833">
      <c r="A4833" s="546" t="s">
        <v>617</v>
      </c>
      <c r="B4833" s="653" t="s">
        <v>449</v>
      </c>
      <c r="C4833" s="680">
        <v>46112.0</v>
      </c>
      <c r="D4833" s="681">
        <v>5.1935849588E10</v>
      </c>
      <c r="E4833" s="653" t="s">
        <v>6870</v>
      </c>
      <c r="F4833" s="656" t="s">
        <v>436</v>
      </c>
      <c r="G4833" s="681" t="s">
        <v>3829</v>
      </c>
      <c r="H4833" s="682" t="s">
        <v>696</v>
      </c>
    </row>
    <row r="4834">
      <c r="A4834" s="546" t="s">
        <v>439</v>
      </c>
      <c r="B4834" s="653" t="s">
        <v>449</v>
      </c>
      <c r="C4834" s="680">
        <v>46112.0</v>
      </c>
      <c r="D4834" s="681">
        <v>5.0313955411E10</v>
      </c>
      <c r="E4834" s="653" t="s">
        <v>4165</v>
      </c>
      <c r="F4834" s="656" t="s">
        <v>436</v>
      </c>
      <c r="G4834" s="681" t="s">
        <v>2298</v>
      </c>
      <c r="H4834" s="682" t="s">
        <v>6593</v>
      </c>
    </row>
    <row r="4835">
      <c r="A4835" s="546" t="s">
        <v>439</v>
      </c>
      <c r="B4835" s="653" t="s">
        <v>449</v>
      </c>
      <c r="C4835" s="680">
        <v>46113.0</v>
      </c>
      <c r="D4835" s="681">
        <v>4.9333904872E10</v>
      </c>
      <c r="E4835" s="653" t="s">
        <v>6260</v>
      </c>
      <c r="F4835" s="656" t="s">
        <v>436</v>
      </c>
      <c r="G4835" s="681">
        <v>4915.0</v>
      </c>
      <c r="H4835" s="682" t="s">
        <v>6733</v>
      </c>
    </row>
    <row r="4836">
      <c r="A4836" s="546" t="s">
        <v>617</v>
      </c>
      <c r="B4836" s="653" t="s">
        <v>449</v>
      </c>
      <c r="C4836" s="680">
        <v>46113.0</v>
      </c>
      <c r="D4836" s="681">
        <v>3.6222501886E10</v>
      </c>
      <c r="E4836" s="653" t="s">
        <v>4857</v>
      </c>
      <c r="F4836" s="656" t="s">
        <v>436</v>
      </c>
      <c r="G4836" s="681">
        <v>4593.0</v>
      </c>
      <c r="H4836" s="682" t="s">
        <v>6864</v>
      </c>
    </row>
    <row r="4837">
      <c r="A4837" s="546" t="s">
        <v>617</v>
      </c>
      <c r="B4837" s="653" t="s">
        <v>449</v>
      </c>
      <c r="C4837" s="680">
        <v>46113.0</v>
      </c>
      <c r="D4837" s="681">
        <v>3.3101333338E10</v>
      </c>
      <c r="E4837" s="653" t="s">
        <v>4857</v>
      </c>
      <c r="F4837" s="656" t="s">
        <v>436</v>
      </c>
      <c r="G4837" s="681">
        <v>3785.0</v>
      </c>
      <c r="H4837" s="682" t="s">
        <v>6864</v>
      </c>
    </row>
    <row r="4838">
      <c r="A4838" s="546" t="s">
        <v>439</v>
      </c>
      <c r="B4838" s="653" t="s">
        <v>449</v>
      </c>
      <c r="C4838" s="680">
        <v>46113.0</v>
      </c>
      <c r="D4838" s="681">
        <v>5.0786484732E10</v>
      </c>
      <c r="E4838" s="653" t="s">
        <v>5027</v>
      </c>
      <c r="F4838" s="656" t="s">
        <v>436</v>
      </c>
      <c r="G4838" s="681">
        <v>1080.0</v>
      </c>
      <c r="H4838" s="682" t="s">
        <v>6733</v>
      </c>
    </row>
    <row r="4839">
      <c r="A4839" s="546" t="s">
        <v>617</v>
      </c>
      <c r="B4839" s="653" t="s">
        <v>449</v>
      </c>
      <c r="C4839" s="680">
        <v>46113.0</v>
      </c>
      <c r="D4839" s="681">
        <v>3.7876115977E10</v>
      </c>
      <c r="E4839" s="653" t="s">
        <v>6871</v>
      </c>
      <c r="F4839" s="656" t="s">
        <v>436</v>
      </c>
      <c r="G4839" s="681">
        <v>1512.0</v>
      </c>
      <c r="H4839" s="682" t="s">
        <v>6864</v>
      </c>
    </row>
    <row r="4840">
      <c r="A4840" s="546" t="s">
        <v>439</v>
      </c>
      <c r="B4840" s="653" t="s">
        <v>449</v>
      </c>
      <c r="C4840" s="680">
        <v>46113.0</v>
      </c>
      <c r="D4840" s="681">
        <v>4.9426445962E10</v>
      </c>
      <c r="E4840" s="653" t="s">
        <v>4104</v>
      </c>
      <c r="F4840" s="656" t="s">
        <v>436</v>
      </c>
      <c r="G4840" s="681">
        <v>1357.0</v>
      </c>
      <c r="H4840" s="682" t="s">
        <v>6733</v>
      </c>
    </row>
    <row r="4841">
      <c r="A4841" s="546"/>
      <c r="B4841" s="656"/>
      <c r="C4841" s="703"/>
      <c r="D4841" s="699"/>
      <c r="E4841" s="656"/>
      <c r="F4841" s="656" t="s">
        <v>436</v>
      </c>
      <c r="G4841" s="699"/>
      <c r="H4841" s="704"/>
    </row>
    <row r="4842">
      <c r="A4842" s="546"/>
      <c r="B4842" s="656"/>
      <c r="C4842" s="703"/>
      <c r="D4842" s="699"/>
      <c r="E4842" s="656"/>
      <c r="F4842" s="656" t="s">
        <v>436</v>
      </c>
      <c r="G4842" s="699"/>
      <c r="H4842" s="704"/>
    </row>
    <row r="4843">
      <c r="A4843" s="546"/>
      <c r="B4843" s="656"/>
      <c r="C4843" s="703"/>
      <c r="D4843" s="699"/>
      <c r="E4843" s="656"/>
      <c r="F4843" s="656" t="s">
        <v>436</v>
      </c>
      <c r="G4843" s="699"/>
      <c r="H4843" s="704"/>
    </row>
    <row r="4844">
      <c r="A4844" s="546"/>
      <c r="B4844" s="656"/>
      <c r="C4844" s="703"/>
      <c r="D4844" s="699"/>
      <c r="E4844" s="656"/>
      <c r="F4844" s="656" t="s">
        <v>436</v>
      </c>
      <c r="G4844" s="699"/>
      <c r="H4844" s="704"/>
    </row>
    <row r="4845">
      <c r="A4845" s="546"/>
      <c r="B4845" s="656"/>
      <c r="C4845" s="703"/>
      <c r="D4845" s="699"/>
      <c r="E4845" s="656"/>
      <c r="F4845" s="656" t="s">
        <v>436</v>
      </c>
      <c r="G4845" s="699"/>
      <c r="H4845" s="704"/>
    </row>
    <row r="4846">
      <c r="A4846" s="546"/>
      <c r="B4846" s="656"/>
      <c r="C4846" s="703"/>
      <c r="D4846" s="699"/>
      <c r="E4846" s="656"/>
      <c r="F4846" s="656" t="s">
        <v>436</v>
      </c>
      <c r="G4846" s="699"/>
      <c r="H4846" s="704"/>
    </row>
    <row r="4847">
      <c r="A4847" s="546"/>
      <c r="B4847" s="656"/>
      <c r="C4847" s="703"/>
      <c r="D4847" s="699"/>
      <c r="E4847" s="656"/>
      <c r="F4847" s="656" t="s">
        <v>436</v>
      </c>
      <c r="G4847" s="699"/>
      <c r="H4847" s="704"/>
    </row>
    <row r="4848">
      <c r="A4848" s="546"/>
      <c r="B4848" s="656"/>
      <c r="C4848" s="703"/>
      <c r="D4848" s="699"/>
      <c r="E4848" s="656"/>
      <c r="F4848" s="656" t="s">
        <v>436</v>
      </c>
      <c r="G4848" s="699"/>
      <c r="H4848" s="704"/>
    </row>
    <row r="4849">
      <c r="A4849" s="546"/>
      <c r="B4849" s="656"/>
      <c r="C4849" s="703"/>
      <c r="D4849" s="699"/>
      <c r="E4849" s="656"/>
      <c r="F4849" s="656" t="s">
        <v>436</v>
      </c>
      <c r="G4849" s="699"/>
      <c r="H4849" s="704"/>
    </row>
    <row r="4850">
      <c r="A4850" s="546"/>
      <c r="B4850" s="656"/>
      <c r="C4850" s="703"/>
      <c r="D4850" s="699"/>
      <c r="E4850" s="656"/>
      <c r="F4850" s="656" t="s">
        <v>436</v>
      </c>
      <c r="G4850" s="699"/>
      <c r="H4850" s="704"/>
    </row>
    <row r="4851">
      <c r="A4851" s="546"/>
      <c r="B4851" s="656"/>
      <c r="C4851" s="703"/>
      <c r="D4851" s="699"/>
      <c r="E4851" s="656"/>
      <c r="F4851" s="656" t="s">
        <v>436</v>
      </c>
      <c r="G4851" s="699"/>
      <c r="H4851" s="704"/>
    </row>
    <row r="4852">
      <c r="A4852" s="546"/>
      <c r="B4852" s="656"/>
      <c r="C4852" s="703"/>
      <c r="D4852" s="699"/>
      <c r="E4852" s="656"/>
      <c r="F4852" s="656" t="s">
        <v>436</v>
      </c>
      <c r="G4852" s="699"/>
      <c r="H4852" s="704"/>
    </row>
    <row r="4853">
      <c r="A4853" s="546"/>
      <c r="B4853" s="656"/>
      <c r="C4853" s="703"/>
      <c r="D4853" s="699"/>
      <c r="E4853" s="656"/>
      <c r="F4853" s="656" t="s">
        <v>436</v>
      </c>
      <c r="G4853" s="699"/>
      <c r="H4853" s="704"/>
    </row>
    <row r="4854">
      <c r="A4854" s="546"/>
      <c r="B4854" s="656"/>
      <c r="C4854" s="703"/>
      <c r="D4854" s="699"/>
      <c r="E4854" s="656"/>
      <c r="F4854" s="656" t="s">
        <v>436</v>
      </c>
      <c r="G4854" s="699"/>
      <c r="H4854" s="704"/>
    </row>
    <row r="4855">
      <c r="A4855" s="546"/>
      <c r="B4855" s="656"/>
      <c r="C4855" s="703"/>
      <c r="D4855" s="699"/>
      <c r="E4855" s="656"/>
      <c r="F4855" s="656" t="s">
        <v>436</v>
      </c>
      <c r="G4855" s="699"/>
      <c r="H4855" s="704"/>
    </row>
    <row r="4856">
      <c r="A4856" s="546"/>
      <c r="B4856" s="656"/>
      <c r="C4856" s="703"/>
      <c r="D4856" s="699"/>
      <c r="E4856" s="656"/>
      <c r="F4856" s="656" t="s">
        <v>436</v>
      </c>
      <c r="G4856" s="699"/>
      <c r="H4856" s="704"/>
    </row>
    <row r="4857">
      <c r="A4857" s="546"/>
      <c r="B4857" s="656"/>
      <c r="C4857" s="703"/>
      <c r="D4857" s="699"/>
      <c r="E4857" s="656"/>
      <c r="F4857" s="656" t="s">
        <v>436</v>
      </c>
      <c r="G4857" s="699"/>
      <c r="H4857" s="704"/>
    </row>
    <row r="4858">
      <c r="A4858" s="546"/>
      <c r="B4858" s="656"/>
      <c r="C4858" s="703"/>
      <c r="D4858" s="699"/>
      <c r="E4858" s="656"/>
      <c r="F4858" s="656" t="s">
        <v>436</v>
      </c>
      <c r="G4858" s="699"/>
      <c r="H4858" s="704"/>
    </row>
    <row r="4859">
      <c r="A4859" s="546"/>
      <c r="B4859" s="656"/>
      <c r="C4859" s="703"/>
      <c r="D4859" s="699"/>
      <c r="E4859" s="656"/>
      <c r="F4859" s="656" t="s">
        <v>436</v>
      </c>
      <c r="G4859" s="699"/>
      <c r="H4859" s="704"/>
    </row>
    <row r="4860">
      <c r="A4860" s="546"/>
      <c r="B4860" s="656"/>
      <c r="C4860" s="703"/>
      <c r="D4860" s="699"/>
      <c r="E4860" s="656"/>
      <c r="F4860" s="656" t="s">
        <v>436</v>
      </c>
      <c r="G4860" s="699"/>
      <c r="H4860" s="704"/>
    </row>
    <row r="4861">
      <c r="A4861" s="546"/>
      <c r="B4861" s="656"/>
      <c r="C4861" s="703"/>
      <c r="D4861" s="699"/>
      <c r="E4861" s="656"/>
      <c r="F4861" s="656" t="s">
        <v>436</v>
      </c>
      <c r="G4861" s="699"/>
      <c r="H4861" s="704"/>
    </row>
    <row r="4862">
      <c r="A4862" s="546"/>
      <c r="B4862" s="656"/>
      <c r="C4862" s="703"/>
      <c r="D4862" s="699"/>
      <c r="E4862" s="656"/>
      <c r="F4862" s="656" t="s">
        <v>436</v>
      </c>
      <c r="G4862" s="699"/>
      <c r="H4862" s="704"/>
    </row>
    <row r="4863">
      <c r="A4863" s="546"/>
      <c r="B4863" s="656"/>
      <c r="C4863" s="703"/>
      <c r="D4863" s="699"/>
      <c r="E4863" s="656"/>
      <c r="F4863" s="656" t="s">
        <v>436</v>
      </c>
      <c r="G4863" s="699"/>
      <c r="H4863" s="704"/>
    </row>
    <row r="4864">
      <c r="A4864" s="546"/>
      <c r="B4864" s="656"/>
      <c r="C4864" s="703"/>
      <c r="D4864" s="699"/>
      <c r="E4864" s="656"/>
      <c r="F4864" s="656" t="s">
        <v>436</v>
      </c>
      <c r="G4864" s="699"/>
      <c r="H4864" s="704"/>
    </row>
    <row r="4865">
      <c r="A4865" s="546"/>
      <c r="B4865" s="656"/>
      <c r="C4865" s="703"/>
      <c r="D4865" s="699"/>
      <c r="E4865" s="656"/>
      <c r="F4865" s="656" t="s">
        <v>436</v>
      </c>
      <c r="G4865" s="699"/>
      <c r="H4865" s="704"/>
    </row>
    <row r="4866">
      <c r="A4866" s="546"/>
      <c r="B4866" s="656"/>
      <c r="C4866" s="703"/>
      <c r="D4866" s="699"/>
      <c r="E4866" s="656"/>
      <c r="F4866" s="656" t="s">
        <v>436</v>
      </c>
      <c r="G4866" s="699"/>
      <c r="H4866" s="704"/>
    </row>
    <row r="4867">
      <c r="A4867" s="546"/>
      <c r="B4867" s="656"/>
      <c r="C4867" s="703"/>
      <c r="D4867" s="699"/>
      <c r="E4867" s="656"/>
      <c r="F4867" s="656" t="s">
        <v>436</v>
      </c>
      <c r="G4867" s="699"/>
      <c r="H4867" s="704"/>
    </row>
    <row r="4868">
      <c r="A4868" s="546"/>
      <c r="B4868" s="656"/>
      <c r="C4868" s="703"/>
      <c r="D4868" s="699"/>
      <c r="E4868" s="656"/>
      <c r="F4868" s="656" t="s">
        <v>436</v>
      </c>
      <c r="G4868" s="699"/>
      <c r="H4868" s="704"/>
    </row>
    <row r="4869">
      <c r="A4869" s="546"/>
      <c r="B4869" s="656"/>
      <c r="C4869" s="703"/>
      <c r="D4869" s="699"/>
      <c r="E4869" s="656"/>
      <c r="F4869" s="656" t="s">
        <v>436</v>
      </c>
      <c r="G4869" s="699"/>
      <c r="H4869" s="704"/>
    </row>
    <row r="4870">
      <c r="A4870" s="546"/>
      <c r="B4870" s="656"/>
      <c r="C4870" s="703"/>
      <c r="D4870" s="699"/>
      <c r="E4870" s="656"/>
      <c r="F4870" s="656" t="s">
        <v>436</v>
      </c>
      <c r="G4870" s="699"/>
      <c r="H4870" s="704"/>
    </row>
    <row r="4871">
      <c r="A4871" s="546"/>
      <c r="B4871" s="656"/>
      <c r="C4871" s="703"/>
      <c r="D4871" s="699"/>
      <c r="E4871" s="656"/>
      <c r="F4871" s="656" t="s">
        <v>436</v>
      </c>
      <c r="G4871" s="699"/>
      <c r="H4871" s="704"/>
    </row>
    <row r="4872">
      <c r="A4872" s="546"/>
      <c r="B4872" s="656"/>
      <c r="C4872" s="703"/>
      <c r="D4872" s="699"/>
      <c r="E4872" s="656"/>
      <c r="F4872" s="656" t="s">
        <v>436</v>
      </c>
      <c r="G4872" s="699"/>
      <c r="H4872" s="704"/>
    </row>
    <row r="4873">
      <c r="A4873" s="546"/>
      <c r="B4873" s="656"/>
      <c r="C4873" s="703"/>
      <c r="D4873" s="699"/>
      <c r="E4873" s="656"/>
      <c r="F4873" s="656" t="s">
        <v>436</v>
      </c>
      <c r="G4873" s="699"/>
      <c r="H4873" s="704"/>
    </row>
    <row r="4874">
      <c r="A4874" s="546"/>
      <c r="B4874" s="656"/>
      <c r="C4874" s="703"/>
      <c r="D4874" s="699"/>
      <c r="E4874" s="656"/>
      <c r="F4874" s="656" t="s">
        <v>436</v>
      </c>
      <c r="G4874" s="699"/>
      <c r="H4874" s="704"/>
    </row>
    <row r="4875">
      <c r="A4875" s="546"/>
      <c r="B4875" s="656"/>
      <c r="C4875" s="703"/>
      <c r="D4875" s="699"/>
      <c r="E4875" s="656"/>
      <c r="F4875" s="656" t="s">
        <v>436</v>
      </c>
      <c r="G4875" s="699"/>
      <c r="H4875" s="704"/>
    </row>
    <row r="4876">
      <c r="A4876" s="546"/>
      <c r="B4876" s="656"/>
      <c r="C4876" s="703"/>
      <c r="D4876" s="699"/>
      <c r="E4876" s="656"/>
      <c r="F4876" s="656" t="s">
        <v>436</v>
      </c>
      <c r="G4876" s="699"/>
      <c r="H4876" s="704"/>
    </row>
    <row r="4877">
      <c r="A4877" s="546"/>
      <c r="B4877" s="656"/>
      <c r="C4877" s="703"/>
      <c r="D4877" s="699"/>
      <c r="E4877" s="656"/>
      <c r="F4877" s="656" t="s">
        <v>436</v>
      </c>
      <c r="G4877" s="699"/>
      <c r="H4877" s="704"/>
    </row>
    <row r="4878">
      <c r="A4878" s="546"/>
      <c r="B4878" s="656"/>
      <c r="C4878" s="703"/>
      <c r="D4878" s="699"/>
      <c r="E4878" s="656"/>
      <c r="F4878" s="656" t="s">
        <v>436</v>
      </c>
      <c r="G4878" s="699"/>
      <c r="H4878" s="704"/>
    </row>
    <row r="4879">
      <c r="A4879" s="546"/>
      <c r="B4879" s="656"/>
      <c r="C4879" s="703"/>
      <c r="D4879" s="699"/>
      <c r="E4879" s="656"/>
      <c r="F4879" s="656" t="s">
        <v>436</v>
      </c>
      <c r="G4879" s="699"/>
      <c r="H4879" s="704"/>
    </row>
    <row r="4880">
      <c r="A4880" s="546"/>
      <c r="B4880" s="656"/>
      <c r="C4880" s="703"/>
      <c r="D4880" s="699"/>
      <c r="E4880" s="656"/>
      <c r="F4880" s="656" t="s">
        <v>436</v>
      </c>
      <c r="G4880" s="699"/>
      <c r="H4880" s="704"/>
    </row>
    <row r="4881">
      <c r="A4881" s="546"/>
      <c r="B4881" s="656"/>
      <c r="C4881" s="703"/>
      <c r="D4881" s="699"/>
      <c r="E4881" s="656"/>
      <c r="F4881" s="656" t="s">
        <v>436</v>
      </c>
      <c r="G4881" s="699"/>
      <c r="H4881" s="704"/>
    </row>
    <row r="4882">
      <c r="A4882" s="546"/>
      <c r="B4882" s="656"/>
      <c r="C4882" s="703"/>
      <c r="D4882" s="699"/>
      <c r="E4882" s="656"/>
      <c r="F4882" s="656" t="s">
        <v>436</v>
      </c>
      <c r="G4882" s="699"/>
      <c r="H4882" s="704"/>
    </row>
    <row r="4883">
      <c r="A4883" s="546"/>
      <c r="B4883" s="656"/>
      <c r="C4883" s="703"/>
      <c r="D4883" s="699"/>
      <c r="E4883" s="656"/>
      <c r="F4883" s="656" t="s">
        <v>436</v>
      </c>
      <c r="G4883" s="699"/>
      <c r="H4883" s="704"/>
    </row>
    <row r="4884">
      <c r="A4884" s="546"/>
      <c r="B4884" s="656"/>
      <c r="C4884" s="703"/>
      <c r="D4884" s="699"/>
      <c r="E4884" s="656"/>
      <c r="F4884" s="656" t="s">
        <v>436</v>
      </c>
      <c r="G4884" s="699"/>
      <c r="H4884" s="704"/>
    </row>
    <row r="4885">
      <c r="A4885" s="546"/>
      <c r="B4885" s="656"/>
      <c r="C4885" s="703"/>
      <c r="D4885" s="699"/>
      <c r="E4885" s="656"/>
      <c r="F4885" s="656" t="s">
        <v>436</v>
      </c>
      <c r="G4885" s="699"/>
      <c r="H4885" s="704"/>
    </row>
    <row r="4886">
      <c r="A4886" s="546"/>
      <c r="B4886" s="656"/>
      <c r="C4886" s="703"/>
      <c r="D4886" s="699"/>
      <c r="E4886" s="656"/>
      <c r="F4886" s="656" t="s">
        <v>436</v>
      </c>
      <c r="G4886" s="699"/>
      <c r="H4886" s="704"/>
    </row>
    <row r="4887">
      <c r="A4887" s="546"/>
      <c r="B4887" s="656"/>
      <c r="C4887" s="703"/>
      <c r="D4887" s="699"/>
      <c r="E4887" s="656"/>
      <c r="F4887" s="656" t="s">
        <v>436</v>
      </c>
      <c r="G4887" s="699"/>
      <c r="H4887" s="704"/>
    </row>
    <row r="4888">
      <c r="A4888" s="546"/>
      <c r="B4888" s="656"/>
      <c r="C4888" s="703"/>
      <c r="D4888" s="699"/>
      <c r="E4888" s="656"/>
      <c r="F4888" s="656" t="s">
        <v>436</v>
      </c>
      <c r="G4888" s="699"/>
      <c r="H4888" s="704"/>
    </row>
    <row r="4889">
      <c r="A4889" s="546"/>
      <c r="B4889" s="656"/>
      <c r="C4889" s="703"/>
      <c r="D4889" s="699"/>
      <c r="E4889" s="656"/>
      <c r="F4889" s="656" t="s">
        <v>436</v>
      </c>
      <c r="G4889" s="699"/>
      <c r="H4889" s="704"/>
    </row>
    <row r="4890">
      <c r="A4890" s="546"/>
      <c r="B4890" s="656"/>
      <c r="C4890" s="703"/>
      <c r="D4890" s="699"/>
      <c r="E4890" s="656"/>
      <c r="F4890" s="656" t="s">
        <v>436</v>
      </c>
      <c r="G4890" s="699"/>
      <c r="H4890" s="704"/>
    </row>
    <row r="4891">
      <c r="A4891" s="546"/>
      <c r="B4891" s="656"/>
      <c r="C4891" s="703"/>
      <c r="D4891" s="699"/>
      <c r="E4891" s="656"/>
      <c r="F4891" s="656" t="s">
        <v>436</v>
      </c>
      <c r="G4891" s="699"/>
      <c r="H4891" s="704"/>
    </row>
    <row r="4892">
      <c r="A4892" s="546"/>
      <c r="B4892" s="656"/>
      <c r="C4892" s="703"/>
      <c r="D4892" s="699"/>
      <c r="E4892" s="656"/>
      <c r="F4892" s="656" t="s">
        <v>436</v>
      </c>
      <c r="G4892" s="699"/>
      <c r="H4892" s="704"/>
    </row>
    <row r="4893">
      <c r="A4893" s="546"/>
      <c r="B4893" s="656"/>
      <c r="C4893" s="703"/>
      <c r="D4893" s="699"/>
      <c r="E4893" s="656"/>
      <c r="F4893" s="656" t="s">
        <v>436</v>
      </c>
      <c r="G4893" s="699"/>
      <c r="H4893" s="704"/>
    </row>
    <row r="4894">
      <c r="A4894" s="546"/>
      <c r="B4894" s="656"/>
      <c r="C4894" s="703"/>
      <c r="D4894" s="699"/>
      <c r="E4894" s="656"/>
      <c r="F4894" s="656" t="s">
        <v>436</v>
      </c>
      <c r="G4894" s="699"/>
      <c r="H4894" s="704"/>
    </row>
    <row r="4895">
      <c r="A4895" s="546"/>
      <c r="B4895" s="656"/>
      <c r="C4895" s="703"/>
      <c r="D4895" s="699"/>
      <c r="E4895" s="656"/>
      <c r="F4895" s="656" t="s">
        <v>436</v>
      </c>
      <c r="G4895" s="699"/>
      <c r="H4895" s="704"/>
    </row>
    <row r="4896">
      <c r="A4896" s="546"/>
      <c r="B4896" s="656"/>
      <c r="C4896" s="703"/>
      <c r="D4896" s="699"/>
      <c r="E4896" s="656"/>
      <c r="F4896" s="656" t="s">
        <v>436</v>
      </c>
      <c r="G4896" s="699"/>
      <c r="H4896" s="704"/>
    </row>
    <row r="4897">
      <c r="A4897" s="546"/>
      <c r="B4897" s="656"/>
      <c r="C4897" s="703"/>
      <c r="D4897" s="699"/>
      <c r="E4897" s="656"/>
      <c r="F4897" s="656" t="s">
        <v>436</v>
      </c>
      <c r="G4897" s="699"/>
      <c r="H4897" s="704"/>
    </row>
    <row r="4898">
      <c r="A4898" s="546"/>
      <c r="B4898" s="656"/>
      <c r="C4898" s="703"/>
      <c r="D4898" s="699"/>
      <c r="E4898" s="656"/>
      <c r="F4898" s="656" t="s">
        <v>436</v>
      </c>
      <c r="G4898" s="699"/>
      <c r="H4898" s="704"/>
    </row>
    <row r="4899">
      <c r="A4899" s="546"/>
      <c r="B4899" s="656"/>
      <c r="C4899" s="703"/>
      <c r="D4899" s="699"/>
      <c r="E4899" s="656"/>
      <c r="F4899" s="656" t="s">
        <v>436</v>
      </c>
      <c r="G4899" s="699"/>
      <c r="H4899" s="704"/>
    </row>
    <row r="4900">
      <c r="A4900" s="546"/>
      <c r="B4900" s="656"/>
      <c r="C4900" s="703"/>
      <c r="D4900" s="699"/>
      <c r="E4900" s="656"/>
      <c r="F4900" s="656" t="s">
        <v>436</v>
      </c>
      <c r="G4900" s="699"/>
      <c r="H4900" s="704"/>
    </row>
    <row r="4901">
      <c r="A4901" s="546"/>
      <c r="B4901" s="656"/>
      <c r="C4901" s="703"/>
      <c r="D4901" s="699"/>
      <c r="E4901" s="656"/>
      <c r="F4901" s="656" t="s">
        <v>436</v>
      </c>
      <c r="G4901" s="699"/>
      <c r="H4901" s="704"/>
    </row>
    <row r="4902">
      <c r="A4902" s="546"/>
      <c r="B4902" s="656"/>
      <c r="C4902" s="703"/>
      <c r="D4902" s="699"/>
      <c r="E4902" s="656"/>
      <c r="F4902" s="656" t="s">
        <v>436</v>
      </c>
      <c r="G4902" s="699"/>
      <c r="H4902" s="704"/>
    </row>
    <row r="4903">
      <c r="A4903" s="546"/>
      <c r="B4903" s="656"/>
      <c r="C4903" s="703"/>
      <c r="D4903" s="699"/>
      <c r="E4903" s="656"/>
      <c r="F4903" s="656" t="s">
        <v>436</v>
      </c>
      <c r="G4903" s="699"/>
      <c r="H4903" s="704"/>
    </row>
    <row r="4904">
      <c r="A4904" s="546"/>
      <c r="B4904" s="656"/>
      <c r="C4904" s="703"/>
      <c r="D4904" s="699"/>
      <c r="E4904" s="656"/>
      <c r="F4904" s="656" t="s">
        <v>436</v>
      </c>
      <c r="G4904" s="699"/>
      <c r="H4904" s="704"/>
    </row>
    <row r="4905">
      <c r="A4905" s="546"/>
      <c r="B4905" s="656"/>
      <c r="C4905" s="703"/>
      <c r="D4905" s="699"/>
      <c r="E4905" s="656"/>
      <c r="F4905" s="656" t="s">
        <v>436</v>
      </c>
      <c r="G4905" s="699"/>
      <c r="H4905" s="704"/>
    </row>
    <row r="4906">
      <c r="A4906" s="546"/>
      <c r="B4906" s="656"/>
      <c r="C4906" s="703"/>
      <c r="D4906" s="699"/>
      <c r="E4906" s="656"/>
      <c r="F4906" s="656" t="s">
        <v>436</v>
      </c>
      <c r="G4906" s="699"/>
      <c r="H4906" s="704"/>
    </row>
    <row r="4907">
      <c r="A4907" s="546"/>
      <c r="B4907" s="656"/>
      <c r="C4907" s="703"/>
      <c r="D4907" s="699"/>
      <c r="E4907" s="656"/>
      <c r="F4907" s="656" t="s">
        <v>436</v>
      </c>
      <c r="G4907" s="699"/>
      <c r="H4907" s="704"/>
    </row>
    <row r="4908">
      <c r="A4908" s="546"/>
      <c r="B4908" s="656"/>
      <c r="C4908" s="703"/>
      <c r="D4908" s="699"/>
      <c r="E4908" s="656"/>
      <c r="F4908" s="656" t="s">
        <v>436</v>
      </c>
      <c r="G4908" s="699"/>
      <c r="H4908" s="704"/>
    </row>
    <row r="4909">
      <c r="A4909" s="546"/>
      <c r="B4909" s="656"/>
      <c r="C4909" s="703"/>
      <c r="D4909" s="699"/>
      <c r="E4909" s="656"/>
      <c r="F4909" s="656" t="s">
        <v>436</v>
      </c>
      <c r="G4909" s="699"/>
      <c r="H4909" s="704"/>
    </row>
    <row r="4910">
      <c r="A4910" s="546"/>
      <c r="B4910" s="656"/>
      <c r="C4910" s="703"/>
      <c r="D4910" s="699"/>
      <c r="E4910" s="656"/>
      <c r="F4910" s="656" t="s">
        <v>436</v>
      </c>
      <c r="G4910" s="699"/>
      <c r="H4910" s="704"/>
    </row>
    <row r="4911">
      <c r="A4911" s="546"/>
      <c r="B4911" s="656"/>
      <c r="C4911" s="703"/>
      <c r="D4911" s="699"/>
      <c r="E4911" s="656"/>
      <c r="F4911" s="656" t="s">
        <v>436</v>
      </c>
      <c r="G4911" s="699"/>
      <c r="H4911" s="704"/>
    </row>
    <row r="4912">
      <c r="A4912" s="546"/>
      <c r="B4912" s="656"/>
      <c r="C4912" s="703"/>
      <c r="D4912" s="699"/>
      <c r="E4912" s="656"/>
      <c r="F4912" s="656" t="s">
        <v>436</v>
      </c>
      <c r="G4912" s="699"/>
      <c r="H4912" s="704"/>
    </row>
    <row r="4913">
      <c r="A4913" s="546"/>
      <c r="B4913" s="656"/>
      <c r="C4913" s="703"/>
      <c r="D4913" s="699"/>
      <c r="E4913" s="656"/>
      <c r="F4913" s="656" t="s">
        <v>436</v>
      </c>
      <c r="G4913" s="699"/>
      <c r="H4913" s="704"/>
    </row>
    <row r="4914">
      <c r="A4914" s="546"/>
      <c r="B4914" s="656"/>
      <c r="C4914" s="703"/>
      <c r="D4914" s="699"/>
      <c r="E4914" s="656"/>
      <c r="F4914" s="656" t="s">
        <v>436</v>
      </c>
      <c r="G4914" s="699"/>
      <c r="H4914" s="704"/>
    </row>
    <row r="4915">
      <c r="A4915" s="546"/>
      <c r="B4915" s="656"/>
      <c r="C4915" s="703"/>
      <c r="D4915" s="699"/>
      <c r="E4915" s="656"/>
      <c r="F4915" s="656" t="s">
        <v>436</v>
      </c>
      <c r="G4915" s="699"/>
      <c r="H4915" s="704"/>
    </row>
    <row r="4916">
      <c r="A4916" s="546"/>
      <c r="B4916" s="656"/>
      <c r="C4916" s="703"/>
      <c r="D4916" s="699"/>
      <c r="E4916" s="656"/>
      <c r="F4916" s="656" t="s">
        <v>436</v>
      </c>
      <c r="G4916" s="699"/>
      <c r="H4916" s="704"/>
    </row>
    <row r="4917">
      <c r="A4917" s="546"/>
      <c r="B4917" s="656"/>
      <c r="C4917" s="703"/>
      <c r="D4917" s="699"/>
      <c r="E4917" s="656"/>
      <c r="F4917" s="656" t="s">
        <v>436</v>
      </c>
      <c r="G4917" s="699"/>
      <c r="H4917" s="704"/>
    </row>
    <row r="4918">
      <c r="A4918" s="546"/>
      <c r="B4918" s="656"/>
      <c r="C4918" s="703"/>
      <c r="D4918" s="699"/>
      <c r="E4918" s="656"/>
      <c r="F4918" s="656" t="s">
        <v>436</v>
      </c>
      <c r="G4918" s="699"/>
      <c r="H4918" s="704"/>
    </row>
    <row r="4919">
      <c r="A4919" s="546"/>
      <c r="B4919" s="656"/>
      <c r="C4919" s="703"/>
      <c r="D4919" s="699"/>
      <c r="E4919" s="656"/>
      <c r="F4919" s="656" t="s">
        <v>436</v>
      </c>
      <c r="G4919" s="699"/>
      <c r="H4919" s="704"/>
    </row>
    <row r="4920">
      <c r="A4920" s="546"/>
      <c r="B4920" s="656"/>
      <c r="C4920" s="703"/>
      <c r="D4920" s="699"/>
      <c r="E4920" s="656"/>
      <c r="F4920" s="656" t="s">
        <v>436</v>
      </c>
      <c r="G4920" s="699"/>
      <c r="H4920" s="704"/>
    </row>
    <row r="4921">
      <c r="A4921" s="546"/>
      <c r="B4921" s="656"/>
      <c r="C4921" s="703"/>
      <c r="D4921" s="699"/>
      <c r="E4921" s="656"/>
      <c r="F4921" s="656" t="s">
        <v>436</v>
      </c>
      <c r="G4921" s="699"/>
      <c r="H4921" s="704"/>
    </row>
    <row r="4922">
      <c r="A4922" s="546"/>
      <c r="B4922" s="656"/>
      <c r="C4922" s="703"/>
      <c r="D4922" s="699"/>
      <c r="E4922" s="656"/>
      <c r="F4922" s="656" t="s">
        <v>436</v>
      </c>
      <c r="G4922" s="699"/>
      <c r="H4922" s="704"/>
    </row>
    <row r="4923">
      <c r="A4923" s="546"/>
      <c r="B4923" s="656"/>
      <c r="C4923" s="703"/>
      <c r="D4923" s="699"/>
      <c r="E4923" s="656"/>
      <c r="F4923" s="656" t="s">
        <v>436</v>
      </c>
      <c r="G4923" s="699"/>
      <c r="H4923" s="704"/>
    </row>
    <row r="4924">
      <c r="A4924" s="546"/>
      <c r="B4924" s="656"/>
      <c r="C4924" s="703"/>
      <c r="D4924" s="699"/>
      <c r="E4924" s="656"/>
      <c r="F4924" s="656" t="s">
        <v>436</v>
      </c>
      <c r="G4924" s="699"/>
      <c r="H4924" s="704"/>
    </row>
    <row r="4925">
      <c r="A4925" s="546"/>
      <c r="B4925" s="656"/>
      <c r="C4925" s="703"/>
      <c r="D4925" s="699"/>
      <c r="E4925" s="656"/>
      <c r="F4925" s="656" t="s">
        <v>436</v>
      </c>
      <c r="G4925" s="699"/>
      <c r="H4925" s="704"/>
    </row>
    <row r="4926">
      <c r="A4926" s="546"/>
      <c r="B4926" s="656"/>
      <c r="C4926" s="703"/>
      <c r="D4926" s="699"/>
      <c r="E4926" s="656"/>
      <c r="F4926" s="656" t="s">
        <v>436</v>
      </c>
      <c r="G4926" s="699"/>
      <c r="H4926" s="704"/>
    </row>
    <row r="4927">
      <c r="A4927" s="546"/>
      <c r="B4927" s="656"/>
      <c r="C4927" s="703"/>
      <c r="D4927" s="699"/>
      <c r="E4927" s="656"/>
      <c r="F4927" s="656" t="s">
        <v>436</v>
      </c>
      <c r="G4927" s="699"/>
      <c r="H4927" s="704"/>
    </row>
    <row r="4928">
      <c r="A4928" s="546"/>
      <c r="B4928" s="656"/>
      <c r="C4928" s="703"/>
      <c r="D4928" s="699"/>
      <c r="E4928" s="656"/>
      <c r="F4928" s="656" t="s">
        <v>436</v>
      </c>
      <c r="G4928" s="699"/>
      <c r="H4928" s="704"/>
    </row>
    <row r="4929">
      <c r="A4929" s="546"/>
      <c r="B4929" s="656"/>
      <c r="C4929" s="703"/>
      <c r="D4929" s="699"/>
      <c r="E4929" s="656"/>
      <c r="F4929" s="656" t="s">
        <v>436</v>
      </c>
      <c r="G4929" s="699"/>
      <c r="H4929" s="704"/>
    </row>
    <row r="4930">
      <c r="A4930" s="546"/>
      <c r="B4930" s="656"/>
      <c r="C4930" s="703"/>
      <c r="D4930" s="699"/>
      <c r="E4930" s="656"/>
      <c r="F4930" s="656" t="s">
        <v>436</v>
      </c>
      <c r="G4930" s="699"/>
      <c r="H4930" s="704"/>
    </row>
    <row r="4931">
      <c r="A4931" s="546"/>
      <c r="B4931" s="656"/>
      <c r="C4931" s="703"/>
      <c r="D4931" s="699"/>
      <c r="E4931" s="656"/>
      <c r="F4931" s="656" t="s">
        <v>436</v>
      </c>
      <c r="G4931" s="699"/>
      <c r="H4931" s="704"/>
    </row>
    <row r="4932">
      <c r="A4932" s="546"/>
      <c r="B4932" s="656"/>
      <c r="C4932" s="703"/>
      <c r="D4932" s="699"/>
      <c r="E4932" s="656"/>
      <c r="F4932" s="656" t="s">
        <v>436</v>
      </c>
      <c r="G4932" s="699"/>
      <c r="H4932" s="704"/>
    </row>
    <row r="4933">
      <c r="A4933" s="546"/>
      <c r="B4933" s="656"/>
      <c r="C4933" s="703"/>
      <c r="D4933" s="699"/>
      <c r="E4933" s="656"/>
      <c r="F4933" s="656" t="s">
        <v>436</v>
      </c>
      <c r="G4933" s="699"/>
      <c r="H4933" s="704"/>
    </row>
    <row r="4934">
      <c r="A4934" s="546"/>
      <c r="B4934" s="656"/>
      <c r="C4934" s="703"/>
      <c r="D4934" s="699"/>
      <c r="E4934" s="656"/>
      <c r="F4934" s="656" t="s">
        <v>436</v>
      </c>
      <c r="G4934" s="699"/>
      <c r="H4934" s="704"/>
    </row>
    <row r="4935">
      <c r="A4935" s="546"/>
      <c r="B4935" s="656"/>
      <c r="C4935" s="703"/>
      <c r="D4935" s="699"/>
      <c r="E4935" s="656"/>
      <c r="F4935" s="656" t="s">
        <v>436</v>
      </c>
      <c r="G4935" s="699"/>
      <c r="H4935" s="704"/>
    </row>
    <row r="4936">
      <c r="A4936" s="546"/>
      <c r="B4936" s="656"/>
      <c r="C4936" s="703"/>
      <c r="D4936" s="699"/>
      <c r="E4936" s="656"/>
      <c r="F4936" s="656" t="s">
        <v>436</v>
      </c>
      <c r="G4936" s="699"/>
      <c r="H4936" s="704"/>
    </row>
    <row r="4937">
      <c r="A4937" s="546"/>
      <c r="B4937" s="656"/>
      <c r="C4937" s="703"/>
      <c r="D4937" s="699"/>
      <c r="E4937" s="656"/>
      <c r="F4937" s="656" t="s">
        <v>436</v>
      </c>
      <c r="G4937" s="699"/>
      <c r="H4937" s="704"/>
    </row>
    <row r="4938">
      <c r="A4938" s="546"/>
      <c r="B4938" s="656"/>
      <c r="C4938" s="703"/>
      <c r="D4938" s="699"/>
      <c r="E4938" s="656"/>
      <c r="F4938" s="656" t="s">
        <v>436</v>
      </c>
      <c r="G4938" s="699"/>
      <c r="H4938" s="704"/>
    </row>
    <row r="4939">
      <c r="A4939" s="546"/>
      <c r="B4939" s="656"/>
      <c r="C4939" s="703"/>
      <c r="D4939" s="699"/>
      <c r="E4939" s="656"/>
      <c r="F4939" s="656" t="s">
        <v>436</v>
      </c>
      <c r="G4939" s="699"/>
      <c r="H4939" s="704"/>
    </row>
    <row r="4940">
      <c r="A4940" s="546"/>
      <c r="B4940" s="656"/>
      <c r="C4940" s="703"/>
      <c r="D4940" s="699"/>
      <c r="E4940" s="656"/>
      <c r="F4940" s="656" t="s">
        <v>436</v>
      </c>
      <c r="G4940" s="699"/>
      <c r="H4940" s="704"/>
    </row>
    <row r="4941">
      <c r="A4941" s="546"/>
      <c r="B4941" s="656"/>
      <c r="C4941" s="703"/>
      <c r="D4941" s="699"/>
      <c r="E4941" s="656"/>
      <c r="F4941" s="656" t="s">
        <v>436</v>
      </c>
      <c r="G4941" s="699"/>
      <c r="H4941" s="704"/>
    </row>
    <row r="4942">
      <c r="A4942" s="546"/>
      <c r="B4942" s="656"/>
      <c r="C4942" s="703"/>
      <c r="D4942" s="699"/>
      <c r="E4942" s="656"/>
      <c r="F4942" s="656" t="s">
        <v>436</v>
      </c>
      <c r="G4942" s="699"/>
      <c r="H4942" s="704"/>
    </row>
    <row r="4943">
      <c r="A4943" s="546"/>
      <c r="B4943" s="656"/>
      <c r="C4943" s="703"/>
      <c r="D4943" s="699"/>
      <c r="E4943" s="656"/>
      <c r="F4943" s="656" t="s">
        <v>436</v>
      </c>
      <c r="G4943" s="699"/>
      <c r="H4943" s="704"/>
    </row>
    <row r="4944">
      <c r="A4944" s="546"/>
      <c r="B4944" s="656"/>
      <c r="C4944" s="703"/>
      <c r="D4944" s="699"/>
      <c r="E4944" s="656"/>
      <c r="F4944" s="656" t="s">
        <v>436</v>
      </c>
      <c r="G4944" s="699"/>
      <c r="H4944" s="704"/>
    </row>
    <row r="4945">
      <c r="A4945" s="546"/>
      <c r="B4945" s="656"/>
      <c r="C4945" s="703"/>
      <c r="D4945" s="699"/>
      <c r="E4945" s="656"/>
      <c r="F4945" s="656" t="s">
        <v>436</v>
      </c>
      <c r="G4945" s="699"/>
      <c r="H4945" s="704"/>
    </row>
    <row r="4946">
      <c r="A4946" s="546"/>
      <c r="B4946" s="656"/>
      <c r="C4946" s="703"/>
      <c r="D4946" s="699"/>
      <c r="E4946" s="656"/>
      <c r="F4946" s="656" t="s">
        <v>436</v>
      </c>
      <c r="G4946" s="699"/>
      <c r="H4946" s="704"/>
    </row>
    <row r="4947">
      <c r="A4947" s="546"/>
      <c r="B4947" s="656"/>
      <c r="C4947" s="703"/>
      <c r="D4947" s="699"/>
      <c r="E4947" s="656"/>
      <c r="F4947" s="656" t="s">
        <v>436</v>
      </c>
      <c r="G4947" s="699"/>
      <c r="H4947" s="704"/>
    </row>
    <row r="4948">
      <c r="A4948" s="546"/>
      <c r="B4948" s="656"/>
      <c r="C4948" s="703"/>
      <c r="D4948" s="699"/>
      <c r="E4948" s="656"/>
      <c r="F4948" s="656" t="s">
        <v>436</v>
      </c>
      <c r="G4948" s="699"/>
      <c r="H4948" s="704"/>
    </row>
    <row r="4949">
      <c r="A4949" s="546"/>
      <c r="B4949" s="656"/>
      <c r="C4949" s="703"/>
      <c r="D4949" s="699"/>
      <c r="E4949" s="656"/>
      <c r="F4949" s="656" t="s">
        <v>436</v>
      </c>
      <c r="G4949" s="699"/>
      <c r="H4949" s="704"/>
    </row>
    <row r="4950">
      <c r="A4950" s="546"/>
      <c r="B4950" s="656"/>
      <c r="C4950" s="703"/>
      <c r="D4950" s="699"/>
      <c r="E4950" s="656"/>
      <c r="F4950" s="656" t="s">
        <v>436</v>
      </c>
      <c r="G4950" s="699"/>
      <c r="H4950" s="704"/>
    </row>
    <row r="4951">
      <c r="A4951" s="546"/>
      <c r="B4951" s="656"/>
      <c r="C4951" s="703"/>
      <c r="D4951" s="699"/>
      <c r="E4951" s="656"/>
      <c r="F4951" s="656" t="s">
        <v>436</v>
      </c>
      <c r="G4951" s="699"/>
      <c r="H4951" s="704"/>
    </row>
    <row r="4952">
      <c r="A4952" s="546"/>
      <c r="B4952" s="656"/>
      <c r="C4952" s="703"/>
      <c r="D4952" s="699"/>
      <c r="E4952" s="656"/>
      <c r="F4952" s="656" t="s">
        <v>436</v>
      </c>
      <c r="G4952" s="699"/>
      <c r="H4952" s="704"/>
    </row>
    <row r="4953">
      <c r="A4953" s="546"/>
      <c r="B4953" s="656"/>
      <c r="C4953" s="703"/>
      <c r="D4953" s="699"/>
      <c r="E4953" s="656"/>
      <c r="F4953" s="656" t="s">
        <v>436</v>
      </c>
      <c r="G4953" s="699"/>
      <c r="H4953" s="704"/>
    </row>
    <row r="4954">
      <c r="A4954" s="546"/>
      <c r="B4954" s="656"/>
      <c r="C4954" s="703"/>
      <c r="D4954" s="699"/>
      <c r="E4954" s="656"/>
      <c r="F4954" s="656" t="s">
        <v>436</v>
      </c>
      <c r="G4954" s="699"/>
      <c r="H4954" s="704"/>
    </row>
    <row r="4955">
      <c r="A4955" s="546"/>
      <c r="B4955" s="656"/>
      <c r="C4955" s="703"/>
      <c r="D4955" s="699"/>
      <c r="E4955" s="656"/>
      <c r="F4955" s="656" t="s">
        <v>436</v>
      </c>
      <c r="G4955" s="699"/>
      <c r="H4955" s="704"/>
    </row>
    <row r="4956">
      <c r="A4956" s="546"/>
      <c r="B4956" s="656"/>
      <c r="C4956" s="703"/>
      <c r="D4956" s="699"/>
      <c r="E4956" s="656"/>
      <c r="F4956" s="656" t="s">
        <v>436</v>
      </c>
      <c r="G4956" s="699"/>
      <c r="H4956" s="704"/>
    </row>
    <row r="4957">
      <c r="A4957" s="546"/>
      <c r="B4957" s="656"/>
      <c r="C4957" s="703"/>
      <c r="D4957" s="699"/>
      <c r="E4957" s="656"/>
      <c r="F4957" s="656" t="s">
        <v>436</v>
      </c>
      <c r="G4957" s="699"/>
      <c r="H4957" s="704"/>
    </row>
    <row r="4958">
      <c r="A4958" s="546"/>
      <c r="B4958" s="656"/>
      <c r="C4958" s="703"/>
      <c r="D4958" s="699"/>
      <c r="E4958" s="656"/>
      <c r="F4958" s="656" t="s">
        <v>436</v>
      </c>
      <c r="G4958" s="699"/>
      <c r="H4958" s="704"/>
    </row>
    <row r="4959">
      <c r="A4959" s="546"/>
      <c r="B4959" s="656"/>
      <c r="C4959" s="703"/>
      <c r="D4959" s="699"/>
      <c r="E4959" s="656"/>
      <c r="F4959" s="656" t="s">
        <v>436</v>
      </c>
      <c r="G4959" s="699"/>
      <c r="H4959" s="704"/>
    </row>
    <row r="4960">
      <c r="A4960" s="546"/>
      <c r="B4960" s="656"/>
      <c r="C4960" s="703"/>
      <c r="D4960" s="699"/>
      <c r="E4960" s="656"/>
      <c r="F4960" s="656" t="s">
        <v>436</v>
      </c>
      <c r="G4960" s="699"/>
      <c r="H4960" s="704"/>
    </row>
    <row r="4961">
      <c r="A4961" s="546"/>
      <c r="B4961" s="656"/>
      <c r="C4961" s="703"/>
      <c r="D4961" s="699"/>
      <c r="E4961" s="656"/>
      <c r="F4961" s="656" t="s">
        <v>436</v>
      </c>
      <c r="G4961" s="699"/>
      <c r="H4961" s="704"/>
    </row>
    <row r="4962">
      <c r="A4962" s="546"/>
      <c r="B4962" s="656"/>
      <c r="C4962" s="703"/>
      <c r="D4962" s="699"/>
      <c r="E4962" s="656"/>
      <c r="F4962" s="656" t="s">
        <v>436</v>
      </c>
      <c r="G4962" s="699"/>
      <c r="H4962" s="704"/>
    </row>
    <row r="4963">
      <c r="A4963" s="546"/>
      <c r="B4963" s="656"/>
      <c r="C4963" s="703"/>
      <c r="D4963" s="699"/>
      <c r="E4963" s="656"/>
      <c r="F4963" s="656" t="s">
        <v>436</v>
      </c>
      <c r="G4963" s="699"/>
      <c r="H4963" s="704"/>
    </row>
    <row r="4964">
      <c r="A4964" s="546"/>
      <c r="B4964" s="656"/>
      <c r="C4964" s="703"/>
      <c r="D4964" s="699"/>
      <c r="E4964" s="656"/>
      <c r="F4964" s="656" t="s">
        <v>436</v>
      </c>
      <c r="G4964" s="699"/>
      <c r="H4964" s="704"/>
    </row>
    <row r="4965">
      <c r="A4965" s="546"/>
      <c r="B4965" s="656"/>
      <c r="C4965" s="703"/>
      <c r="D4965" s="699"/>
      <c r="E4965" s="656"/>
      <c r="F4965" s="656" t="s">
        <v>436</v>
      </c>
      <c r="G4965" s="699"/>
      <c r="H4965" s="704"/>
    </row>
    <row r="4966">
      <c r="A4966" s="546"/>
      <c r="B4966" s="656"/>
      <c r="C4966" s="703"/>
      <c r="D4966" s="699"/>
      <c r="E4966" s="656"/>
      <c r="F4966" s="656" t="s">
        <v>436</v>
      </c>
      <c r="G4966" s="699"/>
      <c r="H4966" s="704"/>
    </row>
    <row r="4967">
      <c r="A4967" s="546"/>
      <c r="B4967" s="656"/>
      <c r="C4967" s="703"/>
      <c r="D4967" s="699"/>
      <c r="E4967" s="656"/>
      <c r="F4967" s="656" t="s">
        <v>436</v>
      </c>
      <c r="G4967" s="699"/>
      <c r="H4967" s="704"/>
    </row>
    <row r="4968">
      <c r="A4968" s="546"/>
      <c r="B4968" s="656"/>
      <c r="C4968" s="703"/>
      <c r="D4968" s="699"/>
      <c r="E4968" s="656"/>
      <c r="F4968" s="656" t="s">
        <v>436</v>
      </c>
      <c r="G4968" s="699"/>
      <c r="H4968" s="704"/>
    </row>
    <row r="4969">
      <c r="A4969" s="546"/>
      <c r="B4969" s="656"/>
      <c r="C4969" s="703"/>
      <c r="D4969" s="699"/>
      <c r="E4969" s="656"/>
      <c r="F4969" s="656" t="s">
        <v>436</v>
      </c>
      <c r="G4969" s="699"/>
      <c r="H4969" s="704"/>
    </row>
    <row r="4970">
      <c r="A4970" s="546"/>
      <c r="B4970" s="656"/>
      <c r="C4970" s="703"/>
      <c r="D4970" s="699"/>
      <c r="E4970" s="656"/>
      <c r="F4970" s="656" t="s">
        <v>436</v>
      </c>
      <c r="G4970" s="699"/>
      <c r="H4970" s="704"/>
    </row>
    <row r="4971">
      <c r="A4971" s="546"/>
      <c r="B4971" s="656"/>
      <c r="C4971" s="703"/>
      <c r="D4971" s="699"/>
      <c r="E4971" s="656"/>
      <c r="F4971" s="656" t="s">
        <v>436</v>
      </c>
      <c r="G4971" s="699"/>
      <c r="H4971" s="704"/>
    </row>
    <row r="4972">
      <c r="A4972" s="546"/>
      <c r="B4972" s="656"/>
      <c r="C4972" s="703"/>
      <c r="D4972" s="699"/>
      <c r="E4972" s="656"/>
      <c r="F4972" s="656" t="s">
        <v>436</v>
      </c>
      <c r="G4972" s="699"/>
      <c r="H4972" s="704"/>
    </row>
    <row r="4973">
      <c r="A4973" s="546"/>
      <c r="B4973" s="656"/>
      <c r="C4973" s="703"/>
      <c r="D4973" s="699"/>
      <c r="E4973" s="656"/>
      <c r="F4973" s="656" t="s">
        <v>436</v>
      </c>
      <c r="G4973" s="699"/>
      <c r="H4973" s="704"/>
    </row>
    <row r="4974">
      <c r="A4974" s="546"/>
      <c r="B4974" s="656"/>
      <c r="C4974" s="703"/>
      <c r="D4974" s="699"/>
      <c r="E4974" s="656"/>
      <c r="F4974" s="656" t="s">
        <v>436</v>
      </c>
      <c r="G4974" s="699"/>
      <c r="H4974" s="704"/>
    </row>
    <row r="4975">
      <c r="A4975" s="546"/>
      <c r="B4975" s="656"/>
      <c r="C4975" s="703"/>
      <c r="D4975" s="699"/>
      <c r="E4975" s="656"/>
      <c r="F4975" s="656" t="s">
        <v>436</v>
      </c>
      <c r="G4975" s="699"/>
      <c r="H4975" s="704"/>
    </row>
    <row r="4976">
      <c r="A4976" s="546"/>
      <c r="B4976" s="656"/>
      <c r="C4976" s="703"/>
      <c r="D4976" s="699"/>
      <c r="E4976" s="656"/>
      <c r="F4976" s="656" t="s">
        <v>436</v>
      </c>
      <c r="G4976" s="699"/>
      <c r="H4976" s="704"/>
    </row>
    <row r="4977">
      <c r="A4977" s="546"/>
      <c r="B4977" s="656"/>
      <c r="C4977" s="703"/>
      <c r="D4977" s="699"/>
      <c r="E4977" s="656"/>
      <c r="F4977" s="656" t="s">
        <v>436</v>
      </c>
      <c r="G4977" s="699"/>
      <c r="H4977" s="704"/>
    </row>
    <row r="4978">
      <c r="A4978" s="546"/>
      <c r="B4978" s="656"/>
      <c r="C4978" s="703"/>
      <c r="D4978" s="699"/>
      <c r="E4978" s="656"/>
      <c r="F4978" s="656" t="s">
        <v>436</v>
      </c>
      <c r="G4978" s="699"/>
      <c r="H4978" s="704"/>
    </row>
    <row r="4979">
      <c r="A4979" s="546"/>
      <c r="B4979" s="656"/>
      <c r="C4979" s="703"/>
      <c r="D4979" s="699"/>
      <c r="E4979" s="656"/>
      <c r="F4979" s="656" t="s">
        <v>436</v>
      </c>
      <c r="G4979" s="699"/>
      <c r="H4979" s="704"/>
    </row>
    <row r="4980">
      <c r="A4980" s="546"/>
      <c r="B4980" s="656"/>
      <c r="C4980" s="703"/>
      <c r="D4980" s="699"/>
      <c r="E4980" s="656"/>
      <c r="F4980" s="656" t="s">
        <v>436</v>
      </c>
      <c r="G4980" s="699"/>
      <c r="H4980" s="704"/>
    </row>
    <row r="4981">
      <c r="A4981" s="546"/>
      <c r="B4981" s="656"/>
      <c r="C4981" s="703"/>
      <c r="D4981" s="699"/>
      <c r="E4981" s="656"/>
      <c r="F4981" s="656" t="s">
        <v>436</v>
      </c>
      <c r="G4981" s="699"/>
      <c r="H4981" s="704"/>
    </row>
    <row r="4982">
      <c r="A4982" s="546"/>
      <c r="B4982" s="656"/>
      <c r="C4982" s="703"/>
      <c r="D4982" s="699"/>
      <c r="E4982" s="656"/>
      <c r="F4982" s="656" t="s">
        <v>436</v>
      </c>
      <c r="G4982" s="699"/>
      <c r="H4982" s="704"/>
    </row>
    <row r="4983">
      <c r="A4983" s="546"/>
      <c r="B4983" s="656"/>
      <c r="C4983" s="703"/>
      <c r="D4983" s="699"/>
      <c r="E4983" s="656"/>
      <c r="F4983" s="656" t="s">
        <v>436</v>
      </c>
      <c r="G4983" s="699"/>
      <c r="H4983" s="704"/>
    </row>
    <row r="4984">
      <c r="A4984" s="546"/>
      <c r="B4984" s="656"/>
      <c r="C4984" s="703"/>
      <c r="D4984" s="699"/>
      <c r="E4984" s="656"/>
      <c r="F4984" s="656" t="s">
        <v>436</v>
      </c>
      <c r="G4984" s="699"/>
      <c r="H4984" s="704"/>
    </row>
    <row r="4985">
      <c r="A4985" s="546"/>
      <c r="B4985" s="656"/>
      <c r="C4985" s="703"/>
      <c r="D4985" s="699"/>
      <c r="E4985" s="656"/>
      <c r="F4985" s="656" t="s">
        <v>436</v>
      </c>
      <c r="G4985" s="699"/>
      <c r="H4985" s="704"/>
    </row>
    <row r="4986">
      <c r="A4986" s="546"/>
      <c r="B4986" s="656"/>
      <c r="C4986" s="703"/>
      <c r="D4986" s="699"/>
      <c r="E4986" s="656"/>
      <c r="F4986" s="656" t="s">
        <v>436</v>
      </c>
      <c r="G4986" s="699"/>
      <c r="H4986" s="704"/>
    </row>
    <row r="4987">
      <c r="A4987" s="546"/>
      <c r="B4987" s="656"/>
      <c r="C4987" s="703"/>
      <c r="D4987" s="699"/>
      <c r="E4987" s="656"/>
      <c r="F4987" s="656" t="s">
        <v>436</v>
      </c>
      <c r="G4987" s="699"/>
      <c r="H4987" s="704"/>
    </row>
    <row r="4988">
      <c r="A4988" s="546"/>
      <c r="B4988" s="656"/>
      <c r="C4988" s="703"/>
      <c r="D4988" s="699"/>
      <c r="E4988" s="656"/>
      <c r="F4988" s="656" t="s">
        <v>436</v>
      </c>
      <c r="G4988" s="699"/>
      <c r="H4988" s="704"/>
    </row>
    <row r="4989">
      <c r="A4989" s="546"/>
      <c r="B4989" s="656"/>
      <c r="C4989" s="703"/>
      <c r="D4989" s="699"/>
      <c r="E4989" s="656"/>
      <c r="F4989" s="656" t="s">
        <v>436</v>
      </c>
      <c r="G4989" s="699"/>
      <c r="H4989" s="704"/>
    </row>
    <row r="4990">
      <c r="A4990" s="546"/>
      <c r="B4990" s="656"/>
      <c r="C4990" s="703"/>
      <c r="D4990" s="699"/>
      <c r="E4990" s="656"/>
      <c r="F4990" s="656" t="s">
        <v>436</v>
      </c>
      <c r="G4990" s="699"/>
      <c r="H4990" s="704"/>
    </row>
    <row r="4991">
      <c r="A4991" s="546"/>
      <c r="B4991" s="118"/>
      <c r="C4991" s="618"/>
      <c r="D4991" s="118"/>
      <c r="E4991" s="705"/>
      <c r="F4991" s="655"/>
      <c r="G4991" s="705"/>
      <c r="H4991" s="706"/>
    </row>
    <row r="4992">
      <c r="A4992" s="546"/>
      <c r="B4992" s="118"/>
      <c r="C4992" s="618"/>
      <c r="D4992" s="118"/>
      <c r="E4992" s="705"/>
      <c r="F4992" s="655"/>
      <c r="G4992" s="705"/>
      <c r="H4992" s="706"/>
    </row>
    <row r="4993">
      <c r="A4993" s="546"/>
      <c r="B4993" s="118"/>
      <c r="C4993" s="618"/>
      <c r="D4993" s="118"/>
      <c r="E4993" s="705"/>
      <c r="F4993" s="655"/>
      <c r="G4993" s="705"/>
      <c r="H4993" s="706"/>
    </row>
    <row r="4994">
      <c r="A4994" s="546"/>
      <c r="B4994" s="118"/>
      <c r="C4994" s="618"/>
      <c r="D4994" s="118"/>
      <c r="E4994" s="705"/>
      <c r="F4994" s="655"/>
      <c r="G4994" s="705"/>
      <c r="H4994" s="706"/>
    </row>
    <row r="4995">
      <c r="A4995" s="546"/>
      <c r="B4995" s="118"/>
      <c r="C4995" s="618"/>
      <c r="D4995" s="118"/>
      <c r="E4995" s="705"/>
      <c r="F4995" s="655"/>
      <c r="G4995" s="705"/>
      <c r="H4995" s="706"/>
    </row>
    <row r="4996">
      <c r="A4996" s="546"/>
      <c r="B4996" s="118"/>
      <c r="C4996" s="618"/>
      <c r="D4996" s="118"/>
      <c r="E4996" s="705"/>
      <c r="F4996" s="655"/>
      <c r="G4996" s="705"/>
      <c r="H4996" s="706"/>
    </row>
    <row r="4997">
      <c r="A4997" s="546"/>
      <c r="B4997" s="118"/>
      <c r="C4997" s="618"/>
      <c r="D4997" s="118"/>
      <c r="E4997" s="705"/>
      <c r="F4997" s="655"/>
      <c r="G4997" s="705"/>
      <c r="H4997" s="706"/>
    </row>
    <row r="4998">
      <c r="A4998" s="546"/>
      <c r="B4998" s="118"/>
      <c r="C4998" s="618"/>
      <c r="D4998" s="118"/>
      <c r="E4998" s="705"/>
      <c r="F4998" s="655"/>
      <c r="G4998" s="705"/>
      <c r="H4998" s="706"/>
    </row>
    <row r="4999">
      <c r="A4999" s="546"/>
      <c r="B4999" s="118"/>
      <c r="C4999" s="618"/>
      <c r="D4999" s="118"/>
      <c r="E4999" s="705"/>
      <c r="F4999" s="655"/>
      <c r="G4999" s="705"/>
      <c r="H4999" s="706"/>
    </row>
    <row r="5000">
      <c r="A5000" s="546"/>
      <c r="B5000" s="118"/>
      <c r="C5000" s="618"/>
      <c r="D5000" s="118"/>
      <c r="E5000" s="705"/>
      <c r="F5000" s="655"/>
      <c r="G5000" s="705"/>
      <c r="H5000" s="706"/>
    </row>
    <row r="5001">
      <c r="A5001" s="546"/>
      <c r="B5001" s="118"/>
      <c r="C5001" s="618"/>
      <c r="D5001" s="118"/>
      <c r="E5001" s="705"/>
      <c r="F5001" s="655"/>
      <c r="G5001" s="705"/>
      <c r="H5001" s="706"/>
    </row>
    <row r="5002">
      <c r="A5002" s="546"/>
      <c r="B5002" s="118"/>
      <c r="C5002" s="618"/>
      <c r="D5002" s="118"/>
      <c r="E5002" s="705"/>
      <c r="F5002" s="655"/>
      <c r="G5002" s="705"/>
      <c r="H5002" s="706"/>
    </row>
    <row r="5003">
      <c r="A5003" s="546"/>
      <c r="B5003" s="118"/>
      <c r="C5003" s="618"/>
      <c r="D5003" s="118"/>
      <c r="E5003" s="705"/>
      <c r="F5003" s="655"/>
      <c r="G5003" s="705"/>
      <c r="H5003" s="706"/>
    </row>
    <row r="5004">
      <c r="A5004" s="546"/>
      <c r="B5004" s="118"/>
      <c r="C5004" s="618"/>
      <c r="D5004" s="118"/>
      <c r="E5004" s="705"/>
      <c r="F5004" s="655"/>
      <c r="G5004" s="705"/>
      <c r="H5004" s="706"/>
    </row>
    <row r="5005">
      <c r="A5005" s="546"/>
      <c r="B5005" s="118"/>
      <c r="C5005" s="618"/>
      <c r="D5005" s="118"/>
      <c r="E5005" s="705"/>
      <c r="F5005" s="655"/>
      <c r="G5005" s="705"/>
      <c r="H5005" s="706"/>
    </row>
    <row r="5006">
      <c r="A5006" s="546"/>
      <c r="B5006" s="118"/>
      <c r="C5006" s="618"/>
      <c r="D5006" s="118"/>
      <c r="E5006" s="705"/>
      <c r="F5006" s="655"/>
      <c r="G5006" s="705"/>
      <c r="H5006" s="706"/>
    </row>
    <row r="5007">
      <c r="A5007" s="546"/>
      <c r="B5007" s="118"/>
      <c r="C5007" s="618"/>
      <c r="D5007" s="118"/>
      <c r="E5007" s="705"/>
      <c r="F5007" s="655"/>
      <c r="G5007" s="705"/>
      <c r="H5007" s="706"/>
    </row>
    <row r="5008">
      <c r="A5008" s="546"/>
      <c r="B5008" s="118"/>
      <c r="C5008" s="618"/>
      <c r="D5008" s="118"/>
      <c r="E5008" s="705"/>
      <c r="F5008" s="655"/>
      <c r="G5008" s="705"/>
      <c r="H5008" s="706"/>
    </row>
    <row r="5009">
      <c r="A5009" s="546"/>
      <c r="B5009" s="118"/>
      <c r="C5009" s="618"/>
      <c r="D5009" s="118"/>
      <c r="E5009" s="705"/>
      <c r="F5009" s="655"/>
      <c r="G5009" s="705"/>
      <c r="H5009" s="706"/>
    </row>
    <row r="5010">
      <c r="A5010" s="546"/>
      <c r="B5010" s="118"/>
      <c r="C5010" s="618"/>
      <c r="D5010" s="118"/>
      <c r="E5010" s="705"/>
      <c r="F5010" s="655"/>
      <c r="G5010" s="705"/>
      <c r="H5010" s="706"/>
    </row>
    <row r="5011">
      <c r="A5011" s="546"/>
      <c r="B5011" s="118"/>
      <c r="C5011" s="618"/>
      <c r="D5011" s="118"/>
      <c r="E5011" s="705"/>
      <c r="F5011" s="655"/>
      <c r="G5011" s="705"/>
      <c r="H5011" s="706"/>
    </row>
    <row r="5012">
      <c r="A5012" s="546"/>
      <c r="B5012" s="118"/>
      <c r="C5012" s="618"/>
      <c r="D5012" s="118"/>
      <c r="E5012" s="705"/>
      <c r="F5012" s="655"/>
      <c r="G5012" s="705"/>
      <c r="H5012" s="706"/>
    </row>
    <row r="5013">
      <c r="A5013" s="546"/>
      <c r="B5013" s="118"/>
      <c r="C5013" s="618"/>
      <c r="D5013" s="118"/>
      <c r="E5013" s="705"/>
      <c r="F5013" s="655"/>
      <c r="G5013" s="705"/>
      <c r="H5013" s="706"/>
    </row>
    <row r="5014">
      <c r="A5014" s="546"/>
      <c r="B5014" s="118"/>
      <c r="C5014" s="618"/>
      <c r="D5014" s="118"/>
      <c r="E5014" s="705"/>
      <c r="F5014" s="655"/>
      <c r="G5014" s="705"/>
      <c r="H5014" s="706"/>
    </row>
    <row r="5015">
      <c r="A5015" s="546"/>
      <c r="B5015" s="118"/>
      <c r="C5015" s="618"/>
      <c r="D5015" s="118"/>
      <c r="E5015" s="705"/>
      <c r="F5015" s="655"/>
      <c r="G5015" s="705"/>
      <c r="H5015" s="706"/>
    </row>
    <row r="5016">
      <c r="A5016" s="546"/>
      <c r="B5016" s="118"/>
      <c r="C5016" s="618"/>
      <c r="D5016" s="118"/>
      <c r="E5016" s="705"/>
      <c r="F5016" s="655"/>
      <c r="G5016" s="705"/>
      <c r="H5016" s="706"/>
    </row>
    <row r="5017">
      <c r="A5017" s="546"/>
      <c r="B5017" s="118"/>
      <c r="C5017" s="618"/>
      <c r="D5017" s="118"/>
      <c r="E5017" s="705"/>
      <c r="F5017" s="655"/>
      <c r="G5017" s="705"/>
      <c r="H5017" s="706"/>
    </row>
    <row r="5018">
      <c r="A5018" s="546"/>
      <c r="B5018" s="118"/>
      <c r="C5018" s="618"/>
      <c r="D5018" s="118"/>
      <c r="E5018" s="705"/>
      <c r="F5018" s="655"/>
      <c r="G5018" s="705"/>
      <c r="H5018" s="706"/>
    </row>
    <row r="5019">
      <c r="A5019" s="546"/>
      <c r="B5019" s="118"/>
      <c r="C5019" s="618"/>
      <c r="D5019" s="118"/>
      <c r="E5019" s="705"/>
      <c r="F5019" s="655"/>
      <c r="G5019" s="705"/>
      <c r="H5019" s="706"/>
    </row>
    <row r="5020">
      <c r="A5020" s="546"/>
      <c r="B5020" s="118"/>
      <c r="C5020" s="618"/>
      <c r="D5020" s="118"/>
      <c r="E5020" s="705"/>
      <c r="F5020" s="655"/>
      <c r="G5020" s="705"/>
      <c r="H5020" s="706"/>
    </row>
    <row r="5021">
      <c r="A5021" s="546"/>
      <c r="B5021" s="118"/>
      <c r="C5021" s="618"/>
      <c r="D5021" s="118"/>
      <c r="E5021" s="705"/>
      <c r="F5021" s="655"/>
      <c r="G5021" s="705"/>
      <c r="H5021" s="706"/>
    </row>
    <row r="5022">
      <c r="A5022" s="546"/>
      <c r="B5022" s="118"/>
      <c r="C5022" s="618"/>
      <c r="D5022" s="118"/>
      <c r="E5022" s="705"/>
      <c r="F5022" s="655"/>
      <c r="G5022" s="705"/>
      <c r="H5022" s="706"/>
    </row>
    <row r="5023">
      <c r="A5023" s="546"/>
      <c r="B5023" s="118"/>
      <c r="C5023" s="618"/>
      <c r="D5023" s="118"/>
      <c r="E5023" s="705"/>
      <c r="F5023" s="655"/>
      <c r="G5023" s="705"/>
      <c r="H5023" s="706"/>
    </row>
    <row r="5024">
      <c r="A5024" s="546"/>
      <c r="B5024" s="118"/>
      <c r="C5024" s="618"/>
      <c r="D5024" s="118"/>
      <c r="E5024" s="705"/>
      <c r="F5024" s="655"/>
      <c r="G5024" s="705"/>
      <c r="H5024" s="706"/>
    </row>
    <row r="5025">
      <c r="A5025" s="546"/>
      <c r="B5025" s="118"/>
      <c r="C5025" s="618"/>
      <c r="D5025" s="118"/>
      <c r="E5025" s="705"/>
      <c r="F5025" s="655"/>
      <c r="G5025" s="705"/>
      <c r="H5025" s="706"/>
    </row>
    <row r="5026">
      <c r="A5026" s="546"/>
      <c r="B5026" s="118"/>
      <c r="C5026" s="618"/>
      <c r="D5026" s="118"/>
      <c r="E5026" s="705"/>
      <c r="F5026" s="655"/>
      <c r="G5026" s="705"/>
      <c r="H5026" s="706"/>
    </row>
    <row r="5027">
      <c r="A5027" s="546"/>
      <c r="B5027" s="118"/>
      <c r="C5027" s="618"/>
      <c r="D5027" s="118"/>
      <c r="E5027" s="705"/>
      <c r="F5027" s="655"/>
      <c r="G5027" s="705"/>
      <c r="H5027" s="706"/>
    </row>
    <row r="5028">
      <c r="A5028" s="546"/>
      <c r="B5028" s="118"/>
      <c r="C5028" s="618"/>
      <c r="D5028" s="118"/>
      <c r="E5028" s="705"/>
      <c r="F5028" s="655"/>
      <c r="G5028" s="705"/>
      <c r="H5028" s="706"/>
    </row>
    <row r="5029">
      <c r="A5029" s="546"/>
      <c r="B5029" s="118"/>
      <c r="C5029" s="618"/>
      <c r="D5029" s="118"/>
      <c r="E5029" s="705"/>
      <c r="F5029" s="655"/>
      <c r="G5029" s="705"/>
      <c r="H5029" s="706"/>
    </row>
    <row r="5030">
      <c r="A5030" s="546"/>
      <c r="B5030" s="118"/>
      <c r="C5030" s="618"/>
      <c r="D5030" s="118"/>
      <c r="E5030" s="705"/>
      <c r="F5030" s="655"/>
      <c r="G5030" s="705"/>
      <c r="H5030" s="706"/>
    </row>
    <row r="5031">
      <c r="A5031" s="546"/>
      <c r="B5031" s="118"/>
      <c r="C5031" s="618"/>
      <c r="D5031" s="118"/>
      <c r="E5031" s="705"/>
      <c r="F5031" s="655"/>
      <c r="G5031" s="705"/>
      <c r="H5031" s="706"/>
    </row>
    <row r="5032">
      <c r="A5032" s="546"/>
      <c r="B5032" s="118"/>
      <c r="C5032" s="618"/>
      <c r="D5032" s="118"/>
      <c r="E5032" s="705"/>
      <c r="F5032" s="655"/>
      <c r="G5032" s="705"/>
      <c r="H5032" s="706"/>
    </row>
    <row r="5033">
      <c r="A5033" s="546"/>
      <c r="B5033" s="118"/>
      <c r="C5033" s="618"/>
      <c r="D5033" s="118"/>
      <c r="E5033" s="705"/>
      <c r="F5033" s="655"/>
      <c r="G5033" s="705"/>
      <c r="H5033" s="706"/>
    </row>
    <row r="5034">
      <c r="A5034" s="546"/>
      <c r="B5034" s="118"/>
      <c r="C5034" s="618"/>
      <c r="D5034" s="118"/>
      <c r="E5034" s="705"/>
      <c r="F5034" s="655"/>
      <c r="G5034" s="705"/>
      <c r="H5034" s="706"/>
    </row>
    <row r="5035">
      <c r="A5035" s="546"/>
      <c r="B5035" s="118"/>
      <c r="C5035" s="618"/>
      <c r="D5035" s="118"/>
      <c r="E5035" s="705"/>
      <c r="F5035" s="655"/>
      <c r="G5035" s="705"/>
      <c r="H5035" s="706"/>
    </row>
    <row r="5036">
      <c r="A5036" s="546"/>
      <c r="B5036" s="118"/>
      <c r="C5036" s="618"/>
      <c r="D5036" s="118"/>
      <c r="E5036" s="705"/>
      <c r="F5036" s="655"/>
      <c r="G5036" s="705"/>
      <c r="H5036" s="706"/>
    </row>
    <row r="5037">
      <c r="A5037" s="546"/>
      <c r="B5037" s="118"/>
      <c r="C5037" s="618"/>
      <c r="D5037" s="118"/>
      <c r="E5037" s="705"/>
      <c r="F5037" s="655"/>
      <c r="G5037" s="705"/>
      <c r="H5037" s="706"/>
    </row>
    <row r="5038">
      <c r="A5038" s="546"/>
      <c r="B5038" s="118"/>
      <c r="C5038" s="618"/>
      <c r="D5038" s="118"/>
      <c r="E5038" s="705"/>
      <c r="F5038" s="655"/>
      <c r="G5038" s="705"/>
      <c r="H5038" s="706"/>
    </row>
  </sheetData>
  <mergeCells count="15">
    <mergeCell ref="B4267:H4267"/>
    <mergeCell ref="A4268:G4268"/>
    <mergeCell ref="B4269:H4269"/>
    <mergeCell ref="B4270:H4270"/>
    <mergeCell ref="B4271:H4271"/>
    <mergeCell ref="B4272:H4272"/>
    <mergeCell ref="B4273:H4273"/>
    <mergeCell ref="B4274:H4274"/>
    <mergeCell ref="B4259:H4259"/>
    <mergeCell ref="B4260:H4260"/>
    <mergeCell ref="B4262:H4262"/>
    <mergeCell ref="B4263:H4263"/>
    <mergeCell ref="B4264:H4264"/>
    <mergeCell ref="B4265:H4265"/>
    <mergeCell ref="B4266:H4266"/>
  </mergeCells>
  <dataValidations>
    <dataValidation type="list" allowBlank="1" showErrorMessage="1" sqref="A545">
      <formula1>"Ленина 114,Гоголя 18,Мальского 5а,Белинского 46а,Ленина 61"</formula1>
    </dataValidation>
    <dataValidation type="list" allowBlank="1" showErrorMessage="1" sqref="A3862">
      <formula1>"Гоголя 18,Мальского 5а,Белинского 46а,Ленина 61,Ленина 114"</formula1>
    </dataValidation>
    <dataValidation type="list" allowBlank="1" showErrorMessage="1" sqref="A23 A25">
      <formula1>" Гоголя 18"</formula1>
    </dataValidation>
    <dataValidation type="list" allowBlank="1" showErrorMessage="1" sqref="A274 A343 A372 A379 A396:A398 A435 A448:A449 A457:A458 A461:A462 A474 A478:A479 A490 A505 A515 A517 A521 A526">
      <formula1>"Ленина 114,Гоголя 18,Мальского 5а,Белинского 46А"</formula1>
    </dataValidation>
    <dataValidation type="list" allowBlank="1" showErrorMessage="1" sqref="A1 A4 A16 A19:A21 A24 A26 A28:A29 A31 A37 A39:A41 A49 A51 A54:A55 A59:A60 A64 A66:A273 A275:A280 A282:A283 A285:A342 A344:A371 A373:A378 A380:A395 A399:A413 A415:A434 A436:A440 A442:A447 A450:A456 A459:A460 A463:A472 A475:A476 A480:A489 A492:A498 A500:A504 A506 A508:A514 A516 A518:A520 A522:A525 A527:A544 A546:A3861 A3863:A4260 A4263:A4267 A4270:A4275 A4277:A5038">
      <formula1>"Ленина 114,Гоголя 18,Мальского 5а,Белинского 46а,Ленина 61"</formula1>
    </dataValidation>
    <dataValidation type="list" allowBlank="1" showErrorMessage="1" sqref="A17:A18 A32:A34 A38 A4262 A4276">
      <formula1>"Гоголя 18"</formula1>
    </dataValidation>
    <dataValidation type="list" allowBlank="1" showErrorMessage="1" sqref="A2:A3 A5:A15 A30 A63 A65 A473 A477 A491 A499 A507 A4269">
      <formula1>"Гоголя 18,Ленина 114"</formula1>
    </dataValidation>
    <dataValidation type="list" allowBlank="1" showErrorMessage="1" sqref="A22 A35 A42:A48 A50 A52:A53 A56:A58 A61:A62">
      <formula1>"гоголя 18"</formula1>
    </dataValidation>
    <dataValidation type="list" allowBlank="1" showErrorMessage="1" sqref="A27 A36">
      <formula1>"ленина 114"</formula1>
    </dataValidation>
    <dataValidation type="list" allowBlank="1" showErrorMessage="1" sqref="A281">
      <formula1>"Ленина 114,Гоголя 18,Мальского 5а,Белинского 46А"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6" max="6" width="23.25"/>
    <col customWidth="1" min="7" max="7" width="17.63"/>
    <col customWidth="1" min="8" max="8" width="14.13"/>
    <col customWidth="1" min="9" max="9" width="13.38"/>
    <col customWidth="1" min="10" max="10" width="25.38"/>
  </cols>
  <sheetData>
    <row r="1">
      <c r="A1" s="512" t="s">
        <v>288</v>
      </c>
      <c r="B1" s="512" t="s">
        <v>6872</v>
      </c>
      <c r="C1" s="512" t="s">
        <v>6873</v>
      </c>
      <c r="D1" s="512" t="s">
        <v>6874</v>
      </c>
      <c r="E1" s="512" t="s">
        <v>6875</v>
      </c>
      <c r="F1" s="512" t="s">
        <v>6876</v>
      </c>
      <c r="G1" s="512" t="s">
        <v>6877</v>
      </c>
      <c r="H1" s="512" t="s">
        <v>6878</v>
      </c>
      <c r="I1" s="512" t="s">
        <v>6879</v>
      </c>
      <c r="J1" s="546"/>
    </row>
    <row r="2">
      <c r="A2" s="707" t="s">
        <v>0</v>
      </c>
      <c r="B2" s="688"/>
      <c r="C2" s="688"/>
      <c r="D2" s="688"/>
      <c r="E2" s="688"/>
      <c r="F2" s="688"/>
      <c r="G2" s="688"/>
      <c r="H2" s="688"/>
      <c r="I2" s="689"/>
      <c r="J2" s="708"/>
    </row>
    <row r="3">
      <c r="A3" s="541"/>
      <c r="B3" s="512"/>
      <c r="C3" s="514"/>
      <c r="D3" s="688"/>
      <c r="E3" s="688"/>
      <c r="F3" s="688"/>
      <c r="G3" s="689"/>
      <c r="H3" s="512"/>
      <c r="I3" s="525"/>
      <c r="J3" s="118"/>
    </row>
    <row r="4">
      <c r="A4" s="709">
        <v>45022.0</v>
      </c>
      <c r="B4" s="609"/>
      <c r="C4" s="609">
        <v>20.0</v>
      </c>
      <c r="D4" s="710" t="s">
        <v>6880</v>
      </c>
      <c r="E4" s="689"/>
      <c r="F4" s="609" t="s">
        <v>6881</v>
      </c>
      <c r="G4" s="711" t="s">
        <v>6882</v>
      </c>
      <c r="H4" s="609"/>
      <c r="I4" s="712" t="s">
        <v>6883</v>
      </c>
      <c r="J4" s="713" t="s">
        <v>444</v>
      </c>
    </row>
    <row r="5">
      <c r="A5" s="709">
        <v>45023.0</v>
      </c>
      <c r="B5" s="609"/>
      <c r="C5" s="710" t="s">
        <v>6884</v>
      </c>
      <c r="D5" s="688"/>
      <c r="E5" s="688"/>
      <c r="F5" s="688"/>
      <c r="G5" s="689"/>
      <c r="H5" s="609"/>
      <c r="I5" s="714"/>
      <c r="J5" s="715"/>
    </row>
    <row r="6">
      <c r="A6" s="709">
        <v>45024.0</v>
      </c>
      <c r="B6" s="609"/>
      <c r="C6" s="710" t="s">
        <v>6885</v>
      </c>
      <c r="D6" s="688"/>
      <c r="E6" s="688"/>
      <c r="F6" s="688"/>
      <c r="G6" s="689"/>
      <c r="H6" s="609"/>
      <c r="I6" s="714"/>
      <c r="J6" s="715"/>
    </row>
    <row r="7">
      <c r="A7" s="709">
        <v>45025.0</v>
      </c>
      <c r="B7" s="609"/>
      <c r="C7" s="609">
        <v>41.0</v>
      </c>
      <c r="D7" s="610" t="s">
        <v>6880</v>
      </c>
      <c r="F7" s="609" t="s">
        <v>6886</v>
      </c>
      <c r="G7" s="716" t="s">
        <v>6887</v>
      </c>
      <c r="H7" s="609"/>
      <c r="I7" s="717" t="s">
        <v>6888</v>
      </c>
      <c r="J7" s="718"/>
    </row>
    <row r="8" hidden="1">
      <c r="A8" s="541">
        <v>45603.0</v>
      </c>
      <c r="B8" s="512" t="s">
        <v>432</v>
      </c>
      <c r="C8" s="512" t="s">
        <v>6889</v>
      </c>
      <c r="D8" s="512" t="s">
        <v>6880</v>
      </c>
      <c r="E8" s="512" t="s">
        <v>6880</v>
      </c>
      <c r="F8" s="512" t="s">
        <v>6890</v>
      </c>
      <c r="G8" s="512" t="s">
        <v>6891</v>
      </c>
      <c r="H8" s="512" t="s">
        <v>6892</v>
      </c>
      <c r="I8" s="512"/>
      <c r="J8" s="118"/>
    </row>
    <row r="9" hidden="1">
      <c r="A9" s="541">
        <v>45615.0</v>
      </c>
      <c r="B9" s="512" t="s">
        <v>439</v>
      </c>
      <c r="C9" s="512"/>
      <c r="D9" s="512"/>
      <c r="E9" s="512"/>
      <c r="F9" s="512" t="s">
        <v>6893</v>
      </c>
      <c r="G9" s="512"/>
      <c r="H9" s="512" t="s">
        <v>3</v>
      </c>
      <c r="I9" s="512"/>
      <c r="J9" s="546"/>
    </row>
    <row r="10" hidden="1">
      <c r="A10" s="512">
        <v>20.11</v>
      </c>
      <c r="B10" s="512" t="s">
        <v>432</v>
      </c>
      <c r="C10" s="512"/>
      <c r="D10" s="512"/>
      <c r="E10" s="512"/>
      <c r="F10" s="512" t="s">
        <v>6894</v>
      </c>
      <c r="G10" s="512"/>
      <c r="H10" s="512" t="s">
        <v>6892</v>
      </c>
      <c r="I10" s="512" t="s">
        <v>6895</v>
      </c>
      <c r="J10" s="118"/>
    </row>
    <row r="11" hidden="1">
      <c r="A11" s="541">
        <v>45618.0</v>
      </c>
      <c r="B11" s="512" t="s">
        <v>432</v>
      </c>
      <c r="C11" s="512" t="s">
        <v>389</v>
      </c>
      <c r="D11" s="512" t="s">
        <v>6880</v>
      </c>
      <c r="E11" s="512" t="s">
        <v>6880</v>
      </c>
      <c r="F11" s="512" t="s">
        <v>6896</v>
      </c>
      <c r="G11" s="512" t="s">
        <v>6880</v>
      </c>
      <c r="H11" s="512" t="s">
        <v>6897</v>
      </c>
      <c r="I11" s="512" t="s">
        <v>6898</v>
      </c>
      <c r="J11" s="118"/>
    </row>
    <row r="12" hidden="1">
      <c r="A12" s="538" t="s">
        <v>6899</v>
      </c>
      <c r="B12" s="512" t="s">
        <v>439</v>
      </c>
      <c r="C12" s="512">
        <v>27.0</v>
      </c>
      <c r="D12" s="512" t="s">
        <v>6880</v>
      </c>
      <c r="E12" s="512" t="s">
        <v>6880</v>
      </c>
      <c r="F12" s="512" t="s">
        <v>6900</v>
      </c>
      <c r="G12" s="512">
        <v>2.6114780032E10</v>
      </c>
      <c r="H12" s="512" t="s">
        <v>6901</v>
      </c>
      <c r="I12" s="512" t="s">
        <v>6902</v>
      </c>
      <c r="J12" s="118"/>
    </row>
    <row r="13" hidden="1">
      <c r="A13" s="512" t="s">
        <v>6903</v>
      </c>
      <c r="B13" s="512" t="s">
        <v>432</v>
      </c>
      <c r="C13" s="512">
        <v>85.0</v>
      </c>
      <c r="D13" s="512" t="s">
        <v>6880</v>
      </c>
      <c r="E13" s="512" t="s">
        <v>6880</v>
      </c>
      <c r="F13" s="512" t="s">
        <v>6904</v>
      </c>
      <c r="G13" s="512">
        <v>2.9524609297E10</v>
      </c>
      <c r="H13" s="512" t="s">
        <v>901</v>
      </c>
      <c r="I13" s="512" t="s">
        <v>6905</v>
      </c>
      <c r="J13" s="118"/>
    </row>
    <row r="14" hidden="1">
      <c r="A14" s="541">
        <v>45754.0</v>
      </c>
      <c r="B14" s="512" t="s">
        <v>432</v>
      </c>
      <c r="C14" s="512">
        <v>11.0</v>
      </c>
      <c r="D14" s="512" t="s">
        <v>6880</v>
      </c>
      <c r="E14" s="512" t="s">
        <v>6880</v>
      </c>
      <c r="F14" s="512" t="s">
        <v>6906</v>
      </c>
      <c r="G14" s="512">
        <v>3.213478515E10</v>
      </c>
      <c r="H14" s="512" t="s">
        <v>901</v>
      </c>
      <c r="I14" s="512" t="s">
        <v>6907</v>
      </c>
      <c r="J14" s="118"/>
    </row>
    <row r="15" hidden="1">
      <c r="A15" s="512" t="s">
        <v>6908</v>
      </c>
      <c r="B15" s="512" t="s">
        <v>432</v>
      </c>
      <c r="C15" s="512">
        <v>246.0</v>
      </c>
      <c r="D15" s="512" t="s">
        <v>6880</v>
      </c>
      <c r="E15" s="512" t="s">
        <v>6880</v>
      </c>
      <c r="F15" s="512" t="s">
        <v>6909</v>
      </c>
      <c r="G15" s="512">
        <v>3.0191136843E10</v>
      </c>
      <c r="H15" s="512" t="s">
        <v>901</v>
      </c>
      <c r="I15" s="512" t="s">
        <v>6907</v>
      </c>
      <c r="J15" s="118"/>
    </row>
    <row r="16" hidden="1">
      <c r="A16" s="541">
        <v>45777.0</v>
      </c>
      <c r="B16" s="512" t="s">
        <v>690</v>
      </c>
      <c r="C16" s="512" t="s">
        <v>6889</v>
      </c>
      <c r="D16" s="512" t="s">
        <v>6880</v>
      </c>
      <c r="E16" s="512" t="s">
        <v>6880</v>
      </c>
      <c r="F16" s="512" t="s">
        <v>6910</v>
      </c>
      <c r="G16" s="512">
        <v>3.0656766372E10</v>
      </c>
      <c r="H16" s="512" t="s">
        <v>693</v>
      </c>
      <c r="I16" s="512" t="s">
        <v>6911</v>
      </c>
      <c r="J16" s="118"/>
    </row>
    <row r="17" hidden="1">
      <c r="A17" s="512" t="s">
        <v>6912</v>
      </c>
      <c r="B17" s="512" t="s">
        <v>6913</v>
      </c>
      <c r="C17" s="512">
        <v>195.0</v>
      </c>
      <c r="D17" s="512" t="s">
        <v>6880</v>
      </c>
      <c r="E17" s="512" t="s">
        <v>6880</v>
      </c>
      <c r="F17" s="512" t="s">
        <v>6914</v>
      </c>
      <c r="G17" s="512" t="s">
        <v>6915</v>
      </c>
      <c r="H17" s="512" t="s">
        <v>4929</v>
      </c>
      <c r="I17" s="538" t="s">
        <v>6916</v>
      </c>
      <c r="J17" s="118"/>
    </row>
    <row r="18" hidden="1">
      <c r="A18" s="512" t="s">
        <v>6917</v>
      </c>
      <c r="B18" s="512" t="s">
        <v>432</v>
      </c>
      <c r="C18" s="512">
        <v>26.0</v>
      </c>
      <c r="D18" s="512" t="s">
        <v>6880</v>
      </c>
      <c r="E18" s="512" t="s">
        <v>6880</v>
      </c>
      <c r="F18" s="512" t="s">
        <v>6918</v>
      </c>
      <c r="G18" s="512" t="s">
        <v>6919</v>
      </c>
      <c r="H18" s="512" t="s">
        <v>1096</v>
      </c>
      <c r="I18" s="512" t="s">
        <v>6920</v>
      </c>
      <c r="J18" s="118"/>
    </row>
    <row r="19" hidden="1">
      <c r="A19" s="512" t="s">
        <v>6921</v>
      </c>
      <c r="B19" s="512" t="s">
        <v>432</v>
      </c>
      <c r="C19" s="512">
        <v>5.0</v>
      </c>
      <c r="D19" s="525"/>
      <c r="E19" s="525"/>
      <c r="F19" s="512" t="s">
        <v>6922</v>
      </c>
      <c r="G19" s="512" t="s">
        <v>6923</v>
      </c>
      <c r="H19" s="512" t="s">
        <v>6924</v>
      </c>
      <c r="I19" s="512"/>
      <c r="J19" s="118"/>
    </row>
    <row r="20" hidden="1">
      <c r="A20" s="512" t="s">
        <v>6925</v>
      </c>
      <c r="B20" s="512" t="s">
        <v>439</v>
      </c>
      <c r="C20" s="512">
        <v>113.0</v>
      </c>
      <c r="D20" s="512" t="s">
        <v>6880</v>
      </c>
      <c r="E20" s="512" t="s">
        <v>6880</v>
      </c>
      <c r="F20" s="512" t="s">
        <v>6926</v>
      </c>
      <c r="G20" s="512" t="s">
        <v>6927</v>
      </c>
      <c r="H20" s="512" t="s">
        <v>2791</v>
      </c>
      <c r="I20" s="524" t="s">
        <v>6928</v>
      </c>
      <c r="J20" s="118"/>
    </row>
    <row r="21">
      <c r="A21" s="512" t="s">
        <v>6929</v>
      </c>
      <c r="B21" s="512" t="s">
        <v>432</v>
      </c>
      <c r="C21" s="512">
        <v>305.0</v>
      </c>
      <c r="D21" s="512" t="s">
        <v>6880</v>
      </c>
      <c r="E21" s="512" t="s">
        <v>6880</v>
      </c>
      <c r="F21" s="512" t="s">
        <v>6930</v>
      </c>
      <c r="G21" s="512" t="s">
        <v>6931</v>
      </c>
      <c r="H21" s="512" t="s">
        <v>686</v>
      </c>
      <c r="I21" s="719" t="s">
        <v>6932</v>
      </c>
      <c r="J21" s="118"/>
    </row>
    <row r="22">
      <c r="A22" s="512" t="s">
        <v>6933</v>
      </c>
      <c r="B22" s="512" t="s">
        <v>432</v>
      </c>
      <c r="C22" s="525"/>
      <c r="D22" s="512" t="s">
        <v>6880</v>
      </c>
      <c r="E22" s="512" t="s">
        <v>6880</v>
      </c>
      <c r="F22" s="512" t="s">
        <v>6934</v>
      </c>
      <c r="G22" s="512" t="s">
        <v>6935</v>
      </c>
      <c r="H22" s="512" t="s">
        <v>1175</v>
      </c>
      <c r="I22" s="525"/>
      <c r="J22" s="118"/>
    </row>
    <row r="23">
      <c r="A23" s="541">
        <v>45941.0</v>
      </c>
      <c r="B23" s="512" t="s">
        <v>432</v>
      </c>
      <c r="C23" s="512">
        <v>69.0</v>
      </c>
      <c r="D23" s="512" t="s">
        <v>6880</v>
      </c>
      <c r="E23" s="512" t="s">
        <v>6880</v>
      </c>
      <c r="F23" s="512" t="s">
        <v>6909</v>
      </c>
      <c r="G23" s="512" t="s">
        <v>6936</v>
      </c>
      <c r="H23" s="512" t="s">
        <v>901</v>
      </c>
      <c r="I23" s="525"/>
      <c r="J23" s="118"/>
    </row>
    <row r="24">
      <c r="A24" s="542">
        <v>45958.0</v>
      </c>
      <c r="B24" s="512" t="s">
        <v>439</v>
      </c>
      <c r="C24" s="512">
        <v>30.0</v>
      </c>
      <c r="D24" s="512" t="s">
        <v>6880</v>
      </c>
      <c r="E24" s="512" t="s">
        <v>6880</v>
      </c>
      <c r="F24" s="512" t="s">
        <v>6937</v>
      </c>
      <c r="G24" s="512" t="s">
        <v>6938</v>
      </c>
      <c r="H24" s="512" t="s">
        <v>693</v>
      </c>
      <c r="I24" s="525"/>
      <c r="J24" s="118"/>
    </row>
    <row r="25">
      <c r="A25" s="541">
        <v>46002.0</v>
      </c>
      <c r="B25" s="512" t="s">
        <v>439</v>
      </c>
      <c r="C25" s="512">
        <v>223.0</v>
      </c>
      <c r="D25" s="512" t="s">
        <v>6880</v>
      </c>
      <c r="E25" s="512" t="s">
        <v>6880</v>
      </c>
      <c r="F25" s="512" t="s">
        <v>6939</v>
      </c>
      <c r="G25" s="512" t="s">
        <v>6940</v>
      </c>
      <c r="H25" s="512" t="s">
        <v>5177</v>
      </c>
      <c r="I25" s="525"/>
      <c r="J25" s="118"/>
    </row>
    <row r="26">
      <c r="A26" s="541">
        <v>46020.0</v>
      </c>
      <c r="B26" s="512" t="s">
        <v>823</v>
      </c>
      <c r="C26" s="512">
        <v>117.0</v>
      </c>
      <c r="D26" s="512" t="s">
        <v>6880</v>
      </c>
      <c r="E26" s="512" t="s">
        <v>6880</v>
      </c>
      <c r="F26" s="512" t="s">
        <v>6941</v>
      </c>
      <c r="G26" s="512" t="s">
        <v>6942</v>
      </c>
      <c r="H26" s="512" t="s">
        <v>1647</v>
      </c>
      <c r="I26" s="512"/>
      <c r="J26" s="118"/>
    </row>
    <row r="27">
      <c r="A27" s="541">
        <v>46044.0</v>
      </c>
      <c r="B27" s="512" t="s">
        <v>439</v>
      </c>
      <c r="C27" s="512"/>
      <c r="D27" s="525"/>
      <c r="E27" s="512"/>
      <c r="F27" s="512" t="s">
        <v>6943</v>
      </c>
      <c r="G27" s="512" t="s">
        <v>6944</v>
      </c>
      <c r="H27" s="512" t="s">
        <v>6945</v>
      </c>
      <c r="I27" s="525"/>
      <c r="J27" s="118"/>
    </row>
    <row r="28">
      <c r="A28" s="541">
        <v>46093.0</v>
      </c>
      <c r="B28" s="512" t="s">
        <v>439</v>
      </c>
      <c r="C28" s="512">
        <v>48.0</v>
      </c>
      <c r="D28" s="512" t="s">
        <v>6880</v>
      </c>
      <c r="E28" s="512" t="s">
        <v>6880</v>
      </c>
      <c r="F28" s="512" t="s">
        <v>6946</v>
      </c>
      <c r="G28" s="512" t="s">
        <v>6947</v>
      </c>
      <c r="H28" s="512" t="s">
        <v>693</v>
      </c>
      <c r="I28" s="525"/>
      <c r="J28" s="118"/>
    </row>
    <row r="29">
      <c r="A29" s="541">
        <v>46105.0</v>
      </c>
      <c r="B29" s="512" t="s">
        <v>432</v>
      </c>
      <c r="C29" s="512" t="s">
        <v>6948</v>
      </c>
      <c r="D29" s="512" t="s">
        <v>6880</v>
      </c>
      <c r="E29" s="512" t="s">
        <v>6880</v>
      </c>
      <c r="F29" s="512" t="s">
        <v>6949</v>
      </c>
      <c r="G29" s="525"/>
      <c r="H29" s="512" t="s">
        <v>901</v>
      </c>
      <c r="I29" s="719" t="s">
        <v>6950</v>
      </c>
      <c r="J29" s="118"/>
    </row>
    <row r="30">
      <c r="A30" s="525"/>
      <c r="B30" s="512"/>
      <c r="C30" s="525"/>
      <c r="D30" s="525"/>
      <c r="E30" s="525"/>
      <c r="F30" s="525"/>
      <c r="G30" s="525"/>
      <c r="H30" s="525"/>
      <c r="I30" s="525"/>
      <c r="J30" s="118"/>
    </row>
    <row r="31">
      <c r="A31" s="525"/>
      <c r="B31" s="512"/>
      <c r="C31" s="525"/>
      <c r="D31" s="525"/>
      <c r="E31" s="525"/>
      <c r="F31" s="525"/>
      <c r="G31" s="525"/>
      <c r="H31" s="525"/>
      <c r="I31" s="525"/>
      <c r="J31" s="118"/>
    </row>
    <row r="32">
      <c r="A32" s="525"/>
      <c r="B32" s="512"/>
      <c r="C32" s="525"/>
      <c r="D32" s="525"/>
      <c r="E32" s="525"/>
      <c r="F32" s="525"/>
      <c r="G32" s="525"/>
      <c r="H32" s="525"/>
      <c r="I32" s="525"/>
      <c r="J32" s="118"/>
    </row>
    <row r="33">
      <c r="A33" s="525"/>
      <c r="B33" s="512"/>
      <c r="C33" s="525"/>
      <c r="D33" s="525"/>
      <c r="E33" s="525"/>
      <c r="F33" s="525"/>
      <c r="G33" s="525"/>
      <c r="H33" s="525"/>
      <c r="I33" s="525"/>
      <c r="J33" s="118"/>
    </row>
    <row r="34">
      <c r="A34" s="525"/>
      <c r="B34" s="512"/>
      <c r="C34" s="525"/>
      <c r="D34" s="525"/>
      <c r="E34" s="525"/>
      <c r="F34" s="525"/>
      <c r="G34" s="525"/>
      <c r="H34" s="525"/>
      <c r="I34" s="525"/>
      <c r="J34" s="118"/>
    </row>
    <row r="35">
      <c r="A35" s="525"/>
      <c r="B35" s="512"/>
      <c r="C35" s="525"/>
      <c r="D35" s="525"/>
      <c r="E35" s="525"/>
      <c r="F35" s="525"/>
      <c r="G35" s="525"/>
      <c r="H35" s="525"/>
      <c r="I35" s="525"/>
      <c r="J35" s="118"/>
    </row>
    <row r="36">
      <c r="A36" s="525"/>
      <c r="B36" s="512"/>
      <c r="C36" s="525"/>
      <c r="D36" s="525"/>
      <c r="E36" s="525"/>
      <c r="F36" s="525"/>
      <c r="G36" s="525"/>
      <c r="H36" s="525"/>
      <c r="I36" s="525"/>
      <c r="J36" s="118"/>
    </row>
    <row r="37">
      <c r="A37" s="525"/>
      <c r="B37" s="512"/>
      <c r="C37" s="525"/>
      <c r="D37" s="525"/>
      <c r="E37" s="525"/>
      <c r="F37" s="525"/>
      <c r="G37" s="525"/>
      <c r="H37" s="525"/>
      <c r="I37" s="525"/>
      <c r="J37" s="118"/>
    </row>
    <row r="38">
      <c r="A38" s="525"/>
      <c r="B38" s="512"/>
      <c r="C38" s="525"/>
      <c r="D38" s="525"/>
      <c r="E38" s="525"/>
      <c r="F38" s="525"/>
      <c r="G38" s="525"/>
      <c r="H38" s="525"/>
      <c r="I38" s="525"/>
      <c r="J38" s="118"/>
    </row>
    <row r="39">
      <c r="A39" s="525"/>
      <c r="B39" s="512"/>
      <c r="C39" s="525"/>
      <c r="D39" s="525"/>
      <c r="E39" s="525"/>
      <c r="F39" s="525"/>
      <c r="G39" s="525"/>
      <c r="H39" s="525"/>
      <c r="I39" s="525"/>
      <c r="J39" s="118"/>
    </row>
    <row r="40">
      <c r="A40" s="525"/>
      <c r="B40" s="512"/>
      <c r="C40" s="525"/>
      <c r="D40" s="525"/>
      <c r="E40" s="525"/>
      <c r="F40" s="525"/>
      <c r="G40" s="525"/>
      <c r="H40" s="525"/>
      <c r="I40" s="525"/>
      <c r="J40" s="118"/>
    </row>
    <row r="41">
      <c r="A41" s="525"/>
      <c r="B41" s="512"/>
      <c r="C41" s="525"/>
      <c r="D41" s="525"/>
      <c r="E41" s="525"/>
      <c r="F41" s="525"/>
      <c r="G41" s="525"/>
      <c r="H41" s="525"/>
      <c r="I41" s="525"/>
      <c r="J41" s="118"/>
    </row>
    <row r="42">
      <c r="A42" s="525"/>
      <c r="B42" s="512"/>
      <c r="C42" s="525"/>
      <c r="D42" s="525"/>
      <c r="E42" s="525"/>
      <c r="F42" s="525"/>
      <c r="G42" s="525"/>
      <c r="H42" s="525"/>
      <c r="I42" s="525"/>
      <c r="J42" s="118"/>
    </row>
    <row r="43">
      <c r="A43" s="525"/>
      <c r="B43" s="512"/>
      <c r="C43" s="525"/>
      <c r="D43" s="525"/>
      <c r="E43" s="525"/>
      <c r="F43" s="525"/>
      <c r="G43" s="525"/>
      <c r="H43" s="525"/>
      <c r="I43" s="525"/>
      <c r="J43" s="118"/>
    </row>
    <row r="44">
      <c r="A44" s="525"/>
      <c r="B44" s="512"/>
      <c r="C44" s="525"/>
      <c r="D44" s="525"/>
      <c r="E44" s="525"/>
      <c r="F44" s="525"/>
      <c r="G44" s="525"/>
      <c r="H44" s="525"/>
      <c r="I44" s="525"/>
      <c r="J44" s="118"/>
    </row>
    <row r="45">
      <c r="A45" s="525"/>
      <c r="B45" s="512"/>
      <c r="C45" s="525"/>
      <c r="D45" s="525"/>
      <c r="E45" s="525"/>
      <c r="F45" s="525"/>
      <c r="G45" s="525"/>
      <c r="H45" s="525"/>
      <c r="I45" s="525"/>
      <c r="J45" s="118"/>
    </row>
    <row r="46">
      <c r="A46" s="525"/>
      <c r="B46" s="512"/>
      <c r="C46" s="525"/>
      <c r="D46" s="525"/>
      <c r="E46" s="525"/>
      <c r="F46" s="525"/>
      <c r="G46" s="525"/>
      <c r="H46" s="525"/>
      <c r="I46" s="525"/>
      <c r="J46" s="118"/>
    </row>
    <row r="47">
      <c r="A47" s="525"/>
      <c r="B47" s="512"/>
      <c r="C47" s="525"/>
      <c r="D47" s="525"/>
      <c r="E47" s="525"/>
      <c r="F47" s="525"/>
      <c r="G47" s="525"/>
      <c r="H47" s="525"/>
      <c r="I47" s="525"/>
      <c r="J47" s="118"/>
    </row>
    <row r="48">
      <c r="A48" s="525"/>
      <c r="B48" s="512"/>
      <c r="C48" s="525"/>
      <c r="D48" s="525"/>
      <c r="E48" s="525"/>
      <c r="F48" s="525"/>
      <c r="G48" s="525"/>
      <c r="H48" s="525"/>
      <c r="I48" s="525"/>
      <c r="J48" s="118"/>
    </row>
    <row r="49">
      <c r="A49" s="525"/>
      <c r="B49" s="512"/>
      <c r="C49" s="525"/>
      <c r="D49" s="525"/>
      <c r="E49" s="525"/>
      <c r="F49" s="525"/>
      <c r="G49" s="525"/>
      <c r="H49" s="525"/>
      <c r="I49" s="525"/>
      <c r="J49" s="118"/>
    </row>
    <row r="50">
      <c r="A50" s="525"/>
      <c r="B50" s="512"/>
      <c r="C50" s="525"/>
      <c r="D50" s="525"/>
      <c r="E50" s="525"/>
      <c r="F50" s="525"/>
      <c r="G50" s="525"/>
      <c r="H50" s="525"/>
      <c r="I50" s="525"/>
      <c r="J50" s="118"/>
    </row>
    <row r="51">
      <c r="A51" s="525"/>
      <c r="B51" s="512"/>
      <c r="C51" s="525"/>
      <c r="D51" s="525"/>
      <c r="E51" s="525"/>
      <c r="F51" s="525"/>
      <c r="G51" s="525"/>
      <c r="H51" s="525"/>
      <c r="I51" s="525"/>
      <c r="J51" s="118"/>
    </row>
    <row r="52">
      <c r="A52" s="525"/>
      <c r="B52" s="512"/>
      <c r="C52" s="525"/>
      <c r="D52" s="525"/>
      <c r="E52" s="525"/>
      <c r="F52" s="525"/>
      <c r="G52" s="525"/>
      <c r="H52" s="525"/>
      <c r="I52" s="525"/>
      <c r="J52" s="118"/>
    </row>
    <row r="53">
      <c r="A53" s="525"/>
      <c r="B53" s="512"/>
      <c r="C53" s="525"/>
      <c r="D53" s="525"/>
      <c r="E53" s="525"/>
      <c r="F53" s="525"/>
      <c r="G53" s="525"/>
      <c r="H53" s="525"/>
      <c r="I53" s="525"/>
      <c r="J53" s="118"/>
    </row>
    <row r="54">
      <c r="A54" s="525"/>
      <c r="B54" s="512"/>
      <c r="C54" s="525"/>
      <c r="D54" s="525"/>
      <c r="E54" s="525"/>
      <c r="F54" s="525"/>
      <c r="G54" s="525"/>
      <c r="H54" s="525"/>
      <c r="I54" s="525"/>
      <c r="J54" s="118"/>
    </row>
    <row r="55">
      <c r="A55" s="525"/>
      <c r="B55" s="512"/>
      <c r="C55" s="525"/>
      <c r="D55" s="525"/>
      <c r="E55" s="525"/>
      <c r="F55" s="525"/>
      <c r="G55" s="525"/>
      <c r="H55" s="525"/>
      <c r="I55" s="525"/>
      <c r="J55" s="118"/>
    </row>
    <row r="56">
      <c r="A56" s="525"/>
      <c r="B56" s="512"/>
      <c r="C56" s="525"/>
      <c r="D56" s="525"/>
      <c r="E56" s="525"/>
      <c r="F56" s="525"/>
      <c r="G56" s="525"/>
      <c r="H56" s="525"/>
      <c r="I56" s="525"/>
      <c r="J56" s="118"/>
    </row>
    <row r="57">
      <c r="A57" s="525"/>
      <c r="B57" s="512"/>
      <c r="C57" s="525"/>
      <c r="D57" s="525"/>
      <c r="E57" s="525"/>
      <c r="F57" s="525"/>
      <c r="G57" s="525"/>
      <c r="H57" s="525"/>
      <c r="I57" s="525"/>
      <c r="J57" s="118"/>
    </row>
    <row r="58">
      <c r="A58" s="525"/>
      <c r="B58" s="512"/>
      <c r="C58" s="525"/>
      <c r="D58" s="525"/>
      <c r="E58" s="525"/>
      <c r="F58" s="525"/>
      <c r="G58" s="525"/>
      <c r="H58" s="525"/>
      <c r="I58" s="525"/>
      <c r="J58" s="118"/>
    </row>
    <row r="59">
      <c r="A59" s="525"/>
      <c r="B59" s="512"/>
      <c r="C59" s="525"/>
      <c r="D59" s="525"/>
      <c r="E59" s="525"/>
      <c r="F59" s="525"/>
      <c r="G59" s="525"/>
      <c r="H59" s="525"/>
      <c r="I59" s="525"/>
      <c r="J59" s="118"/>
    </row>
    <row r="60">
      <c r="A60" s="525"/>
      <c r="B60" s="512"/>
      <c r="C60" s="525"/>
      <c r="D60" s="525"/>
      <c r="E60" s="525"/>
      <c r="F60" s="525"/>
      <c r="G60" s="525"/>
      <c r="H60" s="525"/>
      <c r="I60" s="525"/>
      <c r="J60" s="118"/>
    </row>
    <row r="61">
      <c r="A61" s="525"/>
      <c r="B61" s="512"/>
      <c r="C61" s="525"/>
      <c r="D61" s="525"/>
      <c r="E61" s="525"/>
      <c r="F61" s="525"/>
      <c r="G61" s="525"/>
      <c r="H61" s="525"/>
      <c r="I61" s="525"/>
      <c r="J61" s="118"/>
    </row>
    <row r="62">
      <c r="A62" s="525"/>
      <c r="B62" s="512"/>
      <c r="C62" s="525"/>
      <c r="D62" s="525"/>
      <c r="E62" s="525"/>
      <c r="F62" s="525"/>
      <c r="G62" s="525"/>
      <c r="H62" s="525"/>
      <c r="I62" s="525"/>
      <c r="J62" s="118"/>
    </row>
    <row r="63">
      <c r="A63" s="525"/>
      <c r="B63" s="512"/>
      <c r="C63" s="525"/>
      <c r="D63" s="525"/>
      <c r="E63" s="525"/>
      <c r="F63" s="525"/>
      <c r="G63" s="525"/>
      <c r="H63" s="525"/>
      <c r="I63" s="525"/>
      <c r="J63" s="118"/>
    </row>
    <row r="64">
      <c r="A64" s="525"/>
      <c r="B64" s="512"/>
      <c r="C64" s="525"/>
      <c r="D64" s="525"/>
      <c r="E64" s="525"/>
      <c r="F64" s="525"/>
      <c r="G64" s="525"/>
      <c r="H64" s="525"/>
      <c r="I64" s="525"/>
      <c r="J64" s="118"/>
    </row>
    <row r="65">
      <c r="A65" s="525"/>
      <c r="B65" s="512"/>
      <c r="C65" s="525"/>
      <c r="D65" s="525"/>
      <c r="E65" s="525"/>
      <c r="F65" s="525"/>
      <c r="G65" s="525"/>
      <c r="H65" s="525"/>
      <c r="I65" s="525"/>
      <c r="J65" s="118"/>
    </row>
    <row r="66">
      <c r="A66" s="525"/>
      <c r="B66" s="512"/>
      <c r="C66" s="525"/>
      <c r="D66" s="525"/>
      <c r="E66" s="525"/>
      <c r="F66" s="525"/>
      <c r="G66" s="525"/>
      <c r="H66" s="525"/>
      <c r="I66" s="525"/>
      <c r="J66" s="118"/>
    </row>
    <row r="67">
      <c r="A67" s="525"/>
      <c r="B67" s="512"/>
      <c r="C67" s="525"/>
      <c r="D67" s="525"/>
      <c r="E67" s="525"/>
      <c r="F67" s="525"/>
      <c r="G67" s="525"/>
      <c r="H67" s="525"/>
      <c r="I67" s="525"/>
      <c r="J67" s="118"/>
    </row>
    <row r="68">
      <c r="A68" s="525"/>
      <c r="B68" s="512"/>
      <c r="C68" s="525"/>
      <c r="D68" s="525"/>
      <c r="E68" s="525"/>
      <c r="F68" s="525"/>
      <c r="G68" s="525"/>
      <c r="H68" s="525"/>
      <c r="I68" s="525"/>
      <c r="J68" s="118"/>
    </row>
    <row r="69">
      <c r="A69" s="525"/>
      <c r="B69" s="512"/>
      <c r="C69" s="525"/>
      <c r="D69" s="525"/>
      <c r="E69" s="525"/>
      <c r="F69" s="525"/>
      <c r="G69" s="525"/>
      <c r="H69" s="525"/>
      <c r="I69" s="525"/>
      <c r="J69" s="118"/>
    </row>
    <row r="70">
      <c r="A70" s="525"/>
      <c r="B70" s="512"/>
      <c r="C70" s="525"/>
      <c r="D70" s="525"/>
      <c r="E70" s="525"/>
      <c r="F70" s="525"/>
      <c r="G70" s="525"/>
      <c r="H70" s="525"/>
      <c r="I70" s="525"/>
      <c r="J70" s="118"/>
    </row>
    <row r="71">
      <c r="A71" s="525"/>
      <c r="B71" s="512"/>
      <c r="C71" s="525"/>
      <c r="D71" s="525"/>
      <c r="E71" s="525"/>
      <c r="F71" s="525"/>
      <c r="G71" s="525"/>
      <c r="H71" s="525"/>
      <c r="I71" s="525"/>
      <c r="J71" s="118"/>
    </row>
    <row r="72">
      <c r="A72" s="525"/>
      <c r="B72" s="512"/>
      <c r="C72" s="525"/>
      <c r="D72" s="525"/>
      <c r="E72" s="525"/>
      <c r="F72" s="525"/>
      <c r="G72" s="525"/>
      <c r="H72" s="525"/>
      <c r="I72" s="525"/>
      <c r="J72" s="118"/>
    </row>
    <row r="73">
      <c r="A73" s="525"/>
      <c r="B73" s="512"/>
      <c r="C73" s="525"/>
      <c r="D73" s="525"/>
      <c r="E73" s="525"/>
      <c r="F73" s="525"/>
      <c r="G73" s="525"/>
      <c r="H73" s="525"/>
      <c r="I73" s="525"/>
      <c r="J73" s="118"/>
    </row>
    <row r="74">
      <c r="A74" s="525"/>
      <c r="B74" s="512"/>
      <c r="C74" s="525"/>
      <c r="D74" s="525"/>
      <c r="E74" s="525"/>
      <c r="F74" s="525"/>
      <c r="G74" s="525"/>
      <c r="H74" s="525"/>
      <c r="I74" s="525"/>
      <c r="J74" s="118"/>
    </row>
    <row r="75">
      <c r="A75" s="525"/>
      <c r="B75" s="512"/>
      <c r="C75" s="525"/>
      <c r="D75" s="525"/>
      <c r="E75" s="525"/>
      <c r="F75" s="525"/>
      <c r="G75" s="525"/>
      <c r="H75" s="525"/>
      <c r="I75" s="525"/>
      <c r="J75" s="118"/>
    </row>
    <row r="76">
      <c r="A76" s="525"/>
      <c r="B76" s="512"/>
      <c r="C76" s="525"/>
      <c r="D76" s="525"/>
      <c r="E76" s="525"/>
      <c r="F76" s="525"/>
      <c r="G76" s="525"/>
      <c r="H76" s="525"/>
      <c r="I76" s="525"/>
      <c r="J76" s="118"/>
    </row>
    <row r="77">
      <c r="A77" s="525"/>
      <c r="B77" s="512"/>
      <c r="C77" s="525"/>
      <c r="D77" s="525"/>
      <c r="E77" s="525"/>
      <c r="F77" s="525"/>
      <c r="G77" s="525"/>
      <c r="H77" s="525"/>
      <c r="I77" s="525"/>
      <c r="J77" s="118"/>
    </row>
    <row r="78">
      <c r="A78" s="525"/>
      <c r="B78" s="512"/>
      <c r="C78" s="525"/>
      <c r="D78" s="525"/>
      <c r="E78" s="525"/>
      <c r="F78" s="525"/>
      <c r="G78" s="525"/>
      <c r="H78" s="525"/>
      <c r="I78" s="525"/>
      <c r="J78" s="118"/>
    </row>
    <row r="79">
      <c r="A79" s="525"/>
      <c r="B79" s="512"/>
      <c r="C79" s="525"/>
      <c r="D79" s="525"/>
      <c r="E79" s="525"/>
      <c r="F79" s="525"/>
      <c r="G79" s="525"/>
      <c r="H79" s="525"/>
      <c r="I79" s="525"/>
      <c r="J79" s="118"/>
    </row>
    <row r="80">
      <c r="A80" s="525"/>
      <c r="B80" s="512"/>
      <c r="C80" s="525"/>
      <c r="D80" s="525"/>
      <c r="E80" s="525"/>
      <c r="F80" s="525"/>
      <c r="G80" s="525"/>
      <c r="H80" s="525"/>
      <c r="I80" s="525"/>
      <c r="J80" s="118"/>
    </row>
    <row r="81">
      <c r="A81" s="525"/>
      <c r="B81" s="512"/>
      <c r="C81" s="525"/>
      <c r="D81" s="525"/>
      <c r="E81" s="525"/>
      <c r="F81" s="525"/>
      <c r="G81" s="525"/>
      <c r="H81" s="525"/>
      <c r="I81" s="525"/>
      <c r="J81" s="118"/>
    </row>
    <row r="82">
      <c r="A82" s="525"/>
      <c r="B82" s="512"/>
      <c r="C82" s="525"/>
      <c r="D82" s="525"/>
      <c r="E82" s="525"/>
      <c r="F82" s="525"/>
      <c r="G82" s="525"/>
      <c r="H82" s="525"/>
      <c r="I82" s="525"/>
      <c r="J82" s="118"/>
    </row>
    <row r="83">
      <c r="A83" s="525"/>
      <c r="B83" s="512"/>
      <c r="C83" s="525"/>
      <c r="D83" s="525"/>
      <c r="E83" s="525"/>
      <c r="F83" s="525"/>
      <c r="G83" s="525"/>
      <c r="H83" s="525"/>
      <c r="I83" s="525"/>
      <c r="J83" s="118"/>
    </row>
    <row r="84">
      <c r="A84" s="525"/>
      <c r="B84" s="512"/>
      <c r="C84" s="525"/>
      <c r="D84" s="525"/>
      <c r="E84" s="525"/>
      <c r="F84" s="525"/>
      <c r="G84" s="525"/>
      <c r="H84" s="525"/>
      <c r="I84" s="525"/>
      <c r="J84" s="118"/>
    </row>
    <row r="85">
      <c r="A85" s="525"/>
      <c r="B85" s="512"/>
      <c r="C85" s="525"/>
      <c r="D85" s="525"/>
      <c r="E85" s="525"/>
      <c r="F85" s="525"/>
      <c r="G85" s="525"/>
      <c r="H85" s="525"/>
      <c r="I85" s="525"/>
      <c r="J85" s="118"/>
    </row>
    <row r="86">
      <c r="A86" s="525"/>
      <c r="B86" s="512"/>
      <c r="C86" s="525"/>
      <c r="D86" s="525"/>
      <c r="E86" s="525"/>
      <c r="F86" s="525"/>
      <c r="G86" s="525"/>
      <c r="H86" s="525"/>
      <c r="I86" s="525"/>
      <c r="J86" s="118"/>
    </row>
    <row r="87">
      <c r="A87" s="525"/>
      <c r="B87" s="512"/>
      <c r="C87" s="525"/>
      <c r="D87" s="525"/>
      <c r="E87" s="525"/>
      <c r="F87" s="525"/>
      <c r="G87" s="525"/>
      <c r="H87" s="525"/>
      <c r="I87" s="525"/>
      <c r="J87" s="118"/>
    </row>
    <row r="88">
      <c r="A88" s="525"/>
      <c r="B88" s="512"/>
      <c r="C88" s="525"/>
      <c r="D88" s="525"/>
      <c r="E88" s="525"/>
      <c r="F88" s="525"/>
      <c r="G88" s="525"/>
      <c r="H88" s="525"/>
      <c r="I88" s="525"/>
      <c r="J88" s="118"/>
    </row>
    <row r="89">
      <c r="A89" s="525"/>
      <c r="B89" s="512"/>
      <c r="C89" s="525"/>
      <c r="D89" s="525"/>
      <c r="E89" s="525"/>
      <c r="F89" s="525"/>
      <c r="G89" s="525"/>
      <c r="H89" s="525"/>
      <c r="I89" s="525"/>
      <c r="J89" s="118"/>
    </row>
    <row r="90">
      <c r="A90" s="525"/>
      <c r="B90" s="512"/>
      <c r="C90" s="525"/>
      <c r="D90" s="525"/>
      <c r="E90" s="525"/>
      <c r="F90" s="525"/>
      <c r="G90" s="525"/>
      <c r="H90" s="525"/>
      <c r="I90" s="525"/>
      <c r="J90" s="118"/>
    </row>
    <row r="91">
      <c r="A91" s="525"/>
      <c r="B91" s="512"/>
      <c r="C91" s="525"/>
      <c r="D91" s="525"/>
      <c r="E91" s="525"/>
      <c r="F91" s="525"/>
      <c r="G91" s="525"/>
      <c r="H91" s="525"/>
      <c r="I91" s="525"/>
      <c r="J91" s="118"/>
    </row>
    <row r="92">
      <c r="A92" s="525"/>
      <c r="B92" s="512"/>
      <c r="C92" s="525"/>
      <c r="D92" s="525"/>
      <c r="E92" s="525"/>
      <c r="F92" s="525"/>
      <c r="G92" s="525"/>
      <c r="H92" s="525"/>
      <c r="I92" s="525"/>
      <c r="J92" s="118"/>
    </row>
    <row r="93">
      <c r="A93" s="525"/>
      <c r="B93" s="512"/>
      <c r="C93" s="525"/>
      <c r="D93" s="525"/>
      <c r="E93" s="525"/>
      <c r="F93" s="525"/>
      <c r="G93" s="525"/>
      <c r="H93" s="525"/>
      <c r="I93" s="525"/>
      <c r="J93" s="118"/>
    </row>
    <row r="94">
      <c r="A94" s="525"/>
      <c r="B94" s="512"/>
      <c r="C94" s="525"/>
      <c r="D94" s="525"/>
      <c r="E94" s="525"/>
      <c r="F94" s="525"/>
      <c r="G94" s="525"/>
      <c r="H94" s="525"/>
      <c r="I94" s="525"/>
      <c r="J94" s="118"/>
    </row>
    <row r="95">
      <c r="A95" s="525"/>
      <c r="B95" s="512"/>
      <c r="C95" s="525"/>
      <c r="D95" s="525"/>
      <c r="E95" s="525"/>
      <c r="F95" s="525"/>
      <c r="G95" s="525"/>
      <c r="H95" s="525"/>
      <c r="I95" s="525"/>
      <c r="J95" s="118"/>
    </row>
    <row r="96">
      <c r="A96" s="525"/>
      <c r="B96" s="512"/>
      <c r="C96" s="525"/>
      <c r="D96" s="525"/>
      <c r="E96" s="525"/>
      <c r="F96" s="525"/>
      <c r="G96" s="525"/>
      <c r="H96" s="525"/>
      <c r="I96" s="525"/>
      <c r="J96" s="118"/>
    </row>
    <row r="97">
      <c r="A97" s="525"/>
      <c r="B97" s="512"/>
      <c r="C97" s="525"/>
      <c r="D97" s="525"/>
      <c r="E97" s="525"/>
      <c r="F97" s="525"/>
      <c r="G97" s="525"/>
      <c r="H97" s="525"/>
      <c r="I97" s="525"/>
      <c r="J97" s="118"/>
    </row>
    <row r="98">
      <c r="A98" s="525"/>
      <c r="B98" s="512"/>
      <c r="C98" s="525"/>
      <c r="D98" s="525"/>
      <c r="E98" s="525"/>
      <c r="F98" s="525"/>
      <c r="G98" s="525"/>
      <c r="H98" s="525"/>
      <c r="I98" s="525"/>
      <c r="J98" s="118"/>
    </row>
    <row r="99">
      <c r="A99" s="525"/>
      <c r="B99" s="512"/>
      <c r="C99" s="525"/>
      <c r="D99" s="525"/>
      <c r="E99" s="525"/>
      <c r="F99" s="525"/>
      <c r="G99" s="525"/>
      <c r="H99" s="525"/>
      <c r="I99" s="525"/>
      <c r="J99" s="118"/>
    </row>
    <row r="100">
      <c r="A100" s="525"/>
      <c r="B100" s="512"/>
      <c r="C100" s="525"/>
      <c r="D100" s="525"/>
      <c r="E100" s="525"/>
      <c r="F100" s="525"/>
      <c r="G100" s="525"/>
      <c r="H100" s="525"/>
      <c r="I100" s="525"/>
      <c r="J100" s="118"/>
    </row>
    <row r="101">
      <c r="A101" s="525"/>
      <c r="B101" s="525"/>
      <c r="C101" s="525"/>
      <c r="D101" s="525"/>
      <c r="E101" s="525"/>
      <c r="F101" s="525"/>
      <c r="G101" s="525"/>
      <c r="H101" s="525"/>
      <c r="I101" s="525"/>
      <c r="J101" s="118"/>
    </row>
    <row r="102">
      <c r="A102" s="525"/>
      <c r="B102" s="525"/>
      <c r="C102" s="525"/>
      <c r="D102" s="525"/>
      <c r="E102" s="525"/>
      <c r="F102" s="525"/>
      <c r="G102" s="525"/>
      <c r="H102" s="525"/>
      <c r="I102" s="525"/>
      <c r="J102" s="118"/>
    </row>
    <row r="103">
      <c r="A103" s="525"/>
      <c r="B103" s="525"/>
      <c r="C103" s="525"/>
      <c r="D103" s="525"/>
      <c r="E103" s="525"/>
      <c r="F103" s="525"/>
      <c r="G103" s="525"/>
      <c r="H103" s="525"/>
      <c r="I103" s="525"/>
      <c r="J103" s="118"/>
    </row>
    <row r="104">
      <c r="A104" s="525"/>
      <c r="B104" s="525"/>
      <c r="C104" s="525"/>
      <c r="D104" s="525"/>
      <c r="E104" s="525"/>
      <c r="F104" s="525"/>
      <c r="G104" s="525"/>
      <c r="H104" s="525"/>
      <c r="I104" s="525"/>
      <c r="J104" s="118"/>
    </row>
    <row r="105">
      <c r="A105" s="525"/>
      <c r="B105" s="525"/>
      <c r="C105" s="525"/>
      <c r="D105" s="525"/>
      <c r="E105" s="525"/>
      <c r="F105" s="525"/>
      <c r="G105" s="525"/>
      <c r="H105" s="525"/>
      <c r="I105" s="525"/>
      <c r="J105" s="118"/>
    </row>
    <row r="106">
      <c r="A106" s="525"/>
      <c r="B106" s="525"/>
      <c r="C106" s="525"/>
      <c r="D106" s="525"/>
      <c r="E106" s="525"/>
      <c r="F106" s="525"/>
      <c r="G106" s="525"/>
      <c r="H106" s="525"/>
      <c r="I106" s="525"/>
      <c r="J106" s="118"/>
    </row>
    <row r="107">
      <c r="A107" s="525"/>
      <c r="B107" s="525"/>
      <c r="C107" s="525"/>
      <c r="D107" s="525"/>
      <c r="E107" s="525"/>
      <c r="F107" s="525"/>
      <c r="G107" s="525"/>
      <c r="H107" s="525"/>
      <c r="I107" s="525"/>
      <c r="J107" s="118"/>
    </row>
    <row r="108">
      <c r="A108" s="525"/>
      <c r="B108" s="525"/>
      <c r="C108" s="525"/>
      <c r="D108" s="525"/>
      <c r="E108" s="525"/>
      <c r="F108" s="525"/>
      <c r="G108" s="525"/>
      <c r="H108" s="525"/>
      <c r="I108" s="525"/>
      <c r="J108" s="118"/>
    </row>
    <row r="109">
      <c r="A109" s="525"/>
      <c r="B109" s="525"/>
      <c r="C109" s="525"/>
      <c r="D109" s="525"/>
      <c r="E109" s="525"/>
      <c r="F109" s="525"/>
      <c r="G109" s="525"/>
      <c r="H109" s="525"/>
      <c r="I109" s="525"/>
      <c r="J109" s="118"/>
    </row>
    <row r="110">
      <c r="A110" s="525"/>
      <c r="B110" s="525"/>
      <c r="C110" s="525"/>
      <c r="D110" s="525"/>
      <c r="E110" s="525"/>
      <c r="F110" s="525"/>
      <c r="G110" s="525"/>
      <c r="H110" s="525"/>
      <c r="I110" s="525"/>
      <c r="J110" s="118"/>
    </row>
    <row r="111">
      <c r="A111" s="525"/>
      <c r="B111" s="525"/>
      <c r="C111" s="525"/>
      <c r="D111" s="525"/>
      <c r="E111" s="525"/>
      <c r="F111" s="525"/>
      <c r="G111" s="525"/>
      <c r="H111" s="525"/>
      <c r="I111" s="525"/>
      <c r="J111" s="118"/>
    </row>
    <row r="112">
      <c r="A112" s="525"/>
      <c r="B112" s="525"/>
      <c r="C112" s="525"/>
      <c r="D112" s="525"/>
      <c r="E112" s="525"/>
      <c r="F112" s="525"/>
      <c r="G112" s="525"/>
      <c r="H112" s="525"/>
      <c r="I112" s="525"/>
      <c r="J112" s="118"/>
    </row>
    <row r="113">
      <c r="A113" s="525"/>
      <c r="B113" s="525"/>
      <c r="C113" s="525"/>
      <c r="D113" s="525"/>
      <c r="E113" s="525"/>
      <c r="F113" s="525"/>
      <c r="G113" s="525"/>
      <c r="H113" s="525"/>
      <c r="I113" s="525"/>
      <c r="J113" s="118"/>
    </row>
    <row r="114">
      <c r="A114" s="525"/>
      <c r="B114" s="525"/>
      <c r="C114" s="525"/>
      <c r="D114" s="525"/>
      <c r="E114" s="525"/>
      <c r="F114" s="525"/>
      <c r="G114" s="525"/>
      <c r="H114" s="525"/>
      <c r="I114" s="525"/>
      <c r="J114" s="118"/>
    </row>
    <row r="115">
      <c r="A115" s="525"/>
      <c r="B115" s="525"/>
      <c r="C115" s="525"/>
      <c r="D115" s="525"/>
      <c r="E115" s="525"/>
      <c r="F115" s="525"/>
      <c r="G115" s="525"/>
      <c r="H115" s="525"/>
      <c r="I115" s="525"/>
      <c r="J115" s="118"/>
    </row>
    <row r="116">
      <c r="A116" s="525"/>
      <c r="B116" s="525"/>
      <c r="C116" s="525"/>
      <c r="D116" s="525"/>
      <c r="E116" s="525"/>
      <c r="F116" s="525"/>
      <c r="G116" s="525"/>
      <c r="H116" s="525"/>
      <c r="I116" s="525"/>
      <c r="J116" s="118"/>
    </row>
    <row r="117">
      <c r="A117" s="525"/>
      <c r="B117" s="525"/>
      <c r="C117" s="525"/>
      <c r="D117" s="525"/>
      <c r="E117" s="525"/>
      <c r="F117" s="525"/>
      <c r="G117" s="525"/>
      <c r="H117" s="525"/>
      <c r="I117" s="525"/>
      <c r="J117" s="118"/>
    </row>
    <row r="118">
      <c r="A118" s="525"/>
      <c r="B118" s="525"/>
      <c r="C118" s="525"/>
      <c r="D118" s="525"/>
      <c r="E118" s="525"/>
      <c r="F118" s="525"/>
      <c r="G118" s="525"/>
      <c r="H118" s="525"/>
      <c r="I118" s="525"/>
      <c r="J118" s="118"/>
    </row>
    <row r="119">
      <c r="A119" s="525"/>
      <c r="B119" s="525"/>
      <c r="C119" s="525"/>
      <c r="D119" s="525"/>
      <c r="E119" s="525"/>
      <c r="F119" s="525"/>
      <c r="G119" s="525"/>
      <c r="H119" s="525"/>
      <c r="I119" s="525"/>
      <c r="J119" s="118"/>
    </row>
    <row r="120">
      <c r="A120" s="525"/>
      <c r="B120" s="525"/>
      <c r="C120" s="525"/>
      <c r="D120" s="525"/>
      <c r="E120" s="525"/>
      <c r="F120" s="525"/>
      <c r="G120" s="525"/>
      <c r="H120" s="525"/>
      <c r="I120" s="525"/>
      <c r="J120" s="118"/>
    </row>
    <row r="121">
      <c r="A121" s="525"/>
      <c r="B121" s="525"/>
      <c r="C121" s="525"/>
      <c r="D121" s="525"/>
      <c r="E121" s="525"/>
      <c r="F121" s="525"/>
      <c r="G121" s="525"/>
      <c r="H121" s="525"/>
      <c r="I121" s="525"/>
      <c r="J121" s="118"/>
    </row>
    <row r="122">
      <c r="A122" s="525"/>
      <c r="B122" s="525"/>
      <c r="C122" s="525"/>
      <c r="D122" s="525"/>
      <c r="E122" s="525"/>
      <c r="F122" s="525"/>
      <c r="G122" s="525"/>
      <c r="H122" s="525"/>
      <c r="I122" s="525"/>
      <c r="J122" s="118"/>
    </row>
    <row r="123">
      <c r="A123" s="525"/>
      <c r="B123" s="525"/>
      <c r="C123" s="525"/>
      <c r="D123" s="525"/>
      <c r="E123" s="525"/>
      <c r="F123" s="525"/>
      <c r="G123" s="525"/>
      <c r="H123" s="525"/>
      <c r="I123" s="525"/>
      <c r="J123" s="118"/>
    </row>
    <row r="124">
      <c r="A124" s="525"/>
      <c r="B124" s="525"/>
      <c r="C124" s="525"/>
      <c r="D124" s="525"/>
      <c r="E124" s="525"/>
      <c r="F124" s="525"/>
      <c r="G124" s="525"/>
      <c r="H124" s="525"/>
      <c r="I124" s="525"/>
      <c r="J124" s="118"/>
    </row>
    <row r="125">
      <c r="A125" s="525"/>
      <c r="B125" s="525"/>
      <c r="C125" s="525"/>
      <c r="D125" s="525"/>
      <c r="E125" s="525"/>
      <c r="F125" s="525"/>
      <c r="G125" s="525"/>
      <c r="H125" s="525"/>
      <c r="I125" s="525"/>
      <c r="J125" s="118"/>
    </row>
    <row r="126">
      <c r="A126" s="525"/>
      <c r="B126" s="525"/>
      <c r="C126" s="525"/>
      <c r="D126" s="525"/>
      <c r="E126" s="525"/>
      <c r="F126" s="525"/>
      <c r="G126" s="525"/>
      <c r="H126" s="525"/>
      <c r="I126" s="525"/>
      <c r="J126" s="118"/>
    </row>
    <row r="127">
      <c r="A127" s="525"/>
      <c r="B127" s="525"/>
      <c r="C127" s="525"/>
      <c r="D127" s="525"/>
      <c r="E127" s="525"/>
      <c r="F127" s="525"/>
      <c r="G127" s="525"/>
      <c r="H127" s="525"/>
      <c r="I127" s="525"/>
      <c r="J127" s="118"/>
    </row>
    <row r="128">
      <c r="A128" s="525"/>
      <c r="B128" s="525"/>
      <c r="C128" s="525"/>
      <c r="D128" s="525"/>
      <c r="E128" s="525"/>
      <c r="F128" s="525"/>
      <c r="G128" s="525"/>
      <c r="H128" s="525"/>
      <c r="I128" s="525"/>
      <c r="J128" s="118"/>
    </row>
    <row r="129">
      <c r="A129" s="525"/>
      <c r="B129" s="525"/>
      <c r="C129" s="525"/>
      <c r="D129" s="525"/>
      <c r="E129" s="525"/>
      <c r="F129" s="525"/>
      <c r="G129" s="525"/>
      <c r="H129" s="525"/>
      <c r="I129" s="525"/>
      <c r="J129" s="118"/>
    </row>
    <row r="130">
      <c r="A130" s="525"/>
      <c r="B130" s="525"/>
      <c r="C130" s="525"/>
      <c r="D130" s="525"/>
      <c r="E130" s="525"/>
      <c r="F130" s="525"/>
      <c r="G130" s="525"/>
      <c r="H130" s="525"/>
      <c r="I130" s="525"/>
      <c r="J130" s="118"/>
    </row>
    <row r="131">
      <c r="A131" s="525"/>
      <c r="B131" s="525"/>
      <c r="C131" s="525"/>
      <c r="D131" s="525"/>
      <c r="E131" s="525"/>
      <c r="F131" s="525"/>
      <c r="G131" s="525"/>
      <c r="H131" s="525"/>
      <c r="I131" s="525"/>
      <c r="J131" s="118"/>
    </row>
    <row r="132">
      <c r="A132" s="525"/>
      <c r="B132" s="525"/>
      <c r="C132" s="525"/>
      <c r="D132" s="525"/>
      <c r="E132" s="525"/>
      <c r="F132" s="525"/>
      <c r="G132" s="525"/>
      <c r="H132" s="525"/>
      <c r="I132" s="525"/>
      <c r="J132" s="118"/>
    </row>
    <row r="133">
      <c r="A133" s="525"/>
      <c r="B133" s="525"/>
      <c r="C133" s="525"/>
      <c r="D133" s="525"/>
      <c r="E133" s="525"/>
      <c r="F133" s="525"/>
      <c r="G133" s="525"/>
      <c r="H133" s="525"/>
      <c r="I133" s="525"/>
      <c r="J133" s="118"/>
    </row>
    <row r="134">
      <c r="A134" s="525"/>
      <c r="B134" s="525"/>
      <c r="C134" s="525"/>
      <c r="D134" s="525"/>
      <c r="E134" s="525"/>
      <c r="F134" s="525"/>
      <c r="G134" s="525"/>
      <c r="H134" s="525"/>
      <c r="I134" s="525"/>
      <c r="J134" s="118"/>
    </row>
    <row r="135">
      <c r="A135" s="525"/>
      <c r="B135" s="525"/>
      <c r="C135" s="525"/>
      <c r="D135" s="525"/>
      <c r="E135" s="525"/>
      <c r="F135" s="525"/>
      <c r="G135" s="525"/>
      <c r="H135" s="525"/>
      <c r="I135" s="525"/>
      <c r="J135" s="118"/>
    </row>
    <row r="136">
      <c r="A136" s="525"/>
      <c r="B136" s="525"/>
      <c r="C136" s="525"/>
      <c r="D136" s="525"/>
      <c r="E136" s="525"/>
      <c r="F136" s="525"/>
      <c r="G136" s="525"/>
      <c r="H136" s="525"/>
      <c r="I136" s="525"/>
      <c r="J136" s="118"/>
    </row>
    <row r="137">
      <c r="A137" s="525"/>
      <c r="B137" s="525"/>
      <c r="C137" s="525"/>
      <c r="D137" s="525"/>
      <c r="E137" s="525"/>
      <c r="F137" s="525"/>
      <c r="G137" s="525"/>
      <c r="H137" s="525"/>
      <c r="I137" s="525"/>
      <c r="J137" s="118"/>
    </row>
    <row r="138">
      <c r="A138" s="525"/>
      <c r="B138" s="525"/>
      <c r="C138" s="525"/>
      <c r="D138" s="525"/>
      <c r="E138" s="525"/>
      <c r="F138" s="525"/>
      <c r="G138" s="525"/>
      <c r="H138" s="525"/>
      <c r="I138" s="525"/>
      <c r="J138" s="118"/>
    </row>
    <row r="139">
      <c r="A139" s="525"/>
      <c r="B139" s="525"/>
      <c r="C139" s="525"/>
      <c r="D139" s="525"/>
      <c r="E139" s="525"/>
      <c r="F139" s="525"/>
      <c r="G139" s="525"/>
      <c r="H139" s="525"/>
      <c r="I139" s="525"/>
      <c r="J139" s="118"/>
    </row>
    <row r="140">
      <c r="A140" s="525"/>
      <c r="B140" s="525"/>
      <c r="C140" s="525"/>
      <c r="D140" s="525"/>
      <c r="E140" s="525"/>
      <c r="F140" s="525"/>
      <c r="G140" s="525"/>
      <c r="H140" s="525"/>
      <c r="I140" s="525"/>
      <c r="J140" s="118"/>
    </row>
    <row r="141">
      <c r="A141" s="525"/>
      <c r="B141" s="525"/>
      <c r="C141" s="525"/>
      <c r="D141" s="525"/>
      <c r="E141" s="525"/>
      <c r="F141" s="525"/>
      <c r="G141" s="525"/>
      <c r="H141" s="525"/>
      <c r="I141" s="525"/>
      <c r="J141" s="118"/>
    </row>
    <row r="142">
      <c r="A142" s="525"/>
      <c r="B142" s="525"/>
      <c r="C142" s="525"/>
      <c r="D142" s="525"/>
      <c r="E142" s="525"/>
      <c r="F142" s="525"/>
      <c r="G142" s="525"/>
      <c r="H142" s="525"/>
      <c r="I142" s="525"/>
      <c r="J142" s="118"/>
    </row>
    <row r="143">
      <c r="A143" s="525"/>
      <c r="B143" s="525"/>
      <c r="C143" s="525"/>
      <c r="D143" s="525"/>
      <c r="E143" s="525"/>
      <c r="F143" s="525"/>
      <c r="G143" s="525"/>
      <c r="H143" s="525"/>
      <c r="I143" s="525"/>
      <c r="J143" s="118"/>
    </row>
    <row r="144">
      <c r="A144" s="525"/>
      <c r="B144" s="525"/>
      <c r="C144" s="525"/>
      <c r="D144" s="525"/>
      <c r="E144" s="525"/>
      <c r="F144" s="525"/>
      <c r="G144" s="525"/>
      <c r="H144" s="525"/>
      <c r="I144" s="525"/>
      <c r="J144" s="118"/>
    </row>
    <row r="145">
      <c r="A145" s="525"/>
      <c r="B145" s="525"/>
      <c r="C145" s="525"/>
      <c r="D145" s="525"/>
      <c r="E145" s="525"/>
      <c r="F145" s="525"/>
      <c r="G145" s="525"/>
      <c r="H145" s="525"/>
      <c r="I145" s="525"/>
      <c r="J145" s="118"/>
    </row>
    <row r="146">
      <c r="A146" s="525"/>
      <c r="B146" s="525"/>
      <c r="C146" s="525"/>
      <c r="D146" s="525"/>
      <c r="E146" s="525"/>
      <c r="F146" s="525"/>
      <c r="G146" s="525"/>
      <c r="H146" s="525"/>
      <c r="I146" s="525"/>
      <c r="J146" s="118"/>
    </row>
    <row r="147">
      <c r="A147" s="525"/>
      <c r="B147" s="525"/>
      <c r="C147" s="525"/>
      <c r="D147" s="525"/>
      <c r="E147" s="525"/>
      <c r="F147" s="525"/>
      <c r="G147" s="525"/>
      <c r="H147" s="525"/>
      <c r="I147" s="525"/>
      <c r="J147" s="118"/>
    </row>
    <row r="148">
      <c r="A148" s="525"/>
      <c r="B148" s="525"/>
      <c r="C148" s="525"/>
      <c r="D148" s="525"/>
      <c r="E148" s="525"/>
      <c r="F148" s="525"/>
      <c r="G148" s="525"/>
      <c r="H148" s="525"/>
      <c r="I148" s="525"/>
      <c r="J148" s="118"/>
    </row>
    <row r="149">
      <c r="A149" s="525"/>
      <c r="B149" s="525"/>
      <c r="C149" s="525"/>
      <c r="D149" s="525"/>
      <c r="E149" s="525"/>
      <c r="F149" s="525"/>
      <c r="G149" s="525"/>
      <c r="H149" s="525"/>
      <c r="I149" s="525"/>
      <c r="J149" s="118"/>
    </row>
    <row r="150">
      <c r="A150" s="525"/>
      <c r="B150" s="525"/>
      <c r="C150" s="525"/>
      <c r="D150" s="525"/>
      <c r="E150" s="525"/>
      <c r="F150" s="525"/>
      <c r="G150" s="525"/>
      <c r="H150" s="525"/>
      <c r="I150" s="525"/>
      <c r="J150" s="118"/>
    </row>
    <row r="151">
      <c r="A151" s="525"/>
      <c r="B151" s="525"/>
      <c r="C151" s="525"/>
      <c r="D151" s="525"/>
      <c r="E151" s="525"/>
      <c r="F151" s="525"/>
      <c r="G151" s="525"/>
      <c r="H151" s="525"/>
      <c r="I151" s="525"/>
      <c r="J151" s="118"/>
    </row>
    <row r="152">
      <c r="A152" s="525"/>
      <c r="B152" s="525"/>
      <c r="C152" s="525"/>
      <c r="D152" s="525"/>
      <c r="E152" s="525"/>
      <c r="F152" s="525"/>
      <c r="G152" s="525"/>
      <c r="H152" s="525"/>
      <c r="I152" s="525"/>
      <c r="J152" s="118"/>
    </row>
    <row r="153">
      <c r="A153" s="525"/>
      <c r="B153" s="525"/>
      <c r="C153" s="525"/>
      <c r="D153" s="525"/>
      <c r="E153" s="525"/>
      <c r="F153" s="525"/>
      <c r="G153" s="525"/>
      <c r="H153" s="525"/>
      <c r="I153" s="525"/>
      <c r="J153" s="118"/>
    </row>
    <row r="154">
      <c r="A154" s="525"/>
      <c r="B154" s="525"/>
      <c r="C154" s="525"/>
      <c r="D154" s="525"/>
      <c r="E154" s="525"/>
      <c r="F154" s="525"/>
      <c r="G154" s="525"/>
      <c r="H154" s="525"/>
      <c r="I154" s="525"/>
      <c r="J154" s="118"/>
    </row>
    <row r="155">
      <c r="A155" s="525"/>
      <c r="B155" s="525"/>
      <c r="C155" s="525"/>
      <c r="D155" s="525"/>
      <c r="E155" s="525"/>
      <c r="F155" s="525"/>
      <c r="G155" s="525"/>
      <c r="H155" s="525"/>
      <c r="I155" s="525"/>
      <c r="J155" s="118"/>
    </row>
    <row r="156">
      <c r="A156" s="525"/>
      <c r="B156" s="525"/>
      <c r="C156" s="525"/>
      <c r="D156" s="525"/>
      <c r="E156" s="525"/>
      <c r="F156" s="525"/>
      <c r="G156" s="525"/>
      <c r="H156" s="525"/>
      <c r="I156" s="525"/>
      <c r="J156" s="118"/>
    </row>
    <row r="157">
      <c r="A157" s="525"/>
      <c r="B157" s="525"/>
      <c r="C157" s="525"/>
      <c r="D157" s="525"/>
      <c r="E157" s="525"/>
      <c r="F157" s="525"/>
      <c r="G157" s="525"/>
      <c r="H157" s="525"/>
      <c r="I157" s="525"/>
      <c r="J157" s="118"/>
    </row>
    <row r="158">
      <c r="A158" s="525"/>
      <c r="B158" s="525"/>
      <c r="C158" s="525"/>
      <c r="D158" s="525"/>
      <c r="E158" s="525"/>
      <c r="F158" s="525"/>
      <c r="G158" s="525"/>
      <c r="H158" s="525"/>
      <c r="I158" s="525"/>
      <c r="J158" s="118"/>
    </row>
    <row r="159">
      <c r="A159" s="525"/>
      <c r="B159" s="525"/>
      <c r="C159" s="525"/>
      <c r="D159" s="525"/>
      <c r="E159" s="525"/>
      <c r="F159" s="525"/>
      <c r="G159" s="525"/>
      <c r="H159" s="525"/>
      <c r="I159" s="525"/>
      <c r="J159" s="118"/>
    </row>
    <row r="160">
      <c r="A160" s="525"/>
      <c r="B160" s="525"/>
      <c r="C160" s="525"/>
      <c r="D160" s="525"/>
      <c r="E160" s="525"/>
      <c r="F160" s="525"/>
      <c r="G160" s="525"/>
      <c r="H160" s="525"/>
      <c r="I160" s="525"/>
      <c r="J160" s="118"/>
    </row>
    <row r="161">
      <c r="A161" s="525"/>
      <c r="B161" s="525"/>
      <c r="C161" s="525"/>
      <c r="D161" s="525"/>
      <c r="E161" s="525"/>
      <c r="F161" s="525"/>
      <c r="G161" s="525"/>
      <c r="H161" s="525"/>
      <c r="I161" s="525"/>
      <c r="J161" s="118"/>
    </row>
    <row r="162">
      <c r="A162" s="525"/>
      <c r="B162" s="525"/>
      <c r="C162" s="525"/>
      <c r="D162" s="525"/>
      <c r="E162" s="525"/>
      <c r="F162" s="525"/>
      <c r="G162" s="525"/>
      <c r="H162" s="525"/>
      <c r="I162" s="525"/>
      <c r="J162" s="118"/>
    </row>
    <row r="163">
      <c r="A163" s="525"/>
      <c r="B163" s="525"/>
      <c r="C163" s="525"/>
      <c r="D163" s="525"/>
      <c r="E163" s="525"/>
      <c r="F163" s="525"/>
      <c r="G163" s="525"/>
      <c r="H163" s="525"/>
      <c r="I163" s="525"/>
      <c r="J163" s="118"/>
    </row>
    <row r="164">
      <c r="A164" s="525"/>
      <c r="B164" s="525"/>
      <c r="C164" s="525"/>
      <c r="D164" s="525"/>
      <c r="E164" s="525"/>
      <c r="F164" s="525"/>
      <c r="G164" s="525"/>
      <c r="H164" s="525"/>
      <c r="I164" s="525"/>
      <c r="J164" s="118"/>
    </row>
    <row r="165">
      <c r="A165" s="525"/>
      <c r="B165" s="525"/>
      <c r="C165" s="525"/>
      <c r="D165" s="525"/>
      <c r="E165" s="525"/>
      <c r="F165" s="525"/>
      <c r="G165" s="525"/>
      <c r="H165" s="525"/>
      <c r="I165" s="525"/>
      <c r="J165" s="118"/>
    </row>
    <row r="166">
      <c r="A166" s="525"/>
      <c r="B166" s="525"/>
      <c r="C166" s="525"/>
      <c r="D166" s="525"/>
      <c r="E166" s="525"/>
      <c r="F166" s="525"/>
      <c r="G166" s="525"/>
      <c r="H166" s="525"/>
      <c r="I166" s="525"/>
      <c r="J166" s="118"/>
    </row>
    <row r="167">
      <c r="A167" s="525"/>
      <c r="B167" s="525"/>
      <c r="C167" s="525"/>
      <c r="D167" s="525"/>
      <c r="E167" s="525"/>
      <c r="F167" s="525"/>
      <c r="G167" s="525"/>
      <c r="H167" s="525"/>
      <c r="I167" s="525"/>
      <c r="J167" s="118"/>
    </row>
    <row r="168">
      <c r="A168" s="525"/>
      <c r="B168" s="525"/>
      <c r="C168" s="525"/>
      <c r="D168" s="525"/>
      <c r="E168" s="525"/>
      <c r="F168" s="525"/>
      <c r="G168" s="525"/>
      <c r="H168" s="525"/>
      <c r="I168" s="525"/>
      <c r="J168" s="118"/>
    </row>
    <row r="169">
      <c r="A169" s="525"/>
      <c r="B169" s="525"/>
      <c r="C169" s="525"/>
      <c r="D169" s="525"/>
      <c r="E169" s="525"/>
      <c r="F169" s="525"/>
      <c r="G169" s="525"/>
      <c r="H169" s="525"/>
      <c r="I169" s="525"/>
      <c r="J169" s="118"/>
    </row>
    <row r="170">
      <c r="A170" s="525"/>
      <c r="B170" s="525"/>
      <c r="C170" s="525"/>
      <c r="D170" s="525"/>
      <c r="E170" s="525"/>
      <c r="F170" s="525"/>
      <c r="G170" s="525"/>
      <c r="H170" s="525"/>
      <c r="I170" s="525"/>
      <c r="J170" s="118"/>
    </row>
    <row r="171">
      <c r="A171" s="525"/>
      <c r="B171" s="525"/>
      <c r="C171" s="525"/>
      <c r="D171" s="525"/>
      <c r="E171" s="525"/>
      <c r="F171" s="525"/>
      <c r="G171" s="525"/>
      <c r="H171" s="525"/>
      <c r="I171" s="525"/>
      <c r="J171" s="118"/>
    </row>
    <row r="172">
      <c r="A172" s="525"/>
      <c r="B172" s="525"/>
      <c r="C172" s="525"/>
      <c r="D172" s="525"/>
      <c r="E172" s="525"/>
      <c r="F172" s="525"/>
      <c r="G172" s="525"/>
      <c r="H172" s="525"/>
      <c r="I172" s="525"/>
      <c r="J172" s="118"/>
    </row>
    <row r="173">
      <c r="A173" s="525"/>
      <c r="B173" s="525"/>
      <c r="C173" s="525"/>
      <c r="D173" s="525"/>
      <c r="E173" s="525"/>
      <c r="F173" s="525"/>
      <c r="G173" s="525"/>
      <c r="H173" s="525"/>
      <c r="I173" s="525"/>
      <c r="J173" s="118"/>
    </row>
    <row r="174">
      <c r="A174" s="525"/>
      <c r="B174" s="525"/>
      <c r="C174" s="525"/>
      <c r="D174" s="525"/>
      <c r="E174" s="525"/>
      <c r="F174" s="525"/>
      <c r="G174" s="525"/>
      <c r="H174" s="525"/>
      <c r="I174" s="525"/>
      <c r="J174" s="118"/>
    </row>
    <row r="175">
      <c r="A175" s="525"/>
      <c r="B175" s="525"/>
      <c r="C175" s="525"/>
      <c r="D175" s="525"/>
      <c r="E175" s="525"/>
      <c r="F175" s="525"/>
      <c r="G175" s="525"/>
      <c r="H175" s="525"/>
      <c r="I175" s="525"/>
      <c r="J175" s="118"/>
    </row>
    <row r="176">
      <c r="A176" s="525"/>
      <c r="B176" s="525"/>
      <c r="C176" s="525"/>
      <c r="D176" s="525"/>
      <c r="E176" s="525"/>
      <c r="F176" s="525"/>
      <c r="G176" s="525"/>
      <c r="H176" s="525"/>
      <c r="I176" s="525"/>
      <c r="J176" s="118"/>
    </row>
    <row r="177">
      <c r="A177" s="525"/>
      <c r="B177" s="525"/>
      <c r="C177" s="525"/>
      <c r="D177" s="525"/>
      <c r="E177" s="525"/>
      <c r="F177" s="525"/>
      <c r="G177" s="525"/>
      <c r="H177" s="525"/>
      <c r="I177" s="525"/>
      <c r="J177" s="118"/>
    </row>
    <row r="178">
      <c r="A178" s="525"/>
      <c r="B178" s="525"/>
      <c r="C178" s="525"/>
      <c r="D178" s="525"/>
      <c r="E178" s="525"/>
      <c r="F178" s="525"/>
      <c r="G178" s="525"/>
      <c r="H178" s="525"/>
      <c r="I178" s="525"/>
      <c r="J178" s="118"/>
    </row>
    <row r="179">
      <c r="A179" s="525"/>
      <c r="B179" s="525"/>
      <c r="C179" s="525"/>
      <c r="D179" s="525"/>
      <c r="E179" s="525"/>
      <c r="F179" s="525"/>
      <c r="G179" s="525"/>
      <c r="H179" s="525"/>
      <c r="I179" s="525"/>
      <c r="J179" s="118"/>
    </row>
    <row r="180">
      <c r="A180" s="525"/>
      <c r="B180" s="525"/>
      <c r="C180" s="525"/>
      <c r="D180" s="525"/>
      <c r="E180" s="525"/>
      <c r="F180" s="525"/>
      <c r="G180" s="525"/>
      <c r="H180" s="525"/>
      <c r="I180" s="525"/>
      <c r="J180" s="118"/>
    </row>
    <row r="181">
      <c r="A181" s="525"/>
      <c r="B181" s="525"/>
      <c r="C181" s="525"/>
      <c r="D181" s="525"/>
      <c r="E181" s="525"/>
      <c r="F181" s="525"/>
      <c r="G181" s="525"/>
      <c r="H181" s="525"/>
      <c r="I181" s="525"/>
      <c r="J181" s="118"/>
    </row>
    <row r="182">
      <c r="A182" s="525"/>
      <c r="B182" s="525"/>
      <c r="C182" s="525"/>
      <c r="D182" s="525"/>
      <c r="E182" s="525"/>
      <c r="F182" s="525"/>
      <c r="G182" s="525"/>
      <c r="H182" s="525"/>
      <c r="I182" s="525"/>
      <c r="J182" s="118"/>
    </row>
    <row r="183">
      <c r="A183" s="525"/>
      <c r="B183" s="525"/>
      <c r="C183" s="525"/>
      <c r="D183" s="525"/>
      <c r="E183" s="525"/>
      <c r="F183" s="525"/>
      <c r="G183" s="525"/>
      <c r="H183" s="525"/>
      <c r="I183" s="525"/>
      <c r="J183" s="118"/>
    </row>
    <row r="184">
      <c r="A184" s="525"/>
      <c r="B184" s="525"/>
      <c r="C184" s="525"/>
      <c r="D184" s="525"/>
      <c r="E184" s="525"/>
      <c r="F184" s="525"/>
      <c r="G184" s="525"/>
      <c r="H184" s="525"/>
      <c r="I184" s="525"/>
      <c r="J184" s="118"/>
    </row>
    <row r="185">
      <c r="A185" s="525"/>
      <c r="B185" s="525"/>
      <c r="C185" s="525"/>
      <c r="D185" s="525"/>
      <c r="E185" s="525"/>
      <c r="F185" s="525"/>
      <c r="G185" s="525"/>
      <c r="H185" s="525"/>
      <c r="I185" s="525"/>
      <c r="J185" s="118"/>
    </row>
    <row r="186">
      <c r="A186" s="525"/>
      <c r="B186" s="525"/>
      <c r="C186" s="525"/>
      <c r="D186" s="525"/>
      <c r="E186" s="525"/>
      <c r="F186" s="525"/>
      <c r="G186" s="525"/>
      <c r="H186" s="525"/>
      <c r="I186" s="525"/>
      <c r="J186" s="118"/>
    </row>
    <row r="187">
      <c r="A187" s="525"/>
      <c r="B187" s="525"/>
      <c r="C187" s="525"/>
      <c r="D187" s="525"/>
      <c r="E187" s="525"/>
      <c r="F187" s="525"/>
      <c r="G187" s="525"/>
      <c r="H187" s="525"/>
      <c r="I187" s="525"/>
      <c r="J187" s="118"/>
    </row>
    <row r="188">
      <c r="A188" s="525"/>
      <c r="B188" s="525"/>
      <c r="C188" s="525"/>
      <c r="D188" s="525"/>
      <c r="E188" s="525"/>
      <c r="F188" s="525"/>
      <c r="G188" s="525"/>
      <c r="H188" s="525"/>
      <c r="I188" s="525"/>
      <c r="J188" s="118"/>
    </row>
    <row r="189">
      <c r="A189" s="525"/>
      <c r="B189" s="525"/>
      <c r="C189" s="525"/>
      <c r="D189" s="525"/>
      <c r="E189" s="525"/>
      <c r="F189" s="525"/>
      <c r="G189" s="525"/>
      <c r="H189" s="525"/>
      <c r="I189" s="525"/>
      <c r="J189" s="118"/>
    </row>
    <row r="190">
      <c r="A190" s="525"/>
      <c r="B190" s="525"/>
      <c r="C190" s="525"/>
      <c r="D190" s="525"/>
      <c r="E190" s="525"/>
      <c r="F190" s="525"/>
      <c r="G190" s="525"/>
      <c r="H190" s="525"/>
      <c r="I190" s="525"/>
      <c r="J190" s="118"/>
    </row>
    <row r="191">
      <c r="A191" s="525"/>
      <c r="B191" s="525"/>
      <c r="C191" s="525"/>
      <c r="D191" s="525"/>
      <c r="E191" s="525"/>
      <c r="F191" s="525"/>
      <c r="G191" s="525"/>
      <c r="H191" s="525"/>
      <c r="I191" s="525"/>
      <c r="J191" s="118"/>
    </row>
    <row r="192">
      <c r="A192" s="525"/>
      <c r="B192" s="525"/>
      <c r="C192" s="525"/>
      <c r="D192" s="525"/>
      <c r="E192" s="525"/>
      <c r="F192" s="525"/>
      <c r="G192" s="525"/>
      <c r="H192" s="525"/>
      <c r="I192" s="525"/>
      <c r="J192" s="118"/>
    </row>
    <row r="193">
      <c r="A193" s="525"/>
      <c r="B193" s="525"/>
      <c r="C193" s="525"/>
      <c r="D193" s="525"/>
      <c r="E193" s="525"/>
      <c r="F193" s="525"/>
      <c r="G193" s="525"/>
      <c r="H193" s="525"/>
      <c r="I193" s="525"/>
      <c r="J193" s="118"/>
    </row>
    <row r="194">
      <c r="A194" s="525"/>
      <c r="B194" s="525"/>
      <c r="C194" s="525"/>
      <c r="D194" s="525"/>
      <c r="E194" s="525"/>
      <c r="F194" s="525"/>
      <c r="G194" s="525"/>
      <c r="H194" s="525"/>
      <c r="I194" s="525"/>
      <c r="J194" s="118"/>
    </row>
    <row r="195">
      <c r="A195" s="525"/>
      <c r="B195" s="525"/>
      <c r="C195" s="525"/>
      <c r="D195" s="525"/>
      <c r="E195" s="525"/>
      <c r="F195" s="525"/>
      <c r="G195" s="525"/>
      <c r="H195" s="525"/>
      <c r="I195" s="525"/>
      <c r="J195" s="118"/>
    </row>
    <row r="196">
      <c r="A196" s="525"/>
      <c r="B196" s="525"/>
      <c r="C196" s="525"/>
      <c r="D196" s="525"/>
      <c r="E196" s="525"/>
      <c r="F196" s="525"/>
      <c r="G196" s="525"/>
      <c r="H196" s="525"/>
      <c r="I196" s="525"/>
      <c r="J196" s="118"/>
    </row>
    <row r="197">
      <c r="A197" s="525"/>
      <c r="B197" s="525"/>
      <c r="C197" s="525"/>
      <c r="D197" s="525"/>
      <c r="E197" s="525"/>
      <c r="F197" s="525"/>
      <c r="G197" s="525"/>
      <c r="H197" s="525"/>
      <c r="I197" s="525"/>
      <c r="J197" s="118"/>
    </row>
    <row r="198">
      <c r="A198" s="525"/>
      <c r="B198" s="525"/>
      <c r="C198" s="525"/>
      <c r="D198" s="525"/>
      <c r="E198" s="525"/>
      <c r="F198" s="525"/>
      <c r="G198" s="525"/>
      <c r="H198" s="525"/>
      <c r="I198" s="525"/>
      <c r="J198" s="118"/>
    </row>
    <row r="199">
      <c r="A199" s="525"/>
      <c r="B199" s="525"/>
      <c r="C199" s="525"/>
      <c r="D199" s="525"/>
      <c r="E199" s="525"/>
      <c r="F199" s="525"/>
      <c r="G199" s="525"/>
      <c r="H199" s="525"/>
      <c r="I199" s="525"/>
      <c r="J199" s="118"/>
    </row>
    <row r="200">
      <c r="A200" s="525"/>
      <c r="B200" s="525"/>
      <c r="C200" s="525"/>
      <c r="D200" s="525"/>
      <c r="E200" s="525"/>
      <c r="F200" s="525"/>
      <c r="G200" s="525"/>
      <c r="H200" s="525"/>
      <c r="I200" s="525"/>
      <c r="J200" s="118"/>
    </row>
    <row r="201">
      <c r="A201" s="525"/>
      <c r="B201" s="525"/>
      <c r="C201" s="525"/>
      <c r="D201" s="525"/>
      <c r="E201" s="525"/>
      <c r="F201" s="525"/>
      <c r="G201" s="525"/>
      <c r="H201" s="525"/>
      <c r="I201" s="525"/>
      <c r="J201" s="118"/>
    </row>
    <row r="202">
      <c r="A202" s="525"/>
      <c r="B202" s="525"/>
      <c r="C202" s="525"/>
      <c r="D202" s="525"/>
      <c r="E202" s="525"/>
      <c r="F202" s="525"/>
      <c r="G202" s="525"/>
      <c r="H202" s="525"/>
      <c r="I202" s="525"/>
      <c r="J202" s="118"/>
    </row>
    <row r="203">
      <c r="A203" s="525"/>
      <c r="B203" s="525"/>
      <c r="C203" s="525"/>
      <c r="D203" s="525"/>
      <c r="E203" s="525"/>
      <c r="F203" s="525"/>
      <c r="G203" s="525"/>
      <c r="H203" s="525"/>
      <c r="I203" s="525"/>
      <c r="J203" s="118"/>
    </row>
    <row r="204">
      <c r="A204" s="525"/>
      <c r="B204" s="525"/>
      <c r="C204" s="525"/>
      <c r="D204" s="525"/>
      <c r="E204" s="525"/>
      <c r="F204" s="525"/>
      <c r="G204" s="525"/>
      <c r="H204" s="525"/>
      <c r="I204" s="525"/>
      <c r="J204" s="118"/>
    </row>
    <row r="205">
      <c r="A205" s="525"/>
      <c r="B205" s="525"/>
      <c r="C205" s="525"/>
      <c r="D205" s="525"/>
      <c r="E205" s="525"/>
      <c r="F205" s="525"/>
      <c r="G205" s="525"/>
      <c r="H205" s="525"/>
      <c r="I205" s="525"/>
      <c r="J205" s="118"/>
    </row>
    <row r="206">
      <c r="A206" s="525"/>
      <c r="B206" s="525"/>
      <c r="C206" s="525"/>
      <c r="D206" s="525"/>
      <c r="E206" s="525"/>
      <c r="F206" s="525"/>
      <c r="G206" s="525"/>
      <c r="H206" s="525"/>
      <c r="I206" s="525"/>
      <c r="J206" s="118"/>
    </row>
    <row r="207">
      <c r="A207" s="525"/>
      <c r="B207" s="525"/>
      <c r="C207" s="525"/>
      <c r="D207" s="525"/>
      <c r="E207" s="525"/>
      <c r="F207" s="525"/>
      <c r="G207" s="525"/>
      <c r="H207" s="525"/>
      <c r="I207" s="525"/>
      <c r="J207" s="118"/>
    </row>
    <row r="208">
      <c r="A208" s="525"/>
      <c r="B208" s="525"/>
      <c r="C208" s="525"/>
      <c r="D208" s="525"/>
      <c r="E208" s="525"/>
      <c r="F208" s="525"/>
      <c r="G208" s="525"/>
      <c r="H208" s="525"/>
      <c r="I208" s="525"/>
      <c r="J208" s="118"/>
    </row>
    <row r="209">
      <c r="A209" s="525"/>
      <c r="B209" s="525"/>
      <c r="C209" s="525"/>
      <c r="D209" s="525"/>
      <c r="E209" s="525"/>
      <c r="F209" s="525"/>
      <c r="G209" s="525"/>
      <c r="H209" s="525"/>
      <c r="I209" s="525"/>
      <c r="J209" s="118"/>
    </row>
    <row r="210">
      <c r="A210" s="525"/>
      <c r="B210" s="525"/>
      <c r="C210" s="525"/>
      <c r="D210" s="525"/>
      <c r="E210" s="525"/>
      <c r="F210" s="525"/>
      <c r="G210" s="525"/>
      <c r="H210" s="525"/>
      <c r="I210" s="525"/>
      <c r="J210" s="118"/>
    </row>
    <row r="211">
      <c r="A211" s="525"/>
      <c r="B211" s="525"/>
      <c r="C211" s="525"/>
      <c r="D211" s="525"/>
      <c r="E211" s="525"/>
      <c r="F211" s="525"/>
      <c r="G211" s="525"/>
      <c r="H211" s="525"/>
      <c r="I211" s="525"/>
      <c r="J211" s="118"/>
    </row>
    <row r="212">
      <c r="A212" s="525"/>
      <c r="B212" s="525"/>
      <c r="C212" s="525"/>
      <c r="D212" s="525"/>
      <c r="E212" s="525"/>
      <c r="F212" s="525"/>
      <c r="G212" s="525"/>
      <c r="H212" s="525"/>
      <c r="I212" s="525"/>
      <c r="J212" s="118"/>
    </row>
    <row r="213">
      <c r="A213" s="525"/>
      <c r="B213" s="525"/>
      <c r="C213" s="525"/>
      <c r="D213" s="525"/>
      <c r="E213" s="525"/>
      <c r="F213" s="525"/>
      <c r="G213" s="525"/>
      <c r="H213" s="525"/>
      <c r="I213" s="525"/>
      <c r="J213" s="118"/>
    </row>
    <row r="214">
      <c r="A214" s="525"/>
      <c r="B214" s="525"/>
      <c r="C214" s="525"/>
      <c r="D214" s="525"/>
      <c r="E214" s="525"/>
      <c r="F214" s="525"/>
      <c r="G214" s="525"/>
      <c r="H214" s="525"/>
      <c r="I214" s="525"/>
      <c r="J214" s="118"/>
    </row>
    <row r="215">
      <c r="A215" s="525"/>
      <c r="B215" s="525"/>
      <c r="C215" s="525"/>
      <c r="D215" s="525"/>
      <c r="E215" s="525"/>
      <c r="F215" s="525"/>
      <c r="G215" s="525"/>
      <c r="H215" s="525"/>
      <c r="I215" s="525"/>
      <c r="J215" s="118"/>
    </row>
    <row r="216">
      <c r="A216" s="525"/>
      <c r="B216" s="525"/>
      <c r="C216" s="525"/>
      <c r="D216" s="525"/>
      <c r="E216" s="525"/>
      <c r="F216" s="525"/>
      <c r="G216" s="525"/>
      <c r="H216" s="525"/>
      <c r="I216" s="525"/>
      <c r="J216" s="118"/>
    </row>
    <row r="217">
      <c r="A217" s="525"/>
      <c r="B217" s="525"/>
      <c r="C217" s="525"/>
      <c r="D217" s="525"/>
      <c r="E217" s="525"/>
      <c r="F217" s="525"/>
      <c r="G217" s="525"/>
      <c r="H217" s="525"/>
      <c r="I217" s="525"/>
      <c r="J217" s="118"/>
    </row>
    <row r="218">
      <c r="A218" s="525"/>
      <c r="B218" s="525"/>
      <c r="C218" s="525"/>
      <c r="D218" s="525"/>
      <c r="E218" s="525"/>
      <c r="F218" s="525"/>
      <c r="G218" s="525"/>
      <c r="H218" s="525"/>
      <c r="I218" s="525"/>
      <c r="J218" s="118"/>
    </row>
    <row r="219">
      <c r="A219" s="525"/>
      <c r="B219" s="525"/>
      <c r="C219" s="525"/>
      <c r="D219" s="525"/>
      <c r="E219" s="525"/>
      <c r="F219" s="525"/>
      <c r="G219" s="525"/>
      <c r="H219" s="525"/>
      <c r="I219" s="525"/>
      <c r="J219" s="118"/>
    </row>
    <row r="220">
      <c r="A220" s="525"/>
      <c r="B220" s="525"/>
      <c r="C220" s="525"/>
      <c r="D220" s="525"/>
      <c r="E220" s="525"/>
      <c r="F220" s="525"/>
      <c r="G220" s="525"/>
      <c r="H220" s="525"/>
      <c r="I220" s="525"/>
      <c r="J220" s="118"/>
    </row>
    <row r="221">
      <c r="A221" s="525"/>
      <c r="B221" s="525"/>
      <c r="C221" s="525"/>
      <c r="D221" s="525"/>
      <c r="E221" s="525"/>
      <c r="F221" s="525"/>
      <c r="G221" s="525"/>
      <c r="H221" s="525"/>
      <c r="I221" s="525"/>
      <c r="J221" s="118"/>
    </row>
    <row r="222">
      <c r="A222" s="525"/>
      <c r="B222" s="525"/>
      <c r="C222" s="525"/>
      <c r="D222" s="525"/>
      <c r="E222" s="525"/>
      <c r="F222" s="525"/>
      <c r="G222" s="525"/>
      <c r="H222" s="525"/>
      <c r="I222" s="525"/>
      <c r="J222" s="118"/>
    </row>
    <row r="223">
      <c r="A223" s="525"/>
      <c r="B223" s="525"/>
      <c r="C223" s="525"/>
      <c r="D223" s="525"/>
      <c r="E223" s="525"/>
      <c r="F223" s="525"/>
      <c r="G223" s="525"/>
      <c r="H223" s="525"/>
      <c r="I223" s="525"/>
      <c r="J223" s="118"/>
    </row>
    <row r="224">
      <c r="A224" s="525"/>
      <c r="B224" s="525"/>
      <c r="C224" s="525"/>
      <c r="D224" s="525"/>
      <c r="E224" s="525"/>
      <c r="F224" s="525"/>
      <c r="G224" s="525"/>
      <c r="H224" s="525"/>
      <c r="I224" s="525"/>
      <c r="J224" s="118"/>
    </row>
    <row r="225">
      <c r="A225" s="525"/>
      <c r="B225" s="525"/>
      <c r="C225" s="525"/>
      <c r="D225" s="525"/>
      <c r="E225" s="525"/>
      <c r="F225" s="525"/>
      <c r="G225" s="525"/>
      <c r="H225" s="525"/>
      <c r="I225" s="525"/>
      <c r="J225" s="118"/>
    </row>
    <row r="226">
      <c r="A226" s="525"/>
      <c r="B226" s="525"/>
      <c r="C226" s="525"/>
      <c r="D226" s="525"/>
      <c r="E226" s="525"/>
      <c r="F226" s="525"/>
      <c r="G226" s="525"/>
      <c r="H226" s="525"/>
      <c r="I226" s="525"/>
      <c r="J226" s="118"/>
    </row>
    <row r="227">
      <c r="A227" s="525"/>
      <c r="B227" s="525"/>
      <c r="C227" s="525"/>
      <c r="D227" s="525"/>
      <c r="E227" s="525"/>
      <c r="F227" s="525"/>
      <c r="G227" s="525"/>
      <c r="H227" s="525"/>
      <c r="I227" s="525"/>
      <c r="J227" s="118"/>
    </row>
    <row r="228">
      <c r="A228" s="525"/>
      <c r="B228" s="525"/>
      <c r="C228" s="525"/>
      <c r="D228" s="525"/>
      <c r="E228" s="525"/>
      <c r="F228" s="525"/>
      <c r="G228" s="525"/>
      <c r="H228" s="525"/>
      <c r="I228" s="525"/>
      <c r="J228" s="118"/>
    </row>
    <row r="229">
      <c r="A229" s="525"/>
      <c r="B229" s="525"/>
      <c r="C229" s="525"/>
      <c r="D229" s="525"/>
      <c r="E229" s="525"/>
      <c r="F229" s="525"/>
      <c r="G229" s="525"/>
      <c r="H229" s="525"/>
      <c r="I229" s="525"/>
      <c r="J229" s="118"/>
    </row>
    <row r="230">
      <c r="A230" s="525"/>
      <c r="B230" s="525"/>
      <c r="C230" s="525"/>
      <c r="D230" s="525"/>
      <c r="E230" s="525"/>
      <c r="F230" s="525"/>
      <c r="G230" s="525"/>
      <c r="H230" s="525"/>
      <c r="I230" s="525"/>
      <c r="J230" s="118"/>
    </row>
    <row r="231">
      <c r="A231" s="525"/>
      <c r="B231" s="525"/>
      <c r="C231" s="525"/>
      <c r="D231" s="525"/>
      <c r="E231" s="525"/>
      <c r="F231" s="525"/>
      <c r="G231" s="525"/>
      <c r="H231" s="525"/>
      <c r="I231" s="525"/>
      <c r="J231" s="118"/>
    </row>
    <row r="232">
      <c r="A232" s="525"/>
      <c r="B232" s="525"/>
      <c r="C232" s="525"/>
      <c r="D232" s="525"/>
      <c r="E232" s="525"/>
      <c r="F232" s="525"/>
      <c r="G232" s="525"/>
      <c r="H232" s="525"/>
      <c r="I232" s="525"/>
      <c r="J232" s="118"/>
    </row>
    <row r="233">
      <c r="A233" s="525"/>
      <c r="B233" s="525"/>
      <c r="C233" s="525"/>
      <c r="D233" s="525"/>
      <c r="E233" s="525"/>
      <c r="F233" s="525"/>
      <c r="G233" s="525"/>
      <c r="H233" s="525"/>
      <c r="I233" s="525"/>
      <c r="J233" s="118"/>
    </row>
    <row r="234">
      <c r="A234" s="525"/>
      <c r="B234" s="525"/>
      <c r="C234" s="525"/>
      <c r="D234" s="525"/>
      <c r="E234" s="525"/>
      <c r="F234" s="525"/>
      <c r="G234" s="525"/>
      <c r="H234" s="525"/>
      <c r="I234" s="525"/>
      <c r="J234" s="118"/>
    </row>
    <row r="235">
      <c r="A235" s="525"/>
      <c r="B235" s="525"/>
      <c r="C235" s="525"/>
      <c r="D235" s="525"/>
      <c r="E235" s="525"/>
      <c r="F235" s="525"/>
      <c r="G235" s="525"/>
      <c r="H235" s="525"/>
      <c r="I235" s="525"/>
      <c r="J235" s="118"/>
    </row>
    <row r="236">
      <c r="A236" s="525"/>
      <c r="B236" s="525"/>
      <c r="C236" s="525"/>
      <c r="D236" s="525"/>
      <c r="E236" s="525"/>
      <c r="F236" s="525"/>
      <c r="G236" s="525"/>
      <c r="H236" s="525"/>
      <c r="I236" s="525"/>
      <c r="J236" s="118"/>
    </row>
    <row r="237">
      <c r="A237" s="525"/>
      <c r="B237" s="525"/>
      <c r="C237" s="525"/>
      <c r="D237" s="525"/>
      <c r="E237" s="525"/>
      <c r="F237" s="525"/>
      <c r="G237" s="525"/>
      <c r="H237" s="525"/>
      <c r="I237" s="525"/>
      <c r="J237" s="118"/>
    </row>
    <row r="238">
      <c r="A238" s="525"/>
      <c r="B238" s="525"/>
      <c r="C238" s="525"/>
      <c r="D238" s="525"/>
      <c r="E238" s="525"/>
      <c r="F238" s="525"/>
      <c r="G238" s="525"/>
      <c r="H238" s="525"/>
      <c r="I238" s="525"/>
      <c r="J238" s="118"/>
    </row>
    <row r="239">
      <c r="A239" s="525"/>
      <c r="B239" s="525"/>
      <c r="C239" s="525"/>
      <c r="D239" s="525"/>
      <c r="E239" s="525"/>
      <c r="F239" s="525"/>
      <c r="G239" s="525"/>
      <c r="H239" s="525"/>
      <c r="I239" s="525"/>
      <c r="J239" s="118"/>
    </row>
    <row r="240">
      <c r="A240" s="525"/>
      <c r="B240" s="525"/>
      <c r="C240" s="525"/>
      <c r="D240" s="525"/>
      <c r="E240" s="525"/>
      <c r="F240" s="525"/>
      <c r="G240" s="525"/>
      <c r="H240" s="525"/>
      <c r="I240" s="525"/>
      <c r="J240" s="118"/>
    </row>
    <row r="241">
      <c r="A241" s="525"/>
      <c r="B241" s="525"/>
      <c r="C241" s="525"/>
      <c r="D241" s="525"/>
      <c r="E241" s="525"/>
      <c r="F241" s="525"/>
      <c r="G241" s="525"/>
      <c r="H241" s="525"/>
      <c r="I241" s="525"/>
      <c r="J241" s="118"/>
    </row>
    <row r="242">
      <c r="A242" s="525"/>
      <c r="B242" s="525"/>
      <c r="C242" s="525"/>
      <c r="D242" s="525"/>
      <c r="E242" s="525"/>
      <c r="F242" s="525"/>
      <c r="G242" s="525"/>
      <c r="H242" s="525"/>
      <c r="I242" s="525"/>
      <c r="J242" s="118"/>
    </row>
    <row r="243">
      <c r="A243" s="525"/>
      <c r="B243" s="525"/>
      <c r="C243" s="525"/>
      <c r="D243" s="525"/>
      <c r="E243" s="525"/>
      <c r="F243" s="525"/>
      <c r="G243" s="525"/>
      <c r="H243" s="525"/>
      <c r="I243" s="525"/>
      <c r="J243" s="118"/>
    </row>
    <row r="244">
      <c r="A244" s="525"/>
      <c r="B244" s="525"/>
      <c r="C244" s="525"/>
      <c r="D244" s="525"/>
      <c r="E244" s="525"/>
      <c r="F244" s="525"/>
      <c r="G244" s="525"/>
      <c r="H244" s="525"/>
      <c r="I244" s="525"/>
      <c r="J244" s="118"/>
    </row>
    <row r="245">
      <c r="A245" s="525"/>
      <c r="B245" s="525"/>
      <c r="C245" s="525"/>
      <c r="D245" s="525"/>
      <c r="E245" s="525"/>
      <c r="F245" s="525"/>
      <c r="G245" s="525"/>
      <c r="H245" s="525"/>
      <c r="I245" s="525"/>
      <c r="J245" s="118"/>
    </row>
    <row r="246">
      <c r="A246" s="525"/>
      <c r="B246" s="525"/>
      <c r="C246" s="525"/>
      <c r="D246" s="525"/>
      <c r="E246" s="525"/>
      <c r="F246" s="525"/>
      <c r="G246" s="525"/>
      <c r="H246" s="525"/>
      <c r="I246" s="525"/>
      <c r="J246" s="118"/>
    </row>
    <row r="247">
      <c r="A247" s="525"/>
      <c r="B247" s="525"/>
      <c r="C247" s="525"/>
      <c r="D247" s="525"/>
      <c r="E247" s="525"/>
      <c r="F247" s="525"/>
      <c r="G247" s="525"/>
      <c r="H247" s="525"/>
      <c r="I247" s="525"/>
      <c r="J247" s="118"/>
    </row>
    <row r="248">
      <c r="A248" s="525"/>
      <c r="B248" s="525"/>
      <c r="C248" s="525"/>
      <c r="D248" s="525"/>
      <c r="E248" s="525"/>
      <c r="F248" s="525"/>
      <c r="G248" s="525"/>
      <c r="H248" s="525"/>
      <c r="I248" s="525"/>
      <c r="J248" s="118"/>
    </row>
    <row r="249">
      <c r="A249" s="525"/>
      <c r="B249" s="525"/>
      <c r="C249" s="525"/>
      <c r="D249" s="525"/>
      <c r="E249" s="525"/>
      <c r="F249" s="525"/>
      <c r="G249" s="525"/>
      <c r="H249" s="525"/>
      <c r="I249" s="525"/>
      <c r="J249" s="118"/>
    </row>
    <row r="250">
      <c r="A250" s="525"/>
      <c r="B250" s="525"/>
      <c r="C250" s="525"/>
      <c r="D250" s="525"/>
      <c r="E250" s="525"/>
      <c r="F250" s="525"/>
      <c r="G250" s="525"/>
      <c r="H250" s="525"/>
      <c r="I250" s="525"/>
      <c r="J250" s="118"/>
    </row>
    <row r="251">
      <c r="A251" s="525"/>
      <c r="B251" s="525"/>
      <c r="C251" s="525"/>
      <c r="D251" s="525"/>
      <c r="E251" s="525"/>
      <c r="F251" s="525"/>
      <c r="G251" s="525"/>
      <c r="H251" s="525"/>
      <c r="I251" s="525"/>
      <c r="J251" s="118"/>
    </row>
    <row r="252">
      <c r="A252" s="525"/>
      <c r="B252" s="525"/>
      <c r="C252" s="525"/>
      <c r="D252" s="525"/>
      <c r="E252" s="525"/>
      <c r="F252" s="525"/>
      <c r="G252" s="525"/>
      <c r="H252" s="525"/>
      <c r="I252" s="525"/>
      <c r="J252" s="118"/>
    </row>
    <row r="253">
      <c r="A253" s="525"/>
      <c r="B253" s="525"/>
      <c r="C253" s="525"/>
      <c r="D253" s="525"/>
      <c r="E253" s="525"/>
      <c r="F253" s="525"/>
      <c r="G253" s="525"/>
      <c r="H253" s="525"/>
      <c r="I253" s="525"/>
      <c r="J253" s="118"/>
    </row>
    <row r="254">
      <c r="A254" s="525"/>
      <c r="B254" s="525"/>
      <c r="C254" s="525"/>
      <c r="D254" s="525"/>
      <c r="E254" s="525"/>
      <c r="F254" s="525"/>
      <c r="G254" s="525"/>
      <c r="H254" s="525"/>
      <c r="I254" s="525"/>
      <c r="J254" s="118"/>
    </row>
    <row r="255">
      <c r="A255" s="525"/>
      <c r="B255" s="525"/>
      <c r="C255" s="525"/>
      <c r="D255" s="525"/>
      <c r="E255" s="525"/>
      <c r="F255" s="525"/>
      <c r="G255" s="525"/>
      <c r="H255" s="525"/>
      <c r="I255" s="525"/>
      <c r="J255" s="118"/>
    </row>
    <row r="256">
      <c r="A256" s="525"/>
      <c r="B256" s="525"/>
      <c r="C256" s="525"/>
      <c r="D256" s="525"/>
      <c r="E256" s="525"/>
      <c r="F256" s="525"/>
      <c r="G256" s="525"/>
      <c r="H256" s="525"/>
      <c r="I256" s="525"/>
      <c r="J256" s="118"/>
    </row>
    <row r="257">
      <c r="A257" s="525"/>
      <c r="B257" s="525"/>
      <c r="C257" s="525"/>
      <c r="D257" s="525"/>
      <c r="E257" s="525"/>
      <c r="F257" s="525"/>
      <c r="G257" s="525"/>
      <c r="H257" s="525"/>
      <c r="I257" s="525"/>
      <c r="J257" s="118"/>
    </row>
    <row r="258">
      <c r="A258" s="525"/>
      <c r="B258" s="525"/>
      <c r="C258" s="525"/>
      <c r="D258" s="525"/>
      <c r="E258" s="525"/>
      <c r="F258" s="525"/>
      <c r="G258" s="525"/>
      <c r="H258" s="525"/>
      <c r="I258" s="525"/>
      <c r="J258" s="118"/>
    </row>
    <row r="259">
      <c r="A259" s="525"/>
      <c r="B259" s="525"/>
      <c r="C259" s="525"/>
      <c r="D259" s="525"/>
      <c r="E259" s="525"/>
      <c r="F259" s="525"/>
      <c r="G259" s="525"/>
      <c r="H259" s="525"/>
      <c r="I259" s="525"/>
      <c r="J259" s="118"/>
    </row>
    <row r="260">
      <c r="A260" s="525"/>
      <c r="B260" s="525"/>
      <c r="C260" s="525"/>
      <c r="D260" s="525"/>
      <c r="E260" s="525"/>
      <c r="F260" s="525"/>
      <c r="G260" s="525"/>
      <c r="H260" s="525"/>
      <c r="I260" s="525"/>
      <c r="J260" s="118"/>
    </row>
    <row r="261">
      <c r="A261" s="525"/>
      <c r="B261" s="525"/>
      <c r="C261" s="525"/>
      <c r="D261" s="525"/>
      <c r="E261" s="525"/>
      <c r="F261" s="525"/>
      <c r="G261" s="525"/>
      <c r="H261" s="525"/>
      <c r="I261" s="525"/>
      <c r="J261" s="118"/>
    </row>
    <row r="262">
      <c r="A262" s="525"/>
      <c r="B262" s="525"/>
      <c r="C262" s="525"/>
      <c r="D262" s="525"/>
      <c r="E262" s="525"/>
      <c r="F262" s="525"/>
      <c r="G262" s="525"/>
      <c r="H262" s="525"/>
      <c r="I262" s="525"/>
      <c r="J262" s="118"/>
    </row>
    <row r="263">
      <c r="A263" s="525"/>
      <c r="B263" s="525"/>
      <c r="C263" s="525"/>
      <c r="D263" s="525"/>
      <c r="E263" s="525"/>
      <c r="F263" s="525"/>
      <c r="G263" s="525"/>
      <c r="H263" s="525"/>
      <c r="I263" s="525"/>
      <c r="J263" s="118"/>
    </row>
    <row r="264">
      <c r="A264" s="525"/>
      <c r="B264" s="525"/>
      <c r="C264" s="525"/>
      <c r="D264" s="525"/>
      <c r="E264" s="525"/>
      <c r="F264" s="525"/>
      <c r="G264" s="525"/>
      <c r="H264" s="525"/>
      <c r="I264" s="525"/>
      <c r="J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</row>
    <row r="996">
      <c r="A996" s="118"/>
      <c r="B996" s="118"/>
      <c r="C996" s="118"/>
      <c r="D996" s="118"/>
      <c r="E996" s="118"/>
      <c r="F996" s="118"/>
      <c r="G996" s="118"/>
      <c r="H996" s="118"/>
      <c r="I996" s="118"/>
    </row>
    <row r="997">
      <c r="A997" s="118"/>
      <c r="B997" s="118"/>
      <c r="C997" s="118"/>
      <c r="D997" s="118"/>
      <c r="E997" s="118"/>
      <c r="F997" s="118"/>
      <c r="G997" s="118"/>
      <c r="H997" s="118"/>
      <c r="I997" s="118"/>
    </row>
    <row r="998">
      <c r="A998" s="118"/>
      <c r="B998" s="118"/>
      <c r="C998" s="118"/>
      <c r="D998" s="118"/>
      <c r="E998" s="118"/>
      <c r="F998" s="118"/>
      <c r="G998" s="118"/>
      <c r="H998" s="118"/>
      <c r="I998" s="118"/>
    </row>
    <row r="999">
      <c r="A999" s="118"/>
      <c r="B999" s="118"/>
      <c r="C999" s="118"/>
      <c r="D999" s="118"/>
      <c r="E999" s="118"/>
      <c r="F999" s="118"/>
      <c r="G999" s="118"/>
      <c r="H999" s="118"/>
      <c r="I999" s="118"/>
    </row>
    <row r="1000">
      <c r="A1000" s="118"/>
      <c r="B1000" s="118"/>
      <c r="C1000" s="118"/>
      <c r="D1000" s="118"/>
      <c r="E1000" s="118"/>
      <c r="F1000" s="118"/>
      <c r="G1000" s="118"/>
      <c r="H1000" s="118"/>
      <c r="I1000" s="118"/>
    </row>
  </sheetData>
  <mergeCells count="7">
    <mergeCell ref="A2:I2"/>
    <mergeCell ref="C3:G3"/>
    <mergeCell ref="D4:E4"/>
    <mergeCell ref="J4:J7"/>
    <mergeCell ref="C5:G5"/>
    <mergeCell ref="C6:G6"/>
    <mergeCell ref="D7:E7"/>
  </mergeCells>
  <dataValidations>
    <dataValidation type="list" allowBlank="1" showErrorMessage="1" sqref="B26">
      <formula1>"Гоголя 18,Ленина 114,Мальского 5А,Ленина 61"</formula1>
    </dataValidation>
    <dataValidation type="list" allowBlank="1" showErrorMessage="1" sqref="B16">
      <formula1>"Гоголя 18,Ленина 114,Мальского 5А,Белинского 46а"</formula1>
    </dataValidation>
    <dataValidation type="list" allowBlank="1" showErrorMessage="1" sqref="B4 B7:B15 B17:B25 B27:B100">
      <formula1>"Гоголя 18,Ленина 114,Мальского 5А"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25"/>
    <col hidden="1" min="2" max="4" width="12.63"/>
    <col customWidth="1" hidden="1" min="5" max="5" width="13.38"/>
    <col hidden="1" min="6" max="11" width="12.63"/>
    <col customWidth="1" min="22" max="22" width="13.88"/>
    <col customWidth="1" min="24" max="24" width="9.5"/>
    <col customWidth="1" min="26" max="26" width="12.63"/>
    <col customWidth="1" min="27" max="27" width="8.38"/>
    <col customWidth="1" min="28" max="28" width="10.38"/>
    <col customWidth="1" min="29" max="29" width="9.5"/>
    <col customWidth="1" min="30" max="30" width="10.75"/>
    <col customWidth="1" min="31" max="31" width="9.75"/>
    <col customWidth="1" min="32" max="34" width="10.38"/>
    <col customWidth="1" min="35" max="48" width="12.0"/>
  </cols>
  <sheetData>
    <row r="1">
      <c r="A1" s="720"/>
      <c r="B1" s="674" t="s">
        <v>288</v>
      </c>
      <c r="C1" s="674" t="s">
        <v>288</v>
      </c>
      <c r="D1" s="674" t="s">
        <v>288</v>
      </c>
      <c r="E1" s="674" t="s">
        <v>288</v>
      </c>
      <c r="F1" s="674" t="s">
        <v>288</v>
      </c>
      <c r="G1" s="674" t="s">
        <v>288</v>
      </c>
      <c r="H1" s="674" t="s">
        <v>288</v>
      </c>
      <c r="I1" s="674" t="s">
        <v>288</v>
      </c>
      <c r="J1" s="674" t="s">
        <v>288</v>
      </c>
      <c r="K1" s="674" t="s">
        <v>288</v>
      </c>
      <c r="L1" s="721" t="s">
        <v>288</v>
      </c>
      <c r="M1" s="721" t="s">
        <v>288</v>
      </c>
      <c r="N1" s="721" t="s">
        <v>288</v>
      </c>
      <c r="O1" s="722" t="s">
        <v>288</v>
      </c>
      <c r="P1" s="723" t="s">
        <v>288</v>
      </c>
      <c r="Q1" s="724" t="s">
        <v>288</v>
      </c>
      <c r="R1" s="724" t="s">
        <v>288</v>
      </c>
      <c r="S1" s="724" t="s">
        <v>288</v>
      </c>
      <c r="T1" s="722" t="s">
        <v>288</v>
      </c>
      <c r="U1" s="722" t="s">
        <v>288</v>
      </c>
      <c r="V1" s="722" t="s">
        <v>288</v>
      </c>
      <c r="W1" s="722" t="s">
        <v>288</v>
      </c>
      <c r="X1" s="722" t="s">
        <v>288</v>
      </c>
      <c r="Y1" s="722" t="s">
        <v>288</v>
      </c>
      <c r="Z1" s="722" t="s">
        <v>288</v>
      </c>
      <c r="AA1" s="722" t="s">
        <v>288</v>
      </c>
      <c r="AB1" s="722" t="s">
        <v>288</v>
      </c>
      <c r="AC1" s="722" t="s">
        <v>288</v>
      </c>
      <c r="AD1" s="722" t="s">
        <v>288</v>
      </c>
      <c r="AE1" s="722" t="s">
        <v>288</v>
      </c>
      <c r="AF1" s="722" t="s">
        <v>288</v>
      </c>
      <c r="AG1" s="722" t="s">
        <v>288</v>
      </c>
      <c r="AH1" s="722" t="s">
        <v>288</v>
      </c>
      <c r="AI1" s="722" t="s">
        <v>288</v>
      </c>
      <c r="AJ1" s="722" t="s">
        <v>288</v>
      </c>
      <c r="AK1" s="722" t="s">
        <v>288</v>
      </c>
      <c r="AL1" s="722" t="s">
        <v>288</v>
      </c>
      <c r="AM1" s="722" t="s">
        <v>288</v>
      </c>
      <c r="AN1" s="722" t="s">
        <v>288</v>
      </c>
      <c r="AO1" s="722" t="s">
        <v>288</v>
      </c>
      <c r="AP1" s="722" t="s">
        <v>288</v>
      </c>
      <c r="AQ1" s="722" t="s">
        <v>288</v>
      </c>
      <c r="AR1" s="722" t="s">
        <v>288</v>
      </c>
      <c r="AS1" s="722" t="s">
        <v>288</v>
      </c>
      <c r="AT1" s="722" t="s">
        <v>288</v>
      </c>
      <c r="AU1" s="722" t="s">
        <v>288</v>
      </c>
      <c r="AV1" s="722" t="s">
        <v>288</v>
      </c>
    </row>
    <row r="2">
      <c r="A2" s="725"/>
      <c r="B2" s="726"/>
      <c r="C2" s="727"/>
      <c r="D2" s="727"/>
      <c r="E2" s="727"/>
      <c r="F2" s="727"/>
      <c r="G2" s="728"/>
      <c r="H2" s="726"/>
      <c r="I2" s="726"/>
      <c r="J2" s="726"/>
      <c r="K2" s="726"/>
      <c r="L2" s="729"/>
      <c r="M2" s="730"/>
      <c r="N2" s="730"/>
      <c r="O2" s="731"/>
      <c r="P2" s="732"/>
      <c r="Q2" s="733"/>
      <c r="R2" s="733"/>
      <c r="S2" s="734"/>
      <c r="T2" s="731"/>
      <c r="U2" s="731"/>
      <c r="V2" s="731"/>
      <c r="W2" s="731"/>
      <c r="X2" s="731"/>
      <c r="Y2" s="731"/>
      <c r="Z2" s="731"/>
      <c r="AA2" s="731"/>
      <c r="AB2" s="731"/>
      <c r="AC2" s="731"/>
      <c r="AD2" s="731"/>
      <c r="AE2" s="731"/>
      <c r="AF2" s="731"/>
      <c r="AG2" s="731"/>
      <c r="AH2" s="731"/>
      <c r="AI2" s="731"/>
      <c r="AJ2" s="731"/>
      <c r="AK2" s="731"/>
      <c r="AL2" s="731"/>
      <c r="AM2" s="731"/>
      <c r="AN2" s="731"/>
      <c r="AO2" s="731"/>
      <c r="AP2" s="731"/>
      <c r="AQ2" s="731"/>
      <c r="AR2" s="731"/>
      <c r="AS2" s="731"/>
      <c r="AT2" s="731"/>
      <c r="AU2" s="731"/>
      <c r="AV2" s="731"/>
    </row>
    <row r="3">
      <c r="A3" s="608"/>
      <c r="B3" s="735">
        <v>45710.0</v>
      </c>
      <c r="C3" s="605">
        <v>45814.0</v>
      </c>
      <c r="D3" s="605">
        <v>45821.0</v>
      </c>
      <c r="E3" s="605">
        <v>45828.0</v>
      </c>
      <c r="F3" s="616">
        <v>45842.0</v>
      </c>
      <c r="G3" s="736">
        <v>45849.0</v>
      </c>
      <c r="H3" s="737">
        <v>45856.0</v>
      </c>
      <c r="I3" s="735">
        <v>45870.0</v>
      </c>
      <c r="J3" s="738">
        <v>45877.0</v>
      </c>
      <c r="K3" s="735">
        <v>45884.0</v>
      </c>
      <c r="L3" s="739">
        <v>45898.0</v>
      </c>
      <c r="M3" s="740">
        <v>45919.0</v>
      </c>
      <c r="N3" s="740">
        <v>45926.0</v>
      </c>
      <c r="O3" s="741">
        <v>45933.0</v>
      </c>
      <c r="P3" s="742">
        <v>45961.0</v>
      </c>
      <c r="Q3" s="742">
        <v>45968.0</v>
      </c>
      <c r="R3" s="742">
        <v>45975.0</v>
      </c>
      <c r="S3" s="742">
        <v>45982.0</v>
      </c>
      <c r="T3" s="741">
        <v>45990.0</v>
      </c>
      <c r="U3" s="743">
        <v>45996.0</v>
      </c>
      <c r="V3" s="742">
        <v>45997.0</v>
      </c>
      <c r="W3" s="742">
        <v>46003.0</v>
      </c>
      <c r="X3" s="742">
        <v>46010.0</v>
      </c>
      <c r="Y3" s="742">
        <v>46017.0</v>
      </c>
      <c r="Z3" s="742">
        <v>46024.0</v>
      </c>
      <c r="AA3" s="742">
        <v>46031.0</v>
      </c>
      <c r="AB3" s="742">
        <v>46038.0</v>
      </c>
      <c r="AC3" s="742">
        <v>46045.0</v>
      </c>
      <c r="AD3" s="742">
        <v>46052.0</v>
      </c>
      <c r="AE3" s="744">
        <v>46059.0</v>
      </c>
      <c r="AF3" s="742">
        <v>46066.0</v>
      </c>
      <c r="AG3" s="745">
        <v>46073.0</v>
      </c>
      <c r="AH3" s="745">
        <v>46080.0</v>
      </c>
      <c r="AI3" s="745">
        <v>46087.0</v>
      </c>
      <c r="AJ3" s="745">
        <v>46094.0</v>
      </c>
      <c r="AK3" s="745">
        <v>46101.0</v>
      </c>
      <c r="AL3" s="745">
        <v>46108.0</v>
      </c>
      <c r="AM3" s="745"/>
      <c r="AN3" s="745"/>
      <c r="AO3" s="745"/>
      <c r="AP3" s="745"/>
      <c r="AQ3" s="745"/>
      <c r="AR3" s="745"/>
      <c r="AS3" s="745"/>
      <c r="AT3" s="745"/>
      <c r="AU3" s="745"/>
      <c r="AV3" s="745"/>
    </row>
    <row r="4">
      <c r="A4" s="746" t="s">
        <v>6951</v>
      </c>
      <c r="B4" s="747"/>
      <c r="C4" s="512"/>
      <c r="D4" s="512"/>
      <c r="E4" s="748"/>
      <c r="F4" s="748"/>
      <c r="G4" s="314"/>
      <c r="H4" s="538"/>
      <c r="I4" s="747"/>
      <c r="J4" s="749"/>
      <c r="K4" s="750"/>
      <c r="L4" s="751"/>
      <c r="M4" s="752"/>
      <c r="N4" s="752"/>
      <c r="O4" s="753"/>
      <c r="P4" s="754"/>
      <c r="Q4" s="755" t="s">
        <v>6945</v>
      </c>
      <c r="R4" s="755" t="s">
        <v>6945</v>
      </c>
      <c r="S4" s="756" t="s">
        <v>150</v>
      </c>
      <c r="T4" s="757" t="s">
        <v>150</v>
      </c>
      <c r="U4" s="755" t="s">
        <v>6945</v>
      </c>
      <c r="V4" s="756" t="s">
        <v>150</v>
      </c>
      <c r="W4" s="755" t="s">
        <v>6945</v>
      </c>
      <c r="X4" s="755" t="s">
        <v>61</v>
      </c>
      <c r="Y4" s="755" t="s">
        <v>6945</v>
      </c>
      <c r="Z4" s="755" t="s">
        <v>6945</v>
      </c>
      <c r="AA4" s="755" t="s">
        <v>6945</v>
      </c>
      <c r="AB4" s="755" t="s">
        <v>6952</v>
      </c>
      <c r="AC4" s="755" t="s">
        <v>6945</v>
      </c>
      <c r="AD4" s="755" t="s">
        <v>6945</v>
      </c>
      <c r="AE4" s="755" t="s">
        <v>6953</v>
      </c>
      <c r="AF4" s="755" t="s">
        <v>6945</v>
      </c>
      <c r="AG4" s="755" t="s">
        <v>6945</v>
      </c>
      <c r="AH4" s="755" t="s">
        <v>6945</v>
      </c>
      <c r="AI4" s="755" t="s">
        <v>6954</v>
      </c>
      <c r="AJ4" s="755" t="s">
        <v>6954</v>
      </c>
      <c r="AK4" s="755" t="s">
        <v>6954</v>
      </c>
      <c r="AL4" s="755" t="s">
        <v>6954</v>
      </c>
      <c r="AM4" s="755"/>
      <c r="AN4" s="755"/>
      <c r="AO4" s="755"/>
      <c r="AP4" s="755"/>
      <c r="AQ4" s="755"/>
      <c r="AR4" s="755"/>
      <c r="AS4" s="755"/>
      <c r="AT4" s="755"/>
      <c r="AU4" s="755"/>
      <c r="AV4" s="755"/>
    </row>
    <row r="5">
      <c r="A5" s="758" t="s">
        <v>6955</v>
      </c>
      <c r="B5" s="747"/>
      <c r="C5" s="606"/>
      <c r="D5" s="606"/>
      <c r="E5" s="759"/>
      <c r="F5" s="759"/>
      <c r="G5" s="538" t="s">
        <v>6956</v>
      </c>
      <c r="H5" s="759"/>
      <c r="I5" s="760"/>
      <c r="J5" s="749"/>
      <c r="K5" s="750"/>
      <c r="L5" s="751"/>
      <c r="M5" s="752"/>
      <c r="N5" s="752"/>
      <c r="O5" s="753"/>
      <c r="P5" s="754"/>
      <c r="Q5" s="268" t="s">
        <v>6957</v>
      </c>
      <c r="R5" s="268" t="s">
        <v>6957</v>
      </c>
      <c r="S5" s="761"/>
      <c r="T5" s="762"/>
      <c r="U5" s="761"/>
      <c r="V5" s="761"/>
      <c r="W5" s="268" t="s">
        <v>6957</v>
      </c>
      <c r="X5" s="761"/>
      <c r="Y5" s="268" t="s">
        <v>6957</v>
      </c>
      <c r="Z5" s="268" t="s">
        <v>6957</v>
      </c>
      <c r="AA5" s="761"/>
      <c r="AB5" s="763" t="s">
        <v>6958</v>
      </c>
      <c r="AC5" s="761"/>
      <c r="AD5" s="761"/>
      <c r="AE5" s="761"/>
      <c r="AF5" s="763" t="s">
        <v>6958</v>
      </c>
      <c r="AG5" s="763" t="s">
        <v>6958</v>
      </c>
      <c r="AH5" s="763" t="s">
        <v>6959</v>
      </c>
      <c r="AI5" s="763" t="s">
        <v>6960</v>
      </c>
      <c r="AJ5" s="763"/>
      <c r="AK5" s="763"/>
      <c r="AL5" s="763"/>
      <c r="AM5" s="763"/>
      <c r="AN5" s="763"/>
      <c r="AO5" s="763"/>
      <c r="AP5" s="763"/>
      <c r="AQ5" s="763"/>
      <c r="AR5" s="763"/>
      <c r="AS5" s="763"/>
      <c r="AT5" s="763"/>
      <c r="AU5" s="763"/>
      <c r="AV5" s="763"/>
    </row>
    <row r="6">
      <c r="A6" s="608" t="s">
        <v>6961</v>
      </c>
      <c r="B6" s="747"/>
      <c r="C6" s="764" t="s">
        <v>6962</v>
      </c>
      <c r="D6" s="512"/>
      <c r="E6" s="748"/>
      <c r="F6" s="748"/>
      <c r="G6" s="314"/>
      <c r="H6" s="748"/>
      <c r="I6" s="747"/>
      <c r="J6" s="749"/>
      <c r="K6" s="750"/>
      <c r="L6" s="765" t="s">
        <v>6956</v>
      </c>
      <c r="M6" s="752"/>
      <c r="N6" s="752"/>
      <c r="O6" s="753"/>
      <c r="P6" s="754"/>
      <c r="Q6" s="761"/>
      <c r="R6" s="761"/>
      <c r="S6" s="763" t="s">
        <v>6963</v>
      </c>
      <c r="T6" s="766"/>
      <c r="U6" s="761"/>
      <c r="V6" s="761"/>
      <c r="W6" s="761"/>
      <c r="X6" s="761"/>
      <c r="Y6" s="761"/>
      <c r="Z6" s="761"/>
      <c r="AA6" s="761"/>
      <c r="AB6" s="761"/>
      <c r="AC6" s="761"/>
      <c r="AD6" s="761"/>
      <c r="AE6" s="761"/>
      <c r="AF6" s="761"/>
      <c r="AG6" s="761"/>
      <c r="AH6" s="763" t="s">
        <v>6964</v>
      </c>
      <c r="AI6" s="761"/>
      <c r="AJ6" s="761"/>
      <c r="AK6" s="761"/>
      <c r="AL6" s="761"/>
      <c r="AM6" s="761"/>
      <c r="AN6" s="761"/>
      <c r="AO6" s="761"/>
      <c r="AP6" s="761"/>
      <c r="AQ6" s="761"/>
      <c r="AR6" s="761"/>
      <c r="AS6" s="761"/>
      <c r="AT6" s="761"/>
      <c r="AU6" s="761"/>
      <c r="AV6" s="761"/>
    </row>
    <row r="7">
      <c r="A7" s="758" t="s">
        <v>6965</v>
      </c>
      <c r="B7" s="747"/>
      <c r="C7" s="512"/>
      <c r="D7" s="512"/>
      <c r="E7" s="748"/>
      <c r="F7" s="748"/>
      <c r="G7" s="314"/>
      <c r="H7" s="748"/>
      <c r="I7" s="747"/>
      <c r="J7" s="749"/>
      <c r="K7" s="750"/>
      <c r="L7" s="751"/>
      <c r="M7" s="752"/>
      <c r="N7" s="752"/>
      <c r="O7" s="766"/>
      <c r="P7" s="754"/>
      <c r="Q7" s="761"/>
      <c r="R7" s="761"/>
      <c r="S7" s="761"/>
      <c r="T7" s="766"/>
      <c r="U7" s="761"/>
      <c r="V7" s="761"/>
      <c r="W7" s="761"/>
      <c r="X7" s="761"/>
      <c r="Y7" s="761"/>
      <c r="Z7" s="761"/>
      <c r="AA7" s="761"/>
      <c r="AB7" s="761"/>
      <c r="AC7" s="761"/>
      <c r="AD7" s="761"/>
      <c r="AE7" s="761"/>
      <c r="AF7" s="761"/>
      <c r="AG7" s="761"/>
      <c r="AH7" s="761"/>
      <c r="AI7" s="761"/>
      <c r="AJ7" s="761"/>
      <c r="AK7" s="761"/>
      <c r="AL7" s="761"/>
      <c r="AM7" s="761"/>
      <c r="AN7" s="761"/>
      <c r="AO7" s="761"/>
      <c r="AP7" s="761"/>
      <c r="AQ7" s="761"/>
      <c r="AR7" s="761"/>
      <c r="AS7" s="761"/>
      <c r="AT7" s="761"/>
      <c r="AU7" s="761"/>
      <c r="AV7" s="761"/>
    </row>
    <row r="8">
      <c r="A8" s="758" t="s">
        <v>6966</v>
      </c>
      <c r="B8" s="747"/>
      <c r="C8" s="525"/>
      <c r="D8" s="525"/>
      <c r="E8" s="767"/>
      <c r="F8" s="767"/>
      <c r="G8" s="314"/>
      <c r="H8" s="748"/>
      <c r="I8" s="760"/>
      <c r="J8" s="749"/>
      <c r="K8" s="750"/>
      <c r="L8" s="751"/>
      <c r="M8" s="768"/>
      <c r="N8" s="768"/>
      <c r="O8" s="753"/>
      <c r="P8" s="754"/>
      <c r="Q8" s="754"/>
      <c r="R8" s="754"/>
      <c r="S8" s="754"/>
      <c r="T8" s="753"/>
      <c r="U8" s="754"/>
      <c r="V8" s="754"/>
      <c r="W8" s="754"/>
      <c r="X8" s="754"/>
      <c r="Y8" s="754"/>
      <c r="Z8" s="754"/>
      <c r="AA8" s="754"/>
      <c r="AB8" s="754"/>
      <c r="AC8" s="754"/>
      <c r="AD8" s="754"/>
      <c r="AE8" s="763"/>
      <c r="AF8" s="754"/>
      <c r="AG8" s="754"/>
      <c r="AH8" s="754"/>
      <c r="AI8" s="754"/>
      <c r="AJ8" s="754"/>
      <c r="AK8" s="754"/>
      <c r="AL8" s="754"/>
      <c r="AM8" s="754"/>
      <c r="AN8" s="754"/>
      <c r="AO8" s="754"/>
      <c r="AP8" s="754"/>
      <c r="AQ8" s="754"/>
      <c r="AR8" s="754"/>
      <c r="AS8" s="754"/>
      <c r="AT8" s="754"/>
      <c r="AU8" s="754"/>
      <c r="AV8" s="754"/>
    </row>
    <row r="9">
      <c r="A9" s="758" t="s">
        <v>6967</v>
      </c>
      <c r="B9" s="747"/>
      <c r="C9" s="525"/>
      <c r="D9" s="525"/>
      <c r="E9" s="767"/>
      <c r="F9" s="748"/>
      <c r="G9" s="314"/>
      <c r="H9" s="767"/>
      <c r="I9" s="747"/>
      <c r="J9" s="749"/>
      <c r="K9" s="750"/>
      <c r="L9" s="765" t="s">
        <v>6956</v>
      </c>
      <c r="M9" s="768"/>
      <c r="N9" s="768"/>
      <c r="O9" s="769" t="s">
        <v>6964</v>
      </c>
      <c r="P9" s="769" t="s">
        <v>6968</v>
      </c>
      <c r="Q9" s="763"/>
      <c r="R9" s="754"/>
      <c r="S9" s="754"/>
      <c r="T9" s="753"/>
      <c r="U9" s="754"/>
      <c r="V9" s="754"/>
      <c r="W9" s="754"/>
      <c r="X9" s="754"/>
      <c r="Y9" s="754"/>
      <c r="Z9" s="754"/>
      <c r="AA9" s="754"/>
      <c r="AB9" s="754"/>
      <c r="AC9" s="754"/>
      <c r="AD9" s="754"/>
      <c r="AE9" s="763" t="s">
        <v>6969</v>
      </c>
      <c r="AF9" s="754"/>
      <c r="AG9" s="754"/>
      <c r="AH9" s="754"/>
      <c r="AI9" s="754"/>
      <c r="AJ9" s="754"/>
      <c r="AK9" s="754"/>
      <c r="AL9" s="754"/>
      <c r="AM9" s="754"/>
      <c r="AN9" s="754"/>
      <c r="AO9" s="754"/>
      <c r="AP9" s="754"/>
      <c r="AQ9" s="754"/>
      <c r="AR9" s="754"/>
      <c r="AS9" s="754"/>
      <c r="AT9" s="754"/>
      <c r="AU9" s="754"/>
      <c r="AV9" s="754"/>
    </row>
    <row r="10">
      <c r="A10" s="758" t="s">
        <v>6970</v>
      </c>
      <c r="B10" s="770"/>
      <c r="C10" s="314"/>
      <c r="D10" s="314"/>
      <c r="E10" s="771"/>
      <c r="F10" s="772"/>
      <c r="G10" s="314"/>
      <c r="H10" s="771"/>
      <c r="I10" s="770"/>
      <c r="J10" s="538" t="s">
        <v>6956</v>
      </c>
      <c r="K10" s="773"/>
      <c r="L10" s="751"/>
      <c r="M10" s="312"/>
      <c r="N10" s="312"/>
      <c r="O10" s="753"/>
      <c r="P10" s="754"/>
      <c r="Q10" s="754"/>
      <c r="R10" s="754"/>
      <c r="S10" s="754"/>
      <c r="T10" s="753"/>
      <c r="U10" s="754"/>
      <c r="V10" s="754"/>
      <c r="W10" s="754"/>
      <c r="X10" s="754"/>
      <c r="Y10" s="754"/>
      <c r="Z10" s="754"/>
      <c r="AA10" s="754"/>
      <c r="AB10" s="754"/>
      <c r="AC10" s="754"/>
      <c r="AD10" s="754"/>
      <c r="AE10" s="754"/>
      <c r="AF10" s="754"/>
      <c r="AG10" s="754"/>
      <c r="AH10" s="754"/>
      <c r="AI10" s="754"/>
      <c r="AJ10" s="754"/>
      <c r="AK10" s="754"/>
      <c r="AL10" s="754"/>
      <c r="AM10" s="754"/>
      <c r="AN10" s="754"/>
      <c r="AO10" s="754"/>
      <c r="AP10" s="754"/>
      <c r="AQ10" s="754"/>
      <c r="AR10" s="754"/>
      <c r="AS10" s="754"/>
      <c r="AT10" s="754"/>
      <c r="AU10" s="754"/>
      <c r="AV10" s="754"/>
    </row>
    <row r="11">
      <c r="A11" s="758" t="s">
        <v>6971</v>
      </c>
      <c r="B11" s="770"/>
      <c r="C11" s="314"/>
      <c r="D11" s="314"/>
      <c r="E11" s="771"/>
      <c r="F11" s="772"/>
      <c r="G11" s="314"/>
      <c r="H11" s="771"/>
      <c r="I11" s="770"/>
      <c r="J11" s="749"/>
      <c r="K11" s="774"/>
      <c r="L11" s="751"/>
      <c r="M11" s="312"/>
      <c r="N11" s="312"/>
      <c r="O11" s="753"/>
      <c r="P11" s="754"/>
      <c r="Q11" s="754"/>
      <c r="R11" s="754"/>
      <c r="S11" s="754"/>
      <c r="T11" s="753"/>
      <c r="U11" s="754"/>
      <c r="V11" s="754"/>
      <c r="W11" s="754"/>
      <c r="X11" s="754"/>
      <c r="Y11" s="754"/>
      <c r="Z11" s="754"/>
      <c r="AA11" s="754"/>
      <c r="AB11" s="754"/>
      <c r="AC11" s="754"/>
      <c r="AD11" s="754"/>
      <c r="AE11" s="754"/>
      <c r="AF11" s="754"/>
      <c r="AG11" s="754"/>
      <c r="AH11" s="754"/>
      <c r="AI11" s="754"/>
      <c r="AJ11" s="754"/>
      <c r="AK11" s="754"/>
      <c r="AL11" s="754"/>
      <c r="AM11" s="754"/>
      <c r="AN11" s="754"/>
      <c r="AO11" s="754"/>
      <c r="AP11" s="754"/>
      <c r="AQ11" s="754"/>
      <c r="AR11" s="754"/>
      <c r="AS11" s="754"/>
      <c r="AT11" s="754"/>
      <c r="AU11" s="754"/>
      <c r="AV11" s="754"/>
    </row>
    <row r="12">
      <c r="A12" s="775" t="s">
        <v>6972</v>
      </c>
      <c r="B12" s="770"/>
      <c r="C12" s="314"/>
      <c r="D12" s="764" t="s">
        <v>6962</v>
      </c>
      <c r="E12" s="771"/>
      <c r="F12" s="772"/>
      <c r="G12" s="314"/>
      <c r="H12" s="771"/>
      <c r="I12" s="770"/>
      <c r="J12" s="749"/>
      <c r="K12" s="773"/>
      <c r="L12" s="751"/>
      <c r="M12" s="312"/>
      <c r="N12" s="312"/>
      <c r="O12" s="753"/>
      <c r="P12" s="754"/>
      <c r="Q12" s="754"/>
      <c r="R12" s="754"/>
      <c r="S12" s="754"/>
      <c r="T12" s="753"/>
      <c r="U12" s="754"/>
      <c r="V12" s="763" t="s">
        <v>6973</v>
      </c>
      <c r="W12" s="754"/>
      <c r="X12" s="754"/>
      <c r="Y12" s="754"/>
      <c r="Z12" s="754"/>
      <c r="AA12" s="754"/>
      <c r="AB12" s="754"/>
      <c r="AC12" s="754"/>
      <c r="AD12" s="754"/>
      <c r="AE12" s="754"/>
      <c r="AF12" s="754"/>
      <c r="AG12" s="754"/>
      <c r="AH12" s="754"/>
      <c r="AI12" s="754"/>
      <c r="AJ12" s="754"/>
      <c r="AK12" s="754"/>
      <c r="AL12" s="754"/>
      <c r="AM12" s="754"/>
      <c r="AN12" s="754"/>
      <c r="AO12" s="754"/>
      <c r="AP12" s="754"/>
      <c r="AQ12" s="754"/>
      <c r="AR12" s="754"/>
      <c r="AS12" s="754"/>
      <c r="AT12" s="754"/>
      <c r="AU12" s="754"/>
      <c r="AV12" s="754"/>
    </row>
    <row r="13">
      <c r="A13" s="608" t="s">
        <v>6974</v>
      </c>
      <c r="B13" s="776"/>
      <c r="C13" s="777"/>
      <c r="D13" s="777"/>
      <c r="E13" s="778"/>
      <c r="F13" s="772"/>
      <c r="G13" s="777"/>
      <c r="H13" s="778"/>
      <c r="I13" s="776"/>
      <c r="J13" s="538" t="s">
        <v>6956</v>
      </c>
      <c r="K13" s="779"/>
      <c r="L13" s="751"/>
      <c r="M13" s="768"/>
      <c r="N13" s="768"/>
      <c r="O13" s="780"/>
      <c r="P13" s="781" t="s">
        <v>6968</v>
      </c>
      <c r="Q13" s="782"/>
      <c r="R13" s="782"/>
      <c r="S13" s="782"/>
      <c r="T13" s="782"/>
      <c r="U13" s="782"/>
      <c r="V13" s="782"/>
      <c r="W13" s="782"/>
      <c r="X13" s="782"/>
      <c r="Y13" s="782"/>
      <c r="Z13" s="782"/>
      <c r="AA13" s="782"/>
      <c r="AB13" s="782"/>
      <c r="AC13" s="782"/>
      <c r="AD13" s="782"/>
      <c r="AE13" s="782"/>
      <c r="AF13" s="782"/>
      <c r="AG13" s="782"/>
      <c r="AH13" s="782"/>
      <c r="AI13" s="781"/>
      <c r="AJ13" s="783" t="s">
        <v>6975</v>
      </c>
      <c r="AK13" s="781"/>
      <c r="AL13" s="781"/>
      <c r="AM13" s="781"/>
      <c r="AN13" s="781"/>
      <c r="AO13" s="781"/>
      <c r="AP13" s="781"/>
      <c r="AQ13" s="781"/>
      <c r="AR13" s="781"/>
      <c r="AS13" s="781"/>
      <c r="AT13" s="781"/>
      <c r="AU13" s="781"/>
      <c r="AV13" s="781"/>
    </row>
    <row r="14">
      <c r="A14" s="758" t="s">
        <v>6976</v>
      </c>
      <c r="B14" s="770"/>
      <c r="C14" s="314"/>
      <c r="D14" s="314"/>
      <c r="E14" s="771"/>
      <c r="F14" s="772"/>
      <c r="G14" s="314"/>
      <c r="H14" s="771"/>
      <c r="I14" s="770"/>
      <c r="J14" s="749"/>
      <c r="K14" s="773"/>
      <c r="L14" s="751"/>
      <c r="M14" s="312"/>
      <c r="N14" s="312"/>
      <c r="O14" s="753"/>
      <c r="P14" s="754"/>
      <c r="Q14" s="754"/>
      <c r="R14" s="754"/>
      <c r="S14" s="754"/>
      <c r="T14" s="753"/>
      <c r="U14" s="754"/>
      <c r="V14" s="754"/>
      <c r="W14" s="754"/>
      <c r="X14" s="754"/>
      <c r="Y14" s="754"/>
      <c r="Z14" s="754"/>
      <c r="AA14" s="754"/>
      <c r="AB14" s="754"/>
      <c r="AC14" s="754"/>
      <c r="AD14" s="754"/>
      <c r="AE14" s="754"/>
      <c r="AF14" s="754"/>
      <c r="AG14" s="754"/>
      <c r="AH14" s="754"/>
      <c r="AI14" s="754"/>
      <c r="AJ14" s="754"/>
      <c r="AK14" s="754"/>
      <c r="AL14" s="754"/>
      <c r="AM14" s="754"/>
      <c r="AN14" s="754"/>
      <c r="AO14" s="754"/>
      <c r="AP14" s="754"/>
      <c r="AQ14" s="754"/>
      <c r="AR14" s="754"/>
      <c r="AS14" s="754"/>
      <c r="AT14" s="754"/>
      <c r="AU14" s="754"/>
      <c r="AV14" s="754"/>
    </row>
    <row r="15">
      <c r="A15" s="608" t="s">
        <v>6977</v>
      </c>
      <c r="B15" s="770"/>
      <c r="C15" s="314"/>
      <c r="D15" s="314"/>
      <c r="E15" s="771"/>
      <c r="F15" s="772"/>
      <c r="G15" s="314"/>
      <c r="H15" s="771"/>
      <c r="I15" s="784"/>
      <c r="J15" s="749"/>
      <c r="K15" s="774"/>
      <c r="L15" s="751"/>
      <c r="M15" s="312"/>
      <c r="N15" s="312"/>
      <c r="O15" s="769" t="s">
        <v>6978</v>
      </c>
      <c r="P15" s="754"/>
      <c r="Q15" s="754"/>
      <c r="R15" s="754"/>
      <c r="S15" s="754"/>
      <c r="T15" s="753"/>
      <c r="U15" s="754"/>
      <c r="V15" s="754"/>
      <c r="W15" s="754"/>
      <c r="X15" s="754"/>
      <c r="Y15" s="754"/>
      <c r="Z15" s="754"/>
      <c r="AA15" s="754"/>
      <c r="AB15" s="754"/>
      <c r="AC15" s="754"/>
      <c r="AD15" s="754"/>
      <c r="AE15" s="754"/>
      <c r="AF15" s="754"/>
      <c r="AG15" s="754"/>
      <c r="AH15" s="754"/>
      <c r="AI15" s="754"/>
      <c r="AJ15" s="754"/>
      <c r="AK15" s="754"/>
      <c r="AL15" s="754"/>
      <c r="AM15" s="754"/>
      <c r="AN15" s="754"/>
      <c r="AO15" s="754"/>
      <c r="AP15" s="754"/>
      <c r="AQ15" s="754"/>
      <c r="AR15" s="754"/>
      <c r="AS15" s="754"/>
      <c r="AT15" s="754"/>
      <c r="AU15" s="754"/>
      <c r="AV15" s="754"/>
    </row>
    <row r="16">
      <c r="A16" s="608" t="s">
        <v>6979</v>
      </c>
      <c r="B16" s="770"/>
      <c r="C16" s="314"/>
      <c r="D16" s="314"/>
      <c r="E16" s="771"/>
      <c r="F16" s="772"/>
      <c r="G16" s="314"/>
      <c r="H16" s="771"/>
      <c r="I16" s="770"/>
      <c r="J16" s="749"/>
      <c r="K16" s="774"/>
      <c r="L16" s="751"/>
      <c r="M16" s="312"/>
      <c r="N16" s="312"/>
      <c r="O16" s="753"/>
      <c r="P16" s="754"/>
      <c r="Q16" s="754"/>
      <c r="R16" s="754"/>
      <c r="S16" s="754"/>
      <c r="T16" s="753"/>
      <c r="U16" s="754"/>
      <c r="V16" s="754"/>
      <c r="W16" s="754"/>
      <c r="X16" s="754"/>
      <c r="Y16" s="754"/>
      <c r="Z16" s="754"/>
      <c r="AA16" s="754"/>
      <c r="AB16" s="754"/>
      <c r="AC16" s="754"/>
      <c r="AD16" s="754"/>
      <c r="AE16" s="754"/>
      <c r="AF16" s="754"/>
      <c r="AG16" s="754"/>
      <c r="AH16" s="754"/>
      <c r="AI16" s="754"/>
      <c r="AJ16" s="754"/>
      <c r="AK16" s="754"/>
      <c r="AL16" s="754"/>
      <c r="AM16" s="754"/>
      <c r="AN16" s="754"/>
      <c r="AO16" s="754"/>
      <c r="AP16" s="754"/>
      <c r="AQ16" s="754"/>
      <c r="AR16" s="754"/>
      <c r="AS16" s="754"/>
      <c r="AT16" s="754"/>
      <c r="AU16" s="754"/>
      <c r="AV16" s="754"/>
    </row>
    <row r="17">
      <c r="A17" s="608" t="s">
        <v>6980</v>
      </c>
      <c r="B17" s="770"/>
      <c r="C17" s="314"/>
      <c r="D17" s="314"/>
      <c r="E17" s="771"/>
      <c r="F17" s="772"/>
      <c r="G17" s="314"/>
      <c r="H17" s="771"/>
      <c r="I17" s="770"/>
      <c r="J17" s="749"/>
      <c r="K17" s="774"/>
      <c r="L17" s="751"/>
      <c r="M17" s="312"/>
      <c r="N17" s="312"/>
      <c r="O17" s="753"/>
      <c r="P17" s="754"/>
      <c r="Q17" s="754"/>
      <c r="R17" s="754"/>
      <c r="S17" s="754"/>
      <c r="T17" s="753"/>
      <c r="U17" s="754"/>
      <c r="V17" s="754"/>
      <c r="W17" s="754"/>
      <c r="X17" s="754"/>
      <c r="Y17" s="754"/>
      <c r="Z17" s="754"/>
      <c r="AA17" s="754"/>
      <c r="AB17" s="754"/>
      <c r="AC17" s="754"/>
      <c r="AD17" s="754"/>
      <c r="AE17" s="754"/>
      <c r="AF17" s="754"/>
      <c r="AG17" s="754"/>
      <c r="AH17" s="754"/>
      <c r="AI17" s="754"/>
      <c r="AJ17" s="754"/>
      <c r="AK17" s="754"/>
      <c r="AL17" s="754"/>
      <c r="AM17" s="754"/>
      <c r="AN17" s="754"/>
      <c r="AO17" s="754"/>
      <c r="AP17" s="754"/>
      <c r="AQ17" s="754"/>
      <c r="AR17" s="754"/>
      <c r="AS17" s="754"/>
      <c r="AT17" s="754"/>
      <c r="AU17" s="754"/>
      <c r="AV17" s="754"/>
    </row>
    <row r="18">
      <c r="A18" s="608" t="s">
        <v>6981</v>
      </c>
      <c r="B18" s="770"/>
      <c r="C18" s="314"/>
      <c r="D18" s="314"/>
      <c r="E18" s="771"/>
      <c r="F18" s="785" t="s">
        <v>6956</v>
      </c>
      <c r="G18" s="314"/>
      <c r="H18" s="771"/>
      <c r="I18" s="770"/>
      <c r="J18" s="749"/>
      <c r="K18" s="774"/>
      <c r="L18" s="751"/>
      <c r="M18" s="469" t="s">
        <v>6978</v>
      </c>
      <c r="N18" s="312"/>
      <c r="O18" s="753"/>
      <c r="P18" s="754"/>
      <c r="Q18" s="754"/>
      <c r="R18" s="754"/>
      <c r="S18" s="754"/>
      <c r="T18" s="753"/>
      <c r="U18" s="754"/>
      <c r="V18" s="754"/>
      <c r="W18" s="754"/>
      <c r="X18" s="754"/>
      <c r="Y18" s="754"/>
      <c r="Z18" s="754"/>
      <c r="AA18" s="754"/>
      <c r="AB18" s="754"/>
      <c r="AC18" s="754"/>
      <c r="AD18" s="754"/>
      <c r="AE18" s="754"/>
      <c r="AF18" s="754"/>
      <c r="AG18" s="754"/>
      <c r="AH18" s="754"/>
      <c r="AI18" s="754"/>
      <c r="AJ18" s="754"/>
      <c r="AK18" s="754"/>
      <c r="AL18" s="754"/>
      <c r="AM18" s="754"/>
      <c r="AN18" s="754"/>
      <c r="AO18" s="754"/>
      <c r="AP18" s="754"/>
      <c r="AQ18" s="754"/>
      <c r="AR18" s="754"/>
      <c r="AS18" s="754"/>
      <c r="AT18" s="754"/>
      <c r="AU18" s="754"/>
      <c r="AV18" s="754"/>
    </row>
    <row r="19">
      <c r="A19" s="608" t="s">
        <v>6982</v>
      </c>
      <c r="B19" s="770"/>
      <c r="C19" s="314"/>
      <c r="D19" s="314"/>
      <c r="E19" s="771"/>
      <c r="F19" s="772"/>
      <c r="G19" s="314"/>
      <c r="H19" s="771"/>
      <c r="I19" s="770"/>
      <c r="J19" s="749"/>
      <c r="K19" s="774"/>
      <c r="L19" s="751"/>
      <c r="M19" s="312"/>
      <c r="N19" s="312"/>
      <c r="O19" s="753"/>
      <c r="P19" s="754"/>
      <c r="Q19" s="754"/>
      <c r="R19" s="754"/>
      <c r="S19" s="754"/>
      <c r="T19" s="753"/>
      <c r="U19" s="754"/>
      <c r="V19" s="754"/>
      <c r="W19" s="754"/>
      <c r="X19" s="754"/>
      <c r="Y19" s="754"/>
      <c r="Z19" s="754"/>
      <c r="AA19" s="754"/>
      <c r="AB19" s="754"/>
      <c r="AC19" s="754"/>
      <c r="AD19" s="754"/>
      <c r="AE19" s="754"/>
      <c r="AF19" s="754"/>
      <c r="AG19" s="754"/>
      <c r="AH19" s="754"/>
      <c r="AI19" s="754"/>
      <c r="AJ19" s="754"/>
      <c r="AK19" s="754"/>
      <c r="AL19" s="754"/>
      <c r="AM19" s="754"/>
      <c r="AN19" s="754"/>
      <c r="AO19" s="754"/>
      <c r="AP19" s="754"/>
      <c r="AQ19" s="754"/>
      <c r="AR19" s="754"/>
      <c r="AS19" s="754"/>
      <c r="AT19" s="754"/>
      <c r="AU19" s="754"/>
      <c r="AV19" s="754"/>
    </row>
    <row r="20">
      <c r="A20" s="608" t="s">
        <v>6983</v>
      </c>
      <c r="B20" s="776"/>
      <c r="C20" s="777"/>
      <c r="D20" s="777"/>
      <c r="E20" s="785" t="s">
        <v>6956</v>
      </c>
      <c r="F20" s="772"/>
      <c r="G20" s="777"/>
      <c r="H20" s="778"/>
      <c r="I20" s="776"/>
      <c r="J20" s="749"/>
      <c r="K20" s="749"/>
      <c r="L20" s="751"/>
      <c r="M20" s="765"/>
      <c r="N20" s="768"/>
      <c r="O20" s="782"/>
      <c r="P20" s="782"/>
      <c r="Q20" s="782"/>
      <c r="R20" s="782"/>
      <c r="S20" s="782"/>
      <c r="T20" s="782"/>
      <c r="U20" s="782"/>
      <c r="V20" s="786" t="s">
        <v>6984</v>
      </c>
      <c r="W20" s="782"/>
      <c r="X20" s="782"/>
      <c r="Y20" s="782"/>
      <c r="Z20" s="782"/>
      <c r="AA20" s="782"/>
      <c r="AB20" s="782"/>
      <c r="AC20" s="782"/>
      <c r="AD20" s="782"/>
      <c r="AE20" s="782"/>
      <c r="AF20" s="782"/>
      <c r="AG20" s="782"/>
      <c r="AH20" s="782"/>
      <c r="AI20" s="782"/>
      <c r="AJ20" s="782"/>
      <c r="AK20" s="782"/>
      <c r="AL20" s="782"/>
      <c r="AM20" s="782"/>
      <c r="AN20" s="782"/>
      <c r="AO20" s="782"/>
      <c r="AP20" s="782"/>
      <c r="AQ20" s="782"/>
      <c r="AR20" s="782"/>
      <c r="AS20" s="782"/>
      <c r="AT20" s="782"/>
      <c r="AU20" s="782"/>
      <c r="AV20" s="782"/>
    </row>
    <row r="21">
      <c r="A21" s="758" t="s">
        <v>6985</v>
      </c>
      <c r="B21" s="771"/>
      <c r="C21" s="764" t="s">
        <v>6962</v>
      </c>
      <c r="D21" s="561"/>
      <c r="E21" s="771"/>
      <c r="F21" s="772"/>
      <c r="G21" s="314"/>
      <c r="H21" s="771"/>
      <c r="I21" s="771"/>
      <c r="J21" s="772"/>
      <c r="K21" s="787"/>
      <c r="L21" s="765" t="s">
        <v>6956</v>
      </c>
      <c r="M21" s="312"/>
      <c r="N21" s="312"/>
      <c r="O21" s="753"/>
      <c r="P21" s="754"/>
      <c r="Q21" s="754"/>
      <c r="R21" s="754"/>
      <c r="S21" s="754"/>
      <c r="T21" s="753"/>
      <c r="U21" s="763" t="s">
        <v>6973</v>
      </c>
      <c r="V21" s="754"/>
      <c r="W21" s="754"/>
      <c r="X21" s="754"/>
      <c r="Y21" s="754"/>
      <c r="Z21" s="754"/>
      <c r="AA21" s="754"/>
      <c r="AB21" s="754"/>
      <c r="AC21" s="754"/>
      <c r="AD21" s="754"/>
      <c r="AE21" s="754"/>
      <c r="AF21" s="754"/>
      <c r="AG21" s="754"/>
      <c r="AH21" s="754"/>
      <c r="AI21" s="754"/>
      <c r="AJ21" s="754"/>
      <c r="AK21" s="754"/>
      <c r="AL21" s="754"/>
      <c r="AM21" s="754"/>
      <c r="AN21" s="754"/>
      <c r="AO21" s="754"/>
      <c r="AP21" s="754"/>
      <c r="AQ21" s="754"/>
      <c r="AR21" s="754"/>
      <c r="AS21" s="754"/>
      <c r="AT21" s="754"/>
      <c r="AU21" s="754"/>
      <c r="AV21" s="754"/>
    </row>
    <row r="22">
      <c r="A22" s="758" t="s">
        <v>6986</v>
      </c>
      <c r="B22" s="771"/>
      <c r="C22" s="788"/>
      <c r="D22" s="314"/>
      <c r="E22" s="785" t="s">
        <v>6956</v>
      </c>
      <c r="F22" s="772"/>
      <c r="G22" s="314"/>
      <c r="H22" s="771"/>
      <c r="I22" s="789"/>
      <c r="J22" s="772"/>
      <c r="K22" s="787"/>
      <c r="L22" s="765" t="s">
        <v>6956</v>
      </c>
      <c r="M22" s="765"/>
      <c r="N22" s="312"/>
      <c r="O22" s="753"/>
      <c r="P22" s="761"/>
      <c r="Q22" s="754"/>
      <c r="R22" s="754"/>
      <c r="S22" s="754"/>
      <c r="T22" s="753"/>
      <c r="U22" s="763" t="s">
        <v>6973</v>
      </c>
      <c r="V22" s="754"/>
      <c r="W22" s="754"/>
      <c r="X22" s="754"/>
      <c r="Y22" s="754"/>
      <c r="Z22" s="754"/>
      <c r="AA22" s="754"/>
      <c r="AB22" s="754"/>
      <c r="AC22" s="763" t="s">
        <v>6987</v>
      </c>
      <c r="AD22" s="754"/>
      <c r="AE22" s="754"/>
      <c r="AF22" s="754"/>
      <c r="AG22" s="754"/>
      <c r="AH22" s="754"/>
      <c r="AI22" s="763" t="s">
        <v>6964</v>
      </c>
      <c r="AJ22" s="763"/>
      <c r="AK22" s="763"/>
      <c r="AL22" s="763"/>
      <c r="AM22" s="763"/>
      <c r="AN22" s="763"/>
      <c r="AO22" s="763"/>
      <c r="AP22" s="763"/>
      <c r="AQ22" s="763"/>
      <c r="AR22" s="763"/>
      <c r="AS22" s="763"/>
      <c r="AT22" s="763"/>
      <c r="AU22" s="763"/>
      <c r="AV22" s="763"/>
    </row>
    <row r="23">
      <c r="A23" s="758" t="s">
        <v>6988</v>
      </c>
      <c r="B23" s="771"/>
      <c r="C23" s="561"/>
      <c r="D23" s="764" t="s">
        <v>6962</v>
      </c>
      <c r="E23" s="771"/>
      <c r="F23" s="772"/>
      <c r="G23" s="314"/>
      <c r="H23" s="771"/>
      <c r="I23" s="789"/>
      <c r="J23" s="772"/>
      <c r="K23" s="787"/>
      <c r="L23" s="790"/>
      <c r="M23" s="312"/>
      <c r="N23" s="312"/>
      <c r="O23" s="753"/>
      <c r="P23" s="754"/>
      <c r="Q23" s="754"/>
      <c r="R23" s="754"/>
      <c r="S23" s="754"/>
      <c r="T23" s="753"/>
      <c r="U23" s="754"/>
      <c r="V23" s="754"/>
      <c r="W23" s="754"/>
      <c r="X23" s="754"/>
      <c r="Y23" s="754"/>
      <c r="Z23" s="754"/>
      <c r="AA23" s="763" t="s">
        <v>6989</v>
      </c>
      <c r="AB23" s="754"/>
      <c r="AC23" s="754"/>
      <c r="AD23" s="754"/>
      <c r="AE23" s="754"/>
      <c r="AF23" s="754"/>
      <c r="AG23" s="754"/>
      <c r="AH23" s="754"/>
      <c r="AI23" s="763"/>
      <c r="AJ23" s="763"/>
      <c r="AK23" s="763"/>
      <c r="AL23" s="763"/>
      <c r="AM23" s="763"/>
      <c r="AN23" s="763"/>
      <c r="AO23" s="763"/>
      <c r="AP23" s="763"/>
      <c r="AQ23" s="763"/>
      <c r="AR23" s="763"/>
      <c r="AS23" s="763"/>
      <c r="AT23" s="763"/>
      <c r="AU23" s="763"/>
      <c r="AV23" s="763"/>
    </row>
    <row r="24">
      <c r="A24" s="758" t="s">
        <v>6990</v>
      </c>
      <c r="B24" s="771"/>
      <c r="C24" s="314"/>
      <c r="D24" s="314"/>
      <c r="E24" s="771"/>
      <c r="F24" s="772"/>
      <c r="G24" s="314"/>
      <c r="H24" s="539"/>
      <c r="I24" s="539"/>
      <c r="J24" s="777"/>
      <c r="K24" s="314"/>
      <c r="L24" s="790"/>
      <c r="M24" s="312"/>
      <c r="N24" s="312"/>
      <c r="O24" s="753"/>
      <c r="P24" s="754"/>
      <c r="Q24" s="754"/>
      <c r="R24" s="754"/>
      <c r="S24" s="754"/>
      <c r="T24" s="753"/>
      <c r="U24" s="754"/>
      <c r="V24" s="754"/>
      <c r="W24" s="754"/>
      <c r="X24" s="754"/>
      <c r="Y24" s="754"/>
      <c r="Z24" s="754"/>
      <c r="AA24" s="754"/>
      <c r="AB24" s="754"/>
      <c r="AC24" s="754"/>
      <c r="AD24" s="754"/>
      <c r="AE24" s="754"/>
      <c r="AF24" s="754"/>
      <c r="AG24" s="754"/>
      <c r="AH24" s="754"/>
      <c r="AI24" s="754"/>
      <c r="AJ24" s="754"/>
      <c r="AK24" s="754"/>
      <c r="AL24" s="754"/>
      <c r="AM24" s="754"/>
      <c r="AN24" s="754"/>
      <c r="AO24" s="754"/>
      <c r="AP24" s="754"/>
      <c r="AQ24" s="754"/>
      <c r="AR24" s="754"/>
      <c r="AS24" s="754"/>
      <c r="AT24" s="754"/>
      <c r="AU24" s="754"/>
      <c r="AV24" s="754"/>
    </row>
    <row r="25">
      <c r="A25" s="758" t="s">
        <v>6991</v>
      </c>
      <c r="B25" s="771"/>
      <c r="C25" s="314"/>
      <c r="D25" s="314"/>
      <c r="E25" s="771"/>
      <c r="F25" s="772"/>
      <c r="G25" s="314"/>
      <c r="H25" s="539"/>
      <c r="I25" s="539"/>
      <c r="J25" s="777"/>
      <c r="K25" s="314"/>
      <c r="L25" s="790"/>
      <c r="M25" s="312"/>
      <c r="N25" s="312"/>
      <c r="O25" s="753"/>
      <c r="P25" s="754"/>
      <c r="Q25" s="754"/>
      <c r="R25" s="754"/>
      <c r="S25" s="754"/>
      <c r="T25" s="753"/>
      <c r="U25" s="754"/>
      <c r="V25" s="754"/>
      <c r="W25" s="754"/>
      <c r="X25" s="754"/>
      <c r="Y25" s="754"/>
      <c r="Z25" s="754"/>
      <c r="AA25" s="754"/>
      <c r="AB25" s="754"/>
      <c r="AC25" s="754"/>
      <c r="AD25" s="754"/>
      <c r="AE25" s="754"/>
      <c r="AF25" s="754"/>
      <c r="AG25" s="754"/>
      <c r="AH25" s="754"/>
      <c r="AI25" s="754"/>
      <c r="AJ25" s="754"/>
      <c r="AK25" s="754"/>
      <c r="AL25" s="754"/>
      <c r="AM25" s="754"/>
      <c r="AN25" s="754"/>
      <c r="AO25" s="754"/>
      <c r="AP25" s="754"/>
      <c r="AQ25" s="754"/>
      <c r="AR25" s="754"/>
      <c r="AS25" s="754"/>
      <c r="AT25" s="754"/>
      <c r="AU25" s="754"/>
      <c r="AV25" s="754"/>
    </row>
    <row r="26">
      <c r="A26" s="758" t="s">
        <v>6992</v>
      </c>
      <c r="B26" s="571" t="s">
        <v>6993</v>
      </c>
      <c r="C26" s="314"/>
      <c r="D26" s="764" t="s">
        <v>6994</v>
      </c>
      <c r="E26" s="771"/>
      <c r="F26" s="785" t="s">
        <v>6956</v>
      </c>
      <c r="G26" s="561"/>
      <c r="H26" s="538" t="s">
        <v>6956</v>
      </c>
      <c r="I26" s="539"/>
      <c r="J26" s="777"/>
      <c r="K26" s="314"/>
      <c r="L26" s="791"/>
      <c r="M26" s="469"/>
      <c r="N26" s="469" t="s">
        <v>6964</v>
      </c>
      <c r="O26" s="766"/>
      <c r="P26" s="792" t="s">
        <v>6995</v>
      </c>
      <c r="Q26" s="754"/>
      <c r="R26" s="754"/>
      <c r="S26" s="763"/>
      <c r="T26" s="753"/>
      <c r="U26" s="754"/>
      <c r="V26" s="754"/>
      <c r="W26" s="754"/>
      <c r="X26" s="763" t="s">
        <v>6993</v>
      </c>
      <c r="Y26" s="754"/>
      <c r="Z26" s="754"/>
      <c r="AA26" s="754"/>
      <c r="AB26" s="754"/>
      <c r="AC26" s="754"/>
      <c r="AD26" s="754"/>
      <c r="AE26" s="763" t="s">
        <v>6996</v>
      </c>
      <c r="AF26" s="754"/>
      <c r="AG26" s="754"/>
      <c r="AH26" s="754"/>
      <c r="AI26" s="754"/>
      <c r="AJ26" s="754"/>
      <c r="AK26" s="754"/>
      <c r="AL26" s="754"/>
      <c r="AM26" s="754"/>
      <c r="AN26" s="754"/>
      <c r="AO26" s="754"/>
      <c r="AP26" s="754"/>
      <c r="AQ26" s="754"/>
      <c r="AR26" s="754"/>
      <c r="AS26" s="754"/>
      <c r="AT26" s="754"/>
      <c r="AU26" s="754"/>
      <c r="AV26" s="754"/>
    </row>
    <row r="27">
      <c r="A27" s="758" t="s">
        <v>6997</v>
      </c>
      <c r="B27" s="771"/>
      <c r="C27" s="314"/>
      <c r="D27" s="314"/>
      <c r="E27" s="771"/>
      <c r="F27" s="772"/>
      <c r="G27" s="314"/>
      <c r="H27" s="539"/>
      <c r="I27" s="539"/>
      <c r="J27" s="777"/>
      <c r="K27" s="314"/>
      <c r="L27" s="790"/>
      <c r="M27" s="312"/>
      <c r="N27" s="469"/>
      <c r="O27" s="753"/>
      <c r="P27" s="754"/>
      <c r="Q27" s="754"/>
      <c r="R27" s="754"/>
      <c r="S27" s="754"/>
      <c r="T27" s="753"/>
      <c r="U27" s="754"/>
      <c r="V27" s="754"/>
      <c r="W27" s="754"/>
      <c r="X27" s="754"/>
      <c r="Y27" s="754"/>
      <c r="Z27" s="754"/>
      <c r="AA27" s="754"/>
      <c r="AB27" s="754"/>
      <c r="AC27" s="754"/>
      <c r="AD27" s="754"/>
      <c r="AE27" s="754"/>
      <c r="AF27" s="754"/>
      <c r="AG27" s="754"/>
      <c r="AH27" s="754"/>
      <c r="AI27" s="754"/>
      <c r="AJ27" s="754"/>
      <c r="AK27" s="754"/>
      <c r="AL27" s="754"/>
      <c r="AM27" s="754"/>
      <c r="AN27" s="754"/>
      <c r="AO27" s="754"/>
      <c r="AP27" s="754"/>
      <c r="AQ27" s="754"/>
      <c r="AR27" s="754"/>
      <c r="AS27" s="754"/>
      <c r="AT27" s="754"/>
      <c r="AU27" s="754"/>
      <c r="AV27" s="754"/>
    </row>
    <row r="28">
      <c r="A28" s="758" t="s">
        <v>6998</v>
      </c>
      <c r="B28" s="771"/>
      <c r="C28" s="314"/>
      <c r="D28" s="314"/>
      <c r="E28" s="771"/>
      <c r="F28" s="772"/>
      <c r="G28" s="314"/>
      <c r="H28" s="539"/>
      <c r="I28" s="539"/>
      <c r="J28" s="777"/>
      <c r="K28" s="314"/>
      <c r="L28" s="790"/>
      <c r="M28" s="312"/>
      <c r="N28" s="312"/>
      <c r="O28" s="753"/>
      <c r="P28" s="754"/>
      <c r="Q28" s="754"/>
      <c r="R28" s="754"/>
      <c r="S28" s="754"/>
      <c r="T28" s="753"/>
      <c r="U28" s="754"/>
      <c r="V28" s="754"/>
      <c r="W28" s="754"/>
      <c r="X28" s="754"/>
      <c r="Y28" s="754"/>
      <c r="Z28" s="754"/>
      <c r="AA28" s="754"/>
      <c r="AB28" s="754"/>
      <c r="AC28" s="754"/>
      <c r="AD28" s="754"/>
      <c r="AE28" s="754"/>
      <c r="AF28" s="754"/>
      <c r="AG28" s="754"/>
      <c r="AH28" s="754"/>
      <c r="AI28" s="754"/>
      <c r="AJ28" s="754"/>
      <c r="AK28" s="754"/>
      <c r="AL28" s="754"/>
      <c r="AM28" s="754"/>
      <c r="AN28" s="754"/>
      <c r="AO28" s="754"/>
      <c r="AP28" s="754"/>
      <c r="AQ28" s="754"/>
      <c r="AR28" s="754"/>
      <c r="AS28" s="754"/>
      <c r="AT28" s="754"/>
      <c r="AU28" s="754"/>
      <c r="AV28" s="754"/>
    </row>
    <row r="29">
      <c r="A29" s="758" t="s">
        <v>6999</v>
      </c>
      <c r="B29" s="771"/>
      <c r="C29" s="314"/>
      <c r="D29" s="314"/>
      <c r="E29" s="771"/>
      <c r="F29" s="772"/>
      <c r="G29" s="314"/>
      <c r="H29" s="539"/>
      <c r="I29" s="539"/>
      <c r="J29" s="777"/>
      <c r="K29" s="314"/>
      <c r="L29" s="790"/>
      <c r="M29" s="312"/>
      <c r="N29" s="312"/>
      <c r="O29" s="753"/>
      <c r="P29" s="754"/>
      <c r="Q29" s="754"/>
      <c r="R29" s="754"/>
      <c r="S29" s="754"/>
      <c r="T29" s="753"/>
      <c r="U29" s="754"/>
      <c r="V29" s="754"/>
      <c r="W29" s="754"/>
      <c r="X29" s="754"/>
      <c r="Y29" s="754"/>
      <c r="Z29" s="754"/>
      <c r="AA29" s="754"/>
      <c r="AB29" s="754"/>
      <c r="AC29" s="754"/>
      <c r="AD29" s="754"/>
      <c r="AE29" s="754"/>
      <c r="AF29" s="754"/>
      <c r="AG29" s="754"/>
      <c r="AH29" s="754"/>
      <c r="AI29" s="754"/>
      <c r="AJ29" s="754"/>
      <c r="AK29" s="754"/>
      <c r="AL29" s="754"/>
      <c r="AM29" s="754"/>
      <c r="AN29" s="754"/>
      <c r="AO29" s="754"/>
      <c r="AP29" s="754"/>
      <c r="AQ29" s="754"/>
      <c r="AR29" s="754"/>
      <c r="AS29" s="754"/>
      <c r="AT29" s="754"/>
      <c r="AU29" s="754"/>
      <c r="AV29" s="754"/>
    </row>
    <row r="30">
      <c r="A30" s="758" t="s">
        <v>7000</v>
      </c>
      <c r="B30" s="771"/>
      <c r="C30" s="314"/>
      <c r="D30" s="314"/>
      <c r="E30" s="771"/>
      <c r="F30" s="772"/>
      <c r="G30" s="314"/>
      <c r="H30" s="539"/>
      <c r="I30" s="539"/>
      <c r="J30" s="777"/>
      <c r="K30" s="314"/>
      <c r="L30" s="790"/>
      <c r="M30" s="312"/>
      <c r="N30" s="312"/>
      <c r="O30" s="753"/>
      <c r="P30" s="754"/>
      <c r="Q30" s="754"/>
      <c r="R30" s="754"/>
      <c r="S30" s="754"/>
      <c r="T30" s="753"/>
      <c r="U30" s="754"/>
      <c r="V30" s="754"/>
      <c r="W30" s="754"/>
      <c r="X30" s="754"/>
      <c r="Y30" s="754"/>
      <c r="Z30" s="754"/>
      <c r="AA30" s="754"/>
      <c r="AB30" s="754"/>
      <c r="AC30" s="754"/>
      <c r="AD30" s="754"/>
      <c r="AE30" s="754"/>
      <c r="AF30" s="754"/>
      <c r="AG30" s="754"/>
      <c r="AH30" s="754"/>
      <c r="AI30" s="754"/>
      <c r="AJ30" s="754"/>
      <c r="AK30" s="754"/>
      <c r="AL30" s="754"/>
      <c r="AM30" s="754"/>
      <c r="AN30" s="754"/>
      <c r="AO30" s="754"/>
      <c r="AP30" s="754"/>
      <c r="AQ30" s="754"/>
      <c r="AR30" s="754"/>
      <c r="AS30" s="754"/>
      <c r="AT30" s="754"/>
      <c r="AU30" s="754"/>
      <c r="AV30" s="754"/>
    </row>
    <row r="31">
      <c r="A31" s="758" t="s">
        <v>7001</v>
      </c>
      <c r="B31" s="771"/>
      <c r="C31" s="314"/>
      <c r="D31" s="314"/>
      <c r="E31" s="771"/>
      <c r="F31" s="772"/>
      <c r="G31" s="314"/>
      <c r="H31" s="539"/>
      <c r="I31" s="539"/>
      <c r="J31" s="777"/>
      <c r="K31" s="314"/>
      <c r="L31" s="790"/>
      <c r="M31" s="312"/>
      <c r="N31" s="312"/>
      <c r="O31" s="753"/>
      <c r="P31" s="754"/>
      <c r="Q31" s="754"/>
      <c r="R31" s="754"/>
      <c r="S31" s="754"/>
      <c r="T31" s="753"/>
      <c r="U31" s="754"/>
      <c r="V31" s="754"/>
      <c r="W31" s="754"/>
      <c r="X31" s="754"/>
      <c r="Y31" s="754"/>
      <c r="Z31" s="754"/>
      <c r="AA31" s="754"/>
      <c r="AB31" s="754"/>
      <c r="AC31" s="754"/>
      <c r="AD31" s="754"/>
      <c r="AE31" s="754"/>
      <c r="AF31" s="754"/>
      <c r="AG31" s="754"/>
      <c r="AH31" s="754"/>
      <c r="AI31" s="754"/>
      <c r="AJ31" s="754"/>
      <c r="AK31" s="754"/>
      <c r="AL31" s="754"/>
      <c r="AM31" s="754"/>
      <c r="AN31" s="754"/>
      <c r="AO31" s="754"/>
      <c r="AP31" s="754"/>
      <c r="AQ31" s="754"/>
      <c r="AR31" s="754"/>
      <c r="AS31" s="754"/>
      <c r="AT31" s="754"/>
      <c r="AU31" s="754"/>
      <c r="AV31" s="754"/>
    </row>
    <row r="32">
      <c r="A32" s="758" t="s">
        <v>7002</v>
      </c>
      <c r="B32" s="771"/>
      <c r="C32" s="314"/>
      <c r="D32" s="314"/>
      <c r="E32" s="771"/>
      <c r="F32" s="772"/>
      <c r="G32" s="314"/>
      <c r="H32" s="539"/>
      <c r="I32" s="539"/>
      <c r="J32" s="777"/>
      <c r="K32" s="314"/>
      <c r="L32" s="790"/>
      <c r="M32" s="312"/>
      <c r="N32" s="312"/>
      <c r="O32" s="753"/>
      <c r="P32" s="754"/>
      <c r="Q32" s="754"/>
      <c r="R32" s="754"/>
      <c r="S32" s="754"/>
      <c r="T32" s="753"/>
      <c r="U32" s="754"/>
      <c r="V32" s="754"/>
      <c r="W32" s="754"/>
      <c r="X32" s="754"/>
      <c r="Y32" s="754"/>
      <c r="Z32" s="754"/>
      <c r="AA32" s="754"/>
      <c r="AB32" s="754"/>
      <c r="AC32" s="754"/>
      <c r="AD32" s="754"/>
      <c r="AE32" s="754"/>
      <c r="AF32" s="754"/>
      <c r="AG32" s="754"/>
      <c r="AH32" s="754"/>
      <c r="AI32" s="754"/>
      <c r="AJ32" s="754"/>
      <c r="AK32" s="754"/>
      <c r="AL32" s="754"/>
      <c r="AM32" s="754"/>
      <c r="AN32" s="754"/>
      <c r="AO32" s="754"/>
      <c r="AP32" s="754"/>
      <c r="AQ32" s="754"/>
      <c r="AR32" s="754"/>
      <c r="AS32" s="754"/>
      <c r="AT32" s="754"/>
      <c r="AU32" s="754"/>
      <c r="AV32" s="754"/>
    </row>
    <row r="33">
      <c r="A33" s="513" t="s">
        <v>7003</v>
      </c>
      <c r="B33" s="771"/>
      <c r="C33" s="314"/>
      <c r="D33" s="314"/>
      <c r="E33" s="771"/>
      <c r="F33" s="793"/>
      <c r="G33" s="314"/>
      <c r="H33" s="539"/>
      <c r="I33" s="539"/>
      <c r="J33" s="777"/>
      <c r="K33" s="314"/>
      <c r="L33" s="790"/>
      <c r="M33" s="469"/>
      <c r="N33" s="469" t="s">
        <v>6978</v>
      </c>
      <c r="O33" s="753"/>
      <c r="P33" s="754"/>
      <c r="Q33" s="754"/>
      <c r="R33" s="754"/>
      <c r="S33" s="754"/>
      <c r="T33" s="769" t="s">
        <v>6993</v>
      </c>
      <c r="U33" s="754"/>
      <c r="V33" s="794" t="s">
        <v>7004</v>
      </c>
      <c r="W33" s="754"/>
      <c r="X33" s="754"/>
      <c r="Y33" s="754"/>
      <c r="Z33" s="754"/>
      <c r="AA33" s="754"/>
      <c r="AB33" s="754"/>
      <c r="AC33" s="754"/>
      <c r="AD33" s="763" t="s">
        <v>7005</v>
      </c>
      <c r="AE33" s="754"/>
      <c r="AF33" s="754"/>
      <c r="AG33" s="754"/>
      <c r="AH33" s="754"/>
      <c r="AI33" s="754"/>
      <c r="AJ33" s="754"/>
      <c r="AK33" s="763"/>
      <c r="AL33" s="754"/>
      <c r="AM33" s="754"/>
      <c r="AN33" s="754"/>
      <c r="AO33" s="754"/>
      <c r="AP33" s="754"/>
      <c r="AQ33" s="754"/>
      <c r="AR33" s="754"/>
      <c r="AS33" s="754"/>
      <c r="AT33" s="754"/>
      <c r="AU33" s="754"/>
      <c r="AV33" s="754"/>
    </row>
    <row r="34">
      <c r="A34" s="513" t="s">
        <v>7006</v>
      </c>
      <c r="B34" s="771"/>
      <c r="C34" s="314"/>
      <c r="D34" s="764" t="s">
        <v>7007</v>
      </c>
      <c r="E34" s="771"/>
      <c r="F34" s="772"/>
      <c r="G34" s="314"/>
      <c r="H34" s="539"/>
      <c r="I34" s="561"/>
      <c r="J34" s="538" t="s">
        <v>6956</v>
      </c>
      <c r="K34" s="314"/>
      <c r="L34" s="790"/>
      <c r="M34" s="312"/>
      <c r="N34" s="312"/>
      <c r="O34" s="753"/>
      <c r="P34" s="754"/>
      <c r="Q34" s="754"/>
      <c r="R34" s="754"/>
      <c r="S34" s="754"/>
      <c r="T34" s="753"/>
      <c r="U34" s="763" t="s">
        <v>6973</v>
      </c>
      <c r="V34" s="754"/>
      <c r="W34" s="754"/>
      <c r="X34" s="754"/>
      <c r="Y34" s="754"/>
      <c r="Z34" s="754"/>
      <c r="AA34" s="754"/>
      <c r="AB34" s="754"/>
      <c r="AC34" s="754"/>
      <c r="AD34" s="754"/>
      <c r="AE34" s="754"/>
      <c r="AF34" s="754"/>
      <c r="AG34" s="754"/>
      <c r="AH34" s="754"/>
      <c r="AI34" s="754"/>
      <c r="AJ34" s="754"/>
      <c r="AK34" s="754"/>
      <c r="AL34" s="754"/>
      <c r="AM34" s="754"/>
      <c r="AN34" s="754"/>
      <c r="AO34" s="754"/>
      <c r="AP34" s="754"/>
      <c r="AQ34" s="754"/>
      <c r="AR34" s="754"/>
      <c r="AS34" s="754"/>
      <c r="AT34" s="754"/>
      <c r="AU34" s="754"/>
      <c r="AV34" s="754"/>
    </row>
    <row r="35">
      <c r="A35" s="795" t="s">
        <v>7008</v>
      </c>
      <c r="B35" s="539"/>
      <c r="C35" s="539"/>
      <c r="D35" s="539"/>
      <c r="E35" s="796"/>
      <c r="F35" s="793"/>
      <c r="G35" s="561"/>
      <c r="H35" s="538" t="s">
        <v>6956</v>
      </c>
      <c r="I35" s="539"/>
      <c r="J35" s="777"/>
      <c r="K35" s="314"/>
      <c r="L35" s="768"/>
      <c r="M35" s="469"/>
      <c r="N35" s="469"/>
      <c r="O35" s="753"/>
      <c r="P35" s="754"/>
      <c r="Q35" s="754"/>
      <c r="R35" s="754"/>
      <c r="S35" s="754"/>
      <c r="T35" s="753"/>
      <c r="U35" s="754"/>
      <c r="V35" s="754"/>
      <c r="W35" s="754"/>
      <c r="X35" s="754"/>
      <c r="Y35" s="754"/>
      <c r="Z35" s="754"/>
      <c r="AA35" s="754"/>
      <c r="AB35" s="754"/>
      <c r="AC35" s="754"/>
      <c r="AD35" s="754"/>
      <c r="AE35" s="754"/>
      <c r="AF35" s="754"/>
      <c r="AG35" s="754"/>
      <c r="AH35" s="754"/>
      <c r="AI35" s="754"/>
      <c r="AJ35" s="754"/>
      <c r="AK35" s="754"/>
      <c r="AL35" s="754"/>
      <c r="AM35" s="754"/>
      <c r="AN35" s="754"/>
      <c r="AO35" s="754"/>
      <c r="AP35" s="754"/>
      <c r="AQ35" s="754"/>
      <c r="AR35" s="754"/>
      <c r="AS35" s="754"/>
      <c r="AT35" s="754"/>
      <c r="AU35" s="754"/>
      <c r="AV35" s="754"/>
    </row>
    <row r="36" ht="30.0" customHeight="1">
      <c r="A36" s="795" t="s">
        <v>7009</v>
      </c>
      <c r="B36" s="539"/>
      <c r="C36" s="539"/>
      <c r="D36" s="539"/>
      <c r="E36" s="796"/>
      <c r="F36" s="796"/>
      <c r="G36" s="777"/>
      <c r="H36" s="539"/>
      <c r="I36" s="539"/>
      <c r="J36" s="777"/>
      <c r="K36" s="314"/>
      <c r="L36" s="768"/>
      <c r="M36" s="312"/>
      <c r="N36" s="312"/>
      <c r="O36" s="753"/>
      <c r="P36" s="769" t="s">
        <v>6968</v>
      </c>
      <c r="Q36" s="754"/>
      <c r="R36" s="754"/>
      <c r="S36" s="754"/>
      <c r="T36" s="753"/>
      <c r="U36" s="754"/>
      <c r="V36" s="754"/>
      <c r="W36" s="754"/>
      <c r="X36" s="754"/>
      <c r="Y36" s="754"/>
      <c r="Z36" s="754"/>
      <c r="AA36" s="754"/>
      <c r="AB36" s="754"/>
      <c r="AC36" s="754"/>
      <c r="AD36" s="754"/>
      <c r="AE36" s="754"/>
      <c r="AF36" s="754"/>
      <c r="AG36" s="754"/>
      <c r="AH36" s="754"/>
      <c r="AI36" s="754"/>
      <c r="AJ36" s="754"/>
      <c r="AK36" s="754"/>
      <c r="AL36" s="754"/>
      <c r="AM36" s="754"/>
      <c r="AN36" s="754"/>
      <c r="AO36" s="754"/>
      <c r="AP36" s="754"/>
      <c r="AQ36" s="754"/>
      <c r="AR36" s="754"/>
      <c r="AS36" s="754"/>
      <c r="AT36" s="754"/>
      <c r="AU36" s="754"/>
      <c r="AV36" s="754"/>
    </row>
    <row r="37">
      <c r="A37" s="513" t="s">
        <v>7010</v>
      </c>
      <c r="B37" s="539"/>
      <c r="C37" s="539"/>
      <c r="D37" s="539"/>
      <c r="E37" s="796"/>
      <c r="F37" s="796"/>
      <c r="G37" s="777"/>
      <c r="H37" s="539"/>
      <c r="I37" s="539"/>
      <c r="J37" s="777"/>
      <c r="K37" s="314"/>
      <c r="L37" s="768"/>
      <c r="M37" s="312"/>
      <c r="N37" s="312"/>
      <c r="O37" s="753"/>
      <c r="P37" s="754"/>
      <c r="Q37" s="754"/>
      <c r="R37" s="754"/>
      <c r="S37" s="754"/>
      <c r="T37" s="753"/>
      <c r="U37" s="754"/>
      <c r="V37" s="754"/>
      <c r="W37" s="754"/>
      <c r="X37" s="754"/>
      <c r="Y37" s="754"/>
      <c r="Z37" s="754"/>
      <c r="AA37" s="754"/>
      <c r="AB37" s="754"/>
      <c r="AC37" s="754"/>
      <c r="AD37" s="754"/>
      <c r="AE37" s="754"/>
      <c r="AF37" s="754"/>
      <c r="AG37" s="754"/>
      <c r="AH37" s="754"/>
      <c r="AI37" s="754"/>
      <c r="AJ37" s="754"/>
      <c r="AK37" s="754"/>
      <c r="AL37" s="754"/>
      <c r="AM37" s="754"/>
      <c r="AN37" s="754"/>
      <c r="AO37" s="754"/>
      <c r="AP37" s="754"/>
      <c r="AQ37" s="754"/>
      <c r="AR37" s="754"/>
      <c r="AS37" s="754"/>
      <c r="AT37" s="754"/>
      <c r="AU37" s="754"/>
      <c r="AV37" s="754"/>
    </row>
    <row r="38">
      <c r="A38" s="513" t="s">
        <v>7011</v>
      </c>
      <c r="B38" s="539"/>
      <c r="C38" s="539"/>
      <c r="D38" s="539"/>
      <c r="E38" s="796"/>
      <c r="F38" s="796"/>
      <c r="G38" s="777"/>
      <c r="H38" s="539"/>
      <c r="I38" s="539"/>
      <c r="J38" s="777"/>
      <c r="K38" s="314"/>
      <c r="L38" s="768"/>
      <c r="M38" s="469"/>
      <c r="N38" s="469" t="s">
        <v>6964</v>
      </c>
      <c r="O38" s="753"/>
      <c r="P38" s="794" t="s">
        <v>7012</v>
      </c>
      <c r="Q38" s="754"/>
      <c r="R38" s="754"/>
      <c r="S38" s="754"/>
      <c r="T38" s="753"/>
      <c r="U38" s="754"/>
      <c r="V38" s="754"/>
      <c r="W38" s="754"/>
      <c r="X38" s="754"/>
      <c r="Y38" s="754"/>
      <c r="Z38" s="754"/>
      <c r="AA38" s="754"/>
      <c r="AB38" s="754"/>
      <c r="AC38" s="754"/>
      <c r="AD38" s="754"/>
      <c r="AE38" s="754"/>
      <c r="AF38" s="754"/>
      <c r="AG38" s="754"/>
      <c r="AH38" s="754"/>
      <c r="AI38" s="754"/>
      <c r="AJ38" s="754"/>
      <c r="AK38" s="754"/>
      <c r="AL38" s="754"/>
      <c r="AM38" s="754"/>
      <c r="AN38" s="754"/>
      <c r="AO38" s="754"/>
      <c r="AP38" s="754"/>
      <c r="AQ38" s="754"/>
      <c r="AR38" s="754"/>
      <c r="AS38" s="754"/>
      <c r="AT38" s="754"/>
      <c r="AU38" s="754"/>
      <c r="AV38" s="754"/>
    </row>
    <row r="39">
      <c r="A39" s="513" t="s">
        <v>7013</v>
      </c>
      <c r="B39" s="539"/>
      <c r="C39" s="539"/>
      <c r="D39" s="539"/>
      <c r="E39" s="797"/>
      <c r="F39" s="797"/>
      <c r="G39" s="777"/>
      <c r="H39" s="539"/>
      <c r="I39" s="539"/>
      <c r="J39" s="777"/>
      <c r="K39" s="314"/>
      <c r="L39" s="768"/>
      <c r="M39" s="312"/>
      <c r="N39" s="312"/>
      <c r="O39" s="469" t="s">
        <v>6964</v>
      </c>
      <c r="P39" s="754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469" t="s">
        <v>7014</v>
      </c>
      <c r="AL39" s="469" t="s">
        <v>7015</v>
      </c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</row>
    <row r="40">
      <c r="E40" s="579"/>
      <c r="F40" s="579"/>
      <c r="G40" s="119"/>
      <c r="J40" s="119"/>
      <c r="K40" s="10"/>
      <c r="L40" s="117"/>
      <c r="M40" s="2"/>
      <c r="N40" s="2"/>
      <c r="O40" s="2"/>
      <c r="P40" s="107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>
      <c r="E41" s="579"/>
      <c r="F41" s="579"/>
      <c r="G41" s="119"/>
      <c r="J41" s="119"/>
      <c r="K41" s="10"/>
      <c r="L41" s="117"/>
      <c r="M41" s="2"/>
      <c r="N41" s="2"/>
      <c r="O41" s="2"/>
      <c r="P41" s="107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>
      <c r="E42" s="579"/>
      <c r="F42" s="579"/>
      <c r="G42" s="119"/>
      <c r="J42" s="119"/>
      <c r="K42" s="10"/>
      <c r="L42" s="117"/>
      <c r="M42" s="2"/>
      <c r="N42" s="2"/>
      <c r="O42" s="2"/>
      <c r="P42" s="107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>
      <c r="E43" s="579"/>
      <c r="F43" s="579"/>
      <c r="G43" s="119"/>
      <c r="J43" s="119"/>
      <c r="K43" s="10"/>
      <c r="L43" s="117"/>
      <c r="M43" s="2"/>
      <c r="N43" s="2"/>
      <c r="O43" s="2"/>
      <c r="P43" s="107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>
      <c r="E44" s="579"/>
      <c r="F44" s="579"/>
      <c r="G44" s="119"/>
      <c r="J44" s="119"/>
      <c r="K44" s="10"/>
      <c r="L44" s="117"/>
      <c r="M44" s="2"/>
      <c r="N44" s="2"/>
      <c r="O44" s="2"/>
      <c r="P44" s="107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>
      <c r="E45" s="579"/>
      <c r="F45" s="579"/>
      <c r="G45" s="119"/>
      <c r="J45" s="119"/>
      <c r="K45" s="10"/>
      <c r="L45" s="117"/>
      <c r="M45" s="2"/>
      <c r="N45" s="2"/>
      <c r="O45" s="2"/>
      <c r="P45" s="107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>
      <c r="E46" s="579"/>
      <c r="F46" s="579"/>
      <c r="G46" s="119"/>
      <c r="J46" s="119"/>
      <c r="K46" s="10"/>
      <c r="L46" s="117"/>
      <c r="M46" s="2"/>
      <c r="N46" s="2"/>
      <c r="O46" s="2"/>
      <c r="P46" s="107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>
      <c r="E47" s="579"/>
      <c r="F47" s="579"/>
      <c r="G47" s="119"/>
      <c r="J47" s="119"/>
      <c r="K47" s="10"/>
      <c r="L47" s="117"/>
      <c r="M47" s="2"/>
      <c r="N47" s="2"/>
      <c r="O47" s="2"/>
      <c r="P47" s="107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>
      <c r="E48" s="579"/>
      <c r="F48" s="579"/>
      <c r="G48" s="119"/>
      <c r="J48" s="119"/>
      <c r="K48" s="10"/>
      <c r="L48" s="117"/>
      <c r="M48" s="2"/>
      <c r="N48" s="2"/>
      <c r="O48" s="2"/>
      <c r="P48" s="107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>
      <c r="E49" s="579"/>
      <c r="F49" s="579"/>
      <c r="G49" s="119"/>
      <c r="J49" s="119"/>
      <c r="K49" s="10"/>
      <c r="L49" s="117"/>
      <c r="M49" s="2"/>
      <c r="N49" s="2"/>
      <c r="O49" s="2"/>
      <c r="P49" s="107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>
      <c r="E50" s="579"/>
      <c r="F50" s="579"/>
      <c r="G50" s="119"/>
      <c r="J50" s="119"/>
      <c r="K50" s="10"/>
      <c r="L50" s="117"/>
      <c r="M50" s="2"/>
      <c r="N50" s="2"/>
      <c r="O50" s="2"/>
      <c r="P50" s="107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>
      <c r="E51" s="579"/>
      <c r="F51" s="579"/>
      <c r="G51" s="119"/>
      <c r="J51" s="119"/>
      <c r="K51" s="10"/>
      <c r="L51" s="117"/>
      <c r="M51" s="2"/>
      <c r="N51" s="2"/>
      <c r="O51" s="2"/>
      <c r="P51" s="107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>
      <c r="E52" s="579"/>
      <c r="F52" s="579"/>
      <c r="G52" s="119"/>
      <c r="J52" s="119"/>
      <c r="K52" s="10"/>
      <c r="L52" s="117"/>
      <c r="M52" s="2"/>
      <c r="N52" s="2"/>
      <c r="O52" s="2"/>
      <c r="P52" s="107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>
      <c r="E53" s="579"/>
      <c r="F53" s="579"/>
      <c r="G53" s="119"/>
      <c r="J53" s="119"/>
      <c r="K53" s="10"/>
      <c r="L53" s="117"/>
      <c r="M53" s="2"/>
      <c r="N53" s="2"/>
      <c r="O53" s="2"/>
      <c r="P53" s="107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>
      <c r="E54" s="579"/>
      <c r="F54" s="579"/>
      <c r="G54" s="119"/>
      <c r="J54" s="119"/>
      <c r="K54" s="10"/>
      <c r="L54" s="117"/>
      <c r="M54" s="2"/>
      <c r="N54" s="2"/>
      <c r="O54" s="2"/>
      <c r="P54" s="107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>
      <c r="E55" s="579"/>
      <c r="F55" s="579"/>
      <c r="G55" s="119"/>
      <c r="J55" s="119"/>
      <c r="K55" s="10"/>
      <c r="L55" s="117"/>
      <c r="M55" s="2"/>
      <c r="N55" s="2"/>
      <c r="O55" s="2"/>
      <c r="P55" s="107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>
      <c r="E56" s="579"/>
      <c r="F56" s="579"/>
      <c r="G56" s="119"/>
      <c r="J56" s="119"/>
      <c r="K56" s="10"/>
      <c r="L56" s="117"/>
      <c r="M56" s="2"/>
      <c r="N56" s="2"/>
      <c r="O56" s="2"/>
      <c r="P56" s="107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>
      <c r="E57" s="579"/>
      <c r="F57" s="579"/>
      <c r="G57" s="119"/>
      <c r="J57" s="119"/>
      <c r="K57" s="10"/>
      <c r="L57" s="117"/>
      <c r="M57" s="2"/>
      <c r="N57" s="2"/>
      <c r="O57" s="2"/>
      <c r="P57" s="107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>
      <c r="E58" s="579"/>
      <c r="F58" s="579"/>
      <c r="G58" s="119"/>
      <c r="J58" s="119"/>
      <c r="K58" s="10"/>
      <c r="L58" s="117"/>
      <c r="M58" s="2"/>
      <c r="N58" s="2"/>
      <c r="O58" s="2"/>
      <c r="P58" s="107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>
      <c r="E59" s="579"/>
      <c r="F59" s="579"/>
      <c r="G59" s="119"/>
      <c r="J59" s="119"/>
      <c r="K59" s="10"/>
      <c r="L59" s="117"/>
      <c r="M59" s="2"/>
      <c r="N59" s="2"/>
      <c r="O59" s="2"/>
      <c r="P59" s="107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>
      <c r="E60" s="579"/>
      <c r="F60" s="579"/>
      <c r="G60" s="119"/>
      <c r="J60" s="119"/>
      <c r="K60" s="10"/>
      <c r="L60" s="117"/>
      <c r="M60" s="2"/>
      <c r="N60" s="2"/>
      <c r="O60" s="2"/>
      <c r="P60" s="107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>
      <c r="E61" s="579"/>
      <c r="F61" s="579"/>
      <c r="G61" s="119"/>
      <c r="J61" s="119"/>
      <c r="K61" s="10"/>
      <c r="L61" s="117"/>
      <c r="M61" s="2"/>
      <c r="N61" s="2"/>
      <c r="O61" s="2"/>
      <c r="P61" s="107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>
      <c r="E62" s="579"/>
      <c r="F62" s="579"/>
      <c r="G62" s="119"/>
      <c r="J62" s="119"/>
      <c r="K62" s="10"/>
      <c r="L62" s="117"/>
      <c r="M62" s="2"/>
      <c r="N62" s="2"/>
      <c r="O62" s="2"/>
      <c r="P62" s="107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>
      <c r="E63" s="579"/>
      <c r="F63" s="579"/>
      <c r="G63" s="119"/>
      <c r="J63" s="119"/>
      <c r="K63" s="10"/>
      <c r="L63" s="117"/>
      <c r="M63" s="2"/>
      <c r="N63" s="2"/>
      <c r="O63" s="2"/>
      <c r="P63" s="107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>
      <c r="E64" s="579"/>
      <c r="F64" s="579"/>
      <c r="G64" s="119"/>
      <c r="J64" s="119"/>
      <c r="K64" s="10"/>
      <c r="L64" s="117"/>
      <c r="M64" s="2"/>
      <c r="N64" s="2"/>
      <c r="O64" s="2"/>
      <c r="P64" s="107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>
      <c r="E65" s="579"/>
      <c r="F65" s="579"/>
      <c r="G65" s="119"/>
      <c r="J65" s="119"/>
      <c r="K65" s="10"/>
      <c r="L65" s="117"/>
      <c r="M65" s="2"/>
      <c r="N65" s="2"/>
      <c r="O65" s="2"/>
      <c r="P65" s="107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>
      <c r="E66" s="579"/>
      <c r="F66" s="579"/>
      <c r="G66" s="119"/>
      <c r="J66" s="119"/>
      <c r="K66" s="10"/>
      <c r="L66" s="117"/>
      <c r="M66" s="2"/>
      <c r="N66" s="2"/>
      <c r="O66" s="2"/>
      <c r="P66" s="107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>
      <c r="E67" s="579"/>
      <c r="F67" s="579"/>
      <c r="G67" s="119"/>
      <c r="J67" s="119"/>
      <c r="K67" s="10"/>
      <c r="L67" s="117"/>
      <c r="M67" s="2"/>
      <c r="N67" s="2"/>
      <c r="O67" s="2"/>
      <c r="P67" s="107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>
      <c r="E68" s="579"/>
      <c r="F68" s="579"/>
      <c r="G68" s="119"/>
      <c r="J68" s="119"/>
      <c r="K68" s="10"/>
      <c r="L68" s="117"/>
      <c r="M68" s="2"/>
      <c r="N68" s="2"/>
      <c r="O68" s="2"/>
      <c r="P68" s="107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>
      <c r="E69" s="579"/>
      <c r="F69" s="579"/>
      <c r="G69" s="119"/>
      <c r="J69" s="119"/>
      <c r="K69" s="10"/>
      <c r="L69" s="117"/>
      <c r="M69" s="2"/>
      <c r="N69" s="2"/>
      <c r="O69" s="2"/>
      <c r="P69" s="107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>
      <c r="E70" s="579"/>
      <c r="F70" s="579"/>
      <c r="G70" s="119"/>
      <c r="J70" s="119"/>
      <c r="K70" s="10"/>
      <c r="L70" s="117"/>
      <c r="M70" s="2"/>
      <c r="N70" s="2"/>
      <c r="O70" s="2"/>
      <c r="P70" s="107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>
      <c r="E71" s="579"/>
      <c r="F71" s="579"/>
      <c r="G71" s="119"/>
      <c r="J71" s="119"/>
      <c r="K71" s="10"/>
      <c r="L71" s="117"/>
      <c r="M71" s="2"/>
      <c r="N71" s="2"/>
      <c r="O71" s="2"/>
      <c r="P71" s="107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>
      <c r="E72" s="579"/>
      <c r="F72" s="579"/>
      <c r="G72" s="119"/>
      <c r="J72" s="119"/>
      <c r="K72" s="10"/>
      <c r="L72" s="117"/>
      <c r="M72" s="2"/>
      <c r="N72" s="2"/>
      <c r="O72" s="2"/>
      <c r="P72" s="107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>
      <c r="E73" s="579"/>
      <c r="F73" s="579"/>
      <c r="G73" s="119"/>
      <c r="J73" s="119"/>
      <c r="K73" s="10"/>
      <c r="L73" s="117"/>
      <c r="M73" s="2"/>
      <c r="N73" s="2"/>
      <c r="O73" s="2"/>
      <c r="P73" s="107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>
      <c r="E74" s="579"/>
      <c r="F74" s="579"/>
      <c r="G74" s="119"/>
      <c r="J74" s="119"/>
      <c r="K74" s="10"/>
      <c r="L74" s="117"/>
      <c r="M74" s="2"/>
      <c r="N74" s="2"/>
      <c r="O74" s="2"/>
      <c r="P74" s="107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>
      <c r="E75" s="579"/>
      <c r="F75" s="579"/>
      <c r="G75" s="119"/>
      <c r="J75" s="119"/>
      <c r="K75" s="10"/>
      <c r="L75" s="117"/>
      <c r="M75" s="2"/>
      <c r="N75" s="2"/>
      <c r="O75" s="2"/>
      <c r="P75" s="107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>
      <c r="E76" s="579"/>
      <c r="F76" s="579"/>
      <c r="G76" s="119"/>
      <c r="J76" s="119"/>
      <c r="K76" s="10"/>
      <c r="L76" s="117"/>
      <c r="M76" s="2"/>
      <c r="N76" s="2"/>
      <c r="O76" s="2"/>
      <c r="P76" s="107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>
      <c r="E77" s="579"/>
      <c r="F77" s="579"/>
      <c r="G77" s="119"/>
      <c r="J77" s="119"/>
      <c r="K77" s="10"/>
      <c r="L77" s="117"/>
      <c r="M77" s="2"/>
      <c r="N77" s="2"/>
      <c r="O77" s="2"/>
      <c r="P77" s="107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>
      <c r="E78" s="579"/>
      <c r="F78" s="579"/>
      <c r="G78" s="119"/>
      <c r="J78" s="119"/>
      <c r="K78" s="10"/>
      <c r="L78" s="117"/>
      <c r="M78" s="2"/>
      <c r="N78" s="2"/>
      <c r="O78" s="2"/>
      <c r="P78" s="107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>
      <c r="E79" s="579"/>
      <c r="F79" s="579"/>
      <c r="G79" s="119"/>
      <c r="J79" s="119"/>
      <c r="K79" s="10"/>
      <c r="L79" s="117"/>
      <c r="M79" s="2"/>
      <c r="N79" s="2"/>
      <c r="O79" s="2"/>
      <c r="P79" s="107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>
      <c r="E80" s="579"/>
      <c r="F80" s="579"/>
      <c r="G80" s="119"/>
      <c r="J80" s="119"/>
      <c r="K80" s="10"/>
      <c r="L80" s="117"/>
      <c r="M80" s="2"/>
      <c r="N80" s="2"/>
      <c r="O80" s="2"/>
      <c r="P80" s="107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>
      <c r="E81" s="579"/>
      <c r="F81" s="579"/>
      <c r="G81" s="119"/>
      <c r="J81" s="119"/>
      <c r="K81" s="10"/>
      <c r="L81" s="117"/>
      <c r="M81" s="2"/>
      <c r="N81" s="2"/>
      <c r="O81" s="2"/>
      <c r="P81" s="107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>
      <c r="E82" s="579"/>
      <c r="F82" s="579"/>
      <c r="G82" s="119"/>
      <c r="J82" s="119"/>
      <c r="K82" s="10"/>
      <c r="L82" s="117"/>
      <c r="M82" s="2"/>
      <c r="N82" s="2"/>
      <c r="O82" s="2"/>
      <c r="P82" s="107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>
      <c r="E83" s="579"/>
      <c r="F83" s="579"/>
      <c r="G83" s="119"/>
      <c r="J83" s="119"/>
      <c r="K83" s="10"/>
      <c r="L83" s="117"/>
      <c r="M83" s="2"/>
      <c r="N83" s="2"/>
      <c r="O83" s="2"/>
      <c r="P83" s="107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>
      <c r="E84" s="579"/>
      <c r="F84" s="579"/>
      <c r="G84" s="119"/>
      <c r="J84" s="119"/>
      <c r="K84" s="10"/>
      <c r="L84" s="117"/>
      <c r="M84" s="2"/>
      <c r="N84" s="2"/>
      <c r="O84" s="2"/>
      <c r="P84" s="107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>
      <c r="E85" s="579"/>
      <c r="F85" s="579"/>
      <c r="G85" s="119"/>
      <c r="J85" s="119"/>
      <c r="K85" s="10"/>
      <c r="L85" s="117"/>
      <c r="M85" s="2"/>
      <c r="N85" s="2"/>
      <c r="O85" s="2"/>
      <c r="P85" s="107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>
      <c r="E86" s="579"/>
      <c r="F86" s="579"/>
      <c r="G86" s="119"/>
      <c r="J86" s="119"/>
      <c r="K86" s="10"/>
      <c r="L86" s="117"/>
      <c r="M86" s="2"/>
      <c r="N86" s="2"/>
      <c r="O86" s="2"/>
      <c r="P86" s="107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>
      <c r="E87" s="579"/>
      <c r="F87" s="579"/>
      <c r="G87" s="119"/>
      <c r="J87" s="119"/>
      <c r="K87" s="10"/>
      <c r="L87" s="117"/>
      <c r="M87" s="2"/>
      <c r="N87" s="2"/>
      <c r="O87" s="2"/>
      <c r="P87" s="107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>
      <c r="E88" s="579"/>
      <c r="F88" s="579"/>
      <c r="G88" s="119"/>
      <c r="J88" s="119"/>
      <c r="K88" s="10"/>
      <c r="L88" s="117"/>
      <c r="M88" s="2"/>
      <c r="N88" s="2"/>
      <c r="O88" s="2"/>
      <c r="P88" s="107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>
      <c r="E89" s="579"/>
      <c r="F89" s="579"/>
      <c r="G89" s="119"/>
      <c r="J89" s="119"/>
      <c r="K89" s="10"/>
      <c r="L89" s="117"/>
      <c r="M89" s="2"/>
      <c r="N89" s="2"/>
      <c r="O89" s="2"/>
      <c r="P89" s="107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>
      <c r="E90" s="579"/>
      <c r="F90" s="579"/>
      <c r="G90" s="119"/>
      <c r="J90" s="119"/>
      <c r="K90" s="10"/>
      <c r="L90" s="117"/>
      <c r="M90" s="2"/>
      <c r="N90" s="2"/>
      <c r="O90" s="2"/>
      <c r="P90" s="107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>
      <c r="E91" s="579"/>
      <c r="F91" s="579"/>
      <c r="G91" s="119"/>
      <c r="J91" s="119"/>
      <c r="K91" s="10"/>
      <c r="L91" s="117"/>
      <c r="M91" s="2"/>
      <c r="N91" s="2"/>
      <c r="O91" s="2"/>
      <c r="P91" s="107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>
      <c r="E92" s="579"/>
      <c r="F92" s="579"/>
      <c r="G92" s="119"/>
      <c r="J92" s="119"/>
      <c r="K92" s="10"/>
      <c r="L92" s="117"/>
      <c r="M92" s="2"/>
      <c r="N92" s="2"/>
      <c r="O92" s="2"/>
      <c r="P92" s="10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>
      <c r="E93" s="579"/>
      <c r="F93" s="579"/>
      <c r="G93" s="119"/>
      <c r="J93" s="119"/>
      <c r="K93" s="10"/>
      <c r="L93" s="117"/>
      <c r="M93" s="2"/>
      <c r="N93" s="2"/>
      <c r="O93" s="2"/>
      <c r="P93" s="107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>
      <c r="E94" s="579"/>
      <c r="F94" s="579"/>
      <c r="G94" s="119"/>
      <c r="J94" s="119"/>
      <c r="K94" s="10"/>
      <c r="L94" s="117"/>
      <c r="M94" s="2"/>
      <c r="N94" s="2"/>
      <c r="O94" s="2"/>
      <c r="P94" s="107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>
      <c r="E95" s="579"/>
      <c r="F95" s="579"/>
      <c r="G95" s="119"/>
      <c r="J95" s="119"/>
      <c r="K95" s="10"/>
      <c r="L95" s="117"/>
      <c r="M95" s="2"/>
      <c r="N95" s="2"/>
      <c r="O95" s="2"/>
      <c r="P95" s="107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>
      <c r="E96" s="579"/>
      <c r="F96" s="579"/>
      <c r="G96" s="119"/>
      <c r="J96" s="119"/>
      <c r="K96" s="10"/>
      <c r="L96" s="117"/>
      <c r="M96" s="2"/>
      <c r="N96" s="2"/>
      <c r="O96" s="2"/>
      <c r="P96" s="107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>
      <c r="E97" s="579"/>
      <c r="F97" s="579"/>
      <c r="G97" s="119"/>
      <c r="J97" s="119"/>
      <c r="K97" s="10"/>
      <c r="L97" s="117"/>
      <c r="M97" s="2"/>
      <c r="N97" s="2"/>
      <c r="O97" s="2"/>
      <c r="P97" s="107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>
      <c r="E98" s="579"/>
      <c r="F98" s="579"/>
      <c r="G98" s="119"/>
      <c r="J98" s="119"/>
      <c r="K98" s="10"/>
      <c r="L98" s="117"/>
      <c r="M98" s="2"/>
      <c r="N98" s="2"/>
      <c r="O98" s="2"/>
      <c r="P98" s="107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>
      <c r="E99" s="579"/>
      <c r="F99" s="579"/>
      <c r="G99" s="119"/>
      <c r="J99" s="119"/>
      <c r="K99" s="10"/>
      <c r="L99" s="117"/>
      <c r="M99" s="2"/>
      <c r="N99" s="2"/>
      <c r="O99" s="2"/>
      <c r="P99" s="107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>
      <c r="E100" s="579"/>
      <c r="F100" s="579"/>
      <c r="G100" s="119"/>
      <c r="J100" s="119"/>
      <c r="K100" s="10"/>
      <c r="L100" s="117"/>
      <c r="M100" s="2"/>
      <c r="N100" s="2"/>
      <c r="O100" s="2"/>
      <c r="P100" s="107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>
      <c r="E101" s="579"/>
      <c r="F101" s="579"/>
      <c r="G101" s="119"/>
      <c r="J101" s="119"/>
      <c r="K101" s="10"/>
      <c r="L101" s="117"/>
      <c r="M101" s="2"/>
      <c r="N101" s="2"/>
      <c r="O101" s="2"/>
      <c r="P101" s="107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>
      <c r="E102" s="579"/>
      <c r="F102" s="579"/>
      <c r="G102" s="119"/>
      <c r="J102" s="119"/>
      <c r="K102" s="10"/>
      <c r="L102" s="117"/>
      <c r="M102" s="2"/>
      <c r="N102" s="2"/>
      <c r="O102" s="2"/>
      <c r="P102" s="107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>
      <c r="E103" s="579"/>
      <c r="F103" s="579"/>
      <c r="G103" s="119"/>
      <c r="J103" s="119"/>
      <c r="K103" s="10"/>
      <c r="L103" s="117"/>
      <c r="M103" s="2"/>
      <c r="N103" s="2"/>
      <c r="O103" s="2"/>
      <c r="P103" s="107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>
      <c r="E104" s="579"/>
      <c r="F104" s="579"/>
      <c r="G104" s="119"/>
      <c r="J104" s="119"/>
      <c r="K104" s="10"/>
      <c r="L104" s="117"/>
      <c r="M104" s="2"/>
      <c r="N104" s="2"/>
      <c r="O104" s="2"/>
      <c r="P104" s="107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>
      <c r="E105" s="579"/>
      <c r="F105" s="579"/>
      <c r="G105" s="119"/>
      <c r="J105" s="119"/>
      <c r="K105" s="10"/>
      <c r="L105" s="117"/>
      <c r="M105" s="2"/>
      <c r="N105" s="2"/>
      <c r="O105" s="2"/>
      <c r="P105" s="107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>
      <c r="E106" s="579"/>
      <c r="F106" s="579"/>
      <c r="G106" s="119"/>
      <c r="J106" s="119"/>
      <c r="K106" s="10"/>
      <c r="L106" s="117"/>
      <c r="M106" s="2"/>
      <c r="N106" s="2"/>
      <c r="O106" s="2"/>
      <c r="P106" s="107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>
      <c r="E107" s="579"/>
      <c r="F107" s="579"/>
      <c r="G107" s="119"/>
      <c r="J107" s="119"/>
      <c r="K107" s="10"/>
      <c r="L107" s="117"/>
      <c r="M107" s="2"/>
      <c r="N107" s="2"/>
      <c r="O107" s="2"/>
      <c r="P107" s="107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>
      <c r="E108" s="579"/>
      <c r="F108" s="579"/>
      <c r="G108" s="119"/>
      <c r="J108" s="119"/>
      <c r="K108" s="10"/>
      <c r="L108" s="117"/>
      <c r="M108" s="2"/>
      <c r="N108" s="2"/>
      <c r="O108" s="2"/>
      <c r="P108" s="107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>
      <c r="E109" s="579"/>
      <c r="F109" s="579"/>
      <c r="G109" s="119"/>
      <c r="J109" s="119"/>
      <c r="K109" s="10"/>
      <c r="L109" s="117"/>
      <c r="M109" s="2"/>
      <c r="N109" s="2"/>
      <c r="O109" s="2"/>
      <c r="P109" s="107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>
      <c r="E110" s="579"/>
      <c r="F110" s="579"/>
      <c r="G110" s="119"/>
      <c r="J110" s="119"/>
      <c r="K110" s="10"/>
      <c r="L110" s="117"/>
      <c r="M110" s="2"/>
      <c r="N110" s="2"/>
      <c r="O110" s="2"/>
      <c r="P110" s="107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>
      <c r="E111" s="579"/>
      <c r="F111" s="579"/>
      <c r="G111" s="119"/>
      <c r="J111" s="119"/>
      <c r="K111" s="10"/>
      <c r="L111" s="117"/>
      <c r="M111" s="2"/>
      <c r="N111" s="2"/>
      <c r="O111" s="2"/>
      <c r="P111" s="107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>
      <c r="E112" s="579"/>
      <c r="F112" s="579"/>
      <c r="G112" s="119"/>
      <c r="J112" s="119"/>
      <c r="K112" s="10"/>
      <c r="L112" s="117"/>
      <c r="M112" s="2"/>
      <c r="N112" s="2"/>
      <c r="O112" s="2"/>
      <c r="P112" s="107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>
      <c r="E113" s="579"/>
      <c r="F113" s="579"/>
      <c r="G113" s="119"/>
      <c r="J113" s="119"/>
      <c r="K113" s="10"/>
      <c r="L113" s="117"/>
      <c r="M113" s="2"/>
      <c r="N113" s="2"/>
      <c r="O113" s="2"/>
      <c r="P113" s="107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>
      <c r="E114" s="579"/>
      <c r="F114" s="579"/>
      <c r="G114" s="119"/>
      <c r="J114" s="119"/>
      <c r="K114" s="10"/>
      <c r="L114" s="117"/>
      <c r="M114" s="2"/>
      <c r="N114" s="2"/>
      <c r="O114" s="2"/>
      <c r="P114" s="107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>
      <c r="E115" s="579"/>
      <c r="F115" s="579"/>
      <c r="G115" s="119"/>
      <c r="J115" s="119"/>
      <c r="K115" s="10"/>
      <c r="L115" s="117"/>
      <c r="M115" s="2"/>
      <c r="N115" s="2"/>
      <c r="O115" s="2"/>
      <c r="P115" s="107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>
      <c r="E116" s="579"/>
      <c r="F116" s="579"/>
      <c r="G116" s="119"/>
      <c r="J116" s="119"/>
      <c r="K116" s="10"/>
      <c r="L116" s="117"/>
      <c r="M116" s="2"/>
      <c r="N116" s="2"/>
      <c r="O116" s="2"/>
      <c r="P116" s="107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>
      <c r="E117" s="579"/>
      <c r="F117" s="579"/>
      <c r="G117" s="119"/>
      <c r="J117" s="119"/>
      <c r="K117" s="10"/>
      <c r="L117" s="117"/>
      <c r="M117" s="2"/>
      <c r="N117" s="2"/>
      <c r="O117" s="2"/>
      <c r="P117" s="107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>
      <c r="E118" s="579"/>
      <c r="F118" s="579"/>
      <c r="G118" s="119"/>
      <c r="J118" s="119"/>
      <c r="K118" s="10"/>
      <c r="L118" s="117"/>
      <c r="M118" s="2"/>
      <c r="N118" s="2"/>
      <c r="O118" s="2"/>
      <c r="P118" s="107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>
      <c r="E119" s="579"/>
      <c r="F119" s="579"/>
      <c r="G119" s="119"/>
      <c r="J119" s="119"/>
      <c r="K119" s="10"/>
      <c r="L119" s="117"/>
      <c r="M119" s="2"/>
      <c r="N119" s="2"/>
      <c r="O119" s="2"/>
      <c r="P119" s="107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>
      <c r="E120" s="579"/>
      <c r="F120" s="579"/>
      <c r="G120" s="119"/>
      <c r="J120" s="119"/>
      <c r="K120" s="10"/>
      <c r="L120" s="117"/>
      <c r="M120" s="2"/>
      <c r="N120" s="2"/>
      <c r="O120" s="2"/>
      <c r="P120" s="107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>
      <c r="E121" s="579"/>
      <c r="F121" s="579"/>
      <c r="G121" s="119"/>
      <c r="J121" s="119"/>
      <c r="K121" s="10"/>
      <c r="L121" s="117"/>
      <c r="M121" s="2"/>
      <c r="N121" s="2"/>
      <c r="O121" s="2"/>
      <c r="P121" s="107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>
      <c r="E122" s="579"/>
      <c r="F122" s="579"/>
      <c r="G122" s="119"/>
      <c r="J122" s="119"/>
      <c r="K122" s="10"/>
      <c r="L122" s="117"/>
      <c r="M122" s="2"/>
      <c r="N122" s="2"/>
      <c r="O122" s="2"/>
      <c r="P122" s="107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>
      <c r="E123" s="579"/>
      <c r="F123" s="579"/>
      <c r="G123" s="119"/>
      <c r="J123" s="119"/>
      <c r="K123" s="10"/>
      <c r="L123" s="117"/>
      <c r="M123" s="2"/>
      <c r="N123" s="2"/>
      <c r="O123" s="2"/>
      <c r="P123" s="107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>
      <c r="E124" s="579"/>
      <c r="F124" s="579"/>
      <c r="G124" s="119"/>
      <c r="J124" s="119"/>
      <c r="K124" s="10"/>
      <c r="L124" s="117"/>
      <c r="M124" s="2"/>
      <c r="N124" s="2"/>
      <c r="O124" s="2"/>
      <c r="P124" s="107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>
      <c r="E125" s="579"/>
      <c r="F125" s="579"/>
      <c r="G125" s="119"/>
      <c r="J125" s="119"/>
      <c r="K125" s="10"/>
      <c r="L125" s="117"/>
      <c r="M125" s="2"/>
      <c r="N125" s="2"/>
      <c r="O125" s="2"/>
      <c r="P125" s="107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>
      <c r="E126" s="579"/>
      <c r="F126" s="579"/>
      <c r="G126" s="119"/>
      <c r="J126" s="119"/>
      <c r="K126" s="10"/>
      <c r="L126" s="117"/>
      <c r="M126" s="2"/>
      <c r="N126" s="2"/>
      <c r="O126" s="2"/>
      <c r="P126" s="107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>
      <c r="E127" s="579"/>
      <c r="F127" s="579"/>
      <c r="G127" s="119"/>
      <c r="J127" s="119"/>
      <c r="K127" s="10"/>
      <c r="L127" s="117"/>
      <c r="M127" s="2"/>
      <c r="N127" s="2"/>
      <c r="O127" s="2"/>
      <c r="P127" s="107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>
      <c r="E128" s="579"/>
      <c r="F128" s="579"/>
      <c r="G128" s="119"/>
      <c r="J128" s="119"/>
      <c r="K128" s="10"/>
      <c r="L128" s="117"/>
      <c r="M128" s="2"/>
      <c r="N128" s="2"/>
      <c r="O128" s="2"/>
      <c r="P128" s="107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>
      <c r="E129" s="579"/>
      <c r="F129" s="579"/>
      <c r="G129" s="119"/>
      <c r="J129" s="119"/>
      <c r="K129" s="10"/>
      <c r="L129" s="117"/>
      <c r="M129" s="2"/>
      <c r="N129" s="2"/>
      <c r="O129" s="2"/>
      <c r="P129" s="107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>
      <c r="E130" s="579"/>
      <c r="F130" s="579"/>
      <c r="G130" s="119"/>
      <c r="J130" s="119"/>
      <c r="K130" s="10"/>
      <c r="L130" s="117"/>
      <c r="M130" s="2"/>
      <c r="N130" s="2"/>
      <c r="O130" s="2"/>
      <c r="P130" s="107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>
      <c r="E131" s="579"/>
      <c r="F131" s="579"/>
      <c r="G131" s="119"/>
      <c r="J131" s="119"/>
      <c r="K131" s="10"/>
      <c r="L131" s="117"/>
      <c r="M131" s="2"/>
      <c r="N131" s="2"/>
      <c r="O131" s="2"/>
      <c r="P131" s="107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>
      <c r="E132" s="579"/>
      <c r="F132" s="579"/>
      <c r="G132" s="119"/>
      <c r="J132" s="119"/>
      <c r="K132" s="10"/>
      <c r="L132" s="117"/>
      <c r="M132" s="2"/>
      <c r="N132" s="2"/>
      <c r="O132" s="2"/>
      <c r="P132" s="107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>
      <c r="E133" s="579"/>
      <c r="F133" s="579"/>
      <c r="G133" s="119"/>
      <c r="J133" s="119"/>
      <c r="K133" s="10"/>
      <c r="L133" s="117"/>
      <c r="M133" s="2"/>
      <c r="N133" s="2"/>
      <c r="O133" s="2"/>
      <c r="P133" s="107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>
      <c r="E134" s="579"/>
      <c r="F134" s="579"/>
      <c r="G134" s="119"/>
      <c r="J134" s="119"/>
      <c r="K134" s="10"/>
      <c r="L134" s="117"/>
      <c r="M134" s="2"/>
      <c r="N134" s="2"/>
      <c r="O134" s="2"/>
      <c r="P134" s="107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>
      <c r="E135" s="579"/>
      <c r="F135" s="579"/>
      <c r="G135" s="119"/>
      <c r="J135" s="119"/>
      <c r="K135" s="10"/>
      <c r="L135" s="117"/>
      <c r="M135" s="2"/>
      <c r="N135" s="2"/>
      <c r="O135" s="2"/>
      <c r="P135" s="107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>
      <c r="E136" s="579"/>
      <c r="F136" s="579"/>
      <c r="G136" s="119"/>
      <c r="J136" s="119"/>
      <c r="K136" s="10"/>
      <c r="L136" s="117"/>
      <c r="M136" s="2"/>
      <c r="N136" s="2"/>
      <c r="O136" s="2"/>
      <c r="P136" s="107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>
      <c r="E137" s="579"/>
      <c r="F137" s="579"/>
      <c r="G137" s="119"/>
      <c r="J137" s="119"/>
      <c r="K137" s="10"/>
      <c r="L137" s="117"/>
      <c r="M137" s="2"/>
      <c r="N137" s="2"/>
      <c r="O137" s="2"/>
      <c r="P137" s="107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>
      <c r="E138" s="579"/>
      <c r="F138" s="579"/>
      <c r="G138" s="119"/>
      <c r="J138" s="119"/>
      <c r="K138" s="10"/>
      <c r="L138" s="117"/>
      <c r="M138" s="2"/>
      <c r="N138" s="2"/>
      <c r="O138" s="2"/>
      <c r="P138" s="107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>
      <c r="E139" s="579"/>
      <c r="F139" s="579"/>
      <c r="G139" s="119"/>
      <c r="J139" s="119"/>
      <c r="K139" s="10"/>
      <c r="L139" s="117"/>
      <c r="M139" s="2"/>
      <c r="N139" s="2"/>
      <c r="O139" s="2"/>
      <c r="P139" s="107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>
      <c r="E140" s="579"/>
      <c r="F140" s="579"/>
      <c r="G140" s="119"/>
      <c r="J140" s="119"/>
      <c r="K140" s="10"/>
      <c r="L140" s="117"/>
      <c r="M140" s="2"/>
      <c r="N140" s="2"/>
      <c r="O140" s="2"/>
      <c r="P140" s="107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>
      <c r="E141" s="579"/>
      <c r="F141" s="579"/>
      <c r="G141" s="119"/>
      <c r="J141" s="119"/>
      <c r="K141" s="10"/>
      <c r="L141" s="117"/>
      <c r="M141" s="2"/>
      <c r="N141" s="2"/>
      <c r="O141" s="2"/>
      <c r="P141" s="107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>
      <c r="E142" s="579"/>
      <c r="F142" s="579"/>
      <c r="G142" s="119"/>
      <c r="J142" s="119"/>
      <c r="K142" s="10"/>
      <c r="L142" s="117"/>
      <c r="M142" s="2"/>
      <c r="N142" s="2"/>
      <c r="O142" s="2"/>
      <c r="P142" s="107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>
      <c r="E143" s="579"/>
      <c r="F143" s="579"/>
      <c r="G143" s="119"/>
      <c r="J143" s="119"/>
      <c r="K143" s="10"/>
      <c r="L143" s="117"/>
      <c r="M143" s="2"/>
      <c r="N143" s="2"/>
      <c r="O143" s="2"/>
      <c r="P143" s="107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>
      <c r="E144" s="579"/>
      <c r="F144" s="579"/>
      <c r="G144" s="119"/>
      <c r="J144" s="119"/>
      <c r="K144" s="10"/>
      <c r="L144" s="117"/>
      <c r="M144" s="2"/>
      <c r="N144" s="2"/>
      <c r="O144" s="2"/>
      <c r="P144" s="107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>
      <c r="E145" s="579"/>
      <c r="F145" s="579"/>
      <c r="G145" s="119"/>
      <c r="J145" s="119"/>
      <c r="K145" s="10"/>
      <c r="L145" s="117"/>
      <c r="M145" s="2"/>
      <c r="N145" s="2"/>
      <c r="O145" s="2"/>
      <c r="P145" s="107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>
      <c r="E146" s="579"/>
      <c r="F146" s="579"/>
      <c r="G146" s="119"/>
      <c r="J146" s="119"/>
      <c r="K146" s="10"/>
      <c r="L146" s="117"/>
      <c r="M146" s="2"/>
      <c r="N146" s="2"/>
      <c r="O146" s="2"/>
      <c r="P146" s="107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>
      <c r="E147" s="579"/>
      <c r="F147" s="579"/>
      <c r="G147" s="119"/>
      <c r="J147" s="119"/>
      <c r="K147" s="10"/>
      <c r="L147" s="117"/>
      <c r="M147" s="2"/>
      <c r="N147" s="2"/>
      <c r="O147" s="2"/>
      <c r="P147" s="107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>
      <c r="E148" s="579"/>
      <c r="F148" s="579"/>
      <c r="G148" s="119"/>
      <c r="J148" s="119"/>
      <c r="K148" s="10"/>
      <c r="L148" s="117"/>
      <c r="M148" s="2"/>
      <c r="N148" s="2"/>
      <c r="O148" s="2"/>
      <c r="P148" s="107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>
      <c r="E149" s="579"/>
      <c r="F149" s="579"/>
      <c r="G149" s="119"/>
      <c r="J149" s="119"/>
      <c r="K149" s="10"/>
      <c r="L149" s="117"/>
      <c r="M149" s="2"/>
      <c r="N149" s="2"/>
      <c r="O149" s="2"/>
      <c r="P149" s="107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>
      <c r="E150" s="579"/>
      <c r="F150" s="579"/>
      <c r="G150" s="119"/>
      <c r="J150" s="119"/>
      <c r="K150" s="10"/>
      <c r="L150" s="117"/>
      <c r="M150" s="2"/>
      <c r="N150" s="2"/>
      <c r="O150" s="2"/>
      <c r="P150" s="107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>
      <c r="E151" s="579"/>
      <c r="F151" s="579"/>
      <c r="G151" s="119"/>
      <c r="J151" s="119"/>
      <c r="K151" s="10"/>
      <c r="L151" s="117"/>
      <c r="M151" s="2"/>
      <c r="N151" s="2"/>
      <c r="O151" s="2"/>
      <c r="P151" s="107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>
      <c r="E152" s="579"/>
      <c r="F152" s="579"/>
      <c r="G152" s="119"/>
      <c r="J152" s="119"/>
      <c r="K152" s="10"/>
      <c r="L152" s="117"/>
      <c r="M152" s="2"/>
      <c r="N152" s="2"/>
      <c r="O152" s="2"/>
      <c r="P152" s="107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>
      <c r="E153" s="579"/>
      <c r="F153" s="579"/>
      <c r="G153" s="119"/>
      <c r="J153" s="119"/>
      <c r="K153" s="10"/>
      <c r="L153" s="117"/>
      <c r="M153" s="2"/>
      <c r="N153" s="2"/>
      <c r="O153" s="2"/>
      <c r="P153" s="107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>
      <c r="E154" s="579"/>
      <c r="F154" s="579"/>
      <c r="G154" s="119"/>
      <c r="J154" s="119"/>
      <c r="K154" s="10"/>
      <c r="L154" s="117"/>
      <c r="M154" s="2"/>
      <c r="N154" s="2"/>
      <c r="O154" s="2"/>
      <c r="P154" s="107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>
      <c r="E155" s="579"/>
      <c r="F155" s="579"/>
      <c r="G155" s="119"/>
      <c r="J155" s="119"/>
      <c r="K155" s="10"/>
      <c r="L155" s="117"/>
      <c r="M155" s="2"/>
      <c r="N155" s="2"/>
      <c r="O155" s="2"/>
      <c r="P155" s="107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>
      <c r="E156" s="579"/>
      <c r="F156" s="579"/>
      <c r="G156" s="119"/>
      <c r="J156" s="119"/>
      <c r="K156" s="10"/>
      <c r="L156" s="117"/>
      <c r="M156" s="2"/>
      <c r="N156" s="2"/>
      <c r="O156" s="2"/>
      <c r="P156" s="107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>
      <c r="E157" s="579"/>
      <c r="F157" s="579"/>
      <c r="G157" s="119"/>
      <c r="J157" s="119"/>
      <c r="K157" s="10"/>
      <c r="L157" s="117"/>
      <c r="M157" s="2"/>
      <c r="N157" s="2"/>
      <c r="O157" s="2"/>
      <c r="P157" s="107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>
      <c r="E158" s="579"/>
      <c r="F158" s="579"/>
      <c r="G158" s="119"/>
      <c r="J158" s="119"/>
      <c r="K158" s="10"/>
      <c r="L158" s="117"/>
      <c r="M158" s="2"/>
      <c r="N158" s="2"/>
      <c r="O158" s="2"/>
      <c r="P158" s="107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>
      <c r="E159" s="579"/>
      <c r="F159" s="579"/>
      <c r="G159" s="119"/>
      <c r="J159" s="119"/>
      <c r="K159" s="10"/>
      <c r="L159" s="117"/>
      <c r="M159" s="2"/>
      <c r="N159" s="2"/>
      <c r="O159" s="2"/>
      <c r="P159" s="107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>
      <c r="E160" s="579"/>
      <c r="F160" s="579"/>
      <c r="G160" s="119"/>
      <c r="J160" s="119"/>
      <c r="K160" s="10"/>
      <c r="L160" s="117"/>
      <c r="M160" s="2"/>
      <c r="N160" s="2"/>
      <c r="O160" s="2"/>
      <c r="P160" s="107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>
      <c r="E161" s="579"/>
      <c r="F161" s="579"/>
      <c r="G161" s="119"/>
      <c r="J161" s="119"/>
      <c r="K161" s="10"/>
      <c r="L161" s="117"/>
      <c r="M161" s="2"/>
      <c r="N161" s="2"/>
      <c r="O161" s="2"/>
      <c r="P161" s="107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>
      <c r="E162" s="579"/>
      <c r="F162" s="579"/>
      <c r="G162" s="119"/>
      <c r="J162" s="119"/>
      <c r="K162" s="10"/>
      <c r="L162" s="117"/>
      <c r="M162" s="2"/>
      <c r="N162" s="2"/>
      <c r="O162" s="2"/>
      <c r="P162" s="107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>
      <c r="E163" s="579"/>
      <c r="F163" s="579"/>
      <c r="G163" s="119"/>
      <c r="J163" s="119"/>
      <c r="K163" s="10"/>
      <c r="L163" s="117"/>
      <c r="M163" s="2"/>
      <c r="N163" s="2"/>
      <c r="O163" s="2"/>
      <c r="P163" s="107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>
      <c r="E164" s="579"/>
      <c r="F164" s="579"/>
      <c r="G164" s="119"/>
      <c r="J164" s="119"/>
      <c r="K164" s="10"/>
      <c r="L164" s="117"/>
      <c r="M164" s="2"/>
      <c r="N164" s="2"/>
      <c r="O164" s="2"/>
      <c r="P164" s="107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>
      <c r="E165" s="579"/>
      <c r="F165" s="579"/>
      <c r="G165" s="119"/>
      <c r="J165" s="119"/>
      <c r="K165" s="10"/>
      <c r="L165" s="117"/>
      <c r="M165" s="2"/>
      <c r="N165" s="2"/>
      <c r="O165" s="2"/>
      <c r="P165" s="107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>
      <c r="E166" s="579"/>
      <c r="F166" s="579"/>
      <c r="G166" s="119"/>
      <c r="J166" s="119"/>
      <c r="K166" s="10"/>
      <c r="L166" s="117"/>
      <c r="M166" s="2"/>
      <c r="N166" s="2"/>
      <c r="O166" s="2"/>
      <c r="P166" s="107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>
      <c r="E167" s="579"/>
      <c r="F167" s="579"/>
      <c r="G167" s="119"/>
      <c r="J167" s="119"/>
      <c r="K167" s="10"/>
      <c r="L167" s="117"/>
      <c r="M167" s="2"/>
      <c r="N167" s="2"/>
      <c r="O167" s="2"/>
      <c r="P167" s="107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>
      <c r="E168" s="579"/>
      <c r="F168" s="579"/>
      <c r="G168" s="119"/>
      <c r="J168" s="119"/>
      <c r="K168" s="10"/>
      <c r="L168" s="117"/>
      <c r="M168" s="2"/>
      <c r="N168" s="2"/>
      <c r="O168" s="2"/>
      <c r="P168" s="107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>
      <c r="E169" s="579"/>
      <c r="F169" s="579"/>
      <c r="G169" s="119"/>
      <c r="J169" s="119"/>
      <c r="K169" s="10"/>
      <c r="L169" s="117"/>
      <c r="M169" s="2"/>
      <c r="N169" s="2"/>
      <c r="O169" s="2"/>
      <c r="P169" s="107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>
      <c r="E170" s="579"/>
      <c r="F170" s="579"/>
      <c r="G170" s="119"/>
      <c r="J170" s="119"/>
      <c r="K170" s="10"/>
      <c r="L170" s="117"/>
      <c r="M170" s="2"/>
      <c r="N170" s="2"/>
      <c r="O170" s="2"/>
      <c r="P170" s="107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>
      <c r="E171" s="579"/>
      <c r="F171" s="579"/>
      <c r="G171" s="119"/>
      <c r="J171" s="119"/>
      <c r="K171" s="10"/>
      <c r="L171" s="117"/>
      <c r="M171" s="2"/>
      <c r="N171" s="2"/>
      <c r="O171" s="2"/>
      <c r="P171" s="107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>
      <c r="E172" s="579"/>
      <c r="F172" s="579"/>
      <c r="G172" s="119"/>
      <c r="J172" s="119"/>
      <c r="K172" s="10"/>
      <c r="L172" s="117"/>
      <c r="M172" s="2"/>
      <c r="N172" s="2"/>
      <c r="O172" s="2"/>
      <c r="P172" s="107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>
      <c r="E173" s="579"/>
      <c r="F173" s="579"/>
      <c r="G173" s="119"/>
      <c r="J173" s="119"/>
      <c r="K173" s="10"/>
      <c r="L173" s="117"/>
      <c r="M173" s="2"/>
      <c r="N173" s="2"/>
      <c r="O173" s="2"/>
      <c r="P173" s="107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>
      <c r="E174" s="579"/>
      <c r="F174" s="579"/>
      <c r="G174" s="119"/>
      <c r="J174" s="119"/>
      <c r="K174" s="10"/>
      <c r="L174" s="117"/>
      <c r="M174" s="2"/>
      <c r="N174" s="2"/>
      <c r="O174" s="2"/>
      <c r="P174" s="107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>
      <c r="E175" s="579"/>
      <c r="F175" s="579"/>
      <c r="G175" s="119"/>
      <c r="J175" s="119"/>
      <c r="K175" s="10"/>
      <c r="L175" s="117"/>
      <c r="M175" s="2"/>
      <c r="N175" s="2"/>
      <c r="O175" s="2"/>
      <c r="P175" s="107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>
      <c r="E176" s="579"/>
      <c r="F176" s="579"/>
      <c r="G176" s="119"/>
      <c r="J176" s="119"/>
      <c r="K176" s="10"/>
      <c r="L176" s="117"/>
      <c r="M176" s="2"/>
      <c r="N176" s="2"/>
      <c r="O176" s="2"/>
      <c r="P176" s="107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>
      <c r="E177" s="579"/>
      <c r="F177" s="579"/>
      <c r="G177" s="119"/>
      <c r="J177" s="119"/>
      <c r="K177" s="10"/>
      <c r="L177" s="117"/>
      <c r="M177" s="2"/>
      <c r="N177" s="2"/>
      <c r="O177" s="2"/>
      <c r="P177" s="107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>
      <c r="E178" s="579"/>
      <c r="F178" s="579"/>
      <c r="G178" s="119"/>
      <c r="J178" s="119"/>
      <c r="K178" s="10"/>
      <c r="L178" s="117"/>
      <c r="M178" s="2"/>
      <c r="N178" s="2"/>
      <c r="O178" s="2"/>
      <c r="P178" s="107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>
      <c r="E179" s="579"/>
      <c r="F179" s="579"/>
      <c r="G179" s="119"/>
      <c r="J179" s="119"/>
      <c r="K179" s="10"/>
      <c r="L179" s="117"/>
      <c r="M179" s="2"/>
      <c r="N179" s="2"/>
      <c r="O179" s="2"/>
      <c r="P179" s="107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>
      <c r="E180" s="579"/>
      <c r="F180" s="579"/>
      <c r="G180" s="119"/>
      <c r="J180" s="119"/>
      <c r="K180" s="10"/>
      <c r="L180" s="117"/>
      <c r="M180" s="2"/>
      <c r="N180" s="2"/>
      <c r="O180" s="2"/>
      <c r="P180" s="107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>
      <c r="E181" s="579"/>
      <c r="F181" s="579"/>
      <c r="G181" s="119"/>
      <c r="J181" s="119"/>
      <c r="K181" s="10"/>
      <c r="L181" s="117"/>
      <c r="M181" s="2"/>
      <c r="N181" s="2"/>
      <c r="O181" s="2"/>
      <c r="P181" s="107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>
      <c r="E182" s="579"/>
      <c r="F182" s="579"/>
      <c r="G182" s="119"/>
      <c r="J182" s="119"/>
      <c r="K182" s="10"/>
      <c r="L182" s="117"/>
      <c r="M182" s="2"/>
      <c r="N182" s="2"/>
      <c r="O182" s="2"/>
      <c r="P182" s="107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>
      <c r="E183" s="579"/>
      <c r="F183" s="579"/>
      <c r="G183" s="119"/>
      <c r="J183" s="119"/>
      <c r="K183" s="10"/>
      <c r="L183" s="117"/>
      <c r="M183" s="2"/>
      <c r="N183" s="2"/>
      <c r="O183" s="2"/>
      <c r="P183" s="107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>
      <c r="E184" s="579"/>
      <c r="F184" s="579"/>
      <c r="G184" s="119"/>
      <c r="J184" s="119"/>
      <c r="K184" s="10"/>
      <c r="L184" s="117"/>
      <c r="M184" s="2"/>
      <c r="N184" s="2"/>
      <c r="O184" s="2"/>
      <c r="P184" s="107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>
      <c r="E185" s="579"/>
      <c r="F185" s="579"/>
      <c r="G185" s="119"/>
      <c r="J185" s="119"/>
      <c r="K185" s="10"/>
      <c r="L185" s="117"/>
      <c r="M185" s="2"/>
      <c r="N185" s="2"/>
      <c r="O185" s="2"/>
      <c r="P185" s="107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>
      <c r="E186" s="579"/>
      <c r="F186" s="579"/>
      <c r="G186" s="119"/>
      <c r="J186" s="119"/>
      <c r="K186" s="10"/>
      <c r="L186" s="117"/>
      <c r="M186" s="2"/>
      <c r="N186" s="2"/>
      <c r="O186" s="2"/>
      <c r="P186" s="107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>
      <c r="E187" s="579"/>
      <c r="F187" s="579"/>
      <c r="G187" s="119"/>
      <c r="J187" s="119"/>
      <c r="K187" s="10"/>
      <c r="L187" s="117"/>
      <c r="M187" s="2"/>
      <c r="N187" s="2"/>
      <c r="O187" s="2"/>
      <c r="P187" s="107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>
      <c r="E188" s="579"/>
      <c r="F188" s="579"/>
      <c r="G188" s="119"/>
      <c r="J188" s="119"/>
      <c r="K188" s="10"/>
      <c r="L188" s="117"/>
      <c r="M188" s="2"/>
      <c r="N188" s="2"/>
      <c r="O188" s="2"/>
      <c r="P188" s="107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>
      <c r="E189" s="579"/>
      <c r="F189" s="579"/>
      <c r="G189" s="119"/>
      <c r="J189" s="119"/>
      <c r="K189" s="10"/>
      <c r="L189" s="117"/>
      <c r="M189" s="2"/>
      <c r="N189" s="2"/>
      <c r="O189" s="2"/>
      <c r="P189" s="107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>
      <c r="E190" s="579"/>
      <c r="F190" s="579"/>
      <c r="G190" s="119"/>
      <c r="J190" s="119"/>
      <c r="K190" s="10"/>
      <c r="L190" s="117"/>
      <c r="M190" s="2"/>
      <c r="N190" s="2"/>
      <c r="O190" s="2"/>
      <c r="P190" s="107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>
      <c r="E191" s="579"/>
      <c r="F191" s="579"/>
      <c r="G191" s="119"/>
      <c r="J191" s="119"/>
      <c r="K191" s="10"/>
      <c r="L191" s="117"/>
      <c r="M191" s="2"/>
      <c r="N191" s="2"/>
      <c r="O191" s="2"/>
      <c r="P191" s="107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>
      <c r="E192" s="579"/>
      <c r="F192" s="579"/>
      <c r="G192" s="119"/>
      <c r="J192" s="119"/>
      <c r="K192" s="10"/>
      <c r="L192" s="117"/>
      <c r="M192" s="2"/>
      <c r="N192" s="2"/>
      <c r="O192" s="2"/>
      <c r="P192" s="107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>
      <c r="E193" s="579"/>
      <c r="F193" s="579"/>
      <c r="G193" s="119"/>
      <c r="J193" s="119"/>
      <c r="K193" s="10"/>
      <c r="L193" s="117"/>
      <c r="M193" s="2"/>
      <c r="N193" s="2"/>
      <c r="O193" s="2"/>
      <c r="P193" s="107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>
      <c r="E194" s="579"/>
      <c r="F194" s="579"/>
      <c r="G194" s="119"/>
      <c r="J194" s="119"/>
      <c r="K194" s="10"/>
      <c r="L194" s="117"/>
      <c r="M194" s="2"/>
      <c r="N194" s="2"/>
      <c r="O194" s="2"/>
      <c r="P194" s="107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>
      <c r="E195" s="579"/>
      <c r="F195" s="579"/>
      <c r="G195" s="119"/>
      <c r="J195" s="119"/>
      <c r="K195" s="10"/>
      <c r="L195" s="117"/>
      <c r="M195" s="2"/>
      <c r="N195" s="2"/>
      <c r="O195" s="2"/>
      <c r="P195" s="107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>
      <c r="E196" s="579"/>
      <c r="F196" s="579"/>
      <c r="G196" s="119"/>
      <c r="J196" s="119"/>
      <c r="K196" s="10"/>
      <c r="L196" s="117"/>
      <c r="M196" s="2"/>
      <c r="N196" s="2"/>
      <c r="O196" s="2"/>
      <c r="P196" s="107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>
      <c r="E197" s="579"/>
      <c r="F197" s="579"/>
      <c r="G197" s="119"/>
      <c r="J197" s="119"/>
      <c r="K197" s="10"/>
      <c r="L197" s="117"/>
      <c r="M197" s="2"/>
      <c r="N197" s="2"/>
      <c r="O197" s="2"/>
      <c r="P197" s="107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>
      <c r="E198" s="579"/>
      <c r="F198" s="579"/>
      <c r="G198" s="119"/>
      <c r="J198" s="119"/>
      <c r="K198" s="10"/>
      <c r="L198" s="117"/>
      <c r="M198" s="2"/>
      <c r="N198" s="2"/>
      <c r="O198" s="2"/>
      <c r="P198" s="107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>
      <c r="E199" s="579"/>
      <c r="F199" s="579"/>
      <c r="G199" s="119"/>
      <c r="J199" s="119"/>
      <c r="K199" s="10"/>
      <c r="L199" s="117"/>
      <c r="M199" s="2"/>
      <c r="N199" s="2"/>
      <c r="O199" s="2"/>
      <c r="P199" s="107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>
      <c r="E200" s="579"/>
      <c r="F200" s="579"/>
      <c r="G200" s="119"/>
      <c r="J200" s="119"/>
      <c r="K200" s="10"/>
      <c r="L200" s="117"/>
      <c r="M200" s="2"/>
      <c r="N200" s="2"/>
      <c r="O200" s="2"/>
      <c r="P200" s="107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>
      <c r="E201" s="579"/>
      <c r="F201" s="579"/>
      <c r="G201" s="119"/>
      <c r="J201" s="119"/>
      <c r="K201" s="10"/>
      <c r="L201" s="117"/>
      <c r="M201" s="2"/>
      <c r="N201" s="2"/>
      <c r="O201" s="2"/>
      <c r="P201" s="107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>
      <c r="E202" s="579"/>
      <c r="F202" s="579"/>
      <c r="G202" s="119"/>
      <c r="J202" s="119"/>
      <c r="K202" s="10"/>
      <c r="L202" s="117"/>
      <c r="M202" s="2"/>
      <c r="N202" s="2"/>
      <c r="O202" s="2"/>
      <c r="P202" s="107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>
      <c r="E203" s="579"/>
      <c r="F203" s="579"/>
      <c r="G203" s="119"/>
      <c r="J203" s="119"/>
      <c r="K203" s="10"/>
      <c r="L203" s="117"/>
      <c r="M203" s="2"/>
      <c r="N203" s="2"/>
      <c r="O203" s="2"/>
      <c r="P203" s="107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>
      <c r="E204" s="579"/>
      <c r="F204" s="579"/>
      <c r="G204" s="119"/>
      <c r="J204" s="119"/>
      <c r="K204" s="10"/>
      <c r="L204" s="117"/>
      <c r="M204" s="2"/>
      <c r="N204" s="2"/>
      <c r="O204" s="2"/>
      <c r="P204" s="107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>
      <c r="E205" s="579"/>
      <c r="F205" s="579"/>
      <c r="G205" s="119"/>
      <c r="J205" s="119"/>
      <c r="K205" s="10"/>
      <c r="L205" s="117"/>
      <c r="M205" s="2"/>
      <c r="N205" s="2"/>
      <c r="O205" s="2"/>
      <c r="P205" s="107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>
      <c r="E206" s="579"/>
      <c r="F206" s="579"/>
      <c r="G206" s="119"/>
      <c r="J206" s="119"/>
      <c r="K206" s="10"/>
      <c r="L206" s="117"/>
      <c r="M206" s="2"/>
      <c r="N206" s="2"/>
      <c r="O206" s="2"/>
      <c r="P206" s="107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>
      <c r="E207" s="579"/>
      <c r="F207" s="579"/>
      <c r="G207" s="119"/>
      <c r="J207" s="119"/>
      <c r="K207" s="10"/>
      <c r="L207" s="117"/>
      <c r="M207" s="2"/>
      <c r="N207" s="2"/>
      <c r="O207" s="2"/>
      <c r="P207" s="107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>
      <c r="E208" s="579"/>
      <c r="F208" s="579"/>
      <c r="G208" s="119"/>
      <c r="J208" s="119"/>
      <c r="K208" s="10"/>
      <c r="L208" s="117"/>
      <c r="M208" s="2"/>
      <c r="N208" s="2"/>
      <c r="O208" s="2"/>
      <c r="P208" s="107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>
      <c r="E209" s="579"/>
      <c r="F209" s="579"/>
      <c r="G209" s="119"/>
      <c r="J209" s="119"/>
      <c r="K209" s="10"/>
      <c r="L209" s="117"/>
      <c r="M209" s="2"/>
      <c r="N209" s="2"/>
      <c r="O209" s="2"/>
      <c r="P209" s="107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>
      <c r="E210" s="579"/>
      <c r="F210" s="579"/>
      <c r="G210" s="119"/>
      <c r="J210" s="119"/>
      <c r="K210" s="10"/>
      <c r="L210" s="117"/>
      <c r="M210" s="2"/>
      <c r="N210" s="2"/>
      <c r="O210" s="2"/>
      <c r="P210" s="107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>
      <c r="E211" s="579"/>
      <c r="F211" s="579"/>
      <c r="G211" s="119"/>
      <c r="J211" s="119"/>
      <c r="K211" s="10"/>
      <c r="L211" s="117"/>
      <c r="M211" s="2"/>
      <c r="N211" s="2"/>
      <c r="O211" s="2"/>
      <c r="P211" s="107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>
      <c r="E212" s="579"/>
      <c r="F212" s="579"/>
      <c r="G212" s="119"/>
      <c r="J212" s="119"/>
      <c r="K212" s="10"/>
      <c r="L212" s="117"/>
      <c r="M212" s="2"/>
      <c r="N212" s="2"/>
      <c r="O212" s="2"/>
      <c r="P212" s="107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>
      <c r="E213" s="579"/>
      <c r="F213" s="579"/>
      <c r="G213" s="119"/>
      <c r="J213" s="119"/>
      <c r="K213" s="10"/>
      <c r="L213" s="117"/>
      <c r="M213" s="2"/>
      <c r="N213" s="2"/>
      <c r="O213" s="2"/>
      <c r="P213" s="107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>
      <c r="E214" s="579"/>
      <c r="F214" s="579"/>
      <c r="G214" s="119"/>
      <c r="J214" s="119"/>
      <c r="K214" s="10"/>
      <c r="L214" s="117"/>
      <c r="M214" s="2"/>
      <c r="N214" s="2"/>
      <c r="O214" s="2"/>
      <c r="P214" s="107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>
      <c r="E215" s="579"/>
      <c r="F215" s="579"/>
      <c r="G215" s="119"/>
      <c r="J215" s="119"/>
      <c r="K215" s="10"/>
      <c r="L215" s="117"/>
      <c r="M215" s="2"/>
      <c r="N215" s="2"/>
      <c r="O215" s="2"/>
      <c r="P215" s="107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>
      <c r="E216" s="579"/>
      <c r="F216" s="579"/>
      <c r="G216" s="119"/>
      <c r="J216" s="119"/>
      <c r="K216" s="10"/>
      <c r="L216" s="117"/>
      <c r="M216" s="2"/>
      <c r="N216" s="2"/>
      <c r="O216" s="2"/>
      <c r="P216" s="107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>
      <c r="E217" s="579"/>
      <c r="F217" s="579"/>
      <c r="G217" s="119"/>
      <c r="J217" s="119"/>
      <c r="K217" s="10"/>
      <c r="L217" s="117"/>
      <c r="M217" s="2"/>
      <c r="N217" s="2"/>
      <c r="O217" s="2"/>
      <c r="P217" s="107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>
      <c r="E218" s="579"/>
      <c r="F218" s="579"/>
      <c r="G218" s="119"/>
      <c r="J218" s="119"/>
      <c r="K218" s="10"/>
      <c r="L218" s="117"/>
      <c r="M218" s="2"/>
      <c r="N218" s="2"/>
      <c r="O218" s="2"/>
      <c r="P218" s="107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>
      <c r="E219" s="579"/>
      <c r="F219" s="579"/>
      <c r="G219" s="119"/>
      <c r="J219" s="119"/>
      <c r="K219" s="10"/>
      <c r="L219" s="117"/>
      <c r="M219" s="2"/>
      <c r="N219" s="2"/>
      <c r="O219" s="2"/>
      <c r="P219" s="107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>
      <c r="E220" s="579"/>
      <c r="F220" s="579"/>
      <c r="G220" s="119"/>
      <c r="J220" s="119"/>
      <c r="K220" s="10"/>
      <c r="L220" s="117"/>
      <c r="M220" s="2"/>
      <c r="N220" s="2"/>
      <c r="O220" s="2"/>
      <c r="P220" s="107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>
      <c r="E221" s="579"/>
      <c r="F221" s="579"/>
      <c r="G221" s="119"/>
      <c r="J221" s="119"/>
      <c r="K221" s="10"/>
      <c r="L221" s="117"/>
      <c r="M221" s="2"/>
      <c r="N221" s="2"/>
      <c r="O221" s="2"/>
      <c r="P221" s="107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>
      <c r="E222" s="579"/>
      <c r="F222" s="579"/>
      <c r="G222" s="119"/>
      <c r="J222" s="119"/>
      <c r="K222" s="10"/>
      <c r="L222" s="117"/>
      <c r="M222" s="2"/>
      <c r="N222" s="2"/>
      <c r="O222" s="2"/>
      <c r="P222" s="107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>
      <c r="E223" s="579"/>
      <c r="F223" s="579"/>
      <c r="G223" s="119"/>
      <c r="J223" s="119"/>
      <c r="K223" s="10"/>
      <c r="L223" s="117"/>
      <c r="M223" s="2"/>
      <c r="N223" s="2"/>
      <c r="O223" s="2"/>
      <c r="P223" s="107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>
      <c r="E224" s="579"/>
      <c r="F224" s="579"/>
      <c r="G224" s="119"/>
      <c r="J224" s="119"/>
      <c r="K224" s="10"/>
      <c r="L224" s="117"/>
      <c r="M224" s="2"/>
      <c r="N224" s="2"/>
      <c r="O224" s="2"/>
      <c r="P224" s="107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>
      <c r="E225" s="579"/>
      <c r="F225" s="579"/>
      <c r="G225" s="119"/>
      <c r="J225" s="119"/>
      <c r="K225" s="10"/>
      <c r="L225" s="117"/>
      <c r="M225" s="2"/>
      <c r="N225" s="2"/>
      <c r="O225" s="2"/>
      <c r="P225" s="107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>
      <c r="E226" s="579"/>
      <c r="F226" s="579"/>
      <c r="G226" s="119"/>
      <c r="J226" s="119"/>
      <c r="K226" s="10"/>
      <c r="L226" s="117"/>
      <c r="M226" s="2"/>
      <c r="N226" s="2"/>
      <c r="O226" s="2"/>
      <c r="P226" s="107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>
      <c r="E227" s="579"/>
      <c r="F227" s="579"/>
      <c r="G227" s="119"/>
      <c r="J227" s="119"/>
      <c r="K227" s="10"/>
      <c r="L227" s="117"/>
      <c r="M227" s="2"/>
      <c r="N227" s="2"/>
      <c r="O227" s="2"/>
      <c r="P227" s="107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>
      <c r="E228" s="579"/>
      <c r="F228" s="579"/>
      <c r="G228" s="119"/>
      <c r="J228" s="119"/>
      <c r="K228" s="10"/>
      <c r="L228" s="117"/>
      <c r="M228" s="2"/>
      <c r="N228" s="2"/>
      <c r="O228" s="2"/>
      <c r="P228" s="107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>
      <c r="E229" s="579"/>
      <c r="F229" s="579"/>
      <c r="G229" s="119"/>
      <c r="J229" s="119"/>
      <c r="K229" s="10"/>
      <c r="L229" s="117"/>
      <c r="M229" s="2"/>
      <c r="N229" s="2"/>
      <c r="O229" s="2"/>
      <c r="P229" s="107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>
      <c r="E230" s="579"/>
      <c r="F230" s="579"/>
      <c r="G230" s="119"/>
      <c r="J230" s="119"/>
      <c r="K230" s="10"/>
      <c r="L230" s="117"/>
      <c r="M230" s="2"/>
      <c r="N230" s="2"/>
      <c r="O230" s="2"/>
      <c r="P230" s="107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>
      <c r="E231" s="579"/>
      <c r="F231" s="579"/>
      <c r="G231" s="119"/>
      <c r="J231" s="119"/>
      <c r="K231" s="10"/>
      <c r="L231" s="117"/>
      <c r="M231" s="2"/>
      <c r="N231" s="2"/>
      <c r="O231" s="2"/>
      <c r="P231" s="107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>
      <c r="E232" s="579"/>
      <c r="F232" s="579"/>
      <c r="G232" s="119"/>
      <c r="J232" s="119"/>
      <c r="K232" s="10"/>
      <c r="L232" s="117"/>
      <c r="M232" s="2"/>
      <c r="N232" s="2"/>
      <c r="O232" s="2"/>
      <c r="P232" s="107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>
      <c r="E233" s="579"/>
      <c r="F233" s="579"/>
      <c r="G233" s="119"/>
      <c r="J233" s="119"/>
      <c r="K233" s="10"/>
      <c r="L233" s="117"/>
      <c r="M233" s="2"/>
      <c r="N233" s="2"/>
      <c r="O233" s="2"/>
      <c r="P233" s="107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>
      <c r="E234" s="579"/>
      <c r="F234" s="579"/>
      <c r="G234" s="119"/>
      <c r="J234" s="119"/>
      <c r="K234" s="10"/>
      <c r="L234" s="117"/>
      <c r="M234" s="2"/>
      <c r="N234" s="2"/>
      <c r="O234" s="2"/>
      <c r="P234" s="107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>
      <c r="E235" s="579"/>
      <c r="F235" s="579"/>
      <c r="G235" s="119"/>
      <c r="J235" s="119"/>
      <c r="K235" s="10"/>
      <c r="L235" s="117"/>
      <c r="M235" s="2"/>
      <c r="N235" s="2"/>
      <c r="O235" s="2"/>
      <c r="P235" s="107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>
      <c r="E236" s="579"/>
      <c r="F236" s="579"/>
      <c r="G236" s="119"/>
      <c r="J236" s="119"/>
      <c r="K236" s="10"/>
      <c r="L236" s="117"/>
      <c r="M236" s="2"/>
      <c r="N236" s="2"/>
      <c r="O236" s="2"/>
      <c r="P236" s="107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>
      <c r="E237" s="579"/>
      <c r="F237" s="579"/>
      <c r="G237" s="119"/>
      <c r="J237" s="119"/>
      <c r="K237" s="10"/>
      <c r="L237" s="117"/>
      <c r="M237" s="2"/>
      <c r="N237" s="2"/>
      <c r="O237" s="2"/>
      <c r="P237" s="107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>
      <c r="E238" s="579"/>
      <c r="F238" s="579"/>
      <c r="G238" s="119"/>
      <c r="J238" s="119"/>
      <c r="K238" s="10"/>
      <c r="L238" s="117"/>
      <c r="M238" s="2"/>
      <c r="N238" s="2"/>
      <c r="O238" s="2"/>
      <c r="P238" s="107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>
      <c r="E239" s="579"/>
      <c r="F239" s="579"/>
      <c r="G239" s="119"/>
      <c r="J239" s="119"/>
      <c r="K239" s="10"/>
      <c r="L239" s="117"/>
      <c r="M239" s="2"/>
      <c r="N239" s="2"/>
      <c r="O239" s="2"/>
      <c r="P239" s="107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>
      <c r="E240" s="579"/>
      <c r="F240" s="579"/>
      <c r="G240" s="119"/>
      <c r="J240" s="119"/>
      <c r="K240" s="10"/>
      <c r="L240" s="117"/>
      <c r="M240" s="2"/>
      <c r="N240" s="2"/>
      <c r="O240" s="2"/>
      <c r="P240" s="107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>
      <c r="E241" s="579"/>
      <c r="F241" s="579"/>
      <c r="G241" s="119"/>
      <c r="J241" s="119"/>
      <c r="K241" s="10"/>
      <c r="L241" s="117"/>
      <c r="M241" s="2"/>
      <c r="N241" s="2"/>
      <c r="O241" s="2"/>
      <c r="P241" s="107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>
      <c r="E242" s="579"/>
      <c r="F242" s="579"/>
      <c r="G242" s="119"/>
      <c r="J242" s="119"/>
      <c r="K242" s="10"/>
      <c r="L242" s="117"/>
      <c r="M242" s="2"/>
      <c r="N242" s="2"/>
      <c r="O242" s="2"/>
      <c r="P242" s="107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>
      <c r="E243" s="579"/>
      <c r="F243" s="579"/>
      <c r="G243" s="119"/>
      <c r="J243" s="119"/>
      <c r="K243" s="10"/>
      <c r="L243" s="117"/>
      <c r="M243" s="2"/>
      <c r="N243" s="2"/>
      <c r="O243" s="2"/>
      <c r="P243" s="107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>
      <c r="E244" s="579"/>
      <c r="F244" s="579"/>
      <c r="G244" s="119"/>
      <c r="J244" s="119"/>
      <c r="K244" s="10"/>
      <c r="L244" s="117"/>
      <c r="M244" s="2"/>
      <c r="N244" s="2"/>
      <c r="O244" s="2"/>
      <c r="P244" s="107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>
      <c r="E245" s="579"/>
      <c r="F245" s="579"/>
      <c r="G245" s="119"/>
      <c r="J245" s="119"/>
      <c r="K245" s="10"/>
      <c r="L245" s="117"/>
      <c r="M245" s="2"/>
      <c r="N245" s="2"/>
      <c r="O245" s="2"/>
      <c r="P245" s="107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>
      <c r="E246" s="579"/>
      <c r="F246" s="579"/>
      <c r="G246" s="119"/>
      <c r="J246" s="119"/>
      <c r="K246" s="10"/>
      <c r="L246" s="117"/>
      <c r="M246" s="2"/>
      <c r="N246" s="2"/>
      <c r="O246" s="2"/>
      <c r="P246" s="107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>
      <c r="E247" s="579"/>
      <c r="F247" s="579"/>
      <c r="G247" s="119"/>
      <c r="J247" s="119"/>
      <c r="K247" s="10"/>
      <c r="L247" s="117"/>
      <c r="M247" s="2"/>
      <c r="N247" s="2"/>
      <c r="O247" s="2"/>
      <c r="P247" s="107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>
      <c r="E248" s="579"/>
      <c r="F248" s="579"/>
      <c r="G248" s="119"/>
      <c r="J248" s="119"/>
      <c r="K248" s="10"/>
      <c r="L248" s="117"/>
      <c r="M248" s="2"/>
      <c r="N248" s="2"/>
      <c r="O248" s="2"/>
      <c r="P248" s="107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>
      <c r="E249" s="579"/>
      <c r="F249" s="579"/>
      <c r="G249" s="119"/>
      <c r="J249" s="119"/>
      <c r="K249" s="10"/>
      <c r="L249" s="117"/>
      <c r="M249" s="2"/>
      <c r="N249" s="2"/>
      <c r="O249" s="2"/>
      <c r="P249" s="107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>
      <c r="E250" s="579"/>
      <c r="F250" s="579"/>
      <c r="G250" s="119"/>
      <c r="J250" s="119"/>
      <c r="K250" s="10"/>
      <c r="L250" s="117"/>
      <c r="M250" s="2"/>
      <c r="N250" s="2"/>
      <c r="O250" s="2"/>
      <c r="P250" s="107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>
      <c r="E251" s="579"/>
      <c r="F251" s="579"/>
      <c r="G251" s="119"/>
      <c r="J251" s="119"/>
      <c r="K251" s="10"/>
      <c r="L251" s="117"/>
      <c r="M251" s="2"/>
      <c r="N251" s="2"/>
      <c r="O251" s="2"/>
      <c r="P251" s="107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>
      <c r="E252" s="579"/>
      <c r="F252" s="579"/>
      <c r="G252" s="119"/>
      <c r="J252" s="119"/>
      <c r="K252" s="10"/>
      <c r="L252" s="117"/>
      <c r="M252" s="2"/>
      <c r="N252" s="2"/>
      <c r="O252" s="2"/>
      <c r="P252" s="107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>
      <c r="E253" s="579"/>
      <c r="F253" s="579"/>
      <c r="G253" s="119"/>
      <c r="J253" s="119"/>
      <c r="K253" s="10"/>
      <c r="L253" s="117"/>
      <c r="M253" s="2"/>
      <c r="N253" s="2"/>
      <c r="O253" s="2"/>
      <c r="P253" s="107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>
      <c r="E254" s="579"/>
      <c r="F254" s="579"/>
      <c r="G254" s="119"/>
      <c r="J254" s="119"/>
      <c r="K254" s="10"/>
      <c r="L254" s="117"/>
      <c r="M254" s="2"/>
      <c r="N254" s="2"/>
      <c r="O254" s="2"/>
      <c r="P254" s="107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>
      <c r="E255" s="579"/>
      <c r="F255" s="579"/>
      <c r="G255" s="119"/>
      <c r="J255" s="119"/>
      <c r="K255" s="10"/>
      <c r="L255" s="117"/>
      <c r="M255" s="2"/>
      <c r="N255" s="2"/>
      <c r="O255" s="2"/>
      <c r="P255" s="107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>
      <c r="E256" s="579"/>
      <c r="F256" s="579"/>
      <c r="G256" s="119"/>
      <c r="J256" s="119"/>
      <c r="K256" s="10"/>
      <c r="L256" s="117"/>
      <c r="M256" s="2"/>
      <c r="N256" s="2"/>
      <c r="O256" s="2"/>
      <c r="P256" s="107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>
      <c r="E257" s="579"/>
      <c r="F257" s="579"/>
      <c r="G257" s="119"/>
      <c r="J257" s="119"/>
      <c r="K257" s="10"/>
      <c r="L257" s="117"/>
      <c r="M257" s="2"/>
      <c r="N257" s="2"/>
      <c r="O257" s="2"/>
      <c r="P257" s="107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>
      <c r="E258" s="579"/>
      <c r="F258" s="579"/>
      <c r="G258" s="119"/>
      <c r="J258" s="119"/>
      <c r="K258" s="10"/>
      <c r="L258" s="117"/>
      <c r="M258" s="2"/>
      <c r="N258" s="2"/>
      <c r="O258" s="2"/>
      <c r="P258" s="107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>
      <c r="E259" s="579"/>
      <c r="F259" s="579"/>
      <c r="G259" s="119"/>
      <c r="J259" s="119"/>
      <c r="K259" s="10"/>
      <c r="L259" s="117"/>
      <c r="M259" s="2"/>
      <c r="N259" s="2"/>
      <c r="O259" s="2"/>
      <c r="P259" s="107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>
      <c r="E260" s="579"/>
      <c r="F260" s="579"/>
      <c r="G260" s="119"/>
      <c r="J260" s="119"/>
      <c r="K260" s="10"/>
      <c r="L260" s="117"/>
      <c r="M260" s="2"/>
      <c r="N260" s="2"/>
      <c r="O260" s="2"/>
      <c r="P260" s="107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>
      <c r="E261" s="579"/>
      <c r="F261" s="579"/>
      <c r="G261" s="119"/>
      <c r="J261" s="119"/>
      <c r="K261" s="10"/>
      <c r="L261" s="117"/>
      <c r="M261" s="2"/>
      <c r="N261" s="2"/>
      <c r="O261" s="2"/>
      <c r="P261" s="107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>
      <c r="E262" s="579"/>
      <c r="F262" s="579"/>
      <c r="G262" s="119"/>
      <c r="J262" s="119"/>
      <c r="K262" s="10"/>
      <c r="L262" s="117"/>
      <c r="M262" s="2"/>
      <c r="N262" s="2"/>
      <c r="O262" s="2"/>
      <c r="P262" s="107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>
      <c r="E263" s="579"/>
      <c r="F263" s="579"/>
      <c r="G263" s="119"/>
      <c r="J263" s="119"/>
      <c r="K263" s="10"/>
      <c r="L263" s="117"/>
      <c r="M263" s="2"/>
      <c r="N263" s="2"/>
      <c r="O263" s="2"/>
      <c r="P263" s="107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>
      <c r="E264" s="579"/>
      <c r="F264" s="579"/>
      <c r="G264" s="119"/>
      <c r="J264" s="119"/>
      <c r="K264" s="10"/>
      <c r="L264" s="117"/>
      <c r="M264" s="2"/>
      <c r="N264" s="2"/>
      <c r="O264" s="2"/>
      <c r="P264" s="107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>
      <c r="E265" s="579"/>
      <c r="F265" s="579"/>
      <c r="G265" s="119"/>
      <c r="J265" s="119"/>
      <c r="K265" s="10"/>
      <c r="L265" s="117"/>
      <c r="M265" s="2"/>
      <c r="N265" s="2"/>
      <c r="O265" s="2"/>
      <c r="P265" s="107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>
      <c r="E266" s="579"/>
      <c r="F266" s="579"/>
      <c r="G266" s="119"/>
      <c r="J266" s="119"/>
      <c r="K266" s="10"/>
      <c r="L266" s="117"/>
      <c r="M266" s="2"/>
      <c r="N266" s="2"/>
      <c r="O266" s="2"/>
      <c r="P266" s="107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>
      <c r="E267" s="579"/>
      <c r="F267" s="579"/>
      <c r="G267" s="119"/>
      <c r="J267" s="119"/>
      <c r="K267" s="10"/>
      <c r="L267" s="117"/>
      <c r="M267" s="2"/>
      <c r="N267" s="2"/>
      <c r="O267" s="2"/>
      <c r="P267" s="107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>
      <c r="E268" s="579"/>
      <c r="F268" s="579"/>
      <c r="G268" s="119"/>
      <c r="J268" s="119"/>
      <c r="K268" s="10"/>
      <c r="L268" s="117"/>
      <c r="M268" s="2"/>
      <c r="N268" s="2"/>
      <c r="O268" s="2"/>
      <c r="P268" s="107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>
      <c r="E269" s="579"/>
      <c r="F269" s="579"/>
      <c r="G269" s="119"/>
      <c r="J269" s="119"/>
      <c r="K269" s="10"/>
      <c r="L269" s="117"/>
      <c r="M269" s="2"/>
      <c r="N269" s="2"/>
      <c r="O269" s="2"/>
      <c r="P269" s="107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>
      <c r="E270" s="579"/>
      <c r="F270" s="579"/>
      <c r="G270" s="119"/>
      <c r="J270" s="119"/>
      <c r="K270" s="10"/>
      <c r="L270" s="117"/>
      <c r="M270" s="2"/>
      <c r="N270" s="2"/>
      <c r="O270" s="2"/>
      <c r="P270" s="107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>
      <c r="E271" s="579"/>
      <c r="F271" s="579"/>
      <c r="G271" s="119"/>
      <c r="J271" s="119"/>
      <c r="K271" s="10"/>
      <c r="L271" s="117"/>
      <c r="M271" s="2"/>
      <c r="N271" s="2"/>
      <c r="O271" s="2"/>
      <c r="P271" s="107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>
      <c r="E272" s="579"/>
      <c r="F272" s="579"/>
      <c r="G272" s="119"/>
      <c r="J272" s="119"/>
      <c r="K272" s="10"/>
      <c r="L272" s="117"/>
      <c r="M272" s="2"/>
      <c r="N272" s="2"/>
      <c r="O272" s="2"/>
      <c r="P272" s="107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>
      <c r="E273" s="579"/>
      <c r="F273" s="579"/>
      <c r="G273" s="119"/>
      <c r="J273" s="119"/>
      <c r="K273" s="10"/>
      <c r="L273" s="117"/>
      <c r="M273" s="2"/>
      <c r="N273" s="2"/>
      <c r="O273" s="2"/>
      <c r="P273" s="107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>
      <c r="E274" s="579"/>
      <c r="F274" s="579"/>
      <c r="G274" s="119"/>
      <c r="J274" s="119"/>
      <c r="K274" s="10"/>
      <c r="L274" s="117"/>
      <c r="M274" s="2"/>
      <c r="N274" s="2"/>
      <c r="O274" s="2"/>
      <c r="P274" s="107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>
      <c r="E275" s="579"/>
      <c r="F275" s="579"/>
      <c r="G275" s="119"/>
      <c r="J275" s="119"/>
      <c r="K275" s="10"/>
      <c r="L275" s="117"/>
      <c r="M275" s="2"/>
      <c r="N275" s="2"/>
      <c r="O275" s="2"/>
      <c r="P275" s="107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>
      <c r="E276" s="579"/>
      <c r="F276" s="579"/>
      <c r="G276" s="119"/>
      <c r="J276" s="119"/>
      <c r="K276" s="10"/>
      <c r="L276" s="117"/>
      <c r="M276" s="2"/>
      <c r="N276" s="2"/>
      <c r="O276" s="2"/>
      <c r="P276" s="107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>
      <c r="E277" s="579"/>
      <c r="F277" s="579"/>
      <c r="G277" s="119"/>
      <c r="J277" s="119"/>
      <c r="K277" s="10"/>
      <c r="L277" s="117"/>
      <c r="M277" s="2"/>
      <c r="N277" s="2"/>
      <c r="O277" s="2"/>
      <c r="P277" s="107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>
      <c r="E278" s="579"/>
      <c r="F278" s="579"/>
      <c r="G278" s="119"/>
      <c r="J278" s="119"/>
      <c r="K278" s="10"/>
      <c r="L278" s="117"/>
      <c r="M278" s="2"/>
      <c r="N278" s="2"/>
      <c r="O278" s="2"/>
      <c r="P278" s="107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>
      <c r="E279" s="579"/>
      <c r="F279" s="579"/>
      <c r="G279" s="119"/>
      <c r="J279" s="119"/>
      <c r="K279" s="10"/>
      <c r="L279" s="117"/>
      <c r="M279" s="2"/>
      <c r="N279" s="2"/>
      <c r="O279" s="2"/>
      <c r="P279" s="107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>
      <c r="E280" s="579"/>
      <c r="F280" s="579"/>
      <c r="G280" s="119"/>
      <c r="J280" s="119"/>
      <c r="K280" s="10"/>
      <c r="L280" s="117"/>
      <c r="M280" s="2"/>
      <c r="N280" s="2"/>
      <c r="O280" s="2"/>
      <c r="P280" s="107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>
      <c r="E281" s="579"/>
      <c r="F281" s="579"/>
      <c r="G281" s="119"/>
      <c r="J281" s="119"/>
      <c r="K281" s="10"/>
      <c r="L281" s="117"/>
      <c r="M281" s="2"/>
      <c r="N281" s="2"/>
      <c r="O281" s="2"/>
      <c r="P281" s="107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>
      <c r="E282" s="579"/>
      <c r="F282" s="579"/>
      <c r="G282" s="119"/>
      <c r="J282" s="119"/>
      <c r="K282" s="10"/>
      <c r="L282" s="117"/>
      <c r="M282" s="2"/>
      <c r="N282" s="2"/>
      <c r="O282" s="2"/>
      <c r="P282" s="107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>
      <c r="E283" s="579"/>
      <c r="F283" s="579"/>
      <c r="G283" s="119"/>
      <c r="J283" s="119"/>
      <c r="K283" s="10"/>
      <c r="L283" s="117"/>
      <c r="M283" s="2"/>
      <c r="N283" s="2"/>
      <c r="O283" s="2"/>
      <c r="P283" s="107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>
      <c r="E284" s="579"/>
      <c r="F284" s="579"/>
      <c r="G284" s="119"/>
      <c r="J284" s="119"/>
      <c r="K284" s="10"/>
      <c r="L284" s="117"/>
      <c r="M284" s="2"/>
      <c r="N284" s="2"/>
      <c r="O284" s="2"/>
      <c r="P284" s="107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>
      <c r="E285" s="579"/>
      <c r="F285" s="579"/>
      <c r="G285" s="119"/>
      <c r="J285" s="119"/>
      <c r="K285" s="10"/>
      <c r="L285" s="117"/>
      <c r="M285" s="2"/>
      <c r="N285" s="2"/>
      <c r="O285" s="2"/>
      <c r="P285" s="107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>
      <c r="E286" s="579"/>
      <c r="F286" s="579"/>
      <c r="G286" s="119"/>
      <c r="J286" s="119"/>
      <c r="K286" s="10"/>
      <c r="L286" s="117"/>
      <c r="M286" s="2"/>
      <c r="N286" s="2"/>
      <c r="O286" s="2"/>
      <c r="P286" s="107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>
      <c r="E287" s="579"/>
      <c r="F287" s="579"/>
      <c r="G287" s="119"/>
      <c r="J287" s="119"/>
      <c r="K287" s="10"/>
      <c r="L287" s="117"/>
      <c r="M287" s="2"/>
      <c r="N287" s="2"/>
      <c r="O287" s="2"/>
      <c r="P287" s="107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>
      <c r="E288" s="579"/>
      <c r="F288" s="579"/>
      <c r="G288" s="119"/>
      <c r="J288" s="119"/>
      <c r="K288" s="10"/>
      <c r="L288" s="117"/>
      <c r="M288" s="2"/>
      <c r="N288" s="2"/>
      <c r="O288" s="2"/>
      <c r="P288" s="107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>
      <c r="E289" s="579"/>
      <c r="F289" s="579"/>
      <c r="G289" s="119"/>
      <c r="J289" s="119"/>
      <c r="K289" s="10"/>
      <c r="L289" s="117"/>
      <c r="M289" s="2"/>
      <c r="N289" s="2"/>
      <c r="O289" s="2"/>
      <c r="P289" s="107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>
      <c r="E290" s="579"/>
      <c r="F290" s="579"/>
      <c r="G290" s="119"/>
      <c r="J290" s="119"/>
      <c r="K290" s="10"/>
      <c r="L290" s="117"/>
      <c r="M290" s="2"/>
      <c r="N290" s="2"/>
      <c r="O290" s="2"/>
      <c r="P290" s="107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>
      <c r="E291" s="579"/>
      <c r="F291" s="579"/>
      <c r="G291" s="119"/>
      <c r="J291" s="119"/>
      <c r="K291" s="10"/>
      <c r="L291" s="117"/>
      <c r="M291" s="2"/>
      <c r="N291" s="2"/>
      <c r="O291" s="2"/>
      <c r="P291" s="107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>
      <c r="E292" s="579"/>
      <c r="F292" s="579"/>
      <c r="G292" s="119"/>
      <c r="J292" s="119"/>
      <c r="K292" s="10"/>
      <c r="L292" s="117"/>
      <c r="M292" s="2"/>
      <c r="N292" s="2"/>
      <c r="O292" s="2"/>
      <c r="P292" s="107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>
      <c r="E293" s="579"/>
      <c r="F293" s="579"/>
      <c r="G293" s="119"/>
      <c r="J293" s="119"/>
      <c r="K293" s="10"/>
      <c r="L293" s="117"/>
      <c r="M293" s="2"/>
      <c r="N293" s="2"/>
      <c r="O293" s="2"/>
      <c r="P293" s="107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>
      <c r="E294" s="579"/>
      <c r="F294" s="579"/>
      <c r="G294" s="119"/>
      <c r="J294" s="119"/>
      <c r="K294" s="10"/>
      <c r="L294" s="117"/>
      <c r="M294" s="2"/>
      <c r="N294" s="2"/>
      <c r="O294" s="2"/>
      <c r="P294" s="107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>
      <c r="E295" s="579"/>
      <c r="F295" s="579"/>
      <c r="G295" s="119"/>
      <c r="J295" s="119"/>
      <c r="K295" s="10"/>
      <c r="L295" s="117"/>
      <c r="M295" s="2"/>
      <c r="N295" s="2"/>
      <c r="O295" s="2"/>
      <c r="P295" s="107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>
      <c r="E296" s="579"/>
      <c r="F296" s="579"/>
      <c r="G296" s="119"/>
      <c r="J296" s="119"/>
      <c r="K296" s="10"/>
      <c r="L296" s="117"/>
      <c r="M296" s="2"/>
      <c r="N296" s="2"/>
      <c r="O296" s="2"/>
      <c r="P296" s="107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>
      <c r="E297" s="579"/>
      <c r="F297" s="579"/>
      <c r="G297" s="119"/>
      <c r="J297" s="119"/>
      <c r="K297" s="10"/>
      <c r="L297" s="117"/>
      <c r="M297" s="2"/>
      <c r="N297" s="2"/>
      <c r="O297" s="2"/>
      <c r="P297" s="107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>
      <c r="E298" s="579"/>
      <c r="F298" s="579"/>
      <c r="G298" s="119"/>
      <c r="J298" s="119"/>
      <c r="K298" s="10"/>
      <c r="L298" s="117"/>
      <c r="M298" s="2"/>
      <c r="N298" s="2"/>
      <c r="O298" s="2"/>
      <c r="P298" s="107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>
      <c r="E299" s="579"/>
      <c r="F299" s="579"/>
      <c r="G299" s="119"/>
      <c r="J299" s="119"/>
      <c r="K299" s="10"/>
      <c r="L299" s="117"/>
      <c r="M299" s="2"/>
      <c r="N299" s="2"/>
      <c r="O299" s="2"/>
      <c r="P299" s="107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>
      <c r="E300" s="579"/>
      <c r="F300" s="579"/>
      <c r="G300" s="119"/>
      <c r="J300" s="119"/>
      <c r="K300" s="10"/>
      <c r="L300" s="117"/>
      <c r="M300" s="2"/>
      <c r="N300" s="2"/>
      <c r="O300" s="2"/>
      <c r="P300" s="107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>
      <c r="E301" s="579"/>
      <c r="F301" s="579"/>
      <c r="G301" s="119"/>
      <c r="J301" s="119"/>
      <c r="K301" s="10"/>
      <c r="L301" s="117"/>
      <c r="M301" s="2"/>
      <c r="N301" s="2"/>
      <c r="O301" s="2"/>
      <c r="P301" s="107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>
      <c r="E302" s="579"/>
      <c r="F302" s="579"/>
      <c r="G302" s="119"/>
      <c r="J302" s="119"/>
      <c r="K302" s="10"/>
      <c r="L302" s="117"/>
      <c r="M302" s="2"/>
      <c r="N302" s="2"/>
      <c r="O302" s="2"/>
      <c r="P302" s="107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>
      <c r="E303" s="579"/>
      <c r="F303" s="579"/>
      <c r="G303" s="119"/>
      <c r="J303" s="119"/>
      <c r="K303" s="10"/>
      <c r="L303" s="117"/>
      <c r="M303" s="2"/>
      <c r="N303" s="2"/>
      <c r="O303" s="2"/>
      <c r="P303" s="107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>
      <c r="E304" s="579"/>
      <c r="F304" s="579"/>
      <c r="G304" s="119"/>
      <c r="J304" s="119"/>
      <c r="K304" s="10"/>
      <c r="L304" s="117"/>
      <c r="M304" s="2"/>
      <c r="N304" s="2"/>
      <c r="O304" s="2"/>
      <c r="P304" s="107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>
      <c r="E305" s="579"/>
      <c r="F305" s="579"/>
      <c r="G305" s="119"/>
      <c r="J305" s="119"/>
      <c r="K305" s="10"/>
      <c r="L305" s="117"/>
      <c r="M305" s="2"/>
      <c r="N305" s="2"/>
      <c r="O305" s="2"/>
      <c r="P305" s="107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>
      <c r="E306" s="579"/>
      <c r="F306" s="579"/>
      <c r="G306" s="119"/>
      <c r="J306" s="119"/>
      <c r="K306" s="10"/>
      <c r="L306" s="117"/>
      <c r="M306" s="2"/>
      <c r="N306" s="2"/>
      <c r="O306" s="2"/>
      <c r="P306" s="107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>
      <c r="E307" s="579"/>
      <c r="F307" s="579"/>
      <c r="G307" s="119"/>
      <c r="J307" s="119"/>
      <c r="K307" s="10"/>
      <c r="L307" s="117"/>
      <c r="M307" s="2"/>
      <c r="N307" s="2"/>
      <c r="O307" s="2"/>
      <c r="P307" s="107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>
      <c r="E308" s="579"/>
      <c r="F308" s="579"/>
      <c r="G308" s="119"/>
      <c r="J308" s="119"/>
      <c r="K308" s="10"/>
      <c r="L308" s="117"/>
      <c r="M308" s="2"/>
      <c r="N308" s="2"/>
      <c r="O308" s="2"/>
      <c r="P308" s="107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>
      <c r="E309" s="579"/>
      <c r="F309" s="579"/>
      <c r="G309" s="119"/>
      <c r="J309" s="119"/>
      <c r="K309" s="10"/>
      <c r="L309" s="117"/>
      <c r="M309" s="2"/>
      <c r="N309" s="2"/>
      <c r="O309" s="2"/>
      <c r="P309" s="107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>
      <c r="E310" s="579"/>
      <c r="F310" s="579"/>
      <c r="G310" s="119"/>
      <c r="J310" s="119"/>
      <c r="K310" s="10"/>
      <c r="L310" s="117"/>
      <c r="M310" s="2"/>
      <c r="N310" s="2"/>
      <c r="O310" s="2"/>
      <c r="P310" s="107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>
      <c r="E311" s="579"/>
      <c r="F311" s="579"/>
      <c r="G311" s="119"/>
      <c r="J311" s="119"/>
      <c r="K311" s="10"/>
      <c r="L311" s="117"/>
      <c r="M311" s="2"/>
      <c r="N311" s="2"/>
      <c r="O311" s="2"/>
      <c r="P311" s="107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>
      <c r="E312" s="579"/>
      <c r="F312" s="579"/>
      <c r="G312" s="119"/>
      <c r="J312" s="119"/>
      <c r="K312" s="10"/>
      <c r="L312" s="117"/>
      <c r="M312" s="2"/>
      <c r="N312" s="2"/>
      <c r="O312" s="2"/>
      <c r="P312" s="107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>
      <c r="E313" s="579"/>
      <c r="F313" s="579"/>
      <c r="G313" s="119"/>
      <c r="J313" s="119"/>
      <c r="K313" s="10"/>
      <c r="L313" s="117"/>
      <c r="M313" s="2"/>
      <c r="N313" s="2"/>
      <c r="O313" s="2"/>
      <c r="P313" s="107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>
      <c r="E314" s="579"/>
      <c r="F314" s="579"/>
      <c r="G314" s="119"/>
      <c r="J314" s="119"/>
      <c r="K314" s="10"/>
      <c r="L314" s="117"/>
      <c r="M314" s="2"/>
      <c r="N314" s="2"/>
      <c r="O314" s="2"/>
      <c r="P314" s="107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>
      <c r="E315" s="579"/>
      <c r="F315" s="579"/>
      <c r="G315" s="119"/>
      <c r="J315" s="119"/>
      <c r="K315" s="10"/>
      <c r="L315" s="117"/>
      <c r="M315" s="2"/>
      <c r="N315" s="2"/>
      <c r="O315" s="2"/>
      <c r="P315" s="107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>
      <c r="E316" s="579"/>
      <c r="F316" s="579"/>
      <c r="G316" s="119"/>
      <c r="J316" s="119"/>
      <c r="K316" s="10"/>
      <c r="L316" s="117"/>
      <c r="M316" s="2"/>
      <c r="N316" s="2"/>
      <c r="O316" s="2"/>
      <c r="P316" s="107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>
      <c r="E317" s="579"/>
      <c r="F317" s="579"/>
      <c r="G317" s="119"/>
      <c r="J317" s="119"/>
      <c r="K317" s="10"/>
      <c r="L317" s="117"/>
      <c r="M317" s="2"/>
      <c r="N317" s="2"/>
      <c r="O317" s="2"/>
      <c r="P317" s="107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>
      <c r="E318" s="579"/>
      <c r="F318" s="579"/>
      <c r="G318" s="119"/>
      <c r="J318" s="119"/>
      <c r="K318" s="10"/>
      <c r="L318" s="117"/>
      <c r="M318" s="2"/>
      <c r="N318" s="2"/>
      <c r="O318" s="2"/>
      <c r="P318" s="107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>
      <c r="E319" s="579"/>
      <c r="F319" s="579"/>
      <c r="G319" s="119"/>
      <c r="J319" s="119"/>
      <c r="K319" s="10"/>
      <c r="L319" s="117"/>
      <c r="M319" s="2"/>
      <c r="N319" s="2"/>
      <c r="O319" s="2"/>
      <c r="P319" s="107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>
      <c r="E320" s="579"/>
      <c r="F320" s="579"/>
      <c r="G320" s="119"/>
      <c r="J320" s="119"/>
      <c r="K320" s="10"/>
      <c r="L320" s="117"/>
      <c r="M320" s="2"/>
      <c r="N320" s="2"/>
      <c r="O320" s="2"/>
      <c r="P320" s="107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>
      <c r="E321" s="579"/>
      <c r="F321" s="579"/>
      <c r="G321" s="119"/>
      <c r="J321" s="119"/>
      <c r="K321" s="10"/>
      <c r="L321" s="117"/>
      <c r="M321" s="2"/>
      <c r="N321" s="2"/>
      <c r="O321" s="2"/>
      <c r="P321" s="107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>
      <c r="E322" s="579"/>
      <c r="F322" s="579"/>
      <c r="G322" s="119"/>
      <c r="J322" s="119"/>
      <c r="K322" s="10"/>
      <c r="L322" s="117"/>
      <c r="M322" s="2"/>
      <c r="N322" s="2"/>
      <c r="O322" s="2"/>
      <c r="P322" s="107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>
      <c r="E323" s="579"/>
      <c r="F323" s="579"/>
      <c r="G323" s="119"/>
      <c r="J323" s="119"/>
      <c r="K323" s="10"/>
      <c r="L323" s="117"/>
      <c r="M323" s="2"/>
      <c r="N323" s="2"/>
      <c r="O323" s="2"/>
      <c r="P323" s="107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>
      <c r="E324" s="579"/>
      <c r="F324" s="579"/>
      <c r="G324" s="119"/>
      <c r="J324" s="119"/>
      <c r="K324" s="10"/>
      <c r="L324" s="117"/>
      <c r="M324" s="2"/>
      <c r="N324" s="2"/>
      <c r="O324" s="2"/>
      <c r="P324" s="107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>
      <c r="E325" s="579"/>
      <c r="F325" s="579"/>
      <c r="G325" s="119"/>
      <c r="J325" s="119"/>
      <c r="K325" s="10"/>
      <c r="L325" s="117"/>
      <c r="M325" s="2"/>
      <c r="N325" s="2"/>
      <c r="O325" s="2"/>
      <c r="P325" s="107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>
      <c r="E326" s="579"/>
      <c r="F326" s="579"/>
      <c r="G326" s="119"/>
      <c r="J326" s="119"/>
      <c r="K326" s="10"/>
      <c r="L326" s="117"/>
      <c r="M326" s="2"/>
      <c r="N326" s="2"/>
      <c r="O326" s="2"/>
      <c r="P326" s="107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>
      <c r="E327" s="579"/>
      <c r="F327" s="579"/>
      <c r="G327" s="119"/>
      <c r="J327" s="119"/>
      <c r="K327" s="10"/>
      <c r="L327" s="117"/>
      <c r="M327" s="2"/>
      <c r="N327" s="2"/>
      <c r="O327" s="2"/>
      <c r="P327" s="107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>
      <c r="E328" s="579"/>
      <c r="F328" s="579"/>
      <c r="G328" s="119"/>
      <c r="J328" s="119"/>
      <c r="K328" s="10"/>
      <c r="L328" s="117"/>
      <c r="M328" s="2"/>
      <c r="N328" s="2"/>
      <c r="O328" s="2"/>
      <c r="P328" s="107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>
      <c r="E329" s="579"/>
      <c r="F329" s="579"/>
      <c r="G329" s="119"/>
      <c r="J329" s="119"/>
      <c r="K329" s="10"/>
      <c r="L329" s="117"/>
      <c r="M329" s="2"/>
      <c r="N329" s="2"/>
      <c r="O329" s="2"/>
      <c r="P329" s="107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>
      <c r="E330" s="579"/>
      <c r="F330" s="579"/>
      <c r="G330" s="119"/>
      <c r="J330" s="119"/>
      <c r="K330" s="10"/>
      <c r="L330" s="117"/>
      <c r="M330" s="2"/>
      <c r="N330" s="2"/>
      <c r="O330" s="2"/>
      <c r="P330" s="107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>
      <c r="E331" s="579"/>
      <c r="F331" s="579"/>
      <c r="G331" s="119"/>
      <c r="J331" s="119"/>
      <c r="K331" s="10"/>
      <c r="L331" s="117"/>
      <c r="M331" s="2"/>
      <c r="N331" s="2"/>
      <c r="O331" s="2"/>
      <c r="P331" s="107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>
      <c r="E332" s="579"/>
      <c r="F332" s="579"/>
      <c r="G332" s="119"/>
      <c r="J332" s="119"/>
      <c r="K332" s="10"/>
      <c r="L332" s="117"/>
      <c r="M332" s="2"/>
      <c r="N332" s="2"/>
      <c r="O332" s="2"/>
      <c r="P332" s="107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>
      <c r="E333" s="579"/>
      <c r="F333" s="579"/>
      <c r="G333" s="119"/>
      <c r="J333" s="119"/>
      <c r="K333" s="10"/>
      <c r="L333" s="117"/>
      <c r="M333" s="2"/>
      <c r="N333" s="2"/>
      <c r="O333" s="2"/>
      <c r="P333" s="107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>
      <c r="E334" s="579"/>
      <c r="F334" s="579"/>
      <c r="G334" s="119"/>
      <c r="J334" s="119"/>
      <c r="K334" s="10"/>
      <c r="L334" s="117"/>
      <c r="M334" s="2"/>
      <c r="N334" s="2"/>
      <c r="O334" s="2"/>
      <c r="P334" s="107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>
      <c r="E335" s="579"/>
      <c r="F335" s="579"/>
      <c r="G335" s="119"/>
      <c r="J335" s="119"/>
      <c r="K335" s="10"/>
      <c r="L335" s="117"/>
      <c r="M335" s="2"/>
      <c r="N335" s="2"/>
      <c r="O335" s="2"/>
      <c r="P335" s="107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>
      <c r="E336" s="579"/>
      <c r="F336" s="579"/>
      <c r="G336" s="119"/>
      <c r="J336" s="119"/>
      <c r="K336" s="10"/>
      <c r="L336" s="117"/>
      <c r="M336" s="2"/>
      <c r="N336" s="2"/>
      <c r="O336" s="2"/>
      <c r="P336" s="107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>
      <c r="E337" s="579"/>
      <c r="F337" s="579"/>
      <c r="G337" s="119"/>
      <c r="J337" s="119"/>
      <c r="K337" s="10"/>
      <c r="L337" s="117"/>
      <c r="M337" s="2"/>
      <c r="N337" s="2"/>
      <c r="O337" s="2"/>
      <c r="P337" s="107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>
      <c r="E338" s="579"/>
      <c r="F338" s="579"/>
      <c r="G338" s="119"/>
      <c r="J338" s="119"/>
      <c r="K338" s="10"/>
      <c r="L338" s="117"/>
      <c r="M338" s="2"/>
      <c r="N338" s="2"/>
      <c r="O338" s="2"/>
      <c r="P338" s="107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>
      <c r="E339" s="579"/>
      <c r="F339" s="579"/>
      <c r="G339" s="119"/>
      <c r="J339" s="119"/>
      <c r="K339" s="10"/>
      <c r="L339" s="117"/>
      <c r="M339" s="2"/>
      <c r="N339" s="2"/>
      <c r="O339" s="2"/>
      <c r="P339" s="107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>
      <c r="E340" s="579"/>
      <c r="F340" s="579"/>
      <c r="G340" s="119"/>
      <c r="J340" s="119"/>
      <c r="K340" s="10"/>
      <c r="L340" s="117"/>
      <c r="M340" s="2"/>
      <c r="N340" s="2"/>
      <c r="O340" s="2"/>
      <c r="P340" s="107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>
      <c r="E341" s="579"/>
      <c r="F341" s="579"/>
      <c r="G341" s="119"/>
      <c r="J341" s="119"/>
      <c r="K341" s="10"/>
      <c r="L341" s="117"/>
      <c r="M341" s="2"/>
      <c r="N341" s="2"/>
      <c r="O341" s="2"/>
      <c r="P341" s="107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>
      <c r="E342" s="579"/>
      <c r="F342" s="579"/>
      <c r="G342" s="119"/>
      <c r="J342" s="119"/>
      <c r="K342" s="10"/>
      <c r="L342" s="117"/>
      <c r="M342" s="2"/>
      <c r="N342" s="2"/>
      <c r="O342" s="2"/>
      <c r="P342" s="107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>
      <c r="E343" s="579"/>
      <c r="F343" s="579"/>
      <c r="G343" s="119"/>
      <c r="J343" s="119"/>
      <c r="K343" s="10"/>
      <c r="L343" s="117"/>
      <c r="M343" s="2"/>
      <c r="N343" s="2"/>
      <c r="O343" s="2"/>
      <c r="P343" s="107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>
      <c r="E344" s="579"/>
      <c r="F344" s="579"/>
      <c r="G344" s="119"/>
      <c r="J344" s="119"/>
      <c r="K344" s="10"/>
      <c r="L344" s="117"/>
      <c r="M344" s="2"/>
      <c r="N344" s="2"/>
      <c r="O344" s="2"/>
      <c r="P344" s="107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>
      <c r="E345" s="579"/>
      <c r="F345" s="579"/>
      <c r="G345" s="119"/>
      <c r="J345" s="119"/>
      <c r="K345" s="10"/>
      <c r="L345" s="117"/>
      <c r="M345" s="2"/>
      <c r="N345" s="2"/>
      <c r="O345" s="2"/>
      <c r="P345" s="107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>
      <c r="E346" s="579"/>
      <c r="F346" s="579"/>
      <c r="G346" s="119"/>
      <c r="J346" s="119"/>
      <c r="K346" s="10"/>
      <c r="L346" s="117"/>
      <c r="M346" s="2"/>
      <c r="N346" s="2"/>
      <c r="O346" s="2"/>
      <c r="P346" s="107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>
      <c r="E347" s="579"/>
      <c r="F347" s="579"/>
      <c r="G347" s="119"/>
      <c r="J347" s="119"/>
      <c r="K347" s="10"/>
      <c r="L347" s="117"/>
      <c r="M347" s="2"/>
      <c r="N347" s="2"/>
      <c r="O347" s="2"/>
      <c r="P347" s="107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>
      <c r="E348" s="579"/>
      <c r="F348" s="579"/>
      <c r="G348" s="119"/>
      <c r="J348" s="119"/>
      <c r="K348" s="10"/>
      <c r="L348" s="117"/>
      <c r="M348" s="2"/>
      <c r="N348" s="2"/>
      <c r="O348" s="2"/>
      <c r="P348" s="107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>
      <c r="E349" s="579"/>
      <c r="F349" s="579"/>
      <c r="G349" s="119"/>
      <c r="J349" s="119"/>
      <c r="K349" s="10"/>
      <c r="L349" s="117"/>
      <c r="M349" s="2"/>
      <c r="N349" s="2"/>
      <c r="O349" s="2"/>
      <c r="P349" s="107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>
      <c r="E350" s="579"/>
      <c r="F350" s="579"/>
      <c r="G350" s="119"/>
      <c r="J350" s="119"/>
      <c r="K350" s="10"/>
      <c r="L350" s="117"/>
      <c r="M350" s="2"/>
      <c r="N350" s="2"/>
      <c r="O350" s="2"/>
      <c r="P350" s="107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>
      <c r="E351" s="579"/>
      <c r="F351" s="579"/>
      <c r="G351" s="119"/>
      <c r="J351" s="119"/>
      <c r="K351" s="10"/>
      <c r="L351" s="117"/>
      <c r="M351" s="2"/>
      <c r="N351" s="2"/>
      <c r="O351" s="2"/>
      <c r="P351" s="107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>
      <c r="E352" s="579"/>
      <c r="F352" s="579"/>
      <c r="G352" s="119"/>
      <c r="J352" s="119"/>
      <c r="K352" s="10"/>
      <c r="L352" s="117"/>
      <c r="M352" s="2"/>
      <c r="N352" s="2"/>
      <c r="O352" s="2"/>
      <c r="P352" s="107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>
      <c r="E353" s="579"/>
      <c r="F353" s="579"/>
      <c r="G353" s="119"/>
      <c r="J353" s="119"/>
      <c r="K353" s="10"/>
      <c r="L353" s="117"/>
      <c r="M353" s="2"/>
      <c r="N353" s="2"/>
      <c r="O353" s="2"/>
      <c r="P353" s="107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>
      <c r="E354" s="579"/>
      <c r="F354" s="579"/>
      <c r="G354" s="119"/>
      <c r="J354" s="119"/>
      <c r="K354" s="10"/>
      <c r="L354" s="117"/>
      <c r="M354" s="2"/>
      <c r="N354" s="2"/>
      <c r="O354" s="2"/>
      <c r="P354" s="107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>
      <c r="E355" s="579"/>
      <c r="F355" s="579"/>
      <c r="G355" s="119"/>
      <c r="J355" s="119"/>
      <c r="K355" s="10"/>
      <c r="L355" s="117"/>
      <c r="M355" s="2"/>
      <c r="N355" s="2"/>
      <c r="O355" s="2"/>
      <c r="P355" s="107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>
      <c r="E356" s="579"/>
      <c r="F356" s="579"/>
      <c r="G356" s="119"/>
      <c r="J356" s="119"/>
      <c r="K356" s="10"/>
      <c r="L356" s="117"/>
      <c r="M356" s="2"/>
      <c r="N356" s="2"/>
      <c r="O356" s="2"/>
      <c r="P356" s="107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>
      <c r="E357" s="579"/>
      <c r="F357" s="579"/>
      <c r="G357" s="119"/>
      <c r="J357" s="119"/>
      <c r="K357" s="10"/>
      <c r="L357" s="117"/>
      <c r="M357" s="2"/>
      <c r="N357" s="2"/>
      <c r="O357" s="2"/>
      <c r="P357" s="107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>
      <c r="E358" s="579"/>
      <c r="F358" s="579"/>
      <c r="G358" s="119"/>
      <c r="J358" s="119"/>
      <c r="K358" s="10"/>
      <c r="L358" s="117"/>
      <c r="M358" s="2"/>
      <c r="N358" s="2"/>
      <c r="O358" s="2"/>
      <c r="P358" s="107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>
      <c r="E359" s="579"/>
      <c r="F359" s="579"/>
      <c r="G359" s="119"/>
      <c r="J359" s="119"/>
      <c r="K359" s="10"/>
      <c r="L359" s="117"/>
      <c r="M359" s="2"/>
      <c r="N359" s="2"/>
      <c r="O359" s="2"/>
      <c r="P359" s="107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>
      <c r="E360" s="579"/>
      <c r="F360" s="579"/>
      <c r="G360" s="119"/>
      <c r="J360" s="119"/>
      <c r="K360" s="10"/>
      <c r="L360" s="117"/>
      <c r="M360" s="2"/>
      <c r="N360" s="2"/>
      <c r="O360" s="2"/>
      <c r="P360" s="107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>
      <c r="E361" s="579"/>
      <c r="F361" s="579"/>
      <c r="G361" s="119"/>
      <c r="J361" s="119"/>
      <c r="K361" s="10"/>
      <c r="L361" s="117"/>
      <c r="M361" s="2"/>
      <c r="N361" s="2"/>
      <c r="O361" s="2"/>
      <c r="P361" s="107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>
      <c r="E362" s="579"/>
      <c r="F362" s="579"/>
      <c r="G362" s="119"/>
      <c r="J362" s="119"/>
      <c r="K362" s="10"/>
      <c r="L362" s="117"/>
      <c r="M362" s="2"/>
      <c r="N362" s="2"/>
      <c r="O362" s="2"/>
      <c r="P362" s="107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>
      <c r="E363" s="579"/>
      <c r="F363" s="579"/>
      <c r="G363" s="119"/>
      <c r="J363" s="119"/>
      <c r="K363" s="10"/>
      <c r="L363" s="117"/>
      <c r="M363" s="2"/>
      <c r="N363" s="2"/>
      <c r="O363" s="2"/>
      <c r="P363" s="107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>
      <c r="E364" s="579"/>
      <c r="F364" s="579"/>
      <c r="G364" s="119"/>
      <c r="J364" s="119"/>
      <c r="K364" s="10"/>
      <c r="L364" s="117"/>
      <c r="M364" s="2"/>
      <c r="N364" s="2"/>
      <c r="O364" s="2"/>
      <c r="P364" s="107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>
      <c r="E365" s="579"/>
      <c r="F365" s="579"/>
      <c r="G365" s="119"/>
      <c r="J365" s="119"/>
      <c r="K365" s="10"/>
      <c r="L365" s="117"/>
      <c r="M365" s="2"/>
      <c r="N365" s="2"/>
      <c r="O365" s="2"/>
      <c r="P365" s="107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>
      <c r="E366" s="579"/>
      <c r="F366" s="579"/>
      <c r="G366" s="119"/>
      <c r="J366" s="119"/>
      <c r="K366" s="10"/>
      <c r="L366" s="117"/>
      <c r="M366" s="2"/>
      <c r="N366" s="2"/>
      <c r="O366" s="2"/>
      <c r="P366" s="107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>
      <c r="E367" s="579"/>
      <c r="F367" s="579"/>
      <c r="G367" s="119"/>
      <c r="J367" s="119"/>
      <c r="K367" s="10"/>
      <c r="L367" s="117"/>
      <c r="M367" s="2"/>
      <c r="N367" s="2"/>
      <c r="O367" s="2"/>
      <c r="P367" s="107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>
      <c r="E368" s="579"/>
      <c r="F368" s="579"/>
      <c r="G368" s="119"/>
      <c r="J368" s="119"/>
      <c r="K368" s="10"/>
      <c r="L368" s="117"/>
      <c r="M368" s="2"/>
      <c r="N368" s="2"/>
      <c r="O368" s="2"/>
      <c r="P368" s="107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>
      <c r="E369" s="579"/>
      <c r="F369" s="579"/>
      <c r="G369" s="119"/>
      <c r="J369" s="119"/>
      <c r="K369" s="10"/>
      <c r="L369" s="117"/>
      <c r="M369" s="2"/>
      <c r="N369" s="2"/>
      <c r="O369" s="2"/>
      <c r="P369" s="107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>
      <c r="E370" s="579"/>
      <c r="F370" s="579"/>
      <c r="G370" s="119"/>
      <c r="J370" s="119"/>
      <c r="K370" s="10"/>
      <c r="L370" s="117"/>
      <c r="M370" s="2"/>
      <c r="N370" s="2"/>
      <c r="O370" s="2"/>
      <c r="P370" s="107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>
      <c r="E371" s="579"/>
      <c r="F371" s="579"/>
      <c r="G371" s="119"/>
      <c r="J371" s="119"/>
      <c r="K371" s="10"/>
      <c r="L371" s="117"/>
      <c r="M371" s="2"/>
      <c r="N371" s="2"/>
      <c r="O371" s="2"/>
      <c r="P371" s="107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>
      <c r="E372" s="579"/>
      <c r="F372" s="579"/>
      <c r="G372" s="119"/>
      <c r="J372" s="119"/>
      <c r="K372" s="10"/>
      <c r="L372" s="117"/>
      <c r="M372" s="2"/>
      <c r="N372" s="2"/>
      <c r="O372" s="2"/>
      <c r="P372" s="107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>
      <c r="E373" s="579"/>
      <c r="F373" s="579"/>
      <c r="G373" s="119"/>
      <c r="J373" s="119"/>
      <c r="K373" s="10"/>
      <c r="L373" s="117"/>
      <c r="M373" s="2"/>
      <c r="N373" s="2"/>
      <c r="O373" s="2"/>
      <c r="P373" s="107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>
      <c r="E374" s="579"/>
      <c r="F374" s="579"/>
      <c r="G374" s="119"/>
      <c r="J374" s="119"/>
      <c r="K374" s="10"/>
      <c r="L374" s="117"/>
      <c r="M374" s="2"/>
      <c r="N374" s="2"/>
      <c r="O374" s="2"/>
      <c r="P374" s="107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>
      <c r="E375" s="579"/>
      <c r="F375" s="579"/>
      <c r="G375" s="119"/>
      <c r="J375" s="119"/>
      <c r="K375" s="10"/>
      <c r="L375" s="117"/>
      <c r="M375" s="2"/>
      <c r="N375" s="2"/>
      <c r="O375" s="2"/>
      <c r="P375" s="107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>
      <c r="E376" s="579"/>
      <c r="F376" s="579"/>
      <c r="G376" s="119"/>
      <c r="J376" s="119"/>
      <c r="K376" s="10"/>
      <c r="L376" s="117"/>
      <c r="M376" s="2"/>
      <c r="N376" s="2"/>
      <c r="O376" s="2"/>
      <c r="P376" s="107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>
      <c r="E377" s="579"/>
      <c r="F377" s="579"/>
      <c r="G377" s="119"/>
      <c r="J377" s="119"/>
      <c r="K377" s="10"/>
      <c r="L377" s="117"/>
      <c r="M377" s="2"/>
      <c r="N377" s="2"/>
      <c r="O377" s="2"/>
      <c r="P377" s="107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>
      <c r="E378" s="579"/>
      <c r="F378" s="579"/>
      <c r="G378" s="119"/>
      <c r="J378" s="119"/>
      <c r="K378" s="10"/>
      <c r="L378" s="117"/>
      <c r="M378" s="2"/>
      <c r="N378" s="2"/>
      <c r="O378" s="2"/>
      <c r="P378" s="107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>
      <c r="E379" s="579"/>
      <c r="F379" s="579"/>
      <c r="G379" s="119"/>
      <c r="J379" s="119"/>
      <c r="K379" s="10"/>
      <c r="L379" s="117"/>
      <c r="M379" s="2"/>
      <c r="N379" s="2"/>
      <c r="O379" s="2"/>
      <c r="P379" s="107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>
      <c r="E380" s="579"/>
      <c r="F380" s="579"/>
      <c r="G380" s="119"/>
      <c r="J380" s="119"/>
      <c r="K380" s="10"/>
      <c r="L380" s="117"/>
      <c r="M380" s="2"/>
      <c r="N380" s="2"/>
      <c r="O380" s="2"/>
      <c r="P380" s="107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>
      <c r="E381" s="579"/>
      <c r="F381" s="579"/>
      <c r="G381" s="119"/>
      <c r="J381" s="119"/>
      <c r="K381" s="10"/>
      <c r="L381" s="117"/>
      <c r="M381" s="2"/>
      <c r="N381" s="2"/>
      <c r="O381" s="2"/>
      <c r="P381" s="107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>
      <c r="E382" s="579"/>
      <c r="F382" s="579"/>
      <c r="G382" s="119"/>
      <c r="J382" s="119"/>
      <c r="K382" s="10"/>
      <c r="L382" s="117"/>
      <c r="M382" s="2"/>
      <c r="N382" s="2"/>
      <c r="O382" s="2"/>
      <c r="P382" s="107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>
      <c r="E383" s="579"/>
      <c r="F383" s="579"/>
      <c r="G383" s="119"/>
      <c r="J383" s="119"/>
      <c r="K383" s="10"/>
      <c r="L383" s="117"/>
      <c r="M383" s="2"/>
      <c r="N383" s="2"/>
      <c r="O383" s="2"/>
      <c r="P383" s="107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>
      <c r="E384" s="579"/>
      <c r="F384" s="579"/>
      <c r="G384" s="119"/>
      <c r="J384" s="119"/>
      <c r="K384" s="10"/>
      <c r="L384" s="117"/>
      <c r="M384" s="2"/>
      <c r="N384" s="2"/>
      <c r="O384" s="2"/>
      <c r="P384" s="107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>
      <c r="E385" s="579"/>
      <c r="F385" s="579"/>
      <c r="G385" s="119"/>
      <c r="J385" s="119"/>
      <c r="K385" s="10"/>
      <c r="L385" s="117"/>
      <c r="M385" s="2"/>
      <c r="N385" s="2"/>
      <c r="O385" s="2"/>
      <c r="P385" s="107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>
      <c r="E386" s="579"/>
      <c r="F386" s="579"/>
      <c r="G386" s="119"/>
      <c r="J386" s="119"/>
      <c r="K386" s="10"/>
      <c r="L386" s="117"/>
      <c r="M386" s="2"/>
      <c r="N386" s="2"/>
      <c r="O386" s="2"/>
      <c r="P386" s="107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>
      <c r="E387" s="579"/>
      <c r="F387" s="579"/>
      <c r="G387" s="119"/>
      <c r="J387" s="119"/>
      <c r="K387" s="10"/>
      <c r="L387" s="117"/>
      <c r="M387" s="2"/>
      <c r="N387" s="2"/>
      <c r="O387" s="2"/>
      <c r="P387" s="107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>
      <c r="E388" s="579"/>
      <c r="F388" s="579"/>
      <c r="G388" s="119"/>
      <c r="J388" s="119"/>
      <c r="K388" s="10"/>
      <c r="L388" s="117"/>
      <c r="M388" s="2"/>
      <c r="N388" s="2"/>
      <c r="O388" s="2"/>
      <c r="P388" s="107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>
      <c r="E389" s="579"/>
      <c r="F389" s="579"/>
      <c r="G389" s="119"/>
      <c r="J389" s="119"/>
      <c r="K389" s="10"/>
      <c r="L389" s="117"/>
      <c r="M389" s="2"/>
      <c r="N389" s="2"/>
      <c r="O389" s="2"/>
      <c r="P389" s="107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>
      <c r="E390" s="579"/>
      <c r="F390" s="579"/>
      <c r="G390" s="119"/>
      <c r="J390" s="119"/>
      <c r="K390" s="10"/>
      <c r="L390" s="117"/>
      <c r="M390" s="2"/>
      <c r="N390" s="2"/>
      <c r="O390" s="2"/>
      <c r="P390" s="107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>
      <c r="E391" s="579"/>
      <c r="F391" s="579"/>
      <c r="G391" s="119"/>
      <c r="J391" s="119"/>
      <c r="K391" s="10"/>
      <c r="L391" s="117"/>
      <c r="M391" s="2"/>
      <c r="N391" s="2"/>
      <c r="O391" s="2"/>
      <c r="P391" s="107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>
      <c r="E392" s="579"/>
      <c r="F392" s="579"/>
      <c r="G392" s="119"/>
      <c r="J392" s="119"/>
      <c r="K392" s="10"/>
      <c r="L392" s="117"/>
      <c r="M392" s="2"/>
      <c r="N392" s="2"/>
      <c r="O392" s="2"/>
      <c r="P392" s="107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>
      <c r="E393" s="579"/>
      <c r="F393" s="579"/>
      <c r="G393" s="119"/>
      <c r="J393" s="119"/>
      <c r="K393" s="10"/>
      <c r="L393" s="117"/>
      <c r="M393" s="2"/>
      <c r="N393" s="2"/>
      <c r="O393" s="2"/>
      <c r="P393" s="107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>
      <c r="E394" s="579"/>
      <c r="F394" s="579"/>
      <c r="G394" s="119"/>
      <c r="J394" s="119"/>
      <c r="K394" s="10"/>
      <c r="L394" s="117"/>
      <c r="M394" s="2"/>
      <c r="N394" s="2"/>
      <c r="O394" s="2"/>
      <c r="P394" s="107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>
      <c r="E395" s="579"/>
      <c r="F395" s="579"/>
      <c r="G395" s="119"/>
      <c r="J395" s="119"/>
      <c r="K395" s="10"/>
      <c r="L395" s="117"/>
      <c r="M395" s="2"/>
      <c r="N395" s="2"/>
      <c r="O395" s="2"/>
      <c r="P395" s="107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>
      <c r="E396" s="579"/>
      <c r="F396" s="579"/>
      <c r="G396" s="119"/>
      <c r="J396" s="119"/>
      <c r="K396" s="10"/>
      <c r="L396" s="117"/>
      <c r="M396" s="2"/>
      <c r="N396" s="2"/>
      <c r="O396" s="2"/>
      <c r="P396" s="107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>
      <c r="E397" s="579"/>
      <c r="F397" s="579"/>
      <c r="G397" s="119"/>
      <c r="J397" s="119"/>
      <c r="K397" s="10"/>
      <c r="L397" s="117"/>
      <c r="M397" s="2"/>
      <c r="N397" s="2"/>
      <c r="O397" s="2"/>
      <c r="P397" s="107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>
      <c r="E398" s="579"/>
      <c r="F398" s="579"/>
      <c r="G398" s="119"/>
      <c r="J398" s="119"/>
      <c r="K398" s="10"/>
      <c r="L398" s="117"/>
      <c r="M398" s="2"/>
      <c r="N398" s="2"/>
      <c r="O398" s="2"/>
      <c r="P398" s="107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>
      <c r="E399" s="579"/>
      <c r="F399" s="579"/>
      <c r="G399" s="119"/>
      <c r="J399" s="119"/>
      <c r="K399" s="10"/>
      <c r="L399" s="117"/>
      <c r="M399" s="2"/>
      <c r="N399" s="2"/>
      <c r="O399" s="2"/>
      <c r="P399" s="107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>
      <c r="E400" s="579"/>
      <c r="F400" s="579"/>
      <c r="G400" s="119"/>
      <c r="J400" s="119"/>
      <c r="K400" s="10"/>
      <c r="L400" s="117"/>
      <c r="M400" s="2"/>
      <c r="N400" s="2"/>
      <c r="O400" s="2"/>
      <c r="P400" s="107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>
      <c r="E401" s="579"/>
      <c r="F401" s="579"/>
      <c r="G401" s="119"/>
      <c r="J401" s="119"/>
      <c r="K401" s="10"/>
      <c r="L401" s="117"/>
      <c r="M401" s="2"/>
      <c r="N401" s="2"/>
      <c r="O401" s="2"/>
      <c r="P401" s="107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>
      <c r="E402" s="579"/>
      <c r="F402" s="579"/>
      <c r="G402" s="119"/>
      <c r="J402" s="119"/>
      <c r="K402" s="10"/>
      <c r="L402" s="117"/>
      <c r="M402" s="2"/>
      <c r="N402" s="2"/>
      <c r="O402" s="2"/>
      <c r="P402" s="107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>
      <c r="E403" s="579"/>
      <c r="F403" s="579"/>
      <c r="G403" s="119"/>
      <c r="J403" s="119"/>
      <c r="K403" s="10"/>
      <c r="L403" s="117"/>
      <c r="M403" s="2"/>
      <c r="N403" s="2"/>
      <c r="O403" s="2"/>
      <c r="P403" s="107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>
      <c r="E404" s="579"/>
      <c r="F404" s="579"/>
      <c r="G404" s="119"/>
      <c r="J404" s="119"/>
      <c r="K404" s="10"/>
      <c r="L404" s="117"/>
      <c r="M404" s="2"/>
      <c r="N404" s="2"/>
      <c r="O404" s="2"/>
      <c r="P404" s="107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>
      <c r="E405" s="579"/>
      <c r="F405" s="579"/>
      <c r="G405" s="119"/>
      <c r="J405" s="119"/>
      <c r="K405" s="10"/>
      <c r="L405" s="117"/>
      <c r="M405" s="2"/>
      <c r="N405" s="2"/>
      <c r="O405" s="2"/>
      <c r="P405" s="107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>
      <c r="E406" s="579"/>
      <c r="F406" s="579"/>
      <c r="G406" s="119"/>
      <c r="J406" s="119"/>
      <c r="K406" s="10"/>
      <c r="L406" s="117"/>
      <c r="M406" s="2"/>
      <c r="N406" s="2"/>
      <c r="O406" s="2"/>
      <c r="P406" s="107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>
      <c r="E407" s="579"/>
      <c r="F407" s="579"/>
      <c r="G407" s="119"/>
      <c r="J407" s="119"/>
      <c r="K407" s="10"/>
      <c r="L407" s="117"/>
      <c r="M407" s="2"/>
      <c r="N407" s="2"/>
      <c r="O407" s="2"/>
      <c r="P407" s="107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>
      <c r="E408" s="579"/>
      <c r="F408" s="579"/>
      <c r="G408" s="119"/>
      <c r="J408" s="119"/>
      <c r="K408" s="10"/>
      <c r="L408" s="117"/>
      <c r="M408" s="2"/>
      <c r="N408" s="2"/>
      <c r="O408" s="2"/>
      <c r="P408" s="107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>
      <c r="E409" s="579"/>
      <c r="F409" s="579"/>
      <c r="G409" s="119"/>
      <c r="J409" s="119"/>
      <c r="K409" s="10"/>
      <c r="L409" s="117"/>
      <c r="M409" s="2"/>
      <c r="N409" s="2"/>
      <c r="O409" s="2"/>
      <c r="P409" s="107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>
      <c r="E410" s="579"/>
      <c r="F410" s="579"/>
      <c r="G410" s="119"/>
      <c r="J410" s="119"/>
      <c r="K410" s="10"/>
      <c r="L410" s="117"/>
      <c r="M410" s="2"/>
      <c r="N410" s="2"/>
      <c r="O410" s="2"/>
      <c r="P410" s="107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>
      <c r="E411" s="579"/>
      <c r="F411" s="579"/>
      <c r="G411" s="119"/>
      <c r="J411" s="119"/>
      <c r="K411" s="10"/>
      <c r="L411" s="117"/>
      <c r="M411" s="2"/>
      <c r="N411" s="2"/>
      <c r="O411" s="2"/>
      <c r="P411" s="107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>
      <c r="E412" s="579"/>
      <c r="F412" s="579"/>
      <c r="G412" s="119"/>
      <c r="J412" s="119"/>
      <c r="K412" s="10"/>
      <c r="L412" s="117"/>
      <c r="M412" s="2"/>
      <c r="N412" s="2"/>
      <c r="O412" s="2"/>
      <c r="P412" s="107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>
      <c r="E413" s="579"/>
      <c r="F413" s="579"/>
      <c r="G413" s="119"/>
      <c r="J413" s="119"/>
      <c r="K413" s="10"/>
      <c r="L413" s="117"/>
      <c r="M413" s="2"/>
      <c r="N413" s="2"/>
      <c r="O413" s="2"/>
      <c r="P413" s="107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>
      <c r="E414" s="579"/>
      <c r="F414" s="579"/>
      <c r="G414" s="119"/>
      <c r="J414" s="119"/>
      <c r="K414" s="10"/>
      <c r="L414" s="117"/>
      <c r="M414" s="2"/>
      <c r="N414" s="2"/>
      <c r="O414" s="2"/>
      <c r="P414" s="107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>
      <c r="E415" s="579"/>
      <c r="F415" s="579"/>
      <c r="G415" s="119"/>
      <c r="J415" s="119"/>
      <c r="K415" s="10"/>
      <c r="L415" s="117"/>
      <c r="M415" s="2"/>
      <c r="N415" s="2"/>
      <c r="O415" s="2"/>
      <c r="P415" s="107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>
      <c r="E416" s="579"/>
      <c r="F416" s="579"/>
      <c r="G416" s="119"/>
      <c r="J416" s="119"/>
      <c r="K416" s="10"/>
      <c r="L416" s="117"/>
      <c r="M416" s="2"/>
      <c r="N416" s="2"/>
      <c r="O416" s="2"/>
      <c r="P416" s="107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>
      <c r="E417" s="579"/>
      <c r="F417" s="579"/>
      <c r="G417" s="119"/>
      <c r="J417" s="119"/>
      <c r="K417" s="10"/>
      <c r="L417" s="117"/>
      <c r="M417" s="2"/>
      <c r="N417" s="2"/>
      <c r="O417" s="2"/>
      <c r="P417" s="107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>
      <c r="E418" s="579"/>
      <c r="F418" s="579"/>
      <c r="G418" s="119"/>
      <c r="J418" s="119"/>
      <c r="K418" s="10"/>
      <c r="L418" s="117"/>
      <c r="M418" s="2"/>
      <c r="N418" s="2"/>
      <c r="O418" s="2"/>
      <c r="P418" s="107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>
      <c r="E419" s="579"/>
      <c r="F419" s="579"/>
      <c r="G419" s="119"/>
      <c r="J419" s="119"/>
      <c r="K419" s="10"/>
      <c r="L419" s="117"/>
      <c r="M419" s="2"/>
      <c r="N419" s="2"/>
      <c r="O419" s="2"/>
      <c r="P419" s="107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>
      <c r="E420" s="579"/>
      <c r="F420" s="579"/>
      <c r="G420" s="119"/>
      <c r="J420" s="119"/>
      <c r="K420" s="10"/>
      <c r="L420" s="117"/>
      <c r="M420" s="2"/>
      <c r="N420" s="2"/>
      <c r="O420" s="2"/>
      <c r="P420" s="107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>
      <c r="E421" s="579"/>
      <c r="F421" s="579"/>
      <c r="G421" s="119"/>
      <c r="J421" s="119"/>
      <c r="K421" s="10"/>
      <c r="L421" s="117"/>
      <c r="M421" s="2"/>
      <c r="N421" s="2"/>
      <c r="O421" s="2"/>
      <c r="P421" s="107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>
      <c r="E422" s="579"/>
      <c r="F422" s="579"/>
      <c r="G422" s="119"/>
      <c r="J422" s="119"/>
      <c r="K422" s="10"/>
      <c r="L422" s="117"/>
      <c r="M422" s="2"/>
      <c r="N422" s="2"/>
      <c r="O422" s="2"/>
      <c r="P422" s="107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>
      <c r="E423" s="579"/>
      <c r="F423" s="579"/>
      <c r="G423" s="119"/>
      <c r="J423" s="119"/>
      <c r="K423" s="10"/>
      <c r="L423" s="117"/>
      <c r="M423" s="2"/>
      <c r="N423" s="2"/>
      <c r="O423" s="2"/>
      <c r="P423" s="107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>
      <c r="E424" s="579"/>
      <c r="F424" s="579"/>
      <c r="G424" s="119"/>
      <c r="J424" s="119"/>
      <c r="K424" s="10"/>
      <c r="L424" s="117"/>
      <c r="M424" s="2"/>
      <c r="N424" s="2"/>
      <c r="O424" s="2"/>
      <c r="P424" s="107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>
      <c r="E425" s="579"/>
      <c r="F425" s="579"/>
      <c r="G425" s="119"/>
      <c r="J425" s="119"/>
      <c r="K425" s="10"/>
      <c r="L425" s="117"/>
      <c r="M425" s="2"/>
      <c r="N425" s="2"/>
      <c r="O425" s="2"/>
      <c r="P425" s="107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>
      <c r="E426" s="579"/>
      <c r="F426" s="579"/>
      <c r="G426" s="119"/>
      <c r="J426" s="119"/>
      <c r="K426" s="10"/>
      <c r="L426" s="117"/>
      <c r="M426" s="2"/>
      <c r="N426" s="2"/>
      <c r="O426" s="2"/>
      <c r="P426" s="107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>
      <c r="E427" s="579"/>
      <c r="F427" s="579"/>
      <c r="G427" s="119"/>
      <c r="J427" s="119"/>
      <c r="K427" s="10"/>
      <c r="L427" s="117"/>
      <c r="M427" s="2"/>
      <c r="N427" s="2"/>
      <c r="O427" s="2"/>
      <c r="P427" s="107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>
      <c r="E428" s="579"/>
      <c r="F428" s="579"/>
      <c r="G428" s="119"/>
      <c r="J428" s="119"/>
      <c r="K428" s="10"/>
      <c r="L428" s="117"/>
      <c r="M428" s="2"/>
      <c r="N428" s="2"/>
      <c r="O428" s="2"/>
      <c r="P428" s="107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>
      <c r="E429" s="579"/>
      <c r="F429" s="579"/>
      <c r="G429" s="119"/>
      <c r="J429" s="119"/>
      <c r="K429" s="10"/>
      <c r="L429" s="117"/>
      <c r="M429" s="2"/>
      <c r="N429" s="2"/>
      <c r="O429" s="2"/>
      <c r="P429" s="107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>
      <c r="E430" s="579"/>
      <c r="F430" s="579"/>
      <c r="G430" s="119"/>
      <c r="J430" s="119"/>
      <c r="K430" s="10"/>
      <c r="L430" s="117"/>
      <c r="M430" s="2"/>
      <c r="N430" s="2"/>
      <c r="O430" s="2"/>
      <c r="P430" s="107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>
      <c r="E431" s="579"/>
      <c r="F431" s="579"/>
      <c r="G431" s="119"/>
      <c r="J431" s="119"/>
      <c r="K431" s="10"/>
      <c r="L431" s="117"/>
      <c r="M431" s="2"/>
      <c r="N431" s="2"/>
      <c r="O431" s="2"/>
      <c r="P431" s="107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>
      <c r="E432" s="579"/>
      <c r="F432" s="579"/>
      <c r="G432" s="119"/>
      <c r="J432" s="119"/>
      <c r="K432" s="10"/>
      <c r="L432" s="117"/>
      <c r="M432" s="2"/>
      <c r="N432" s="2"/>
      <c r="O432" s="2"/>
      <c r="P432" s="107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>
      <c r="E433" s="579"/>
      <c r="F433" s="579"/>
      <c r="G433" s="119"/>
      <c r="J433" s="119"/>
      <c r="K433" s="10"/>
      <c r="L433" s="117"/>
      <c r="M433" s="2"/>
      <c r="N433" s="2"/>
      <c r="O433" s="2"/>
      <c r="P433" s="107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>
      <c r="E434" s="579"/>
      <c r="F434" s="579"/>
      <c r="G434" s="119"/>
      <c r="J434" s="119"/>
      <c r="K434" s="10"/>
      <c r="L434" s="117"/>
      <c r="M434" s="2"/>
      <c r="N434" s="2"/>
      <c r="O434" s="2"/>
      <c r="P434" s="107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>
      <c r="E435" s="579"/>
      <c r="F435" s="579"/>
      <c r="G435" s="119"/>
      <c r="J435" s="119"/>
      <c r="K435" s="10"/>
      <c r="L435" s="117"/>
      <c r="M435" s="2"/>
      <c r="N435" s="2"/>
      <c r="O435" s="2"/>
      <c r="P435" s="107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>
      <c r="E436" s="579"/>
      <c r="F436" s="579"/>
      <c r="G436" s="119"/>
      <c r="J436" s="119"/>
      <c r="K436" s="10"/>
      <c r="L436" s="117"/>
      <c r="M436" s="2"/>
      <c r="N436" s="2"/>
      <c r="O436" s="2"/>
      <c r="P436" s="107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>
      <c r="E437" s="579"/>
      <c r="F437" s="579"/>
      <c r="G437" s="119"/>
      <c r="J437" s="119"/>
      <c r="K437" s="10"/>
      <c r="L437" s="117"/>
      <c r="M437" s="2"/>
      <c r="N437" s="2"/>
      <c r="O437" s="2"/>
      <c r="P437" s="107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>
      <c r="E438" s="579"/>
      <c r="F438" s="579"/>
      <c r="G438" s="119"/>
      <c r="J438" s="119"/>
      <c r="K438" s="10"/>
      <c r="L438" s="117"/>
      <c r="M438" s="2"/>
      <c r="N438" s="2"/>
      <c r="O438" s="2"/>
      <c r="P438" s="107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>
      <c r="E439" s="579"/>
      <c r="F439" s="579"/>
      <c r="G439" s="119"/>
      <c r="J439" s="119"/>
      <c r="K439" s="10"/>
      <c r="L439" s="117"/>
      <c r="M439" s="2"/>
      <c r="N439" s="2"/>
      <c r="O439" s="2"/>
      <c r="P439" s="107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>
      <c r="E440" s="579"/>
      <c r="F440" s="579"/>
      <c r="G440" s="119"/>
      <c r="J440" s="119"/>
      <c r="K440" s="10"/>
      <c r="L440" s="117"/>
      <c r="M440" s="2"/>
      <c r="N440" s="2"/>
      <c r="O440" s="2"/>
      <c r="P440" s="107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>
      <c r="E441" s="579"/>
      <c r="F441" s="579"/>
      <c r="G441" s="119"/>
      <c r="J441" s="119"/>
      <c r="K441" s="10"/>
      <c r="L441" s="117"/>
      <c r="M441" s="2"/>
      <c r="N441" s="2"/>
      <c r="O441" s="2"/>
      <c r="P441" s="107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>
      <c r="E442" s="579"/>
      <c r="F442" s="579"/>
      <c r="G442" s="119"/>
      <c r="J442" s="119"/>
      <c r="K442" s="10"/>
      <c r="L442" s="117"/>
      <c r="M442" s="2"/>
      <c r="N442" s="2"/>
      <c r="O442" s="2"/>
      <c r="P442" s="107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>
      <c r="E443" s="579"/>
      <c r="F443" s="579"/>
      <c r="G443" s="119"/>
      <c r="J443" s="119"/>
      <c r="K443" s="10"/>
      <c r="L443" s="117"/>
      <c r="M443" s="2"/>
      <c r="N443" s="2"/>
      <c r="O443" s="2"/>
      <c r="P443" s="107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>
      <c r="E444" s="579"/>
      <c r="F444" s="579"/>
      <c r="G444" s="119"/>
      <c r="J444" s="119"/>
      <c r="K444" s="10"/>
      <c r="L444" s="117"/>
      <c r="M444" s="2"/>
      <c r="N444" s="2"/>
      <c r="O444" s="2"/>
      <c r="P444" s="107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>
      <c r="E445" s="579"/>
      <c r="F445" s="579"/>
      <c r="G445" s="119"/>
      <c r="J445" s="119"/>
      <c r="K445" s="10"/>
      <c r="L445" s="117"/>
      <c r="M445" s="2"/>
      <c r="N445" s="2"/>
      <c r="O445" s="2"/>
      <c r="P445" s="107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>
      <c r="E446" s="579"/>
      <c r="F446" s="579"/>
      <c r="G446" s="119"/>
      <c r="J446" s="119"/>
      <c r="K446" s="10"/>
      <c r="L446" s="117"/>
      <c r="M446" s="2"/>
      <c r="N446" s="2"/>
      <c r="O446" s="2"/>
      <c r="P446" s="107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>
      <c r="E447" s="579"/>
      <c r="F447" s="579"/>
      <c r="G447" s="119"/>
      <c r="J447" s="119"/>
      <c r="K447" s="10"/>
      <c r="L447" s="117"/>
      <c r="M447" s="2"/>
      <c r="N447" s="2"/>
      <c r="O447" s="2"/>
      <c r="P447" s="107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>
      <c r="E448" s="579"/>
      <c r="F448" s="579"/>
      <c r="G448" s="119"/>
      <c r="J448" s="119"/>
      <c r="K448" s="10"/>
      <c r="L448" s="117"/>
      <c r="M448" s="2"/>
      <c r="N448" s="2"/>
      <c r="O448" s="2"/>
      <c r="P448" s="107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>
      <c r="E449" s="798"/>
      <c r="F449" s="798"/>
      <c r="G449" s="119"/>
      <c r="J449" s="119"/>
      <c r="K449" s="10"/>
      <c r="L449" s="117"/>
      <c r="M449" s="2"/>
      <c r="N449" s="2"/>
      <c r="O449" s="2"/>
      <c r="P449" s="107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>
      <c r="E450" s="798"/>
      <c r="F450" s="798"/>
      <c r="G450" s="119"/>
      <c r="J450" s="119"/>
      <c r="K450" s="10"/>
      <c r="L450" s="117"/>
      <c r="M450" s="2"/>
      <c r="N450" s="2"/>
      <c r="O450" s="2"/>
      <c r="P450" s="107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>
      <c r="E451" s="798"/>
      <c r="F451" s="798"/>
      <c r="G451" s="119"/>
      <c r="J451" s="119"/>
      <c r="K451" s="10"/>
      <c r="L451" s="117"/>
      <c r="M451" s="2"/>
      <c r="N451" s="2"/>
      <c r="O451" s="2"/>
      <c r="P451" s="107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>
      <c r="E452" s="798"/>
      <c r="F452" s="798"/>
      <c r="G452" s="119"/>
      <c r="J452" s="119"/>
      <c r="K452" s="10"/>
      <c r="L452" s="117"/>
      <c r="M452" s="2"/>
      <c r="N452" s="2"/>
      <c r="O452" s="2"/>
      <c r="P452" s="107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>
      <c r="E453" s="798"/>
      <c r="F453" s="798"/>
      <c r="G453" s="119"/>
      <c r="J453" s="119"/>
      <c r="K453" s="10"/>
      <c r="L453" s="117"/>
      <c r="M453" s="2"/>
      <c r="N453" s="2"/>
      <c r="O453" s="2"/>
      <c r="P453" s="107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>
      <c r="E454" s="798"/>
      <c r="F454" s="798"/>
      <c r="G454" s="119"/>
      <c r="J454" s="119"/>
      <c r="K454" s="10"/>
      <c r="L454" s="117"/>
      <c r="M454" s="2"/>
      <c r="N454" s="2"/>
      <c r="O454" s="2"/>
      <c r="P454" s="107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>
      <c r="E455" s="798"/>
      <c r="F455" s="798"/>
      <c r="G455" s="119"/>
      <c r="J455" s="119"/>
      <c r="K455" s="10"/>
      <c r="L455" s="117"/>
      <c r="M455" s="2"/>
      <c r="N455" s="2"/>
      <c r="O455" s="2"/>
      <c r="P455" s="107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>
      <c r="E456" s="798"/>
      <c r="F456" s="798"/>
      <c r="G456" s="119"/>
      <c r="J456" s="119"/>
      <c r="K456" s="10"/>
      <c r="L456" s="117"/>
      <c r="M456" s="2"/>
      <c r="N456" s="2"/>
      <c r="O456" s="2"/>
      <c r="P456" s="107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>
      <c r="E457" s="798"/>
      <c r="F457" s="798"/>
      <c r="G457" s="119"/>
      <c r="J457" s="119"/>
      <c r="K457" s="10"/>
      <c r="L457" s="117"/>
      <c r="M457" s="2"/>
      <c r="N457" s="2"/>
      <c r="O457" s="2"/>
      <c r="P457" s="107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>
      <c r="E458" s="798"/>
      <c r="F458" s="798"/>
      <c r="G458" s="119"/>
      <c r="J458" s="119"/>
      <c r="K458" s="10"/>
      <c r="L458" s="117"/>
      <c r="M458" s="2"/>
      <c r="N458" s="2"/>
      <c r="O458" s="2"/>
      <c r="P458" s="107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>
      <c r="E459" s="798"/>
      <c r="F459" s="798"/>
      <c r="G459" s="119"/>
      <c r="J459" s="119"/>
      <c r="K459" s="10"/>
      <c r="L459" s="117"/>
      <c r="M459" s="2"/>
      <c r="N459" s="2"/>
      <c r="O459" s="2"/>
      <c r="P459" s="107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>
      <c r="E460" s="798"/>
      <c r="F460" s="798"/>
      <c r="G460" s="119"/>
      <c r="J460" s="119"/>
      <c r="K460" s="10"/>
      <c r="L460" s="117"/>
      <c r="M460" s="2"/>
      <c r="N460" s="2"/>
      <c r="O460" s="2"/>
      <c r="P460" s="107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>
      <c r="E461" s="798"/>
      <c r="F461" s="798"/>
      <c r="G461" s="119"/>
      <c r="J461" s="119"/>
      <c r="K461" s="10"/>
      <c r="L461" s="117"/>
      <c r="M461" s="2"/>
      <c r="N461" s="2"/>
      <c r="O461" s="2"/>
      <c r="P461" s="107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>
      <c r="E462" s="798"/>
      <c r="F462" s="798"/>
      <c r="G462" s="119"/>
      <c r="J462" s="119"/>
      <c r="K462" s="10"/>
      <c r="L462" s="117"/>
      <c r="M462" s="2"/>
      <c r="N462" s="2"/>
      <c r="O462" s="2"/>
      <c r="P462" s="107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>
      <c r="E463" s="798"/>
      <c r="F463" s="798"/>
      <c r="G463" s="119"/>
      <c r="J463" s="119"/>
      <c r="K463" s="10"/>
      <c r="L463" s="117"/>
      <c r="M463" s="2"/>
      <c r="N463" s="2"/>
      <c r="O463" s="2"/>
      <c r="P463" s="107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>
      <c r="E464" s="798"/>
      <c r="F464" s="798"/>
      <c r="G464" s="119"/>
      <c r="J464" s="119"/>
      <c r="K464" s="10"/>
      <c r="L464" s="117"/>
      <c r="M464" s="2"/>
      <c r="N464" s="2"/>
      <c r="O464" s="2"/>
      <c r="P464" s="107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>
      <c r="E465" s="798"/>
      <c r="F465" s="798"/>
      <c r="G465" s="119"/>
      <c r="J465" s="119"/>
      <c r="K465" s="10"/>
      <c r="L465" s="117"/>
      <c r="M465" s="2"/>
      <c r="N465" s="2"/>
      <c r="O465" s="2"/>
      <c r="P465" s="107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>
      <c r="E466" s="798"/>
      <c r="F466" s="798"/>
      <c r="G466" s="119"/>
      <c r="J466" s="119"/>
      <c r="K466" s="10"/>
      <c r="L466" s="117"/>
      <c r="M466" s="2"/>
      <c r="N466" s="2"/>
      <c r="O466" s="2"/>
      <c r="P466" s="107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>
      <c r="E467" s="798"/>
      <c r="F467" s="798"/>
      <c r="G467" s="119"/>
      <c r="J467" s="119"/>
      <c r="K467" s="10"/>
      <c r="L467" s="117"/>
      <c r="M467" s="2"/>
      <c r="N467" s="2"/>
      <c r="O467" s="2"/>
      <c r="P467" s="107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>
      <c r="E468" s="798"/>
      <c r="F468" s="798"/>
      <c r="G468" s="119"/>
      <c r="J468" s="119"/>
      <c r="K468" s="10"/>
      <c r="L468" s="117"/>
      <c r="M468" s="2"/>
      <c r="N468" s="2"/>
      <c r="O468" s="2"/>
      <c r="P468" s="107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>
      <c r="E469" s="798"/>
      <c r="F469" s="798"/>
      <c r="G469" s="119"/>
      <c r="J469" s="119"/>
      <c r="K469" s="10"/>
      <c r="L469" s="117"/>
      <c r="M469" s="2"/>
      <c r="N469" s="2"/>
      <c r="O469" s="2"/>
      <c r="P469" s="107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>
      <c r="E470" s="798"/>
      <c r="F470" s="798"/>
      <c r="G470" s="119"/>
      <c r="J470" s="119"/>
      <c r="K470" s="10"/>
      <c r="L470" s="117"/>
      <c r="M470" s="2"/>
      <c r="N470" s="2"/>
      <c r="O470" s="2"/>
      <c r="P470" s="107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>
      <c r="E471" s="798"/>
      <c r="F471" s="798"/>
      <c r="G471" s="119"/>
      <c r="J471" s="119"/>
      <c r="K471" s="10"/>
      <c r="L471" s="117"/>
      <c r="M471" s="2"/>
      <c r="N471" s="2"/>
      <c r="O471" s="2"/>
      <c r="P471" s="107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>
      <c r="E472" s="798"/>
      <c r="F472" s="798"/>
      <c r="G472" s="119"/>
      <c r="J472" s="119"/>
      <c r="K472" s="10"/>
      <c r="L472" s="117"/>
      <c r="M472" s="2"/>
      <c r="N472" s="2"/>
      <c r="O472" s="2"/>
      <c r="P472" s="107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>
      <c r="E473" s="798"/>
      <c r="F473" s="798"/>
      <c r="G473" s="119"/>
      <c r="J473" s="119"/>
      <c r="K473" s="10"/>
      <c r="L473" s="117"/>
      <c r="M473" s="2"/>
      <c r="N473" s="2"/>
      <c r="O473" s="2"/>
      <c r="P473" s="107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>
      <c r="E474" s="798"/>
      <c r="F474" s="798"/>
      <c r="G474" s="119"/>
      <c r="J474" s="119"/>
      <c r="K474" s="10"/>
      <c r="L474" s="117"/>
      <c r="M474" s="2"/>
      <c r="N474" s="2"/>
      <c r="O474" s="2"/>
      <c r="P474" s="107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>
      <c r="E475" s="798"/>
      <c r="F475" s="798"/>
      <c r="G475" s="119"/>
      <c r="J475" s="119"/>
      <c r="K475" s="10"/>
      <c r="L475" s="117"/>
      <c r="M475" s="2"/>
      <c r="N475" s="2"/>
      <c r="O475" s="2"/>
      <c r="P475" s="107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>
      <c r="E476" s="798"/>
      <c r="F476" s="798"/>
      <c r="G476" s="119"/>
      <c r="J476" s="119"/>
      <c r="K476" s="10"/>
      <c r="L476" s="117"/>
      <c r="M476" s="2"/>
      <c r="N476" s="2"/>
      <c r="O476" s="2"/>
      <c r="P476" s="107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>
      <c r="E477" s="798"/>
      <c r="F477" s="798"/>
      <c r="G477" s="119"/>
      <c r="J477" s="119"/>
      <c r="K477" s="10"/>
      <c r="L477" s="117"/>
      <c r="M477" s="2"/>
      <c r="N477" s="2"/>
      <c r="O477" s="2"/>
      <c r="P477" s="107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>
      <c r="E478" s="798"/>
      <c r="F478" s="798"/>
      <c r="G478" s="119"/>
      <c r="J478" s="119"/>
      <c r="K478" s="10"/>
      <c r="L478" s="117"/>
      <c r="M478" s="2"/>
      <c r="N478" s="2"/>
      <c r="O478" s="2"/>
      <c r="P478" s="107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>
      <c r="E479" s="798"/>
      <c r="F479" s="798"/>
      <c r="G479" s="119"/>
      <c r="J479" s="119"/>
      <c r="K479" s="10"/>
      <c r="L479" s="117"/>
      <c r="M479" s="2"/>
      <c r="N479" s="2"/>
      <c r="O479" s="2"/>
      <c r="P479" s="107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>
      <c r="E480" s="798"/>
      <c r="F480" s="798"/>
      <c r="G480" s="119"/>
      <c r="J480" s="119"/>
      <c r="K480" s="10"/>
      <c r="L480" s="117"/>
      <c r="M480" s="2"/>
      <c r="N480" s="2"/>
      <c r="O480" s="2"/>
      <c r="P480" s="107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>
      <c r="E481" s="798"/>
      <c r="F481" s="798"/>
      <c r="G481" s="119"/>
      <c r="J481" s="119"/>
      <c r="K481" s="10"/>
      <c r="L481" s="117"/>
      <c r="M481" s="2"/>
      <c r="N481" s="2"/>
      <c r="O481" s="2"/>
      <c r="P481" s="107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>
      <c r="E482" s="798"/>
      <c r="F482" s="798"/>
      <c r="G482" s="119"/>
      <c r="J482" s="119"/>
      <c r="K482" s="10"/>
      <c r="L482" s="117"/>
      <c r="M482" s="2"/>
      <c r="N482" s="2"/>
      <c r="O482" s="2"/>
      <c r="P482" s="107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>
      <c r="E483" s="798"/>
      <c r="F483" s="798"/>
      <c r="G483" s="119"/>
      <c r="J483" s="119"/>
      <c r="K483" s="10"/>
      <c r="L483" s="117"/>
      <c r="M483" s="2"/>
      <c r="N483" s="2"/>
      <c r="O483" s="2"/>
      <c r="P483" s="107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>
      <c r="E484" s="798"/>
      <c r="F484" s="798"/>
      <c r="G484" s="119"/>
      <c r="J484" s="119"/>
      <c r="K484" s="10"/>
      <c r="L484" s="117"/>
      <c r="M484" s="2"/>
      <c r="N484" s="2"/>
      <c r="O484" s="2"/>
      <c r="P484" s="107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>
      <c r="E485" s="798"/>
      <c r="F485" s="798"/>
      <c r="G485" s="119"/>
      <c r="J485" s="119"/>
      <c r="K485" s="10"/>
      <c r="L485" s="117"/>
      <c r="M485" s="2"/>
      <c r="N485" s="2"/>
      <c r="O485" s="2"/>
      <c r="P485" s="107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>
      <c r="E486" s="798"/>
      <c r="F486" s="798"/>
      <c r="G486" s="119"/>
      <c r="J486" s="119"/>
      <c r="K486" s="10"/>
      <c r="L486" s="117"/>
      <c r="M486" s="2"/>
      <c r="N486" s="2"/>
      <c r="O486" s="2"/>
      <c r="P486" s="107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>
      <c r="E487" s="798"/>
      <c r="F487" s="798"/>
      <c r="G487" s="119"/>
      <c r="J487" s="119"/>
      <c r="K487" s="10"/>
      <c r="L487" s="117"/>
      <c r="M487" s="2"/>
      <c r="N487" s="2"/>
      <c r="O487" s="2"/>
      <c r="P487" s="107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>
      <c r="E488" s="798"/>
      <c r="F488" s="798"/>
      <c r="G488" s="119"/>
      <c r="J488" s="119"/>
      <c r="K488" s="10"/>
      <c r="L488" s="117"/>
      <c r="M488" s="2"/>
      <c r="N488" s="2"/>
      <c r="O488" s="2"/>
      <c r="P488" s="107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>
      <c r="E489" s="798"/>
      <c r="F489" s="798"/>
      <c r="G489" s="119"/>
      <c r="J489" s="119"/>
      <c r="K489" s="10"/>
      <c r="L489" s="117"/>
      <c r="M489" s="2"/>
      <c r="N489" s="2"/>
      <c r="O489" s="2"/>
      <c r="P489" s="107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>
      <c r="E490" s="798"/>
      <c r="F490" s="798"/>
      <c r="G490" s="119"/>
      <c r="J490" s="119"/>
      <c r="K490" s="10"/>
      <c r="L490" s="117"/>
      <c r="M490" s="2"/>
      <c r="N490" s="2"/>
      <c r="O490" s="2"/>
      <c r="P490" s="107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>
      <c r="E491" s="798"/>
      <c r="F491" s="798"/>
      <c r="G491" s="119"/>
      <c r="J491" s="119"/>
      <c r="K491" s="10"/>
      <c r="L491" s="117"/>
      <c r="M491" s="2"/>
      <c r="N491" s="2"/>
      <c r="O491" s="2"/>
      <c r="P491" s="107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>
      <c r="E492" s="798"/>
      <c r="F492" s="798"/>
      <c r="G492" s="119"/>
      <c r="J492" s="119"/>
      <c r="K492" s="10"/>
      <c r="L492" s="117"/>
      <c r="M492" s="2"/>
      <c r="N492" s="2"/>
      <c r="O492" s="2"/>
      <c r="P492" s="107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>
      <c r="E493" s="798"/>
      <c r="F493" s="798"/>
      <c r="G493" s="119"/>
      <c r="J493" s="119"/>
      <c r="K493" s="10"/>
      <c r="L493" s="117"/>
      <c r="M493" s="2"/>
      <c r="N493" s="2"/>
      <c r="O493" s="2"/>
      <c r="P493" s="107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>
      <c r="E494" s="798"/>
      <c r="F494" s="798"/>
      <c r="G494" s="119"/>
      <c r="J494" s="119"/>
      <c r="K494" s="10"/>
      <c r="L494" s="117"/>
      <c r="M494" s="2"/>
      <c r="N494" s="2"/>
      <c r="O494" s="2"/>
      <c r="P494" s="107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>
      <c r="E495" s="798"/>
      <c r="F495" s="798"/>
      <c r="G495" s="119"/>
      <c r="J495" s="119"/>
      <c r="K495" s="10"/>
      <c r="L495" s="117"/>
      <c r="M495" s="2"/>
      <c r="N495" s="2"/>
      <c r="O495" s="2"/>
      <c r="P495" s="107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>
      <c r="E496" s="798"/>
      <c r="F496" s="798"/>
      <c r="G496" s="119"/>
      <c r="J496" s="119"/>
      <c r="K496" s="10"/>
      <c r="L496" s="117"/>
      <c r="M496" s="2"/>
      <c r="N496" s="2"/>
      <c r="O496" s="2"/>
      <c r="P496" s="107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>
      <c r="E497" s="798"/>
      <c r="F497" s="798"/>
      <c r="G497" s="119"/>
      <c r="J497" s="119"/>
      <c r="K497" s="10"/>
      <c r="L497" s="117"/>
      <c r="M497" s="2"/>
      <c r="N497" s="2"/>
      <c r="O497" s="2"/>
      <c r="P497" s="107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>
      <c r="E498" s="798"/>
      <c r="F498" s="798"/>
      <c r="G498" s="119"/>
      <c r="J498" s="119"/>
      <c r="K498" s="10"/>
      <c r="L498" s="117"/>
      <c r="M498" s="2"/>
      <c r="N498" s="2"/>
      <c r="O498" s="2"/>
      <c r="P498" s="107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>
      <c r="E499" s="798"/>
      <c r="F499" s="798"/>
      <c r="G499" s="119"/>
      <c r="J499" s="119"/>
      <c r="K499" s="10"/>
      <c r="L499" s="117"/>
      <c r="M499" s="2"/>
      <c r="N499" s="2"/>
      <c r="O499" s="2"/>
      <c r="P499" s="107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>
      <c r="E500" s="798"/>
      <c r="F500" s="798"/>
      <c r="G500" s="119"/>
      <c r="J500" s="119"/>
      <c r="K500" s="10"/>
      <c r="L500" s="117"/>
      <c r="M500" s="2"/>
      <c r="N500" s="2"/>
      <c r="O500" s="2"/>
      <c r="P500" s="107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>
      <c r="E501" s="798"/>
      <c r="F501" s="798"/>
      <c r="G501" s="119"/>
      <c r="J501" s="119"/>
      <c r="K501" s="10"/>
      <c r="L501" s="117"/>
      <c r="M501" s="2"/>
      <c r="N501" s="2"/>
      <c r="O501" s="2"/>
      <c r="P501" s="107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>
      <c r="E502" s="798"/>
      <c r="F502" s="798"/>
      <c r="G502" s="119"/>
      <c r="J502" s="119"/>
      <c r="K502" s="10"/>
      <c r="L502" s="117"/>
      <c r="M502" s="2"/>
      <c r="N502" s="2"/>
      <c r="O502" s="2"/>
      <c r="P502" s="107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>
      <c r="E503" s="798"/>
      <c r="F503" s="798"/>
      <c r="G503" s="119"/>
      <c r="J503" s="119"/>
      <c r="K503" s="10"/>
      <c r="L503" s="117"/>
      <c r="M503" s="2"/>
      <c r="N503" s="2"/>
      <c r="O503" s="2"/>
      <c r="P503" s="107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>
      <c r="E504" s="798"/>
      <c r="F504" s="798"/>
      <c r="G504" s="119"/>
      <c r="J504" s="119"/>
      <c r="K504" s="10"/>
      <c r="L504" s="117"/>
      <c r="M504" s="2"/>
      <c r="N504" s="2"/>
      <c r="O504" s="2"/>
      <c r="P504" s="107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>
      <c r="E505" s="798"/>
      <c r="F505" s="798"/>
      <c r="G505" s="119"/>
      <c r="J505" s="119"/>
      <c r="K505" s="10"/>
      <c r="L505" s="117"/>
      <c r="M505" s="2"/>
      <c r="N505" s="2"/>
      <c r="O505" s="2"/>
      <c r="P505" s="107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>
      <c r="E506" s="798"/>
      <c r="F506" s="798"/>
      <c r="G506" s="119"/>
      <c r="J506" s="119"/>
      <c r="K506" s="10"/>
      <c r="L506" s="117"/>
      <c r="M506" s="2"/>
      <c r="N506" s="2"/>
      <c r="O506" s="2"/>
      <c r="P506" s="107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>
      <c r="E507" s="798"/>
      <c r="F507" s="798"/>
      <c r="G507" s="119"/>
      <c r="J507" s="119"/>
      <c r="K507" s="10"/>
      <c r="L507" s="117"/>
      <c r="M507" s="2"/>
      <c r="N507" s="2"/>
      <c r="O507" s="2"/>
      <c r="P507" s="107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>
      <c r="E508" s="798"/>
      <c r="F508" s="798"/>
      <c r="G508" s="119"/>
      <c r="J508" s="119"/>
      <c r="K508" s="10"/>
      <c r="L508" s="117"/>
      <c r="M508" s="2"/>
      <c r="N508" s="2"/>
      <c r="O508" s="2"/>
      <c r="P508" s="107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>
      <c r="E509" s="798"/>
      <c r="F509" s="798"/>
      <c r="G509" s="119"/>
      <c r="J509" s="119"/>
      <c r="K509" s="10"/>
      <c r="L509" s="117"/>
      <c r="M509" s="2"/>
      <c r="N509" s="2"/>
      <c r="O509" s="2"/>
      <c r="P509" s="107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>
      <c r="E510" s="798"/>
      <c r="F510" s="798"/>
      <c r="G510" s="119"/>
      <c r="J510" s="119"/>
      <c r="K510" s="10"/>
      <c r="L510" s="117"/>
      <c r="M510" s="2"/>
      <c r="N510" s="2"/>
      <c r="O510" s="2"/>
      <c r="P510" s="107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>
      <c r="E511" s="798"/>
      <c r="F511" s="798"/>
      <c r="G511" s="119"/>
      <c r="J511" s="119"/>
      <c r="K511" s="10"/>
      <c r="L511" s="117"/>
      <c r="M511" s="2"/>
      <c r="N511" s="2"/>
      <c r="O511" s="2"/>
      <c r="P511" s="107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>
      <c r="E512" s="798"/>
      <c r="F512" s="798"/>
      <c r="G512" s="119"/>
      <c r="J512" s="119"/>
      <c r="K512" s="10"/>
      <c r="L512" s="117"/>
      <c r="M512" s="2"/>
      <c r="N512" s="2"/>
      <c r="O512" s="2"/>
      <c r="P512" s="107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>
      <c r="E513" s="798"/>
      <c r="F513" s="798"/>
      <c r="G513" s="119"/>
      <c r="J513" s="119"/>
      <c r="K513" s="10"/>
      <c r="L513" s="117"/>
      <c r="M513" s="2"/>
      <c r="N513" s="2"/>
      <c r="O513" s="2"/>
      <c r="P513" s="107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>
      <c r="E514" s="798"/>
      <c r="F514" s="798"/>
      <c r="G514" s="119"/>
      <c r="J514" s="119"/>
      <c r="K514" s="10"/>
      <c r="L514" s="117"/>
      <c r="M514" s="2"/>
      <c r="N514" s="2"/>
      <c r="O514" s="2"/>
      <c r="P514" s="107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>
      <c r="E515" s="798"/>
      <c r="F515" s="798"/>
      <c r="G515" s="119"/>
      <c r="J515" s="119"/>
      <c r="K515" s="10"/>
      <c r="L515" s="117"/>
      <c r="M515" s="2"/>
      <c r="N515" s="2"/>
      <c r="O515" s="2"/>
      <c r="P515" s="107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>
      <c r="E516" s="798"/>
      <c r="F516" s="798"/>
      <c r="G516" s="119"/>
      <c r="J516" s="119"/>
      <c r="K516" s="10"/>
      <c r="L516" s="117"/>
      <c r="M516" s="2"/>
      <c r="N516" s="2"/>
      <c r="O516" s="2"/>
      <c r="P516" s="107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>
      <c r="E517" s="798"/>
      <c r="F517" s="798"/>
      <c r="G517" s="119"/>
      <c r="J517" s="119"/>
      <c r="K517" s="10"/>
      <c r="L517" s="117"/>
      <c r="M517" s="2"/>
      <c r="N517" s="2"/>
      <c r="O517" s="2"/>
      <c r="P517" s="107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>
      <c r="E518" s="798"/>
      <c r="F518" s="798"/>
      <c r="G518" s="119"/>
      <c r="J518" s="119"/>
      <c r="K518" s="10"/>
      <c r="L518" s="117"/>
      <c r="M518" s="2"/>
      <c r="N518" s="2"/>
      <c r="O518" s="2"/>
      <c r="P518" s="107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>
      <c r="E519" s="798"/>
      <c r="F519" s="798"/>
      <c r="G519" s="119"/>
      <c r="J519" s="119"/>
      <c r="K519" s="10"/>
      <c r="L519" s="117"/>
      <c r="M519" s="2"/>
      <c r="N519" s="2"/>
      <c r="O519" s="2"/>
      <c r="P519" s="107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>
      <c r="E520" s="798"/>
      <c r="F520" s="798"/>
      <c r="G520" s="119"/>
      <c r="J520" s="119"/>
      <c r="K520" s="10"/>
      <c r="L520" s="117"/>
      <c r="M520" s="2"/>
      <c r="N520" s="2"/>
      <c r="O520" s="2"/>
      <c r="P520" s="107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>
      <c r="E521" s="798"/>
      <c r="F521" s="798"/>
      <c r="G521" s="119"/>
      <c r="J521" s="119"/>
      <c r="K521" s="10"/>
      <c r="L521" s="117"/>
      <c r="M521" s="2"/>
      <c r="N521" s="2"/>
      <c r="O521" s="2"/>
      <c r="P521" s="107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>
      <c r="E522" s="798"/>
      <c r="F522" s="798"/>
      <c r="G522" s="119"/>
      <c r="J522" s="119"/>
      <c r="K522" s="10"/>
      <c r="L522" s="117"/>
      <c r="M522" s="2"/>
      <c r="N522" s="2"/>
      <c r="O522" s="2"/>
      <c r="P522" s="107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>
      <c r="E523" s="798"/>
      <c r="F523" s="798"/>
      <c r="G523" s="119"/>
      <c r="J523" s="119"/>
      <c r="K523" s="10"/>
      <c r="L523" s="117"/>
      <c r="M523" s="2"/>
      <c r="N523" s="2"/>
      <c r="O523" s="2"/>
      <c r="P523" s="107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>
      <c r="E524" s="798"/>
      <c r="F524" s="798"/>
      <c r="G524" s="119"/>
      <c r="J524" s="119"/>
      <c r="K524" s="10"/>
      <c r="L524" s="117"/>
      <c r="M524" s="2"/>
      <c r="N524" s="2"/>
      <c r="O524" s="2"/>
      <c r="P524" s="107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>
      <c r="E525" s="798"/>
      <c r="F525" s="798"/>
      <c r="G525" s="119"/>
      <c r="J525" s="119"/>
      <c r="K525" s="10"/>
      <c r="L525" s="117"/>
      <c r="M525" s="2"/>
      <c r="N525" s="2"/>
      <c r="O525" s="2"/>
      <c r="P525" s="107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>
      <c r="E526" s="798"/>
      <c r="F526" s="798"/>
      <c r="G526" s="119"/>
      <c r="J526" s="119"/>
      <c r="K526" s="10"/>
      <c r="L526" s="117"/>
      <c r="M526" s="2"/>
      <c r="N526" s="2"/>
      <c r="O526" s="2"/>
      <c r="P526" s="107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>
      <c r="E527" s="798"/>
      <c r="F527" s="798"/>
      <c r="G527" s="119"/>
      <c r="J527" s="119"/>
      <c r="K527" s="10"/>
      <c r="L527" s="117"/>
      <c r="M527" s="2"/>
      <c r="N527" s="2"/>
      <c r="O527" s="2"/>
      <c r="P527" s="107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>
      <c r="E528" s="798"/>
      <c r="F528" s="798"/>
      <c r="G528" s="119"/>
      <c r="J528" s="119"/>
      <c r="K528" s="10"/>
      <c r="L528" s="117"/>
      <c r="M528" s="2"/>
      <c r="N528" s="2"/>
      <c r="O528" s="2"/>
      <c r="P528" s="107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>
      <c r="E529" s="798"/>
      <c r="F529" s="798"/>
      <c r="G529" s="119"/>
      <c r="J529" s="119"/>
      <c r="K529" s="10"/>
      <c r="L529" s="117"/>
      <c r="M529" s="2"/>
      <c r="N529" s="2"/>
      <c r="O529" s="2"/>
      <c r="P529" s="107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>
      <c r="E530" s="798"/>
      <c r="F530" s="798"/>
      <c r="G530" s="119"/>
      <c r="J530" s="119"/>
      <c r="K530" s="10"/>
      <c r="L530" s="117"/>
      <c r="M530" s="2"/>
      <c r="N530" s="2"/>
      <c r="O530" s="2"/>
      <c r="P530" s="107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>
      <c r="E531" s="798"/>
      <c r="F531" s="798"/>
      <c r="G531" s="119"/>
      <c r="J531" s="119"/>
      <c r="K531" s="10"/>
      <c r="L531" s="117"/>
      <c r="M531" s="2"/>
      <c r="N531" s="2"/>
      <c r="O531" s="2"/>
      <c r="P531" s="107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>
      <c r="E532" s="798"/>
      <c r="F532" s="798"/>
      <c r="G532" s="119"/>
      <c r="J532" s="119"/>
      <c r="K532" s="10"/>
      <c r="L532" s="117"/>
      <c r="M532" s="2"/>
      <c r="N532" s="2"/>
      <c r="O532" s="2"/>
      <c r="P532" s="107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>
      <c r="E533" s="798"/>
      <c r="F533" s="798"/>
      <c r="G533" s="119"/>
      <c r="J533" s="119"/>
      <c r="K533" s="10"/>
      <c r="L533" s="117"/>
      <c r="M533" s="2"/>
      <c r="N533" s="2"/>
      <c r="O533" s="2"/>
      <c r="P533" s="107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>
      <c r="E534" s="798"/>
      <c r="F534" s="798"/>
      <c r="G534" s="119"/>
      <c r="J534" s="119"/>
      <c r="K534" s="10"/>
      <c r="L534" s="117"/>
      <c r="M534" s="2"/>
      <c r="N534" s="2"/>
      <c r="O534" s="2"/>
      <c r="P534" s="107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>
      <c r="E535" s="798"/>
      <c r="F535" s="798"/>
      <c r="G535" s="119"/>
      <c r="J535" s="119"/>
      <c r="K535" s="10"/>
      <c r="L535" s="117"/>
      <c r="M535" s="2"/>
      <c r="N535" s="2"/>
      <c r="O535" s="2"/>
      <c r="P535" s="107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>
      <c r="E536" s="798"/>
      <c r="F536" s="798"/>
      <c r="G536" s="119"/>
      <c r="J536" s="119"/>
      <c r="K536" s="10"/>
      <c r="L536" s="117"/>
      <c r="M536" s="2"/>
      <c r="N536" s="2"/>
      <c r="O536" s="2"/>
      <c r="P536" s="107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>
      <c r="E537" s="798"/>
      <c r="F537" s="798"/>
      <c r="G537" s="119"/>
      <c r="J537" s="119"/>
      <c r="K537" s="10"/>
      <c r="L537" s="117"/>
      <c r="M537" s="2"/>
      <c r="N537" s="2"/>
      <c r="O537" s="2"/>
      <c r="P537" s="107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>
      <c r="E538" s="798"/>
      <c r="F538" s="798"/>
      <c r="G538" s="119"/>
      <c r="J538" s="119"/>
      <c r="K538" s="10"/>
      <c r="L538" s="117"/>
      <c r="M538" s="2"/>
      <c r="N538" s="2"/>
      <c r="O538" s="2"/>
      <c r="P538" s="107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>
      <c r="E539" s="798"/>
      <c r="F539" s="798"/>
      <c r="G539" s="119"/>
      <c r="J539" s="119"/>
      <c r="K539" s="10"/>
      <c r="L539" s="117"/>
      <c r="M539" s="2"/>
      <c r="N539" s="2"/>
      <c r="O539" s="2"/>
      <c r="P539" s="107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>
      <c r="E540" s="798"/>
      <c r="F540" s="798"/>
      <c r="G540" s="119"/>
      <c r="J540" s="119"/>
      <c r="K540" s="10"/>
      <c r="L540" s="117"/>
      <c r="M540" s="2"/>
      <c r="N540" s="2"/>
      <c r="O540" s="2"/>
      <c r="P540" s="107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>
      <c r="E541" s="798"/>
      <c r="F541" s="798"/>
      <c r="G541" s="119"/>
      <c r="J541" s="119"/>
      <c r="K541" s="10"/>
      <c r="L541" s="117"/>
      <c r="M541" s="2"/>
      <c r="N541" s="2"/>
      <c r="O541" s="2"/>
      <c r="P541" s="107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>
      <c r="E542" s="798"/>
      <c r="F542" s="798"/>
      <c r="G542" s="119"/>
      <c r="J542" s="119"/>
      <c r="K542" s="10"/>
      <c r="L542" s="117"/>
      <c r="M542" s="2"/>
      <c r="N542" s="2"/>
      <c r="O542" s="2"/>
      <c r="P542" s="107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>
      <c r="E543" s="798"/>
      <c r="F543" s="798"/>
      <c r="G543" s="119"/>
      <c r="J543" s="119"/>
      <c r="K543" s="10"/>
      <c r="L543" s="117"/>
      <c r="M543" s="2"/>
      <c r="N543" s="2"/>
      <c r="O543" s="2"/>
      <c r="P543" s="107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>
      <c r="E544" s="798"/>
      <c r="F544" s="798"/>
      <c r="G544" s="119"/>
      <c r="J544" s="119"/>
      <c r="K544" s="10"/>
      <c r="L544" s="117"/>
      <c r="M544" s="2"/>
      <c r="N544" s="2"/>
      <c r="O544" s="2"/>
      <c r="P544" s="107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>
      <c r="E545" s="798"/>
      <c r="F545" s="798"/>
      <c r="G545" s="119"/>
      <c r="J545" s="119"/>
      <c r="K545" s="10"/>
      <c r="L545" s="117"/>
      <c r="M545" s="2"/>
      <c r="N545" s="2"/>
      <c r="O545" s="2"/>
      <c r="P545" s="107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>
      <c r="E546" s="798"/>
      <c r="F546" s="798"/>
      <c r="G546" s="119"/>
      <c r="J546" s="119"/>
      <c r="K546" s="10"/>
      <c r="L546" s="117"/>
      <c r="M546" s="2"/>
      <c r="N546" s="2"/>
      <c r="O546" s="2"/>
      <c r="P546" s="107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>
      <c r="E547" s="798"/>
      <c r="F547" s="798"/>
      <c r="G547" s="119"/>
      <c r="J547" s="119"/>
      <c r="K547" s="10"/>
      <c r="L547" s="117"/>
      <c r="M547" s="2"/>
      <c r="N547" s="2"/>
      <c r="O547" s="2"/>
      <c r="P547" s="107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>
      <c r="E548" s="798"/>
      <c r="F548" s="798"/>
      <c r="G548" s="119"/>
      <c r="J548" s="119"/>
      <c r="K548" s="10"/>
      <c r="L548" s="117"/>
      <c r="M548" s="2"/>
      <c r="N548" s="2"/>
      <c r="O548" s="2"/>
      <c r="P548" s="107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>
      <c r="E549" s="798"/>
      <c r="F549" s="798"/>
      <c r="G549" s="119"/>
      <c r="J549" s="119"/>
      <c r="K549" s="10"/>
      <c r="L549" s="117"/>
      <c r="M549" s="2"/>
      <c r="N549" s="2"/>
      <c r="O549" s="2"/>
      <c r="P549" s="107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>
      <c r="E550" s="798"/>
      <c r="F550" s="798"/>
      <c r="G550" s="119"/>
      <c r="J550" s="119"/>
      <c r="K550" s="10"/>
      <c r="L550" s="117"/>
      <c r="M550" s="2"/>
      <c r="N550" s="2"/>
      <c r="O550" s="2"/>
      <c r="P550" s="107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>
      <c r="E551" s="798"/>
      <c r="F551" s="798"/>
      <c r="G551" s="119"/>
      <c r="J551" s="119"/>
      <c r="K551" s="10"/>
      <c r="L551" s="117"/>
      <c r="M551" s="2"/>
      <c r="N551" s="2"/>
      <c r="O551" s="2"/>
      <c r="P551" s="107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>
      <c r="E552" s="798"/>
      <c r="F552" s="798"/>
      <c r="G552" s="119"/>
      <c r="J552" s="119"/>
      <c r="K552" s="10"/>
      <c r="L552" s="117"/>
      <c r="M552" s="2"/>
      <c r="N552" s="2"/>
      <c r="O552" s="2"/>
      <c r="P552" s="107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>
      <c r="E553" s="798"/>
      <c r="F553" s="798"/>
      <c r="G553" s="119"/>
      <c r="J553" s="119"/>
      <c r="K553" s="10"/>
      <c r="L553" s="117"/>
      <c r="M553" s="2"/>
      <c r="N553" s="2"/>
      <c r="O553" s="2"/>
      <c r="P553" s="107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>
      <c r="E554" s="798"/>
      <c r="F554" s="798"/>
      <c r="G554" s="119"/>
      <c r="J554" s="119"/>
      <c r="K554" s="10"/>
      <c r="L554" s="117"/>
      <c r="M554" s="2"/>
      <c r="N554" s="2"/>
      <c r="O554" s="2"/>
      <c r="P554" s="107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>
      <c r="E555" s="798"/>
      <c r="F555" s="798"/>
      <c r="G555" s="119"/>
      <c r="J555" s="119"/>
      <c r="K555" s="10"/>
      <c r="L555" s="117"/>
      <c r="M555" s="2"/>
      <c r="N555" s="2"/>
      <c r="O555" s="2"/>
      <c r="P555" s="107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>
      <c r="E556" s="798"/>
      <c r="F556" s="798"/>
      <c r="G556" s="119"/>
      <c r="J556" s="119"/>
      <c r="K556" s="10"/>
      <c r="L556" s="117"/>
      <c r="M556" s="2"/>
      <c r="N556" s="2"/>
      <c r="O556" s="2"/>
      <c r="P556" s="107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>
      <c r="E557" s="798"/>
      <c r="F557" s="798"/>
      <c r="G557" s="119"/>
      <c r="J557" s="119"/>
      <c r="K557" s="10"/>
      <c r="L557" s="117"/>
      <c r="M557" s="2"/>
      <c r="N557" s="2"/>
      <c r="O557" s="2"/>
      <c r="P557" s="107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>
      <c r="E558" s="798"/>
      <c r="F558" s="798"/>
      <c r="G558" s="119"/>
      <c r="J558" s="119"/>
      <c r="K558" s="10"/>
      <c r="L558" s="117"/>
      <c r="M558" s="2"/>
      <c r="N558" s="2"/>
      <c r="O558" s="2"/>
      <c r="P558" s="107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>
      <c r="E559" s="798"/>
      <c r="F559" s="798"/>
      <c r="G559" s="119"/>
      <c r="J559" s="119"/>
      <c r="K559" s="10"/>
      <c r="L559" s="117"/>
      <c r="M559" s="2"/>
      <c r="N559" s="2"/>
      <c r="O559" s="2"/>
      <c r="P559" s="107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>
      <c r="E560" s="798"/>
      <c r="F560" s="798"/>
      <c r="G560" s="119"/>
      <c r="J560" s="119"/>
      <c r="K560" s="10"/>
      <c r="L560" s="117"/>
      <c r="M560" s="2"/>
      <c r="N560" s="2"/>
      <c r="O560" s="2"/>
      <c r="P560" s="107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>
      <c r="E561" s="798"/>
      <c r="F561" s="798"/>
      <c r="G561" s="119"/>
      <c r="J561" s="119"/>
      <c r="K561" s="10"/>
      <c r="L561" s="117"/>
      <c r="M561" s="2"/>
      <c r="N561" s="2"/>
      <c r="O561" s="2"/>
      <c r="P561" s="107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>
      <c r="E562" s="798"/>
      <c r="F562" s="798"/>
      <c r="G562" s="119"/>
      <c r="J562" s="119"/>
      <c r="K562" s="10"/>
      <c r="L562" s="117"/>
      <c r="M562" s="2"/>
      <c r="N562" s="2"/>
      <c r="O562" s="2"/>
      <c r="P562" s="107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>
      <c r="E563" s="798"/>
      <c r="F563" s="798"/>
      <c r="G563" s="119"/>
      <c r="J563" s="119"/>
      <c r="K563" s="10"/>
      <c r="L563" s="117"/>
      <c r="M563" s="2"/>
      <c r="N563" s="2"/>
      <c r="O563" s="2"/>
      <c r="P563" s="107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>
      <c r="E564" s="798"/>
      <c r="F564" s="798"/>
      <c r="G564" s="119"/>
      <c r="J564" s="119"/>
      <c r="K564" s="10"/>
      <c r="L564" s="117"/>
      <c r="M564" s="2"/>
      <c r="N564" s="2"/>
      <c r="O564" s="2"/>
      <c r="P564" s="107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>
      <c r="E565" s="798"/>
      <c r="F565" s="798"/>
      <c r="G565" s="119"/>
      <c r="J565" s="119"/>
      <c r="K565" s="10"/>
      <c r="L565" s="117"/>
      <c r="M565" s="2"/>
      <c r="N565" s="2"/>
      <c r="O565" s="2"/>
      <c r="P565" s="107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>
      <c r="E566" s="798"/>
      <c r="F566" s="798"/>
      <c r="G566" s="119"/>
      <c r="J566" s="119"/>
      <c r="K566" s="10"/>
      <c r="L566" s="117"/>
      <c r="M566" s="2"/>
      <c r="N566" s="2"/>
      <c r="O566" s="2"/>
      <c r="P566" s="107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>
      <c r="E567" s="798"/>
      <c r="F567" s="798"/>
      <c r="G567" s="119"/>
      <c r="J567" s="119"/>
      <c r="K567" s="10"/>
      <c r="L567" s="117"/>
      <c r="M567" s="2"/>
      <c r="N567" s="2"/>
      <c r="O567" s="2"/>
      <c r="P567" s="107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>
      <c r="E568" s="798"/>
      <c r="F568" s="798"/>
      <c r="G568" s="119"/>
      <c r="J568" s="119"/>
      <c r="K568" s="10"/>
      <c r="L568" s="117"/>
      <c r="M568" s="2"/>
      <c r="N568" s="2"/>
      <c r="O568" s="2"/>
      <c r="P568" s="107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>
      <c r="E569" s="798"/>
      <c r="F569" s="798"/>
      <c r="G569" s="119"/>
      <c r="J569" s="119"/>
      <c r="K569" s="10"/>
      <c r="L569" s="117"/>
      <c r="M569" s="2"/>
      <c r="N569" s="2"/>
      <c r="O569" s="2"/>
      <c r="P569" s="107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>
      <c r="E570" s="798"/>
      <c r="F570" s="798"/>
      <c r="G570" s="119"/>
      <c r="J570" s="119"/>
      <c r="K570" s="10"/>
      <c r="L570" s="117"/>
      <c r="M570" s="2"/>
      <c r="N570" s="2"/>
      <c r="O570" s="2"/>
      <c r="P570" s="107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>
      <c r="E571" s="798"/>
      <c r="F571" s="798"/>
      <c r="G571" s="119"/>
      <c r="J571" s="119"/>
      <c r="K571" s="10"/>
      <c r="L571" s="117"/>
      <c r="M571" s="2"/>
      <c r="N571" s="2"/>
      <c r="O571" s="2"/>
      <c r="P571" s="107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>
      <c r="E572" s="798"/>
      <c r="F572" s="798"/>
      <c r="G572" s="119"/>
      <c r="J572" s="119"/>
      <c r="K572" s="10"/>
      <c r="L572" s="117"/>
      <c r="M572" s="2"/>
      <c r="N572" s="2"/>
      <c r="O572" s="2"/>
      <c r="P572" s="107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>
      <c r="E573" s="798"/>
      <c r="F573" s="798"/>
      <c r="G573" s="119"/>
      <c r="J573" s="119"/>
      <c r="K573" s="10"/>
      <c r="L573" s="117"/>
      <c r="M573" s="2"/>
      <c r="N573" s="2"/>
      <c r="O573" s="2"/>
      <c r="P573" s="107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>
      <c r="E574" s="798"/>
      <c r="F574" s="798"/>
      <c r="G574" s="119"/>
      <c r="J574" s="119"/>
      <c r="K574" s="10"/>
      <c r="L574" s="117"/>
      <c r="M574" s="2"/>
      <c r="N574" s="2"/>
      <c r="O574" s="2"/>
      <c r="P574" s="107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>
      <c r="E575" s="798"/>
      <c r="F575" s="798"/>
      <c r="G575" s="119"/>
      <c r="J575" s="119"/>
      <c r="K575" s="10"/>
      <c r="L575" s="117"/>
      <c r="M575" s="2"/>
      <c r="N575" s="2"/>
      <c r="O575" s="2"/>
      <c r="P575" s="107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>
      <c r="E576" s="798"/>
      <c r="F576" s="798"/>
      <c r="G576" s="119"/>
      <c r="J576" s="119"/>
      <c r="K576" s="10"/>
      <c r="L576" s="117"/>
      <c r="M576" s="2"/>
      <c r="N576" s="2"/>
      <c r="O576" s="2"/>
      <c r="P576" s="107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>
      <c r="E577" s="798"/>
      <c r="F577" s="798"/>
      <c r="G577" s="119"/>
      <c r="J577" s="119"/>
      <c r="K577" s="10"/>
      <c r="L577" s="117"/>
      <c r="M577" s="2"/>
      <c r="N577" s="2"/>
      <c r="O577" s="2"/>
      <c r="P577" s="107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>
      <c r="E578" s="798"/>
      <c r="F578" s="798"/>
      <c r="G578" s="119"/>
      <c r="J578" s="119"/>
      <c r="K578" s="10"/>
      <c r="L578" s="117"/>
      <c r="M578" s="2"/>
      <c r="N578" s="2"/>
      <c r="O578" s="2"/>
      <c r="P578" s="107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>
      <c r="E579" s="798"/>
      <c r="F579" s="798"/>
      <c r="G579" s="119"/>
      <c r="J579" s="119"/>
      <c r="K579" s="10"/>
      <c r="L579" s="117"/>
      <c r="M579" s="2"/>
      <c r="N579" s="2"/>
      <c r="O579" s="2"/>
      <c r="P579" s="107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>
      <c r="E580" s="798"/>
      <c r="F580" s="798"/>
      <c r="G580" s="119"/>
      <c r="J580" s="119"/>
      <c r="K580" s="10"/>
      <c r="L580" s="117"/>
      <c r="M580" s="2"/>
      <c r="N580" s="2"/>
      <c r="O580" s="2"/>
      <c r="P580" s="107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>
      <c r="E581" s="798"/>
      <c r="F581" s="798"/>
      <c r="G581" s="119"/>
      <c r="J581" s="119"/>
      <c r="K581" s="10"/>
      <c r="L581" s="117"/>
      <c r="M581" s="2"/>
      <c r="N581" s="2"/>
      <c r="O581" s="2"/>
      <c r="P581" s="107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>
      <c r="E582" s="798"/>
      <c r="F582" s="798"/>
      <c r="G582" s="119"/>
      <c r="J582" s="119"/>
      <c r="K582" s="10"/>
      <c r="L582" s="117"/>
      <c r="M582" s="2"/>
      <c r="N582" s="2"/>
      <c r="O582" s="2"/>
      <c r="P582" s="107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>
      <c r="E583" s="798"/>
      <c r="F583" s="798"/>
      <c r="G583" s="119"/>
      <c r="J583" s="119"/>
      <c r="K583" s="10"/>
      <c r="L583" s="117"/>
      <c r="M583" s="2"/>
      <c r="N583" s="2"/>
      <c r="O583" s="2"/>
      <c r="P583" s="107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>
      <c r="E584" s="798"/>
      <c r="F584" s="798"/>
      <c r="G584" s="119"/>
      <c r="J584" s="119"/>
      <c r="K584" s="10"/>
      <c r="L584" s="117"/>
      <c r="M584" s="2"/>
      <c r="N584" s="2"/>
      <c r="O584" s="2"/>
      <c r="P584" s="107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>
      <c r="E585" s="798"/>
      <c r="F585" s="798"/>
      <c r="G585" s="119"/>
      <c r="J585" s="119"/>
      <c r="K585" s="10"/>
      <c r="L585" s="117"/>
      <c r="M585" s="2"/>
      <c r="N585" s="2"/>
      <c r="O585" s="2"/>
      <c r="P585" s="107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>
      <c r="E586" s="798"/>
      <c r="F586" s="798"/>
      <c r="G586" s="119"/>
      <c r="J586" s="119"/>
      <c r="K586" s="10"/>
      <c r="L586" s="117"/>
      <c r="M586" s="2"/>
      <c r="N586" s="2"/>
      <c r="O586" s="2"/>
      <c r="P586" s="107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>
      <c r="E587" s="798"/>
      <c r="F587" s="798"/>
      <c r="G587" s="119"/>
      <c r="J587" s="119"/>
      <c r="K587" s="10"/>
      <c r="L587" s="117"/>
      <c r="M587" s="2"/>
      <c r="N587" s="2"/>
      <c r="O587" s="2"/>
      <c r="P587" s="107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>
      <c r="E588" s="798"/>
      <c r="F588" s="798"/>
      <c r="G588" s="119"/>
      <c r="J588" s="119"/>
      <c r="K588" s="10"/>
      <c r="L588" s="117"/>
      <c r="M588" s="2"/>
      <c r="N588" s="2"/>
      <c r="O588" s="2"/>
      <c r="P588" s="107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>
      <c r="E589" s="798"/>
      <c r="F589" s="798"/>
      <c r="G589" s="119"/>
      <c r="J589" s="119"/>
      <c r="K589" s="10"/>
      <c r="L589" s="117"/>
      <c r="M589" s="2"/>
      <c r="N589" s="2"/>
      <c r="O589" s="2"/>
      <c r="P589" s="107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>
      <c r="E590" s="798"/>
      <c r="F590" s="798"/>
      <c r="G590" s="119"/>
      <c r="J590" s="119"/>
      <c r="K590" s="10"/>
      <c r="L590" s="117"/>
      <c r="M590" s="2"/>
      <c r="N590" s="2"/>
      <c r="O590" s="2"/>
      <c r="P590" s="107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>
      <c r="E591" s="798"/>
      <c r="F591" s="798"/>
      <c r="G591" s="119"/>
      <c r="J591" s="119"/>
      <c r="K591" s="10"/>
      <c r="L591" s="117"/>
      <c r="M591" s="2"/>
      <c r="N591" s="2"/>
      <c r="O591" s="2"/>
      <c r="P591" s="107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>
      <c r="E592" s="798"/>
      <c r="F592" s="798"/>
      <c r="G592" s="119"/>
      <c r="J592" s="119"/>
      <c r="K592" s="10"/>
      <c r="L592" s="117"/>
      <c r="M592" s="2"/>
      <c r="N592" s="2"/>
      <c r="O592" s="2"/>
      <c r="P592" s="107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>
      <c r="E593" s="798"/>
      <c r="F593" s="798"/>
      <c r="G593" s="119"/>
      <c r="J593" s="119"/>
      <c r="K593" s="10"/>
      <c r="L593" s="117"/>
      <c r="M593" s="2"/>
      <c r="N593" s="2"/>
      <c r="O593" s="2"/>
      <c r="P593" s="107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>
      <c r="E594" s="798"/>
      <c r="F594" s="798"/>
      <c r="G594" s="119"/>
      <c r="J594" s="119"/>
      <c r="K594" s="10"/>
      <c r="L594" s="117"/>
      <c r="M594" s="2"/>
      <c r="N594" s="2"/>
      <c r="O594" s="2"/>
      <c r="P594" s="107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>
      <c r="E595" s="798"/>
      <c r="F595" s="798"/>
      <c r="G595" s="119"/>
      <c r="J595" s="119"/>
      <c r="K595" s="10"/>
      <c r="L595" s="117"/>
      <c r="M595" s="2"/>
      <c r="N595" s="2"/>
      <c r="O595" s="2"/>
      <c r="P595" s="107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>
      <c r="E596" s="798"/>
      <c r="F596" s="798"/>
      <c r="G596" s="119"/>
      <c r="J596" s="119"/>
      <c r="K596" s="10"/>
      <c r="L596" s="117"/>
      <c r="M596" s="2"/>
      <c r="N596" s="2"/>
      <c r="O596" s="2"/>
      <c r="P596" s="107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>
      <c r="E597" s="798"/>
      <c r="F597" s="798"/>
      <c r="G597" s="119"/>
      <c r="J597" s="119"/>
      <c r="K597" s="10"/>
      <c r="L597" s="117"/>
      <c r="M597" s="2"/>
      <c r="N597" s="2"/>
      <c r="O597" s="2"/>
      <c r="P597" s="107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>
      <c r="E598" s="798"/>
      <c r="F598" s="798"/>
      <c r="G598" s="119"/>
      <c r="J598" s="119"/>
      <c r="K598" s="10"/>
      <c r="L598" s="117"/>
      <c r="M598" s="2"/>
      <c r="N598" s="2"/>
      <c r="O598" s="2"/>
      <c r="P598" s="107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>
      <c r="E599" s="798"/>
      <c r="F599" s="798"/>
      <c r="G599" s="119"/>
      <c r="J599" s="119"/>
      <c r="K599" s="10"/>
      <c r="L599" s="117"/>
      <c r="M599" s="2"/>
      <c r="N599" s="2"/>
      <c r="O599" s="2"/>
      <c r="P599" s="107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>
      <c r="E600" s="798"/>
      <c r="F600" s="798"/>
      <c r="G600" s="119"/>
      <c r="J600" s="119"/>
      <c r="K600" s="10"/>
      <c r="L600" s="117"/>
      <c r="M600" s="2"/>
      <c r="N600" s="2"/>
      <c r="O600" s="2"/>
      <c r="P600" s="107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>
      <c r="E601" s="798"/>
      <c r="F601" s="798"/>
      <c r="G601" s="119"/>
      <c r="J601" s="119"/>
      <c r="K601" s="10"/>
      <c r="L601" s="117"/>
      <c r="M601" s="2"/>
      <c r="N601" s="2"/>
      <c r="O601" s="2"/>
      <c r="P601" s="107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>
      <c r="E602" s="798"/>
      <c r="F602" s="798"/>
      <c r="G602" s="119"/>
      <c r="J602" s="119"/>
      <c r="K602" s="10"/>
      <c r="L602" s="117"/>
      <c r="M602" s="2"/>
      <c r="N602" s="2"/>
      <c r="O602" s="2"/>
      <c r="P602" s="107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>
      <c r="E603" s="798"/>
      <c r="F603" s="798"/>
      <c r="G603" s="119"/>
      <c r="J603" s="119"/>
      <c r="K603" s="10"/>
      <c r="L603" s="117"/>
      <c r="M603" s="2"/>
      <c r="N603" s="2"/>
      <c r="O603" s="2"/>
      <c r="P603" s="107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>
      <c r="E604" s="798"/>
      <c r="F604" s="798"/>
      <c r="G604" s="119"/>
      <c r="J604" s="119"/>
      <c r="K604" s="10"/>
      <c r="L604" s="117"/>
      <c r="M604" s="2"/>
      <c r="N604" s="2"/>
      <c r="O604" s="2"/>
      <c r="P604" s="107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>
      <c r="E605" s="798"/>
      <c r="F605" s="798"/>
      <c r="G605" s="119"/>
      <c r="J605" s="119"/>
      <c r="K605" s="10"/>
      <c r="L605" s="117"/>
      <c r="M605" s="2"/>
      <c r="N605" s="2"/>
      <c r="O605" s="2"/>
      <c r="P605" s="107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>
      <c r="E606" s="798"/>
      <c r="F606" s="798"/>
      <c r="G606" s="119"/>
      <c r="J606" s="119"/>
      <c r="K606" s="10"/>
      <c r="L606" s="117"/>
      <c r="M606" s="2"/>
      <c r="N606" s="2"/>
      <c r="O606" s="2"/>
      <c r="P606" s="107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>
      <c r="E607" s="798"/>
      <c r="F607" s="798"/>
      <c r="G607" s="119"/>
      <c r="J607" s="119"/>
      <c r="K607" s="10"/>
      <c r="L607" s="117"/>
      <c r="M607" s="2"/>
      <c r="N607" s="2"/>
      <c r="O607" s="2"/>
      <c r="P607" s="107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>
      <c r="E608" s="798"/>
      <c r="F608" s="798"/>
      <c r="G608" s="119"/>
      <c r="J608" s="119"/>
      <c r="K608" s="10"/>
      <c r="L608" s="117"/>
      <c r="M608" s="2"/>
      <c r="N608" s="2"/>
      <c r="O608" s="2"/>
      <c r="P608" s="107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>
      <c r="E609" s="798"/>
      <c r="F609" s="798"/>
      <c r="G609" s="119"/>
      <c r="J609" s="119"/>
      <c r="K609" s="10"/>
      <c r="L609" s="117"/>
      <c r="M609" s="2"/>
      <c r="N609" s="2"/>
      <c r="O609" s="2"/>
      <c r="P609" s="107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>
      <c r="E610" s="798"/>
      <c r="F610" s="798"/>
      <c r="G610" s="119"/>
      <c r="J610" s="119"/>
      <c r="K610" s="10"/>
      <c r="L610" s="117"/>
      <c r="M610" s="2"/>
      <c r="N610" s="2"/>
      <c r="O610" s="2"/>
      <c r="P610" s="107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>
      <c r="E611" s="798"/>
      <c r="F611" s="798"/>
      <c r="G611" s="119"/>
      <c r="J611" s="119"/>
      <c r="K611" s="10"/>
      <c r="L611" s="117"/>
      <c r="M611" s="2"/>
      <c r="N611" s="2"/>
      <c r="O611" s="2"/>
      <c r="P611" s="107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>
      <c r="E612" s="798"/>
      <c r="F612" s="798"/>
      <c r="G612" s="119"/>
      <c r="J612" s="119"/>
      <c r="K612" s="10"/>
      <c r="L612" s="117"/>
      <c r="M612" s="2"/>
      <c r="N612" s="2"/>
      <c r="O612" s="2"/>
      <c r="P612" s="107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>
      <c r="E613" s="798"/>
      <c r="F613" s="798"/>
      <c r="G613" s="119"/>
      <c r="J613" s="119"/>
      <c r="K613" s="10"/>
      <c r="L613" s="117"/>
      <c r="M613" s="2"/>
      <c r="N613" s="2"/>
      <c r="O613" s="2"/>
      <c r="P613" s="107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>
      <c r="E614" s="798"/>
      <c r="F614" s="798"/>
      <c r="G614" s="119"/>
      <c r="J614" s="119"/>
      <c r="K614" s="10"/>
      <c r="L614" s="117"/>
      <c r="M614" s="2"/>
      <c r="N614" s="2"/>
      <c r="O614" s="2"/>
      <c r="P614" s="107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>
      <c r="E615" s="798"/>
      <c r="F615" s="798"/>
      <c r="G615" s="119"/>
      <c r="J615" s="119"/>
      <c r="K615" s="10"/>
      <c r="L615" s="117"/>
      <c r="M615" s="2"/>
      <c r="N615" s="2"/>
      <c r="O615" s="2"/>
      <c r="P615" s="107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>
      <c r="E616" s="798"/>
      <c r="F616" s="798"/>
      <c r="G616" s="119"/>
      <c r="J616" s="119"/>
      <c r="K616" s="10"/>
      <c r="L616" s="117"/>
      <c r="M616" s="2"/>
      <c r="N616" s="2"/>
      <c r="O616" s="2"/>
      <c r="P616" s="107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>
      <c r="E617" s="798"/>
      <c r="F617" s="798"/>
      <c r="G617" s="119"/>
      <c r="J617" s="119"/>
      <c r="K617" s="10"/>
      <c r="L617" s="117"/>
      <c r="M617" s="2"/>
      <c r="N617" s="2"/>
      <c r="O617" s="2"/>
      <c r="P617" s="107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>
      <c r="E618" s="798"/>
      <c r="F618" s="798"/>
      <c r="G618" s="119"/>
      <c r="J618" s="119"/>
      <c r="K618" s="10"/>
      <c r="L618" s="117"/>
      <c r="M618" s="2"/>
      <c r="N618" s="2"/>
      <c r="O618" s="2"/>
      <c r="P618" s="107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>
      <c r="E619" s="798"/>
      <c r="F619" s="798"/>
      <c r="G619" s="119"/>
      <c r="J619" s="119"/>
      <c r="K619" s="10"/>
      <c r="L619" s="117"/>
      <c r="M619" s="2"/>
      <c r="N619" s="2"/>
      <c r="O619" s="2"/>
      <c r="P619" s="107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>
      <c r="E620" s="798"/>
      <c r="F620" s="798"/>
      <c r="G620" s="119"/>
      <c r="J620" s="119"/>
      <c r="K620" s="10"/>
      <c r="L620" s="117"/>
      <c r="M620" s="2"/>
      <c r="N620" s="2"/>
      <c r="O620" s="2"/>
      <c r="P620" s="107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>
      <c r="E621" s="798"/>
      <c r="F621" s="798"/>
      <c r="G621" s="119"/>
      <c r="J621" s="119"/>
      <c r="K621" s="10"/>
      <c r="L621" s="117"/>
      <c r="M621" s="2"/>
      <c r="N621" s="2"/>
      <c r="O621" s="2"/>
      <c r="P621" s="107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>
      <c r="E622" s="798"/>
      <c r="F622" s="798"/>
      <c r="G622" s="119"/>
      <c r="J622" s="119"/>
      <c r="K622" s="10"/>
      <c r="L622" s="117"/>
      <c r="M622" s="2"/>
      <c r="N622" s="2"/>
      <c r="O622" s="2"/>
      <c r="P622" s="107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>
      <c r="E623" s="798"/>
      <c r="F623" s="798"/>
      <c r="G623" s="119"/>
      <c r="J623" s="119"/>
      <c r="K623" s="10"/>
      <c r="L623" s="117"/>
      <c r="M623" s="2"/>
      <c r="N623" s="2"/>
      <c r="O623" s="2"/>
      <c r="P623" s="107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>
      <c r="E624" s="798"/>
      <c r="F624" s="798"/>
      <c r="G624" s="119"/>
      <c r="J624" s="119"/>
      <c r="K624" s="10"/>
      <c r="L624" s="117"/>
      <c r="M624" s="2"/>
      <c r="N624" s="2"/>
      <c r="O624" s="2"/>
      <c r="P624" s="107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>
      <c r="E625" s="798"/>
      <c r="F625" s="798"/>
      <c r="G625" s="119"/>
      <c r="J625" s="119"/>
      <c r="K625" s="10"/>
      <c r="L625" s="117"/>
      <c r="M625" s="2"/>
      <c r="N625" s="2"/>
      <c r="O625" s="2"/>
      <c r="P625" s="107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>
      <c r="E626" s="798"/>
      <c r="F626" s="798"/>
      <c r="G626" s="119"/>
      <c r="J626" s="119"/>
      <c r="K626" s="10"/>
      <c r="L626" s="117"/>
      <c r="M626" s="2"/>
      <c r="N626" s="2"/>
      <c r="O626" s="2"/>
      <c r="P626" s="107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>
      <c r="E627" s="798"/>
      <c r="F627" s="798"/>
      <c r="G627" s="119"/>
      <c r="J627" s="119"/>
      <c r="K627" s="10"/>
      <c r="L627" s="117"/>
      <c r="M627" s="2"/>
      <c r="N627" s="2"/>
      <c r="O627" s="2"/>
      <c r="P627" s="107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>
      <c r="E628" s="798"/>
      <c r="F628" s="798"/>
      <c r="G628" s="119"/>
      <c r="J628" s="119"/>
      <c r="K628" s="10"/>
      <c r="L628" s="117"/>
      <c r="M628" s="2"/>
      <c r="N628" s="2"/>
      <c r="O628" s="2"/>
      <c r="P628" s="107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>
      <c r="E629" s="798"/>
      <c r="F629" s="798"/>
      <c r="G629" s="119"/>
      <c r="J629" s="119"/>
      <c r="K629" s="10"/>
      <c r="L629" s="117"/>
      <c r="M629" s="2"/>
      <c r="N629" s="2"/>
      <c r="O629" s="2"/>
      <c r="P629" s="107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>
      <c r="E630" s="798"/>
      <c r="F630" s="798"/>
      <c r="G630" s="119"/>
      <c r="J630" s="119"/>
      <c r="K630" s="10"/>
      <c r="L630" s="117"/>
      <c r="M630" s="2"/>
      <c r="N630" s="2"/>
      <c r="O630" s="2"/>
      <c r="P630" s="107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>
      <c r="E631" s="798"/>
      <c r="F631" s="798"/>
      <c r="G631" s="119"/>
      <c r="J631" s="119"/>
      <c r="K631" s="10"/>
      <c r="L631" s="117"/>
      <c r="M631" s="2"/>
      <c r="N631" s="2"/>
      <c r="O631" s="2"/>
      <c r="P631" s="107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>
      <c r="E632" s="798"/>
      <c r="F632" s="798"/>
      <c r="G632" s="119"/>
      <c r="J632" s="119"/>
      <c r="K632" s="10"/>
      <c r="L632" s="117"/>
      <c r="M632" s="2"/>
      <c r="N632" s="2"/>
      <c r="O632" s="2"/>
      <c r="P632" s="107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>
      <c r="E633" s="798"/>
      <c r="F633" s="798"/>
      <c r="G633" s="119"/>
      <c r="J633" s="119"/>
      <c r="K633" s="10"/>
      <c r="L633" s="117"/>
      <c r="M633" s="2"/>
      <c r="N633" s="2"/>
      <c r="O633" s="2"/>
      <c r="P633" s="107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>
      <c r="E634" s="798"/>
      <c r="F634" s="798"/>
      <c r="G634" s="119"/>
      <c r="J634" s="119"/>
      <c r="K634" s="10"/>
      <c r="L634" s="117"/>
      <c r="M634" s="2"/>
      <c r="N634" s="2"/>
      <c r="O634" s="2"/>
      <c r="P634" s="107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>
      <c r="E635" s="798"/>
      <c r="F635" s="798"/>
      <c r="G635" s="119"/>
      <c r="J635" s="119"/>
      <c r="K635" s="10"/>
      <c r="L635" s="117"/>
      <c r="M635" s="2"/>
      <c r="N635" s="2"/>
      <c r="O635" s="2"/>
      <c r="P635" s="107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>
      <c r="E636" s="798"/>
      <c r="F636" s="798"/>
      <c r="G636" s="119"/>
      <c r="J636" s="119"/>
      <c r="K636" s="10"/>
      <c r="L636" s="117"/>
      <c r="M636" s="2"/>
      <c r="N636" s="2"/>
      <c r="O636" s="2"/>
      <c r="P636" s="107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>
      <c r="E637" s="798"/>
      <c r="F637" s="798"/>
      <c r="G637" s="119"/>
      <c r="J637" s="119"/>
      <c r="K637" s="10"/>
      <c r="L637" s="117"/>
      <c r="M637" s="2"/>
      <c r="N637" s="2"/>
      <c r="O637" s="2"/>
      <c r="P637" s="107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>
      <c r="E638" s="798"/>
      <c r="F638" s="798"/>
      <c r="G638" s="119"/>
      <c r="J638" s="119"/>
      <c r="K638" s="10"/>
      <c r="L638" s="117"/>
      <c r="M638" s="2"/>
      <c r="N638" s="2"/>
      <c r="O638" s="2"/>
      <c r="P638" s="107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>
      <c r="E639" s="798"/>
      <c r="F639" s="798"/>
      <c r="G639" s="119"/>
      <c r="J639" s="119"/>
      <c r="K639" s="10"/>
      <c r="L639" s="117"/>
      <c r="M639" s="2"/>
      <c r="N639" s="2"/>
      <c r="O639" s="2"/>
      <c r="P639" s="107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>
      <c r="E640" s="798"/>
      <c r="F640" s="798"/>
      <c r="G640" s="119"/>
      <c r="J640" s="119"/>
      <c r="K640" s="10"/>
      <c r="L640" s="117"/>
      <c r="M640" s="2"/>
      <c r="N640" s="2"/>
      <c r="O640" s="2"/>
      <c r="P640" s="107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>
      <c r="E641" s="798"/>
      <c r="F641" s="798"/>
      <c r="G641" s="119"/>
      <c r="J641" s="119"/>
      <c r="K641" s="10"/>
      <c r="L641" s="117"/>
      <c r="M641" s="2"/>
      <c r="N641" s="2"/>
      <c r="O641" s="2"/>
      <c r="P641" s="107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>
      <c r="E642" s="798"/>
      <c r="F642" s="798"/>
      <c r="G642" s="119"/>
      <c r="J642" s="119"/>
      <c r="K642" s="10"/>
      <c r="L642" s="117"/>
      <c r="M642" s="2"/>
      <c r="N642" s="2"/>
      <c r="O642" s="2"/>
      <c r="P642" s="107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>
      <c r="E643" s="798"/>
      <c r="F643" s="798"/>
      <c r="G643" s="119"/>
      <c r="J643" s="119"/>
      <c r="K643" s="10"/>
      <c r="L643" s="117"/>
      <c r="M643" s="2"/>
      <c r="N643" s="2"/>
      <c r="O643" s="2"/>
      <c r="P643" s="107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>
      <c r="E644" s="798"/>
      <c r="F644" s="798"/>
      <c r="G644" s="119"/>
      <c r="J644" s="119"/>
      <c r="K644" s="10"/>
      <c r="L644" s="117"/>
      <c r="M644" s="2"/>
      <c r="N644" s="2"/>
      <c r="O644" s="2"/>
      <c r="P644" s="107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>
      <c r="E645" s="798"/>
      <c r="F645" s="798"/>
      <c r="G645" s="119"/>
      <c r="J645" s="119"/>
      <c r="K645" s="10"/>
      <c r="L645" s="117"/>
      <c r="M645" s="2"/>
      <c r="N645" s="2"/>
      <c r="O645" s="2"/>
      <c r="P645" s="107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>
      <c r="E646" s="798"/>
      <c r="F646" s="798"/>
      <c r="G646" s="119"/>
      <c r="J646" s="119"/>
      <c r="K646" s="10"/>
      <c r="L646" s="117"/>
      <c r="M646" s="2"/>
      <c r="N646" s="2"/>
      <c r="O646" s="2"/>
      <c r="P646" s="107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>
      <c r="E647" s="798"/>
      <c r="F647" s="798"/>
      <c r="G647" s="119"/>
      <c r="J647" s="119"/>
      <c r="K647" s="10"/>
      <c r="L647" s="117"/>
      <c r="M647" s="2"/>
      <c r="N647" s="2"/>
      <c r="O647" s="2"/>
      <c r="P647" s="107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>
      <c r="E648" s="798"/>
      <c r="F648" s="798"/>
      <c r="G648" s="119"/>
      <c r="J648" s="119"/>
      <c r="K648" s="10"/>
      <c r="L648" s="117"/>
      <c r="M648" s="2"/>
      <c r="N648" s="2"/>
      <c r="O648" s="2"/>
      <c r="P648" s="107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>
      <c r="E649" s="798"/>
      <c r="F649" s="798"/>
      <c r="G649" s="119"/>
      <c r="J649" s="119"/>
      <c r="K649" s="10"/>
      <c r="L649" s="117"/>
      <c r="M649" s="2"/>
      <c r="N649" s="2"/>
      <c r="O649" s="2"/>
      <c r="P649" s="107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>
      <c r="E650" s="798"/>
      <c r="F650" s="798"/>
      <c r="G650" s="119"/>
      <c r="J650" s="119"/>
      <c r="K650" s="10"/>
      <c r="L650" s="117"/>
      <c r="M650" s="2"/>
      <c r="N650" s="2"/>
      <c r="O650" s="2"/>
      <c r="P650" s="107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>
      <c r="E651" s="798"/>
      <c r="F651" s="798"/>
      <c r="G651" s="119"/>
      <c r="J651" s="119"/>
      <c r="K651" s="10"/>
      <c r="L651" s="117"/>
      <c r="M651" s="2"/>
      <c r="N651" s="2"/>
      <c r="O651" s="2"/>
      <c r="P651" s="107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>
      <c r="E652" s="798"/>
      <c r="F652" s="798"/>
      <c r="G652" s="119"/>
      <c r="J652" s="119"/>
      <c r="K652" s="10"/>
      <c r="L652" s="117"/>
      <c r="M652" s="2"/>
      <c r="N652" s="2"/>
      <c r="O652" s="2"/>
      <c r="P652" s="107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>
      <c r="E653" s="798"/>
      <c r="F653" s="798"/>
      <c r="G653" s="119"/>
      <c r="J653" s="119"/>
      <c r="K653" s="10"/>
      <c r="L653" s="117"/>
      <c r="M653" s="2"/>
      <c r="N653" s="2"/>
      <c r="O653" s="2"/>
      <c r="P653" s="107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>
      <c r="E654" s="798"/>
      <c r="F654" s="798"/>
      <c r="G654" s="119"/>
      <c r="J654" s="119"/>
      <c r="K654" s="10"/>
      <c r="L654" s="117"/>
      <c r="M654" s="2"/>
      <c r="N654" s="2"/>
      <c r="O654" s="2"/>
      <c r="P654" s="107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>
      <c r="E655" s="798"/>
      <c r="F655" s="798"/>
      <c r="G655" s="119"/>
      <c r="J655" s="119"/>
      <c r="K655" s="10"/>
      <c r="L655" s="117"/>
      <c r="M655" s="2"/>
      <c r="N655" s="2"/>
      <c r="O655" s="2"/>
      <c r="P655" s="107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>
      <c r="E656" s="798"/>
      <c r="F656" s="798"/>
      <c r="G656" s="119"/>
      <c r="J656" s="119"/>
      <c r="K656" s="10"/>
      <c r="L656" s="117"/>
      <c r="M656" s="2"/>
      <c r="N656" s="2"/>
      <c r="O656" s="2"/>
      <c r="P656" s="107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>
      <c r="E657" s="798"/>
      <c r="F657" s="798"/>
      <c r="G657" s="119"/>
      <c r="J657" s="119"/>
      <c r="K657" s="10"/>
      <c r="L657" s="117"/>
      <c r="M657" s="2"/>
      <c r="N657" s="2"/>
      <c r="O657" s="2"/>
      <c r="P657" s="107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>
      <c r="E658" s="798"/>
      <c r="F658" s="798"/>
      <c r="G658" s="119"/>
      <c r="J658" s="119"/>
      <c r="K658" s="10"/>
      <c r="L658" s="117"/>
      <c r="M658" s="2"/>
      <c r="N658" s="2"/>
      <c r="O658" s="2"/>
      <c r="P658" s="107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>
      <c r="E659" s="798"/>
      <c r="F659" s="798"/>
      <c r="G659" s="119"/>
      <c r="J659" s="119"/>
      <c r="K659" s="10"/>
      <c r="L659" s="117"/>
      <c r="M659" s="2"/>
      <c r="N659" s="2"/>
      <c r="O659" s="2"/>
      <c r="P659" s="107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>
      <c r="E660" s="798"/>
      <c r="F660" s="798"/>
      <c r="G660" s="119"/>
      <c r="J660" s="119"/>
      <c r="K660" s="10"/>
      <c r="L660" s="117"/>
      <c r="M660" s="2"/>
      <c r="N660" s="2"/>
      <c r="O660" s="2"/>
      <c r="P660" s="107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>
      <c r="E661" s="798"/>
      <c r="F661" s="798"/>
      <c r="G661" s="119"/>
      <c r="J661" s="119"/>
      <c r="K661" s="10"/>
      <c r="L661" s="117"/>
      <c r="M661" s="2"/>
      <c r="N661" s="2"/>
      <c r="O661" s="2"/>
      <c r="P661" s="107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>
      <c r="E662" s="798"/>
      <c r="F662" s="798"/>
      <c r="G662" s="119"/>
      <c r="J662" s="119"/>
      <c r="K662" s="10"/>
      <c r="L662" s="117"/>
      <c r="M662" s="2"/>
      <c r="N662" s="2"/>
      <c r="O662" s="2"/>
      <c r="P662" s="107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>
      <c r="E663" s="798"/>
      <c r="F663" s="798"/>
      <c r="G663" s="119"/>
      <c r="J663" s="119"/>
      <c r="K663" s="10"/>
      <c r="L663" s="117"/>
      <c r="M663" s="2"/>
      <c r="N663" s="2"/>
      <c r="O663" s="2"/>
      <c r="P663" s="107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>
      <c r="E664" s="798"/>
      <c r="F664" s="798"/>
      <c r="G664" s="119"/>
      <c r="J664" s="119"/>
      <c r="K664" s="10"/>
      <c r="L664" s="117"/>
      <c r="M664" s="2"/>
      <c r="N664" s="2"/>
      <c r="O664" s="2"/>
      <c r="P664" s="107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>
      <c r="E665" s="798"/>
      <c r="F665" s="798"/>
      <c r="G665" s="119"/>
      <c r="J665" s="119"/>
      <c r="K665" s="10"/>
      <c r="L665" s="117"/>
      <c r="M665" s="2"/>
      <c r="N665" s="2"/>
      <c r="O665" s="2"/>
      <c r="P665" s="107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>
      <c r="E666" s="798"/>
      <c r="F666" s="798"/>
      <c r="G666" s="119"/>
      <c r="J666" s="119"/>
      <c r="K666" s="10"/>
      <c r="L666" s="117"/>
      <c r="M666" s="2"/>
      <c r="N666" s="2"/>
      <c r="O666" s="2"/>
      <c r="P666" s="107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>
      <c r="E667" s="798"/>
      <c r="F667" s="798"/>
      <c r="G667" s="119"/>
      <c r="J667" s="119"/>
      <c r="K667" s="10"/>
      <c r="L667" s="117"/>
      <c r="M667" s="2"/>
      <c r="N667" s="2"/>
      <c r="O667" s="2"/>
      <c r="P667" s="107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>
      <c r="E668" s="798"/>
      <c r="F668" s="798"/>
      <c r="G668" s="119"/>
      <c r="J668" s="119"/>
      <c r="K668" s="10"/>
      <c r="L668" s="117"/>
      <c r="M668" s="2"/>
      <c r="N668" s="2"/>
      <c r="O668" s="2"/>
      <c r="P668" s="107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>
      <c r="E669" s="798"/>
      <c r="F669" s="798"/>
      <c r="G669" s="119"/>
      <c r="J669" s="119"/>
      <c r="K669" s="10"/>
      <c r="L669" s="117"/>
      <c r="M669" s="2"/>
      <c r="N669" s="2"/>
      <c r="O669" s="2"/>
      <c r="P669" s="107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>
      <c r="E670" s="798"/>
      <c r="F670" s="798"/>
      <c r="G670" s="119"/>
      <c r="J670" s="119"/>
      <c r="K670" s="10"/>
      <c r="L670" s="117"/>
      <c r="M670" s="2"/>
      <c r="N670" s="2"/>
      <c r="O670" s="2"/>
      <c r="P670" s="107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>
      <c r="E671" s="798"/>
      <c r="F671" s="798"/>
      <c r="G671" s="119"/>
      <c r="J671" s="119"/>
      <c r="K671" s="10"/>
      <c r="L671" s="117"/>
      <c r="M671" s="2"/>
      <c r="N671" s="2"/>
      <c r="O671" s="2"/>
      <c r="P671" s="107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>
      <c r="E672" s="798"/>
      <c r="F672" s="798"/>
      <c r="G672" s="119"/>
      <c r="J672" s="119"/>
      <c r="K672" s="10"/>
      <c r="L672" s="117"/>
      <c r="M672" s="2"/>
      <c r="N672" s="2"/>
      <c r="O672" s="2"/>
      <c r="P672" s="107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>
      <c r="E673" s="798"/>
      <c r="F673" s="798"/>
      <c r="G673" s="119"/>
      <c r="J673" s="119"/>
      <c r="K673" s="10"/>
      <c r="L673" s="117"/>
      <c r="M673" s="2"/>
      <c r="N673" s="2"/>
      <c r="O673" s="2"/>
      <c r="P673" s="107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>
      <c r="E674" s="798"/>
      <c r="F674" s="798"/>
      <c r="G674" s="119"/>
      <c r="J674" s="119"/>
      <c r="K674" s="10"/>
      <c r="L674" s="117"/>
      <c r="M674" s="2"/>
      <c r="N674" s="2"/>
      <c r="O674" s="2"/>
      <c r="P674" s="107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>
      <c r="E675" s="798"/>
      <c r="F675" s="798"/>
      <c r="G675" s="119"/>
      <c r="J675" s="119"/>
      <c r="K675" s="10"/>
      <c r="L675" s="117"/>
      <c r="M675" s="2"/>
      <c r="N675" s="2"/>
      <c r="O675" s="2"/>
      <c r="P675" s="107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>
      <c r="E676" s="798"/>
      <c r="F676" s="798"/>
      <c r="G676" s="119"/>
      <c r="J676" s="119"/>
      <c r="K676" s="10"/>
      <c r="L676" s="117"/>
      <c r="M676" s="2"/>
      <c r="N676" s="2"/>
      <c r="O676" s="2"/>
      <c r="P676" s="107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>
      <c r="E677" s="798"/>
      <c r="F677" s="798"/>
      <c r="G677" s="119"/>
      <c r="J677" s="119"/>
      <c r="K677" s="10"/>
      <c r="L677" s="117"/>
      <c r="M677" s="2"/>
      <c r="N677" s="2"/>
      <c r="O677" s="2"/>
      <c r="P677" s="107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>
      <c r="E678" s="798"/>
      <c r="F678" s="798"/>
      <c r="G678" s="119"/>
      <c r="J678" s="119"/>
      <c r="K678" s="10"/>
      <c r="L678" s="117"/>
      <c r="M678" s="2"/>
      <c r="N678" s="2"/>
      <c r="O678" s="2"/>
      <c r="P678" s="107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>
      <c r="E679" s="798"/>
      <c r="F679" s="798"/>
      <c r="G679" s="119"/>
      <c r="J679" s="119"/>
      <c r="K679" s="10"/>
      <c r="L679" s="117"/>
      <c r="M679" s="2"/>
      <c r="N679" s="2"/>
      <c r="O679" s="2"/>
      <c r="P679" s="107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>
      <c r="E680" s="798"/>
      <c r="F680" s="798"/>
      <c r="G680" s="119"/>
      <c r="J680" s="119"/>
      <c r="K680" s="10"/>
      <c r="L680" s="117"/>
      <c r="M680" s="2"/>
      <c r="N680" s="2"/>
      <c r="O680" s="2"/>
      <c r="P680" s="107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>
      <c r="E681" s="798"/>
      <c r="F681" s="798"/>
      <c r="G681" s="119"/>
      <c r="J681" s="119"/>
      <c r="K681" s="10"/>
      <c r="L681" s="117"/>
      <c r="M681" s="2"/>
      <c r="N681" s="2"/>
      <c r="O681" s="2"/>
      <c r="P681" s="107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>
      <c r="E682" s="798"/>
      <c r="F682" s="798"/>
      <c r="G682" s="119"/>
      <c r="J682" s="119"/>
      <c r="K682" s="10"/>
      <c r="L682" s="117"/>
      <c r="M682" s="2"/>
      <c r="N682" s="2"/>
      <c r="O682" s="2"/>
      <c r="P682" s="107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>
      <c r="E683" s="798"/>
      <c r="F683" s="798"/>
      <c r="G683" s="119"/>
      <c r="J683" s="119"/>
      <c r="K683" s="10"/>
      <c r="L683" s="117"/>
      <c r="M683" s="2"/>
      <c r="N683" s="2"/>
      <c r="O683" s="2"/>
      <c r="P683" s="107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>
      <c r="E684" s="798"/>
      <c r="F684" s="798"/>
      <c r="G684" s="119"/>
      <c r="J684" s="119"/>
      <c r="K684" s="10"/>
      <c r="L684" s="117"/>
      <c r="M684" s="2"/>
      <c r="N684" s="2"/>
      <c r="O684" s="2"/>
      <c r="P684" s="107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>
      <c r="E685" s="798"/>
      <c r="F685" s="798"/>
      <c r="G685" s="119"/>
      <c r="J685" s="119"/>
      <c r="K685" s="10"/>
      <c r="L685" s="117"/>
      <c r="M685" s="2"/>
      <c r="N685" s="2"/>
      <c r="O685" s="2"/>
      <c r="P685" s="107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>
      <c r="E686" s="798"/>
      <c r="F686" s="798"/>
      <c r="G686" s="119"/>
      <c r="J686" s="119"/>
      <c r="K686" s="10"/>
      <c r="L686" s="117"/>
      <c r="M686" s="2"/>
      <c r="N686" s="2"/>
      <c r="O686" s="2"/>
      <c r="P686" s="107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>
      <c r="E687" s="798"/>
      <c r="F687" s="798"/>
      <c r="G687" s="119"/>
      <c r="J687" s="119"/>
      <c r="K687" s="10"/>
      <c r="L687" s="117"/>
      <c r="M687" s="2"/>
      <c r="N687" s="2"/>
      <c r="O687" s="2"/>
      <c r="P687" s="107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>
      <c r="E688" s="798"/>
      <c r="F688" s="798"/>
      <c r="G688" s="119"/>
      <c r="J688" s="119"/>
      <c r="K688" s="10"/>
      <c r="L688" s="117"/>
      <c r="M688" s="2"/>
      <c r="N688" s="2"/>
      <c r="O688" s="2"/>
      <c r="P688" s="107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>
      <c r="E689" s="798"/>
      <c r="F689" s="798"/>
      <c r="G689" s="119"/>
      <c r="J689" s="119"/>
      <c r="K689" s="10"/>
      <c r="L689" s="117"/>
      <c r="M689" s="2"/>
      <c r="N689" s="2"/>
      <c r="O689" s="2"/>
      <c r="P689" s="107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>
      <c r="E690" s="798"/>
      <c r="F690" s="798"/>
      <c r="G690" s="119"/>
      <c r="J690" s="119"/>
      <c r="K690" s="10"/>
      <c r="L690" s="117"/>
      <c r="M690" s="2"/>
      <c r="N690" s="2"/>
      <c r="O690" s="2"/>
      <c r="P690" s="107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>
      <c r="E691" s="798"/>
      <c r="F691" s="798"/>
      <c r="G691" s="119"/>
      <c r="J691" s="119"/>
      <c r="K691" s="10"/>
      <c r="L691" s="117"/>
      <c r="M691" s="2"/>
      <c r="N691" s="2"/>
      <c r="O691" s="2"/>
      <c r="P691" s="107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>
      <c r="E692" s="798"/>
      <c r="F692" s="798"/>
      <c r="G692" s="119"/>
      <c r="J692" s="119"/>
      <c r="K692" s="10"/>
      <c r="L692" s="117"/>
      <c r="M692" s="2"/>
      <c r="N692" s="2"/>
      <c r="O692" s="2"/>
      <c r="P692" s="107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>
      <c r="E693" s="798"/>
      <c r="F693" s="798"/>
      <c r="G693" s="119"/>
      <c r="J693" s="119"/>
      <c r="K693" s="10"/>
      <c r="L693" s="117"/>
      <c r="M693" s="2"/>
      <c r="N693" s="2"/>
      <c r="O693" s="2"/>
      <c r="P693" s="107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>
      <c r="E694" s="798"/>
      <c r="F694" s="798"/>
      <c r="G694" s="119"/>
      <c r="J694" s="119"/>
      <c r="K694" s="10"/>
      <c r="L694" s="117"/>
      <c r="M694" s="2"/>
      <c r="N694" s="2"/>
      <c r="O694" s="2"/>
      <c r="P694" s="107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>
      <c r="E695" s="798"/>
      <c r="F695" s="798"/>
      <c r="G695" s="119"/>
      <c r="J695" s="119"/>
      <c r="K695" s="10"/>
      <c r="L695" s="117"/>
      <c r="M695" s="2"/>
      <c r="N695" s="2"/>
      <c r="O695" s="2"/>
      <c r="P695" s="107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>
      <c r="E696" s="798"/>
      <c r="F696" s="798"/>
      <c r="G696" s="119"/>
      <c r="J696" s="119"/>
      <c r="K696" s="10"/>
      <c r="L696" s="117"/>
      <c r="M696" s="2"/>
      <c r="N696" s="2"/>
      <c r="O696" s="2"/>
      <c r="P696" s="107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>
      <c r="E697" s="798"/>
      <c r="F697" s="798"/>
      <c r="G697" s="119"/>
      <c r="J697" s="119"/>
      <c r="K697" s="10"/>
      <c r="L697" s="117"/>
      <c r="M697" s="2"/>
      <c r="N697" s="2"/>
      <c r="O697" s="2"/>
      <c r="P697" s="107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>
      <c r="E698" s="798"/>
      <c r="F698" s="798"/>
      <c r="G698" s="119"/>
      <c r="J698" s="119"/>
      <c r="K698" s="10"/>
      <c r="L698" s="117"/>
      <c r="M698" s="2"/>
      <c r="N698" s="2"/>
      <c r="O698" s="2"/>
      <c r="P698" s="107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>
      <c r="E699" s="798"/>
      <c r="F699" s="798"/>
      <c r="G699" s="119"/>
      <c r="J699" s="119"/>
      <c r="K699" s="10"/>
      <c r="L699" s="117"/>
      <c r="M699" s="2"/>
      <c r="N699" s="2"/>
      <c r="O699" s="2"/>
      <c r="P699" s="107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>
      <c r="E700" s="798"/>
      <c r="F700" s="798"/>
      <c r="G700" s="119"/>
      <c r="J700" s="119"/>
      <c r="K700" s="10"/>
      <c r="L700" s="117"/>
      <c r="M700" s="2"/>
      <c r="N700" s="2"/>
      <c r="O700" s="2"/>
      <c r="P700" s="107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>
      <c r="E701" s="798"/>
      <c r="F701" s="798"/>
      <c r="G701" s="119"/>
      <c r="J701" s="119"/>
      <c r="K701" s="10"/>
      <c r="L701" s="117"/>
      <c r="M701" s="2"/>
      <c r="N701" s="2"/>
      <c r="O701" s="2"/>
      <c r="P701" s="107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>
      <c r="E702" s="798"/>
      <c r="F702" s="798"/>
      <c r="G702" s="119"/>
      <c r="J702" s="119"/>
      <c r="K702" s="10"/>
      <c r="L702" s="117"/>
      <c r="M702" s="2"/>
      <c r="N702" s="2"/>
      <c r="O702" s="2"/>
      <c r="P702" s="107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>
      <c r="E703" s="798"/>
      <c r="F703" s="798"/>
      <c r="G703" s="119"/>
      <c r="J703" s="119"/>
      <c r="K703" s="10"/>
      <c r="L703" s="117"/>
      <c r="M703" s="2"/>
      <c r="N703" s="2"/>
      <c r="O703" s="2"/>
      <c r="P703" s="107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>
      <c r="E704" s="798"/>
      <c r="F704" s="798"/>
      <c r="G704" s="119"/>
      <c r="J704" s="119"/>
      <c r="K704" s="10"/>
      <c r="L704" s="117"/>
      <c r="M704" s="2"/>
      <c r="N704" s="2"/>
      <c r="O704" s="2"/>
      <c r="P704" s="107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>
      <c r="E705" s="798"/>
      <c r="F705" s="798"/>
      <c r="G705" s="119"/>
      <c r="J705" s="119"/>
      <c r="K705" s="10"/>
      <c r="L705" s="117"/>
      <c r="M705" s="2"/>
      <c r="N705" s="2"/>
      <c r="O705" s="2"/>
      <c r="P705" s="107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>
      <c r="E706" s="798"/>
      <c r="F706" s="798"/>
      <c r="G706" s="119"/>
      <c r="J706" s="119"/>
      <c r="K706" s="10"/>
      <c r="L706" s="117"/>
      <c r="M706" s="2"/>
      <c r="N706" s="2"/>
      <c r="O706" s="2"/>
      <c r="P706" s="107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>
      <c r="E707" s="798"/>
      <c r="F707" s="798"/>
      <c r="G707" s="119"/>
      <c r="J707" s="119"/>
      <c r="K707" s="10"/>
      <c r="L707" s="117"/>
      <c r="M707" s="2"/>
      <c r="N707" s="2"/>
      <c r="O707" s="2"/>
      <c r="P707" s="107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>
      <c r="E708" s="798"/>
      <c r="F708" s="798"/>
      <c r="G708" s="119"/>
      <c r="J708" s="119"/>
      <c r="K708" s="10"/>
      <c r="L708" s="117"/>
      <c r="M708" s="2"/>
      <c r="N708" s="2"/>
      <c r="O708" s="2"/>
      <c r="P708" s="107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>
      <c r="E709" s="798"/>
      <c r="F709" s="798"/>
      <c r="G709" s="119"/>
      <c r="J709" s="119"/>
      <c r="K709" s="10"/>
      <c r="L709" s="117"/>
      <c r="M709" s="2"/>
      <c r="N709" s="2"/>
      <c r="O709" s="2"/>
      <c r="P709" s="107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>
      <c r="E710" s="798"/>
      <c r="F710" s="798"/>
      <c r="G710" s="119"/>
      <c r="J710" s="119"/>
      <c r="K710" s="10"/>
      <c r="L710" s="117"/>
      <c r="M710" s="2"/>
      <c r="N710" s="2"/>
      <c r="O710" s="2"/>
      <c r="P710" s="107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>
      <c r="E711" s="798"/>
      <c r="F711" s="798"/>
      <c r="G711" s="119"/>
      <c r="J711" s="119"/>
      <c r="K711" s="10"/>
      <c r="L711" s="117"/>
      <c r="M711" s="2"/>
      <c r="N711" s="2"/>
      <c r="O711" s="2"/>
      <c r="P711" s="107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>
      <c r="E712" s="798"/>
      <c r="F712" s="798"/>
      <c r="G712" s="119"/>
      <c r="J712" s="119"/>
      <c r="K712" s="10"/>
      <c r="L712" s="117"/>
      <c r="M712" s="2"/>
      <c r="N712" s="2"/>
      <c r="O712" s="2"/>
      <c r="P712" s="107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>
      <c r="E713" s="798"/>
      <c r="F713" s="798"/>
      <c r="G713" s="119"/>
      <c r="J713" s="119"/>
      <c r="K713" s="10"/>
      <c r="L713" s="117"/>
      <c r="M713" s="2"/>
      <c r="N713" s="2"/>
      <c r="O713" s="2"/>
      <c r="P713" s="107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>
      <c r="E714" s="798"/>
      <c r="F714" s="798"/>
      <c r="G714" s="119"/>
      <c r="J714" s="119"/>
      <c r="K714" s="10"/>
      <c r="L714" s="117"/>
      <c r="M714" s="2"/>
      <c r="N714" s="2"/>
      <c r="O714" s="2"/>
      <c r="P714" s="107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>
      <c r="E715" s="798"/>
      <c r="F715" s="798"/>
      <c r="G715" s="119"/>
      <c r="J715" s="119"/>
      <c r="K715" s="10"/>
      <c r="L715" s="117"/>
      <c r="M715" s="2"/>
      <c r="N715" s="2"/>
      <c r="O715" s="2"/>
      <c r="P715" s="107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>
      <c r="E716" s="798"/>
      <c r="F716" s="798"/>
      <c r="G716" s="119"/>
      <c r="J716" s="119"/>
      <c r="K716" s="10"/>
      <c r="L716" s="117"/>
      <c r="M716" s="2"/>
      <c r="N716" s="2"/>
      <c r="O716" s="2"/>
      <c r="P716" s="107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>
      <c r="E717" s="798"/>
      <c r="F717" s="798"/>
      <c r="G717" s="119"/>
      <c r="J717" s="119"/>
      <c r="K717" s="10"/>
      <c r="L717" s="117"/>
      <c r="M717" s="2"/>
      <c r="N717" s="2"/>
      <c r="O717" s="2"/>
      <c r="P717" s="107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>
      <c r="E718" s="798"/>
      <c r="F718" s="798"/>
      <c r="G718" s="119"/>
      <c r="J718" s="119"/>
      <c r="K718" s="10"/>
      <c r="L718" s="117"/>
      <c r="M718" s="2"/>
      <c r="N718" s="2"/>
      <c r="O718" s="2"/>
      <c r="P718" s="107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>
      <c r="E719" s="798"/>
      <c r="F719" s="798"/>
      <c r="G719" s="119"/>
      <c r="J719" s="119"/>
      <c r="K719" s="10"/>
      <c r="L719" s="117"/>
      <c r="M719" s="2"/>
      <c r="N719" s="2"/>
      <c r="O719" s="2"/>
      <c r="P719" s="107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>
      <c r="E720" s="798"/>
      <c r="F720" s="798"/>
      <c r="G720" s="119"/>
      <c r="J720" s="119"/>
      <c r="K720" s="10"/>
      <c r="L720" s="117"/>
      <c r="M720" s="2"/>
      <c r="N720" s="2"/>
      <c r="O720" s="2"/>
      <c r="P720" s="107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>
      <c r="E721" s="798"/>
      <c r="F721" s="798"/>
      <c r="G721" s="119"/>
      <c r="J721" s="119"/>
      <c r="K721" s="10"/>
      <c r="L721" s="117"/>
      <c r="M721" s="2"/>
      <c r="N721" s="2"/>
      <c r="O721" s="2"/>
      <c r="P721" s="107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>
      <c r="E722" s="798"/>
      <c r="F722" s="798"/>
      <c r="G722" s="119"/>
      <c r="J722" s="119"/>
      <c r="K722" s="10"/>
      <c r="L722" s="117"/>
      <c r="M722" s="2"/>
      <c r="N722" s="2"/>
      <c r="O722" s="2"/>
      <c r="P722" s="107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>
      <c r="E723" s="798"/>
      <c r="F723" s="798"/>
      <c r="G723" s="119"/>
      <c r="J723" s="119"/>
      <c r="K723" s="10"/>
      <c r="L723" s="117"/>
      <c r="M723" s="2"/>
      <c r="N723" s="2"/>
      <c r="O723" s="2"/>
      <c r="P723" s="107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>
      <c r="E724" s="798"/>
      <c r="F724" s="798"/>
      <c r="G724" s="119"/>
      <c r="J724" s="119"/>
      <c r="K724" s="10"/>
      <c r="L724" s="117"/>
      <c r="M724" s="2"/>
      <c r="N724" s="2"/>
      <c r="O724" s="2"/>
      <c r="P724" s="107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>
      <c r="E725" s="798"/>
      <c r="F725" s="798"/>
      <c r="G725" s="119"/>
      <c r="J725" s="119"/>
      <c r="K725" s="10"/>
      <c r="L725" s="117"/>
      <c r="M725" s="2"/>
      <c r="N725" s="2"/>
      <c r="O725" s="2"/>
      <c r="P725" s="107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>
      <c r="E726" s="798"/>
      <c r="F726" s="798"/>
      <c r="G726" s="119"/>
      <c r="J726" s="119"/>
      <c r="K726" s="10"/>
      <c r="L726" s="117"/>
      <c r="M726" s="2"/>
      <c r="N726" s="2"/>
      <c r="O726" s="2"/>
      <c r="P726" s="107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>
      <c r="E727" s="798"/>
      <c r="F727" s="798"/>
      <c r="G727" s="119"/>
      <c r="J727" s="119"/>
      <c r="K727" s="10"/>
      <c r="L727" s="117"/>
      <c r="M727" s="2"/>
      <c r="N727" s="2"/>
      <c r="O727" s="2"/>
      <c r="P727" s="107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>
      <c r="E728" s="798"/>
      <c r="F728" s="798"/>
      <c r="G728" s="119"/>
      <c r="J728" s="119"/>
      <c r="K728" s="10"/>
      <c r="L728" s="117"/>
      <c r="M728" s="2"/>
      <c r="N728" s="2"/>
      <c r="O728" s="2"/>
      <c r="P728" s="107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>
      <c r="E729" s="798"/>
      <c r="F729" s="798"/>
      <c r="G729" s="119"/>
      <c r="J729" s="119"/>
      <c r="K729" s="10"/>
      <c r="L729" s="117"/>
      <c r="M729" s="2"/>
      <c r="N729" s="2"/>
      <c r="O729" s="2"/>
      <c r="P729" s="107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>
      <c r="E730" s="798"/>
      <c r="F730" s="798"/>
      <c r="G730" s="119"/>
      <c r="J730" s="119"/>
      <c r="K730" s="10"/>
      <c r="L730" s="117"/>
      <c r="M730" s="2"/>
      <c r="N730" s="2"/>
      <c r="O730" s="2"/>
      <c r="P730" s="107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>
      <c r="E731" s="798"/>
      <c r="F731" s="798"/>
      <c r="G731" s="119"/>
      <c r="J731" s="119"/>
      <c r="K731" s="10"/>
      <c r="L731" s="117"/>
      <c r="M731" s="2"/>
      <c r="N731" s="2"/>
      <c r="O731" s="2"/>
      <c r="P731" s="107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>
      <c r="E732" s="798"/>
      <c r="F732" s="798"/>
      <c r="G732" s="119"/>
      <c r="J732" s="119"/>
      <c r="K732" s="10"/>
      <c r="L732" s="117"/>
      <c r="M732" s="2"/>
      <c r="N732" s="2"/>
      <c r="O732" s="2"/>
      <c r="P732" s="107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>
      <c r="E733" s="798"/>
      <c r="F733" s="798"/>
      <c r="G733" s="119"/>
      <c r="J733" s="119"/>
      <c r="K733" s="10"/>
      <c r="L733" s="117"/>
      <c r="M733" s="2"/>
      <c r="N733" s="2"/>
      <c r="O733" s="2"/>
      <c r="P733" s="107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>
      <c r="E734" s="798"/>
      <c r="F734" s="798"/>
      <c r="G734" s="119"/>
      <c r="J734" s="119"/>
      <c r="K734" s="10"/>
      <c r="L734" s="117"/>
      <c r="M734" s="2"/>
      <c r="N734" s="2"/>
      <c r="O734" s="2"/>
      <c r="P734" s="107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>
      <c r="E735" s="798"/>
      <c r="F735" s="798"/>
      <c r="G735" s="119"/>
      <c r="J735" s="119"/>
      <c r="K735" s="10"/>
      <c r="L735" s="117"/>
      <c r="M735" s="2"/>
      <c r="N735" s="2"/>
      <c r="O735" s="2"/>
      <c r="P735" s="107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>
      <c r="E736" s="798"/>
      <c r="F736" s="798"/>
      <c r="G736" s="119"/>
      <c r="J736" s="119"/>
      <c r="K736" s="10"/>
      <c r="L736" s="117"/>
      <c r="M736" s="2"/>
      <c r="N736" s="2"/>
      <c r="O736" s="2"/>
      <c r="P736" s="107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>
      <c r="E737" s="798"/>
      <c r="F737" s="798"/>
      <c r="G737" s="119"/>
      <c r="J737" s="119"/>
      <c r="K737" s="10"/>
      <c r="L737" s="117"/>
      <c r="M737" s="2"/>
      <c r="N737" s="2"/>
      <c r="O737" s="2"/>
      <c r="P737" s="107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>
      <c r="E738" s="798"/>
      <c r="F738" s="798"/>
      <c r="G738" s="119"/>
      <c r="J738" s="119"/>
      <c r="K738" s="10"/>
      <c r="L738" s="117"/>
      <c r="M738" s="2"/>
      <c r="N738" s="2"/>
      <c r="O738" s="2"/>
      <c r="P738" s="107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>
      <c r="E739" s="798"/>
      <c r="F739" s="798"/>
      <c r="G739" s="119"/>
      <c r="J739" s="119"/>
      <c r="K739" s="10"/>
      <c r="L739" s="117"/>
      <c r="M739" s="2"/>
      <c r="N739" s="2"/>
      <c r="O739" s="2"/>
      <c r="P739" s="107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>
      <c r="E740" s="798"/>
      <c r="F740" s="798"/>
      <c r="G740" s="119"/>
      <c r="J740" s="119"/>
      <c r="K740" s="10"/>
      <c r="L740" s="117"/>
      <c r="M740" s="2"/>
      <c r="N740" s="2"/>
      <c r="O740" s="2"/>
      <c r="P740" s="107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>
      <c r="E741" s="798"/>
      <c r="F741" s="798"/>
      <c r="G741" s="119"/>
      <c r="J741" s="119"/>
      <c r="K741" s="10"/>
      <c r="L741" s="117"/>
      <c r="M741" s="2"/>
      <c r="N741" s="2"/>
      <c r="O741" s="2"/>
      <c r="P741" s="107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>
      <c r="E742" s="798"/>
      <c r="F742" s="798"/>
      <c r="G742" s="119"/>
      <c r="J742" s="119"/>
      <c r="K742" s="10"/>
      <c r="L742" s="117"/>
      <c r="M742" s="2"/>
      <c r="N742" s="2"/>
      <c r="O742" s="2"/>
      <c r="P742" s="107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>
      <c r="E743" s="798"/>
      <c r="F743" s="798"/>
      <c r="G743" s="119"/>
      <c r="J743" s="119"/>
      <c r="K743" s="10"/>
      <c r="L743" s="117"/>
      <c r="M743" s="2"/>
      <c r="N743" s="2"/>
      <c r="O743" s="2"/>
      <c r="P743" s="107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>
      <c r="E744" s="798"/>
      <c r="F744" s="798"/>
      <c r="G744" s="119"/>
      <c r="J744" s="119"/>
      <c r="K744" s="10"/>
      <c r="L744" s="117"/>
      <c r="M744" s="2"/>
      <c r="N744" s="2"/>
      <c r="O744" s="2"/>
      <c r="P744" s="107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>
      <c r="E745" s="798"/>
      <c r="F745" s="798"/>
      <c r="G745" s="119"/>
      <c r="J745" s="119"/>
      <c r="K745" s="10"/>
      <c r="L745" s="117"/>
      <c r="M745" s="2"/>
      <c r="N745" s="2"/>
      <c r="O745" s="2"/>
      <c r="P745" s="107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>
      <c r="E746" s="798"/>
      <c r="F746" s="798"/>
      <c r="G746" s="119"/>
      <c r="J746" s="119"/>
      <c r="K746" s="10"/>
      <c r="L746" s="117"/>
      <c r="M746" s="2"/>
      <c r="N746" s="2"/>
      <c r="O746" s="2"/>
      <c r="P746" s="107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>
      <c r="E747" s="798"/>
      <c r="F747" s="798"/>
      <c r="G747" s="119"/>
      <c r="J747" s="119"/>
      <c r="K747" s="10"/>
      <c r="L747" s="117"/>
      <c r="M747" s="2"/>
      <c r="N747" s="2"/>
      <c r="O747" s="2"/>
      <c r="P747" s="107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>
      <c r="E748" s="798"/>
      <c r="F748" s="798"/>
      <c r="G748" s="119"/>
      <c r="J748" s="119"/>
      <c r="K748" s="10"/>
      <c r="L748" s="117"/>
      <c r="M748" s="2"/>
      <c r="N748" s="2"/>
      <c r="O748" s="2"/>
      <c r="P748" s="107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>
      <c r="E749" s="798"/>
      <c r="F749" s="798"/>
      <c r="G749" s="119"/>
      <c r="J749" s="119"/>
      <c r="K749" s="10"/>
      <c r="L749" s="117"/>
      <c r="M749" s="2"/>
      <c r="N749" s="2"/>
      <c r="O749" s="2"/>
      <c r="P749" s="107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>
      <c r="E750" s="798"/>
      <c r="F750" s="798"/>
      <c r="G750" s="119"/>
      <c r="J750" s="119"/>
      <c r="K750" s="10"/>
      <c r="L750" s="117"/>
      <c r="M750" s="2"/>
      <c r="N750" s="2"/>
      <c r="O750" s="2"/>
      <c r="P750" s="107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>
      <c r="E751" s="798"/>
      <c r="F751" s="798"/>
      <c r="G751" s="119"/>
      <c r="J751" s="119"/>
      <c r="K751" s="10"/>
      <c r="L751" s="117"/>
      <c r="M751" s="2"/>
      <c r="N751" s="2"/>
      <c r="O751" s="2"/>
      <c r="P751" s="107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>
      <c r="E752" s="798"/>
      <c r="F752" s="798"/>
      <c r="G752" s="119"/>
      <c r="J752" s="119"/>
      <c r="K752" s="10"/>
      <c r="L752" s="117"/>
      <c r="M752" s="2"/>
      <c r="N752" s="2"/>
      <c r="O752" s="2"/>
      <c r="P752" s="107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>
      <c r="E753" s="798"/>
      <c r="F753" s="798"/>
      <c r="G753" s="119"/>
      <c r="J753" s="119"/>
      <c r="K753" s="10"/>
      <c r="L753" s="117"/>
      <c r="M753" s="2"/>
      <c r="N753" s="2"/>
      <c r="O753" s="2"/>
      <c r="P753" s="107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>
      <c r="E754" s="798"/>
      <c r="F754" s="798"/>
      <c r="G754" s="119"/>
      <c r="J754" s="119"/>
      <c r="K754" s="10"/>
      <c r="L754" s="117"/>
      <c r="M754" s="2"/>
      <c r="N754" s="2"/>
      <c r="O754" s="2"/>
      <c r="P754" s="107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>
      <c r="E755" s="798"/>
      <c r="F755" s="798"/>
      <c r="G755" s="119"/>
      <c r="J755" s="119"/>
      <c r="K755" s="10"/>
      <c r="L755" s="117"/>
      <c r="M755" s="2"/>
      <c r="N755" s="2"/>
      <c r="O755" s="2"/>
      <c r="P755" s="107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>
      <c r="E756" s="798"/>
      <c r="F756" s="798"/>
      <c r="G756" s="119"/>
      <c r="J756" s="119"/>
      <c r="K756" s="10"/>
      <c r="L756" s="117"/>
      <c r="M756" s="2"/>
      <c r="N756" s="2"/>
      <c r="O756" s="2"/>
      <c r="P756" s="107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>
      <c r="E757" s="798"/>
      <c r="F757" s="798"/>
      <c r="G757" s="119"/>
      <c r="J757" s="119"/>
      <c r="K757" s="10"/>
      <c r="L757" s="117"/>
      <c r="M757" s="2"/>
      <c r="N757" s="2"/>
      <c r="O757" s="2"/>
      <c r="P757" s="107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>
      <c r="E758" s="798"/>
      <c r="F758" s="798"/>
      <c r="G758" s="119"/>
      <c r="J758" s="119"/>
      <c r="K758" s="10"/>
      <c r="L758" s="117"/>
      <c r="M758" s="2"/>
      <c r="N758" s="2"/>
      <c r="O758" s="2"/>
      <c r="P758" s="107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>
      <c r="E759" s="798"/>
      <c r="F759" s="798"/>
      <c r="G759" s="119"/>
      <c r="J759" s="119"/>
      <c r="K759" s="10"/>
      <c r="L759" s="117"/>
      <c r="M759" s="2"/>
      <c r="N759" s="2"/>
      <c r="O759" s="2"/>
      <c r="P759" s="107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>
      <c r="E760" s="798"/>
      <c r="F760" s="798"/>
      <c r="G760" s="119"/>
      <c r="J760" s="119"/>
      <c r="K760" s="10"/>
      <c r="L760" s="117"/>
      <c r="M760" s="2"/>
      <c r="N760" s="2"/>
      <c r="O760" s="2"/>
      <c r="P760" s="107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>
      <c r="E761" s="798"/>
      <c r="F761" s="798"/>
      <c r="G761" s="119"/>
      <c r="J761" s="119"/>
      <c r="K761" s="10"/>
      <c r="L761" s="117"/>
      <c r="M761" s="2"/>
      <c r="N761" s="2"/>
      <c r="O761" s="2"/>
      <c r="P761" s="107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>
      <c r="E762" s="798"/>
      <c r="F762" s="798"/>
      <c r="G762" s="119"/>
      <c r="J762" s="119"/>
      <c r="K762" s="10"/>
      <c r="L762" s="117"/>
      <c r="M762" s="2"/>
      <c r="N762" s="2"/>
      <c r="O762" s="2"/>
      <c r="P762" s="107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>
      <c r="E763" s="798"/>
      <c r="F763" s="798"/>
      <c r="G763" s="119"/>
      <c r="J763" s="119"/>
      <c r="K763" s="10"/>
      <c r="L763" s="117"/>
      <c r="M763" s="2"/>
      <c r="N763" s="2"/>
      <c r="O763" s="2"/>
      <c r="P763" s="107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>
      <c r="E764" s="798"/>
      <c r="F764" s="798"/>
      <c r="G764" s="119"/>
      <c r="J764" s="119"/>
      <c r="K764" s="10"/>
      <c r="L764" s="117"/>
      <c r="M764" s="2"/>
      <c r="N764" s="2"/>
      <c r="O764" s="2"/>
      <c r="P764" s="107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>
      <c r="E765" s="798"/>
      <c r="F765" s="798"/>
      <c r="G765" s="119"/>
      <c r="J765" s="119"/>
      <c r="K765" s="10"/>
      <c r="L765" s="117"/>
      <c r="M765" s="2"/>
      <c r="N765" s="2"/>
      <c r="O765" s="2"/>
      <c r="P765" s="107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>
      <c r="E766" s="798"/>
      <c r="F766" s="798"/>
      <c r="G766" s="119"/>
      <c r="J766" s="119"/>
      <c r="K766" s="10"/>
      <c r="L766" s="117"/>
      <c r="M766" s="2"/>
      <c r="N766" s="2"/>
      <c r="O766" s="2"/>
      <c r="P766" s="107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>
      <c r="E767" s="798"/>
      <c r="F767" s="798"/>
      <c r="G767" s="119"/>
      <c r="J767" s="119"/>
      <c r="K767" s="10"/>
      <c r="L767" s="117"/>
      <c r="M767" s="2"/>
      <c r="N767" s="2"/>
      <c r="O767" s="2"/>
      <c r="P767" s="107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>
      <c r="E768" s="798"/>
      <c r="F768" s="798"/>
      <c r="G768" s="119"/>
      <c r="J768" s="119"/>
      <c r="K768" s="10"/>
      <c r="L768" s="117"/>
      <c r="M768" s="2"/>
      <c r="N768" s="2"/>
      <c r="O768" s="2"/>
      <c r="P768" s="107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>
      <c r="E769" s="798"/>
      <c r="F769" s="798"/>
      <c r="G769" s="119"/>
      <c r="J769" s="119"/>
      <c r="K769" s="10"/>
      <c r="L769" s="117"/>
      <c r="M769" s="2"/>
      <c r="N769" s="2"/>
      <c r="O769" s="2"/>
      <c r="P769" s="107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>
      <c r="E770" s="798"/>
      <c r="F770" s="798"/>
      <c r="G770" s="119"/>
      <c r="J770" s="119"/>
      <c r="K770" s="10"/>
      <c r="L770" s="117"/>
      <c r="M770" s="2"/>
      <c r="N770" s="2"/>
      <c r="O770" s="2"/>
      <c r="P770" s="107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>
      <c r="E771" s="798"/>
      <c r="F771" s="798"/>
      <c r="G771" s="119"/>
      <c r="J771" s="119"/>
      <c r="K771" s="10"/>
      <c r="L771" s="117"/>
      <c r="M771" s="2"/>
      <c r="N771" s="2"/>
      <c r="O771" s="2"/>
      <c r="P771" s="107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>
      <c r="E772" s="798"/>
      <c r="F772" s="798"/>
      <c r="G772" s="119"/>
      <c r="J772" s="119"/>
      <c r="K772" s="10"/>
      <c r="L772" s="117"/>
      <c r="M772" s="2"/>
      <c r="N772" s="2"/>
      <c r="O772" s="2"/>
      <c r="P772" s="107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>
      <c r="E773" s="798"/>
      <c r="F773" s="798"/>
      <c r="G773" s="119"/>
      <c r="J773" s="119"/>
      <c r="K773" s="10"/>
      <c r="L773" s="117"/>
      <c r="M773" s="2"/>
      <c r="N773" s="2"/>
      <c r="O773" s="2"/>
      <c r="P773" s="107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>
      <c r="E774" s="798"/>
      <c r="F774" s="798"/>
      <c r="G774" s="119"/>
      <c r="J774" s="119"/>
      <c r="K774" s="10"/>
      <c r="L774" s="117"/>
      <c r="M774" s="2"/>
      <c r="N774" s="2"/>
      <c r="O774" s="2"/>
      <c r="P774" s="107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>
      <c r="E775" s="798"/>
      <c r="F775" s="798"/>
      <c r="G775" s="119"/>
      <c r="J775" s="119"/>
      <c r="K775" s="10"/>
      <c r="L775" s="117"/>
      <c r="M775" s="2"/>
      <c r="N775" s="2"/>
      <c r="O775" s="2"/>
      <c r="P775" s="107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>
      <c r="E776" s="798"/>
      <c r="F776" s="798"/>
      <c r="G776" s="119"/>
      <c r="J776" s="119"/>
      <c r="K776" s="10"/>
      <c r="L776" s="117"/>
      <c r="M776" s="2"/>
      <c r="N776" s="2"/>
      <c r="O776" s="2"/>
      <c r="P776" s="107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>
      <c r="E777" s="798"/>
      <c r="F777" s="798"/>
      <c r="G777" s="119"/>
      <c r="J777" s="119"/>
      <c r="K777" s="10"/>
      <c r="L777" s="117"/>
      <c r="M777" s="2"/>
      <c r="N777" s="2"/>
      <c r="O777" s="2"/>
      <c r="P777" s="107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>
      <c r="E778" s="798"/>
      <c r="F778" s="798"/>
      <c r="G778" s="119"/>
      <c r="J778" s="119"/>
      <c r="K778" s="10"/>
      <c r="L778" s="117"/>
      <c r="M778" s="2"/>
      <c r="N778" s="2"/>
      <c r="O778" s="2"/>
      <c r="P778" s="107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>
      <c r="E779" s="798"/>
      <c r="F779" s="798"/>
      <c r="G779" s="119"/>
      <c r="J779" s="119"/>
      <c r="K779" s="10"/>
      <c r="L779" s="117"/>
      <c r="M779" s="2"/>
      <c r="N779" s="2"/>
      <c r="O779" s="2"/>
      <c r="P779" s="107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>
      <c r="E780" s="798"/>
      <c r="F780" s="798"/>
      <c r="G780" s="119"/>
      <c r="J780" s="119"/>
      <c r="K780" s="10"/>
      <c r="L780" s="117"/>
      <c r="M780" s="2"/>
      <c r="N780" s="2"/>
      <c r="O780" s="2"/>
      <c r="P780" s="107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>
      <c r="E781" s="798"/>
      <c r="F781" s="798"/>
      <c r="G781" s="119"/>
      <c r="J781" s="119"/>
      <c r="K781" s="10"/>
      <c r="L781" s="117"/>
      <c r="M781" s="2"/>
      <c r="N781" s="2"/>
      <c r="O781" s="2"/>
      <c r="P781" s="107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>
      <c r="E782" s="798"/>
      <c r="F782" s="798"/>
      <c r="G782" s="119"/>
      <c r="J782" s="119"/>
      <c r="K782" s="10"/>
      <c r="L782" s="117"/>
      <c r="M782" s="2"/>
      <c r="N782" s="2"/>
      <c r="O782" s="2"/>
      <c r="P782" s="107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>
      <c r="E783" s="798"/>
      <c r="F783" s="798"/>
      <c r="G783" s="119"/>
      <c r="J783" s="119"/>
      <c r="K783" s="10"/>
      <c r="L783" s="117"/>
      <c r="M783" s="2"/>
      <c r="N783" s="2"/>
      <c r="O783" s="2"/>
      <c r="P783" s="107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>
      <c r="E784" s="798"/>
      <c r="F784" s="798"/>
      <c r="G784" s="119"/>
      <c r="J784" s="119"/>
      <c r="K784" s="10"/>
      <c r="L784" s="117"/>
      <c r="M784" s="2"/>
      <c r="N784" s="2"/>
      <c r="O784" s="2"/>
      <c r="P784" s="107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>
      <c r="E785" s="798"/>
      <c r="F785" s="798"/>
      <c r="G785" s="119"/>
      <c r="J785" s="119"/>
      <c r="K785" s="10"/>
      <c r="L785" s="117"/>
      <c r="M785" s="2"/>
      <c r="N785" s="2"/>
      <c r="O785" s="2"/>
      <c r="P785" s="107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>
      <c r="E786" s="798"/>
      <c r="F786" s="798"/>
      <c r="G786" s="119"/>
      <c r="J786" s="119"/>
      <c r="K786" s="10"/>
      <c r="L786" s="117"/>
      <c r="M786" s="2"/>
      <c r="N786" s="2"/>
      <c r="O786" s="2"/>
      <c r="P786" s="107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>
      <c r="E787" s="798"/>
      <c r="F787" s="798"/>
      <c r="G787" s="119"/>
      <c r="J787" s="119"/>
      <c r="K787" s="10"/>
      <c r="L787" s="117"/>
      <c r="M787" s="2"/>
      <c r="N787" s="2"/>
      <c r="O787" s="2"/>
      <c r="P787" s="107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>
      <c r="E788" s="798"/>
      <c r="F788" s="798"/>
      <c r="G788" s="119"/>
      <c r="J788" s="119"/>
      <c r="K788" s="10"/>
      <c r="L788" s="117"/>
      <c r="M788" s="2"/>
      <c r="N788" s="2"/>
      <c r="O788" s="2"/>
      <c r="P788" s="107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>
      <c r="E789" s="798"/>
      <c r="F789" s="798"/>
      <c r="G789" s="119"/>
      <c r="J789" s="119"/>
      <c r="K789" s="10"/>
      <c r="L789" s="117"/>
      <c r="M789" s="2"/>
      <c r="N789" s="2"/>
      <c r="O789" s="2"/>
      <c r="P789" s="107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>
      <c r="E790" s="798"/>
      <c r="F790" s="798"/>
      <c r="G790" s="119"/>
      <c r="J790" s="119"/>
      <c r="K790" s="10"/>
      <c r="L790" s="117"/>
      <c r="M790" s="2"/>
      <c r="N790" s="2"/>
      <c r="O790" s="2"/>
      <c r="P790" s="107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>
      <c r="E791" s="798"/>
      <c r="F791" s="798"/>
      <c r="G791" s="119"/>
      <c r="J791" s="119"/>
      <c r="K791" s="10"/>
      <c r="L791" s="117"/>
      <c r="M791" s="2"/>
      <c r="N791" s="2"/>
      <c r="O791" s="2"/>
      <c r="P791" s="107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>
      <c r="E792" s="798"/>
      <c r="F792" s="798"/>
      <c r="G792" s="119"/>
      <c r="J792" s="119"/>
      <c r="K792" s="10"/>
      <c r="L792" s="117"/>
      <c r="M792" s="2"/>
      <c r="N792" s="2"/>
      <c r="O792" s="2"/>
      <c r="P792" s="107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>
      <c r="E793" s="798"/>
      <c r="F793" s="798"/>
      <c r="G793" s="119"/>
      <c r="J793" s="119"/>
      <c r="K793" s="10"/>
      <c r="L793" s="117"/>
      <c r="M793" s="2"/>
      <c r="N793" s="2"/>
      <c r="O793" s="2"/>
      <c r="P793" s="107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>
      <c r="E794" s="798"/>
      <c r="F794" s="798"/>
      <c r="G794" s="119"/>
      <c r="J794" s="119"/>
      <c r="K794" s="10"/>
      <c r="L794" s="117"/>
      <c r="M794" s="2"/>
      <c r="N794" s="2"/>
      <c r="O794" s="2"/>
      <c r="P794" s="107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>
      <c r="E795" s="798"/>
      <c r="F795" s="798"/>
      <c r="G795" s="119"/>
      <c r="J795" s="119"/>
      <c r="K795" s="10"/>
      <c r="L795" s="117"/>
      <c r="M795" s="2"/>
      <c r="N795" s="2"/>
      <c r="O795" s="2"/>
      <c r="P795" s="107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>
      <c r="E796" s="798"/>
      <c r="F796" s="798"/>
      <c r="G796" s="119"/>
      <c r="J796" s="119"/>
      <c r="K796" s="10"/>
      <c r="L796" s="117"/>
      <c r="M796" s="2"/>
      <c r="N796" s="2"/>
      <c r="O796" s="2"/>
      <c r="P796" s="107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>
      <c r="E797" s="798"/>
      <c r="F797" s="798"/>
      <c r="G797" s="119"/>
      <c r="J797" s="119"/>
      <c r="K797" s="10"/>
      <c r="L797" s="117"/>
      <c r="M797" s="2"/>
      <c r="N797" s="2"/>
      <c r="O797" s="2"/>
      <c r="P797" s="107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>
      <c r="E798" s="798"/>
      <c r="F798" s="798"/>
      <c r="G798" s="119"/>
      <c r="J798" s="119"/>
      <c r="K798" s="10"/>
      <c r="L798" s="117"/>
      <c r="M798" s="2"/>
      <c r="N798" s="2"/>
      <c r="O798" s="2"/>
      <c r="P798" s="107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>
      <c r="E799" s="798"/>
      <c r="F799" s="798"/>
      <c r="G799" s="119"/>
      <c r="J799" s="119"/>
      <c r="K799" s="10"/>
      <c r="L799" s="117"/>
      <c r="M799" s="2"/>
      <c r="N799" s="2"/>
      <c r="O799" s="2"/>
      <c r="P799" s="107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>
      <c r="E800" s="798"/>
      <c r="F800" s="798"/>
      <c r="G800" s="119"/>
      <c r="J800" s="119"/>
      <c r="K800" s="10"/>
      <c r="L800" s="117"/>
      <c r="M800" s="2"/>
      <c r="N800" s="2"/>
      <c r="O800" s="2"/>
      <c r="P800" s="107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>
      <c r="E801" s="798"/>
      <c r="F801" s="798"/>
      <c r="G801" s="119"/>
      <c r="J801" s="119"/>
      <c r="K801" s="10"/>
      <c r="L801" s="117"/>
      <c r="M801" s="2"/>
      <c r="N801" s="2"/>
      <c r="O801" s="2"/>
      <c r="P801" s="107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>
      <c r="E802" s="798"/>
      <c r="F802" s="798"/>
      <c r="G802" s="119"/>
      <c r="J802" s="119"/>
      <c r="K802" s="10"/>
      <c r="L802" s="117"/>
      <c r="M802" s="2"/>
      <c r="N802" s="2"/>
      <c r="O802" s="2"/>
      <c r="P802" s="107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>
      <c r="E803" s="798"/>
      <c r="F803" s="798"/>
      <c r="G803" s="119"/>
      <c r="J803" s="119"/>
      <c r="K803" s="10"/>
      <c r="L803" s="117"/>
      <c r="M803" s="2"/>
      <c r="N803" s="2"/>
      <c r="O803" s="2"/>
      <c r="P803" s="107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>
      <c r="E804" s="798"/>
      <c r="F804" s="798"/>
      <c r="G804" s="119"/>
      <c r="J804" s="119"/>
      <c r="K804" s="10"/>
      <c r="L804" s="117"/>
      <c r="M804" s="2"/>
      <c r="N804" s="2"/>
      <c r="O804" s="2"/>
      <c r="P804" s="107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>
      <c r="E805" s="798"/>
      <c r="F805" s="798"/>
      <c r="G805" s="119"/>
      <c r="J805" s="119"/>
      <c r="K805" s="10"/>
      <c r="L805" s="117"/>
      <c r="M805" s="2"/>
      <c r="N805" s="2"/>
      <c r="O805" s="2"/>
      <c r="P805" s="107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>
      <c r="E806" s="798"/>
      <c r="F806" s="798"/>
      <c r="G806" s="119"/>
      <c r="J806" s="119"/>
      <c r="K806" s="10"/>
      <c r="L806" s="117"/>
      <c r="M806" s="2"/>
      <c r="N806" s="2"/>
      <c r="O806" s="2"/>
      <c r="P806" s="107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>
      <c r="E807" s="798"/>
      <c r="F807" s="798"/>
      <c r="G807" s="119"/>
      <c r="J807" s="119"/>
      <c r="K807" s="10"/>
      <c r="L807" s="117"/>
      <c r="M807" s="2"/>
      <c r="N807" s="2"/>
      <c r="O807" s="2"/>
      <c r="P807" s="107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>
      <c r="E808" s="798"/>
      <c r="F808" s="798"/>
      <c r="G808" s="119"/>
      <c r="J808" s="119"/>
      <c r="K808" s="10"/>
      <c r="L808" s="117"/>
      <c r="M808" s="2"/>
      <c r="N808" s="2"/>
      <c r="O808" s="2"/>
      <c r="P808" s="107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>
      <c r="E809" s="798"/>
      <c r="F809" s="798"/>
      <c r="G809" s="119"/>
      <c r="J809" s="119"/>
      <c r="K809" s="10"/>
      <c r="L809" s="117"/>
      <c r="M809" s="2"/>
      <c r="N809" s="2"/>
      <c r="O809" s="2"/>
      <c r="P809" s="107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>
      <c r="E810" s="798"/>
      <c r="F810" s="798"/>
      <c r="G810" s="119"/>
      <c r="J810" s="119"/>
      <c r="K810" s="10"/>
      <c r="L810" s="117"/>
      <c r="M810" s="2"/>
      <c r="N810" s="2"/>
      <c r="O810" s="2"/>
      <c r="P810" s="107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>
      <c r="E811" s="798"/>
      <c r="F811" s="798"/>
      <c r="G811" s="119"/>
      <c r="J811" s="119"/>
      <c r="K811" s="10"/>
      <c r="L811" s="117"/>
      <c r="M811" s="2"/>
      <c r="N811" s="2"/>
      <c r="O811" s="2"/>
      <c r="P811" s="107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>
      <c r="E812" s="798"/>
      <c r="F812" s="798"/>
      <c r="G812" s="119"/>
      <c r="J812" s="119"/>
      <c r="K812" s="10"/>
      <c r="L812" s="117"/>
      <c r="M812" s="2"/>
      <c r="N812" s="2"/>
      <c r="O812" s="2"/>
      <c r="P812" s="107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>
      <c r="E813" s="798"/>
      <c r="F813" s="798"/>
      <c r="G813" s="119"/>
      <c r="J813" s="119"/>
      <c r="K813" s="10"/>
      <c r="L813" s="117"/>
      <c r="M813" s="2"/>
      <c r="N813" s="2"/>
      <c r="O813" s="2"/>
      <c r="P813" s="107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>
      <c r="E814" s="798"/>
      <c r="F814" s="798"/>
      <c r="G814" s="119"/>
      <c r="J814" s="119"/>
      <c r="K814" s="10"/>
      <c r="L814" s="117"/>
      <c r="M814" s="2"/>
      <c r="N814" s="2"/>
      <c r="O814" s="2"/>
      <c r="P814" s="107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>
      <c r="E815" s="798"/>
      <c r="F815" s="798"/>
      <c r="G815" s="119"/>
      <c r="J815" s="119"/>
      <c r="K815" s="10"/>
      <c r="L815" s="117"/>
      <c r="M815" s="2"/>
      <c r="N815" s="2"/>
      <c r="O815" s="2"/>
      <c r="P815" s="107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>
      <c r="E816" s="798"/>
      <c r="F816" s="798"/>
      <c r="G816" s="119"/>
      <c r="J816" s="119"/>
      <c r="K816" s="10"/>
      <c r="L816" s="117"/>
      <c r="M816" s="2"/>
      <c r="N816" s="2"/>
      <c r="O816" s="2"/>
      <c r="P816" s="107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>
      <c r="E817" s="798"/>
      <c r="F817" s="798"/>
      <c r="G817" s="119"/>
      <c r="J817" s="119"/>
      <c r="K817" s="10"/>
      <c r="L817" s="117"/>
      <c r="M817" s="2"/>
      <c r="N817" s="2"/>
      <c r="O817" s="2"/>
      <c r="P817" s="107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>
      <c r="E818" s="798"/>
      <c r="F818" s="798"/>
      <c r="G818" s="119"/>
      <c r="J818" s="119"/>
      <c r="K818" s="10"/>
      <c r="L818" s="117"/>
      <c r="M818" s="2"/>
      <c r="N818" s="2"/>
      <c r="O818" s="2"/>
      <c r="P818" s="107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>
      <c r="E819" s="798"/>
      <c r="F819" s="798"/>
      <c r="G819" s="119"/>
      <c r="J819" s="119"/>
      <c r="K819" s="10"/>
      <c r="L819" s="117"/>
      <c r="M819" s="2"/>
      <c r="N819" s="2"/>
      <c r="O819" s="2"/>
      <c r="P819" s="107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>
      <c r="E820" s="798"/>
      <c r="F820" s="798"/>
      <c r="G820" s="119"/>
      <c r="J820" s="119"/>
      <c r="K820" s="10"/>
      <c r="L820" s="117"/>
      <c r="M820" s="2"/>
      <c r="N820" s="2"/>
      <c r="O820" s="2"/>
      <c r="P820" s="107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>
      <c r="E821" s="798"/>
      <c r="F821" s="798"/>
      <c r="G821" s="119"/>
      <c r="J821" s="119"/>
      <c r="K821" s="10"/>
      <c r="L821" s="117"/>
      <c r="M821" s="2"/>
      <c r="N821" s="2"/>
      <c r="O821" s="2"/>
      <c r="P821" s="107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>
      <c r="E822" s="798"/>
      <c r="F822" s="798"/>
      <c r="G822" s="119"/>
      <c r="J822" s="119"/>
      <c r="K822" s="10"/>
      <c r="L822" s="117"/>
      <c r="M822" s="2"/>
      <c r="N822" s="2"/>
      <c r="O822" s="2"/>
      <c r="P822" s="107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>
      <c r="E823" s="798"/>
      <c r="F823" s="798"/>
      <c r="G823" s="119"/>
      <c r="J823" s="119"/>
      <c r="K823" s="10"/>
      <c r="L823" s="117"/>
      <c r="M823" s="2"/>
      <c r="N823" s="2"/>
      <c r="O823" s="2"/>
      <c r="P823" s="107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>
      <c r="E824" s="798"/>
      <c r="F824" s="798"/>
      <c r="G824" s="119"/>
      <c r="J824" s="119"/>
      <c r="K824" s="10"/>
      <c r="L824" s="117"/>
      <c r="M824" s="2"/>
      <c r="N824" s="2"/>
      <c r="O824" s="2"/>
      <c r="P824" s="107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>
      <c r="E825" s="798"/>
      <c r="F825" s="798"/>
      <c r="G825" s="119"/>
      <c r="J825" s="119"/>
      <c r="K825" s="10"/>
      <c r="L825" s="117"/>
      <c r="M825" s="2"/>
      <c r="N825" s="2"/>
      <c r="O825" s="2"/>
      <c r="P825" s="107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>
      <c r="E826" s="798"/>
      <c r="F826" s="798"/>
      <c r="G826" s="119"/>
      <c r="J826" s="119"/>
      <c r="K826" s="10"/>
      <c r="L826" s="117"/>
      <c r="M826" s="2"/>
      <c r="N826" s="2"/>
      <c r="O826" s="2"/>
      <c r="P826" s="107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>
      <c r="E827" s="798"/>
      <c r="F827" s="798"/>
      <c r="G827" s="119"/>
      <c r="J827" s="119"/>
      <c r="K827" s="10"/>
      <c r="L827" s="117"/>
      <c r="M827" s="2"/>
      <c r="N827" s="2"/>
      <c r="O827" s="2"/>
      <c r="P827" s="107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>
      <c r="E828" s="798"/>
      <c r="F828" s="798"/>
      <c r="G828" s="119"/>
      <c r="J828" s="119"/>
      <c r="K828" s="10"/>
      <c r="L828" s="117"/>
      <c r="M828" s="2"/>
      <c r="N828" s="2"/>
      <c r="O828" s="2"/>
      <c r="P828" s="107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>
      <c r="E829" s="798"/>
      <c r="F829" s="798"/>
      <c r="G829" s="119"/>
      <c r="J829" s="119"/>
      <c r="K829" s="10"/>
      <c r="L829" s="117"/>
      <c r="M829" s="2"/>
      <c r="N829" s="2"/>
      <c r="O829" s="2"/>
      <c r="P829" s="107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>
      <c r="E830" s="798"/>
      <c r="F830" s="798"/>
      <c r="G830" s="119"/>
      <c r="J830" s="119"/>
      <c r="K830" s="10"/>
      <c r="L830" s="117"/>
      <c r="M830" s="2"/>
      <c r="N830" s="2"/>
      <c r="O830" s="2"/>
      <c r="P830" s="107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>
      <c r="E831" s="798"/>
      <c r="F831" s="798"/>
      <c r="G831" s="119"/>
      <c r="J831" s="119"/>
      <c r="K831" s="10"/>
      <c r="L831" s="117"/>
      <c r="M831" s="2"/>
      <c r="N831" s="2"/>
      <c r="O831" s="2"/>
      <c r="P831" s="107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>
      <c r="E832" s="798"/>
      <c r="F832" s="798"/>
      <c r="G832" s="119"/>
      <c r="J832" s="119"/>
      <c r="K832" s="10"/>
      <c r="L832" s="117"/>
      <c r="M832" s="2"/>
      <c r="N832" s="2"/>
      <c r="O832" s="2"/>
      <c r="P832" s="107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>
      <c r="E833" s="798"/>
      <c r="F833" s="798"/>
      <c r="G833" s="119"/>
      <c r="J833" s="119"/>
      <c r="K833" s="10"/>
      <c r="L833" s="117"/>
      <c r="M833" s="2"/>
      <c r="N833" s="2"/>
      <c r="O833" s="2"/>
      <c r="P833" s="107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>
      <c r="E834" s="798"/>
      <c r="F834" s="798"/>
      <c r="G834" s="119"/>
      <c r="J834" s="119"/>
      <c r="K834" s="10"/>
      <c r="L834" s="117"/>
      <c r="M834" s="2"/>
      <c r="N834" s="2"/>
      <c r="O834" s="2"/>
      <c r="P834" s="107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>
      <c r="E835" s="798"/>
      <c r="F835" s="798"/>
      <c r="G835" s="119"/>
      <c r="J835" s="119"/>
      <c r="K835" s="10"/>
      <c r="L835" s="117"/>
      <c r="M835" s="2"/>
      <c r="N835" s="2"/>
      <c r="O835" s="2"/>
      <c r="P835" s="107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>
      <c r="E836" s="798"/>
      <c r="F836" s="798"/>
      <c r="G836" s="119"/>
      <c r="J836" s="119"/>
      <c r="K836" s="10"/>
      <c r="L836" s="117"/>
      <c r="M836" s="2"/>
      <c r="N836" s="2"/>
      <c r="O836" s="2"/>
      <c r="P836" s="107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>
      <c r="E837" s="798"/>
      <c r="F837" s="798"/>
      <c r="G837" s="119"/>
      <c r="J837" s="119"/>
      <c r="K837" s="10"/>
      <c r="L837" s="117"/>
      <c r="M837" s="2"/>
      <c r="N837" s="2"/>
      <c r="O837" s="2"/>
      <c r="P837" s="107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>
      <c r="E838" s="798"/>
      <c r="F838" s="798"/>
      <c r="G838" s="119"/>
      <c r="J838" s="119"/>
      <c r="K838" s="10"/>
      <c r="L838" s="117"/>
      <c r="M838" s="2"/>
      <c r="N838" s="2"/>
      <c r="O838" s="2"/>
      <c r="P838" s="107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>
      <c r="E839" s="798"/>
      <c r="F839" s="798"/>
      <c r="G839" s="119"/>
      <c r="J839" s="119"/>
      <c r="K839" s="10"/>
      <c r="L839" s="117"/>
      <c r="M839" s="2"/>
      <c r="N839" s="2"/>
      <c r="O839" s="2"/>
      <c r="P839" s="107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>
      <c r="E840" s="798"/>
      <c r="F840" s="798"/>
      <c r="G840" s="119"/>
      <c r="J840" s="119"/>
      <c r="K840" s="10"/>
      <c r="L840" s="117"/>
      <c r="M840" s="2"/>
      <c r="N840" s="2"/>
      <c r="O840" s="2"/>
      <c r="P840" s="107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>
      <c r="E841" s="798"/>
      <c r="F841" s="798"/>
      <c r="G841" s="119"/>
      <c r="J841" s="119"/>
      <c r="K841" s="10"/>
      <c r="L841" s="117"/>
      <c r="M841" s="2"/>
      <c r="N841" s="2"/>
      <c r="O841" s="2"/>
      <c r="P841" s="107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>
      <c r="E842" s="798"/>
      <c r="F842" s="798"/>
      <c r="G842" s="119"/>
      <c r="J842" s="119"/>
      <c r="K842" s="10"/>
      <c r="L842" s="117"/>
      <c r="M842" s="2"/>
      <c r="N842" s="2"/>
      <c r="O842" s="2"/>
      <c r="P842" s="107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>
      <c r="E843" s="798"/>
      <c r="F843" s="798"/>
      <c r="G843" s="119"/>
      <c r="J843" s="119"/>
      <c r="K843" s="10"/>
      <c r="L843" s="117"/>
      <c r="M843" s="2"/>
      <c r="N843" s="2"/>
      <c r="O843" s="2"/>
      <c r="P843" s="107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>
      <c r="E844" s="798"/>
      <c r="F844" s="798"/>
      <c r="G844" s="119"/>
      <c r="J844" s="119"/>
      <c r="K844" s="10"/>
      <c r="L844" s="117"/>
      <c r="M844" s="2"/>
      <c r="N844" s="2"/>
      <c r="O844" s="2"/>
      <c r="P844" s="107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>
      <c r="E845" s="798"/>
      <c r="F845" s="798"/>
      <c r="G845" s="119"/>
      <c r="J845" s="119"/>
      <c r="K845" s="10"/>
      <c r="L845" s="117"/>
      <c r="M845" s="2"/>
      <c r="N845" s="2"/>
      <c r="O845" s="2"/>
      <c r="P845" s="107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>
      <c r="E846" s="798"/>
      <c r="F846" s="798"/>
      <c r="G846" s="119"/>
      <c r="J846" s="119"/>
      <c r="K846" s="10"/>
      <c r="L846" s="117"/>
      <c r="M846" s="2"/>
      <c r="N846" s="2"/>
      <c r="O846" s="2"/>
      <c r="P846" s="107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>
      <c r="E847" s="798"/>
      <c r="F847" s="798"/>
      <c r="G847" s="119"/>
      <c r="J847" s="119"/>
      <c r="K847" s="10"/>
      <c r="L847" s="117"/>
      <c r="M847" s="2"/>
      <c r="N847" s="2"/>
      <c r="O847" s="2"/>
      <c r="P847" s="107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>
      <c r="E848" s="798"/>
      <c r="F848" s="798"/>
      <c r="G848" s="119"/>
      <c r="J848" s="119"/>
      <c r="K848" s="10"/>
      <c r="L848" s="117"/>
      <c r="M848" s="2"/>
      <c r="N848" s="2"/>
      <c r="O848" s="2"/>
      <c r="P848" s="107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>
      <c r="E849" s="798"/>
      <c r="F849" s="798"/>
      <c r="G849" s="119"/>
      <c r="J849" s="119"/>
      <c r="K849" s="10"/>
      <c r="L849" s="117"/>
      <c r="M849" s="2"/>
      <c r="N849" s="2"/>
      <c r="O849" s="2"/>
      <c r="P849" s="107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>
      <c r="E850" s="798"/>
      <c r="F850" s="798"/>
      <c r="G850" s="119"/>
      <c r="J850" s="119"/>
      <c r="K850" s="10"/>
      <c r="L850" s="117"/>
      <c r="M850" s="2"/>
      <c r="N850" s="2"/>
      <c r="O850" s="2"/>
      <c r="P850" s="107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>
      <c r="E851" s="798"/>
      <c r="F851" s="798"/>
      <c r="G851" s="119"/>
      <c r="J851" s="119"/>
      <c r="K851" s="10"/>
      <c r="L851" s="117"/>
      <c r="M851" s="2"/>
      <c r="N851" s="2"/>
      <c r="O851" s="2"/>
      <c r="P851" s="107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>
      <c r="E852" s="798"/>
      <c r="F852" s="798"/>
      <c r="G852" s="119"/>
      <c r="J852" s="119"/>
      <c r="K852" s="10"/>
      <c r="L852" s="117"/>
      <c r="M852" s="2"/>
      <c r="N852" s="2"/>
      <c r="O852" s="2"/>
      <c r="P852" s="107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>
      <c r="E853" s="798"/>
      <c r="F853" s="798"/>
      <c r="G853" s="119"/>
      <c r="J853" s="119"/>
      <c r="K853" s="10"/>
      <c r="L853" s="117"/>
      <c r="M853" s="2"/>
      <c r="N853" s="2"/>
      <c r="O853" s="2"/>
      <c r="P853" s="107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>
      <c r="E854" s="798"/>
      <c r="F854" s="798"/>
      <c r="G854" s="119"/>
      <c r="J854" s="119"/>
      <c r="K854" s="10"/>
      <c r="L854" s="117"/>
      <c r="M854" s="2"/>
      <c r="N854" s="2"/>
      <c r="O854" s="2"/>
      <c r="P854" s="107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>
      <c r="E855" s="798"/>
      <c r="F855" s="798"/>
      <c r="G855" s="119"/>
      <c r="J855" s="119"/>
      <c r="K855" s="10"/>
      <c r="L855" s="117"/>
      <c r="M855" s="2"/>
      <c r="N855" s="2"/>
      <c r="O855" s="2"/>
      <c r="P855" s="107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>
      <c r="E856" s="798"/>
      <c r="F856" s="798"/>
      <c r="G856" s="119"/>
      <c r="J856" s="119"/>
      <c r="K856" s="10"/>
      <c r="L856" s="117"/>
      <c r="M856" s="2"/>
      <c r="N856" s="2"/>
      <c r="O856" s="2"/>
      <c r="P856" s="107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>
      <c r="E857" s="798"/>
      <c r="F857" s="798"/>
      <c r="G857" s="119"/>
      <c r="J857" s="119"/>
      <c r="K857" s="10"/>
      <c r="L857" s="117"/>
      <c r="M857" s="2"/>
      <c r="N857" s="2"/>
      <c r="O857" s="2"/>
      <c r="P857" s="107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>
      <c r="E858" s="798"/>
      <c r="F858" s="798"/>
      <c r="G858" s="119"/>
      <c r="J858" s="119"/>
      <c r="K858" s="10"/>
      <c r="L858" s="117"/>
      <c r="M858" s="2"/>
      <c r="N858" s="2"/>
      <c r="O858" s="2"/>
      <c r="P858" s="107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>
      <c r="E859" s="798"/>
      <c r="F859" s="798"/>
      <c r="G859" s="119"/>
      <c r="J859" s="119"/>
      <c r="K859" s="10"/>
      <c r="L859" s="117"/>
      <c r="M859" s="2"/>
      <c r="N859" s="2"/>
      <c r="O859" s="2"/>
      <c r="P859" s="107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>
      <c r="E860" s="798"/>
      <c r="F860" s="798"/>
      <c r="G860" s="119"/>
      <c r="J860" s="119"/>
      <c r="K860" s="10"/>
      <c r="L860" s="117"/>
      <c r="M860" s="2"/>
      <c r="N860" s="2"/>
      <c r="O860" s="2"/>
      <c r="P860" s="107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>
      <c r="E861" s="798"/>
      <c r="F861" s="798"/>
      <c r="G861" s="119"/>
      <c r="J861" s="119"/>
      <c r="K861" s="10"/>
      <c r="L861" s="117"/>
      <c r="M861" s="2"/>
      <c r="N861" s="2"/>
      <c r="O861" s="2"/>
      <c r="P861" s="107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>
      <c r="E862" s="798"/>
      <c r="F862" s="798"/>
      <c r="G862" s="119"/>
      <c r="J862" s="119"/>
      <c r="K862" s="10"/>
      <c r="L862" s="117"/>
      <c r="M862" s="2"/>
      <c r="N862" s="2"/>
      <c r="O862" s="2"/>
      <c r="P862" s="107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>
      <c r="E863" s="798"/>
      <c r="F863" s="798"/>
      <c r="G863" s="119"/>
      <c r="J863" s="119"/>
      <c r="K863" s="10"/>
      <c r="L863" s="117"/>
      <c r="M863" s="2"/>
      <c r="N863" s="2"/>
      <c r="O863" s="2"/>
      <c r="P863" s="107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>
      <c r="E864" s="798"/>
      <c r="F864" s="798"/>
      <c r="G864" s="119"/>
      <c r="J864" s="119"/>
      <c r="K864" s="10"/>
      <c r="L864" s="117"/>
      <c r="M864" s="2"/>
      <c r="N864" s="2"/>
      <c r="O864" s="2"/>
      <c r="P864" s="107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>
      <c r="E865" s="798"/>
      <c r="F865" s="798"/>
      <c r="G865" s="119"/>
      <c r="J865" s="119"/>
      <c r="K865" s="10"/>
      <c r="L865" s="117"/>
      <c r="M865" s="2"/>
      <c r="N865" s="2"/>
      <c r="O865" s="2"/>
      <c r="P865" s="107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>
      <c r="E866" s="798"/>
      <c r="F866" s="798"/>
      <c r="G866" s="119"/>
      <c r="J866" s="119"/>
      <c r="K866" s="10"/>
      <c r="L866" s="117"/>
      <c r="M866" s="2"/>
      <c r="N866" s="2"/>
      <c r="O866" s="2"/>
      <c r="P866" s="107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>
      <c r="E867" s="798"/>
      <c r="F867" s="798"/>
      <c r="G867" s="119"/>
      <c r="J867" s="119"/>
      <c r="K867" s="10"/>
      <c r="L867" s="117"/>
      <c r="M867" s="2"/>
      <c r="N867" s="2"/>
      <c r="O867" s="2"/>
      <c r="P867" s="107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>
      <c r="E868" s="798"/>
      <c r="F868" s="798"/>
      <c r="G868" s="119"/>
      <c r="J868" s="119"/>
      <c r="K868" s="10"/>
      <c r="L868" s="117"/>
      <c r="M868" s="2"/>
      <c r="N868" s="2"/>
      <c r="O868" s="2"/>
      <c r="P868" s="107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>
      <c r="E869" s="798"/>
      <c r="F869" s="798"/>
      <c r="G869" s="119"/>
      <c r="J869" s="119"/>
      <c r="K869" s="10"/>
      <c r="L869" s="117"/>
      <c r="M869" s="2"/>
      <c r="N869" s="2"/>
      <c r="O869" s="2"/>
      <c r="P869" s="107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>
      <c r="E870" s="798"/>
      <c r="F870" s="798"/>
      <c r="G870" s="119"/>
      <c r="J870" s="119"/>
      <c r="K870" s="10"/>
      <c r="L870" s="117"/>
      <c r="M870" s="2"/>
      <c r="N870" s="2"/>
      <c r="O870" s="2"/>
      <c r="P870" s="107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>
      <c r="E871" s="798"/>
      <c r="F871" s="798"/>
      <c r="G871" s="119"/>
      <c r="J871" s="119"/>
      <c r="K871" s="10"/>
      <c r="L871" s="117"/>
      <c r="M871" s="2"/>
      <c r="N871" s="2"/>
      <c r="O871" s="2"/>
      <c r="P871" s="107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>
      <c r="E872" s="798"/>
      <c r="F872" s="798"/>
      <c r="G872" s="119"/>
      <c r="J872" s="119"/>
      <c r="K872" s="10"/>
      <c r="L872" s="117"/>
      <c r="M872" s="2"/>
      <c r="N872" s="2"/>
      <c r="O872" s="2"/>
      <c r="P872" s="107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>
      <c r="E873" s="798"/>
      <c r="F873" s="798"/>
      <c r="G873" s="119"/>
      <c r="J873" s="119"/>
      <c r="K873" s="10"/>
      <c r="L873" s="117"/>
      <c r="M873" s="2"/>
      <c r="N873" s="2"/>
      <c r="O873" s="2"/>
      <c r="P873" s="107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>
      <c r="E874" s="798"/>
      <c r="F874" s="798"/>
      <c r="G874" s="119"/>
      <c r="J874" s="119"/>
      <c r="K874" s="10"/>
      <c r="L874" s="117"/>
      <c r="M874" s="2"/>
      <c r="N874" s="2"/>
      <c r="O874" s="2"/>
      <c r="P874" s="107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>
      <c r="E875" s="798"/>
      <c r="F875" s="798"/>
      <c r="G875" s="119"/>
      <c r="J875" s="119"/>
      <c r="K875" s="10"/>
      <c r="L875" s="117"/>
      <c r="M875" s="2"/>
      <c r="N875" s="2"/>
      <c r="O875" s="2"/>
      <c r="P875" s="107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>
      <c r="E876" s="798"/>
      <c r="F876" s="798"/>
      <c r="G876" s="119"/>
      <c r="J876" s="119"/>
      <c r="K876" s="10"/>
      <c r="L876" s="117"/>
      <c r="M876" s="2"/>
      <c r="N876" s="2"/>
      <c r="O876" s="2"/>
      <c r="P876" s="107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>
      <c r="E877" s="798"/>
      <c r="F877" s="798"/>
      <c r="G877" s="119"/>
      <c r="J877" s="119"/>
      <c r="K877" s="10"/>
      <c r="L877" s="117"/>
      <c r="M877" s="2"/>
      <c r="N877" s="2"/>
      <c r="O877" s="2"/>
      <c r="P877" s="107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>
      <c r="E878" s="798"/>
      <c r="F878" s="798"/>
      <c r="G878" s="119"/>
      <c r="J878" s="119"/>
      <c r="K878" s="10"/>
      <c r="L878" s="117"/>
      <c r="M878" s="2"/>
      <c r="N878" s="2"/>
      <c r="O878" s="2"/>
      <c r="P878" s="107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>
      <c r="E879" s="798"/>
      <c r="F879" s="798"/>
      <c r="G879" s="119"/>
      <c r="J879" s="119"/>
      <c r="K879" s="10"/>
      <c r="L879" s="117"/>
      <c r="M879" s="2"/>
      <c r="N879" s="2"/>
      <c r="O879" s="2"/>
      <c r="P879" s="107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>
      <c r="E880" s="798"/>
      <c r="F880" s="798"/>
      <c r="G880" s="119"/>
      <c r="J880" s="119"/>
      <c r="K880" s="10"/>
      <c r="L880" s="117"/>
      <c r="M880" s="2"/>
      <c r="N880" s="2"/>
      <c r="O880" s="2"/>
      <c r="P880" s="107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>
      <c r="E881" s="798"/>
      <c r="F881" s="798"/>
      <c r="G881" s="119"/>
      <c r="J881" s="119"/>
      <c r="K881" s="10"/>
      <c r="L881" s="117"/>
      <c r="M881" s="2"/>
      <c r="N881" s="2"/>
      <c r="O881" s="2"/>
      <c r="P881" s="107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>
      <c r="E882" s="798"/>
      <c r="F882" s="798"/>
      <c r="G882" s="119"/>
      <c r="J882" s="119"/>
      <c r="K882" s="10"/>
      <c r="L882" s="117"/>
      <c r="M882" s="2"/>
      <c r="N882" s="2"/>
      <c r="O882" s="2"/>
      <c r="P882" s="107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>
      <c r="E883" s="798"/>
      <c r="F883" s="798"/>
      <c r="G883" s="119"/>
      <c r="J883" s="119"/>
      <c r="K883" s="10"/>
      <c r="L883" s="117"/>
      <c r="M883" s="2"/>
      <c r="N883" s="2"/>
      <c r="O883" s="2"/>
      <c r="P883" s="107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>
      <c r="E884" s="798"/>
      <c r="F884" s="798"/>
      <c r="G884" s="119"/>
      <c r="J884" s="119"/>
      <c r="K884" s="10"/>
      <c r="L884" s="117"/>
      <c r="M884" s="2"/>
      <c r="N884" s="2"/>
      <c r="O884" s="2"/>
      <c r="P884" s="107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>
      <c r="E885" s="798"/>
      <c r="F885" s="798"/>
      <c r="G885" s="119"/>
      <c r="J885" s="119"/>
      <c r="K885" s="10"/>
      <c r="L885" s="117"/>
      <c r="M885" s="2"/>
      <c r="N885" s="2"/>
      <c r="O885" s="2"/>
      <c r="P885" s="107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>
      <c r="E886" s="798"/>
      <c r="F886" s="798"/>
      <c r="G886" s="119"/>
      <c r="J886" s="119"/>
      <c r="K886" s="10"/>
      <c r="L886" s="117"/>
      <c r="M886" s="2"/>
      <c r="N886" s="2"/>
      <c r="O886" s="2"/>
      <c r="P886" s="107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>
      <c r="E887" s="798"/>
      <c r="F887" s="798"/>
      <c r="G887" s="119"/>
      <c r="J887" s="119"/>
      <c r="K887" s="10"/>
      <c r="L887" s="117"/>
      <c r="M887" s="2"/>
      <c r="N887" s="2"/>
      <c r="O887" s="2"/>
      <c r="P887" s="107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>
      <c r="E888" s="798"/>
      <c r="F888" s="798"/>
      <c r="G888" s="119"/>
      <c r="J888" s="119"/>
      <c r="K888" s="10"/>
      <c r="L888" s="117"/>
      <c r="M888" s="2"/>
      <c r="N888" s="2"/>
      <c r="O888" s="2"/>
      <c r="P888" s="107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>
      <c r="E889" s="798"/>
      <c r="F889" s="798"/>
      <c r="G889" s="119"/>
      <c r="J889" s="119"/>
      <c r="K889" s="10"/>
      <c r="L889" s="117"/>
      <c r="M889" s="2"/>
      <c r="N889" s="2"/>
      <c r="O889" s="2"/>
      <c r="P889" s="107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>
      <c r="E890" s="798"/>
      <c r="F890" s="798"/>
      <c r="G890" s="119"/>
      <c r="J890" s="119"/>
      <c r="K890" s="10"/>
      <c r="L890" s="117"/>
      <c r="M890" s="2"/>
      <c r="N890" s="2"/>
      <c r="O890" s="2"/>
      <c r="P890" s="107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>
      <c r="E891" s="798"/>
      <c r="F891" s="798"/>
      <c r="G891" s="119"/>
      <c r="J891" s="119"/>
      <c r="K891" s="10"/>
      <c r="L891" s="117"/>
      <c r="M891" s="2"/>
      <c r="N891" s="2"/>
      <c r="O891" s="2"/>
      <c r="P891" s="107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>
      <c r="E892" s="798"/>
      <c r="F892" s="798"/>
      <c r="G892" s="119"/>
      <c r="J892" s="119"/>
      <c r="K892" s="10"/>
      <c r="L892" s="117"/>
      <c r="M892" s="2"/>
      <c r="N892" s="2"/>
      <c r="O892" s="2"/>
      <c r="P892" s="107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>
      <c r="E893" s="798"/>
      <c r="F893" s="798"/>
      <c r="G893" s="119"/>
      <c r="J893" s="119"/>
      <c r="K893" s="10"/>
      <c r="L893" s="117"/>
      <c r="M893" s="2"/>
      <c r="N893" s="2"/>
      <c r="O893" s="2"/>
      <c r="P893" s="107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>
      <c r="E894" s="798"/>
      <c r="F894" s="798"/>
      <c r="G894" s="119"/>
      <c r="J894" s="119"/>
      <c r="K894" s="10"/>
      <c r="L894" s="117"/>
      <c r="M894" s="2"/>
      <c r="N894" s="2"/>
      <c r="O894" s="2"/>
      <c r="P894" s="107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>
      <c r="E895" s="798"/>
      <c r="F895" s="798"/>
      <c r="G895" s="119"/>
      <c r="J895" s="119"/>
      <c r="K895" s="10"/>
      <c r="L895" s="117"/>
      <c r="M895" s="2"/>
      <c r="N895" s="2"/>
      <c r="O895" s="2"/>
      <c r="P895" s="107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>
      <c r="E896" s="798"/>
      <c r="F896" s="798"/>
      <c r="G896" s="119"/>
      <c r="J896" s="119"/>
      <c r="K896" s="10"/>
      <c r="L896" s="117"/>
      <c r="M896" s="2"/>
      <c r="N896" s="2"/>
      <c r="O896" s="2"/>
      <c r="P896" s="107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>
      <c r="E897" s="798"/>
      <c r="F897" s="798"/>
      <c r="G897" s="119"/>
      <c r="J897" s="119"/>
      <c r="K897" s="10"/>
      <c r="L897" s="117"/>
      <c r="M897" s="2"/>
      <c r="N897" s="2"/>
      <c r="O897" s="2"/>
      <c r="P897" s="107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>
      <c r="E898" s="798"/>
      <c r="F898" s="798"/>
      <c r="G898" s="119"/>
      <c r="J898" s="119"/>
      <c r="K898" s="10"/>
      <c r="L898" s="117"/>
      <c r="M898" s="2"/>
      <c r="N898" s="2"/>
      <c r="O898" s="2"/>
      <c r="P898" s="107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>
      <c r="E899" s="798"/>
      <c r="F899" s="798"/>
      <c r="G899" s="119"/>
      <c r="J899" s="119"/>
      <c r="K899" s="10"/>
      <c r="L899" s="117"/>
      <c r="M899" s="2"/>
      <c r="N899" s="2"/>
      <c r="O899" s="2"/>
      <c r="P899" s="107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>
      <c r="E900" s="798"/>
      <c r="F900" s="798"/>
      <c r="G900" s="119"/>
      <c r="J900" s="119"/>
      <c r="K900" s="10"/>
      <c r="L900" s="117"/>
      <c r="M900" s="2"/>
      <c r="N900" s="2"/>
      <c r="O900" s="2"/>
      <c r="P900" s="107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>
      <c r="E901" s="798"/>
      <c r="F901" s="798"/>
      <c r="G901" s="119"/>
      <c r="J901" s="119"/>
      <c r="K901" s="10"/>
      <c r="L901" s="117"/>
      <c r="M901" s="2"/>
      <c r="N901" s="2"/>
      <c r="O901" s="2"/>
      <c r="P901" s="107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>
      <c r="E902" s="798"/>
      <c r="F902" s="798"/>
      <c r="G902" s="119"/>
      <c r="J902" s="119"/>
      <c r="K902" s="10"/>
      <c r="L902" s="117"/>
      <c r="M902" s="2"/>
      <c r="N902" s="2"/>
      <c r="O902" s="2"/>
      <c r="P902" s="107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>
      <c r="E903" s="798"/>
      <c r="F903" s="798"/>
      <c r="G903" s="119"/>
      <c r="J903" s="119"/>
      <c r="K903" s="10"/>
      <c r="L903" s="117"/>
      <c r="M903" s="2"/>
      <c r="N903" s="2"/>
      <c r="O903" s="2"/>
      <c r="P903" s="107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>
      <c r="E904" s="798"/>
      <c r="F904" s="798"/>
      <c r="G904" s="119"/>
      <c r="J904" s="119"/>
      <c r="K904" s="10"/>
      <c r="L904" s="117"/>
      <c r="M904" s="2"/>
      <c r="N904" s="2"/>
      <c r="O904" s="2"/>
      <c r="P904" s="107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>
      <c r="E905" s="798"/>
      <c r="F905" s="798"/>
      <c r="G905" s="119"/>
      <c r="J905" s="119"/>
      <c r="K905" s="10"/>
      <c r="L905" s="117"/>
      <c r="M905" s="2"/>
      <c r="N905" s="2"/>
      <c r="O905" s="2"/>
      <c r="P905" s="107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>
      <c r="E906" s="798"/>
      <c r="F906" s="798"/>
      <c r="G906" s="119"/>
      <c r="J906" s="119"/>
      <c r="K906" s="10"/>
      <c r="L906" s="117"/>
      <c r="M906" s="2"/>
      <c r="N906" s="2"/>
      <c r="O906" s="2"/>
      <c r="P906" s="107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>
      <c r="E907" s="798"/>
      <c r="F907" s="798"/>
      <c r="G907" s="119"/>
      <c r="J907" s="119"/>
      <c r="K907" s="10"/>
      <c r="L907" s="117"/>
      <c r="M907" s="2"/>
      <c r="N907" s="2"/>
      <c r="O907" s="2"/>
      <c r="P907" s="107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>
      <c r="E908" s="798"/>
      <c r="F908" s="798"/>
      <c r="G908" s="119"/>
      <c r="J908" s="119"/>
      <c r="K908" s="10"/>
      <c r="L908" s="117"/>
      <c r="M908" s="2"/>
      <c r="N908" s="2"/>
      <c r="O908" s="2"/>
      <c r="P908" s="107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>
      <c r="E909" s="798"/>
      <c r="F909" s="798"/>
      <c r="G909" s="119"/>
      <c r="J909" s="119"/>
      <c r="K909" s="10"/>
      <c r="L909" s="117"/>
      <c r="M909" s="2"/>
      <c r="N909" s="2"/>
      <c r="O909" s="2"/>
      <c r="P909" s="107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>
      <c r="E910" s="798"/>
      <c r="F910" s="798"/>
      <c r="G910" s="119"/>
      <c r="J910" s="119"/>
      <c r="K910" s="10"/>
      <c r="L910" s="117"/>
      <c r="M910" s="2"/>
      <c r="N910" s="2"/>
      <c r="O910" s="2"/>
      <c r="P910" s="107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>
      <c r="E911" s="798"/>
      <c r="F911" s="798"/>
      <c r="G911" s="119"/>
      <c r="J911" s="119"/>
      <c r="K911" s="10"/>
      <c r="L911" s="117"/>
      <c r="M911" s="2"/>
      <c r="N911" s="2"/>
      <c r="O911" s="2"/>
      <c r="P911" s="107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>
      <c r="E912" s="798"/>
      <c r="F912" s="798"/>
      <c r="G912" s="119"/>
      <c r="J912" s="119"/>
      <c r="K912" s="10"/>
      <c r="L912" s="117"/>
      <c r="M912" s="2"/>
      <c r="N912" s="2"/>
      <c r="O912" s="2"/>
      <c r="P912" s="107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>
      <c r="E913" s="798"/>
      <c r="F913" s="798"/>
      <c r="G913" s="119"/>
      <c r="J913" s="119"/>
      <c r="K913" s="10"/>
      <c r="L913" s="117"/>
      <c r="M913" s="2"/>
      <c r="N913" s="2"/>
      <c r="O913" s="2"/>
      <c r="P913" s="107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>
      <c r="E914" s="798"/>
      <c r="F914" s="798"/>
      <c r="G914" s="119"/>
      <c r="J914" s="119"/>
      <c r="K914" s="10"/>
      <c r="L914" s="117"/>
      <c r="M914" s="2"/>
      <c r="N914" s="2"/>
      <c r="O914" s="2"/>
      <c r="P914" s="107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>
      <c r="E915" s="798"/>
      <c r="F915" s="798"/>
      <c r="G915" s="119"/>
      <c r="J915" s="119"/>
      <c r="K915" s="10"/>
      <c r="L915" s="117"/>
      <c r="M915" s="2"/>
      <c r="N915" s="2"/>
      <c r="O915" s="2"/>
      <c r="P915" s="107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>
      <c r="E916" s="798"/>
      <c r="F916" s="798"/>
      <c r="G916" s="119"/>
      <c r="J916" s="119"/>
      <c r="K916" s="10"/>
      <c r="L916" s="117"/>
      <c r="M916" s="2"/>
      <c r="N916" s="2"/>
      <c r="O916" s="2"/>
      <c r="P916" s="107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>
      <c r="E917" s="798"/>
      <c r="F917" s="798"/>
      <c r="G917" s="119"/>
      <c r="J917" s="119"/>
      <c r="K917" s="10"/>
      <c r="L917" s="117"/>
      <c r="M917" s="2"/>
      <c r="N917" s="2"/>
      <c r="O917" s="2"/>
      <c r="P917" s="107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>
      <c r="E918" s="798"/>
      <c r="F918" s="798"/>
      <c r="G918" s="119"/>
      <c r="J918" s="119"/>
      <c r="K918" s="10"/>
      <c r="L918" s="117"/>
      <c r="M918" s="2"/>
      <c r="N918" s="2"/>
      <c r="O918" s="2"/>
      <c r="P918" s="107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>
      <c r="E919" s="798"/>
      <c r="F919" s="798"/>
      <c r="G919" s="119"/>
      <c r="J919" s="119"/>
      <c r="K919" s="10"/>
      <c r="L919" s="117"/>
      <c r="M919" s="2"/>
      <c r="N919" s="2"/>
      <c r="O919" s="2"/>
      <c r="P919" s="107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>
      <c r="E920" s="798"/>
      <c r="F920" s="798"/>
      <c r="G920" s="119"/>
      <c r="J920" s="119"/>
      <c r="K920" s="10"/>
      <c r="L920" s="117"/>
      <c r="M920" s="2"/>
      <c r="N920" s="2"/>
      <c r="O920" s="2"/>
      <c r="P920" s="107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>
      <c r="E921" s="798"/>
      <c r="F921" s="798"/>
      <c r="G921" s="119"/>
      <c r="J921" s="119"/>
      <c r="K921" s="10"/>
      <c r="L921" s="117"/>
      <c r="M921" s="2"/>
      <c r="N921" s="2"/>
      <c r="O921" s="2"/>
      <c r="P921" s="107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>
      <c r="E922" s="798"/>
      <c r="F922" s="798"/>
      <c r="G922" s="119"/>
      <c r="J922" s="119"/>
      <c r="K922" s="10"/>
      <c r="L922" s="117"/>
      <c r="M922" s="2"/>
      <c r="N922" s="2"/>
      <c r="O922" s="2"/>
      <c r="P922" s="107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>
      <c r="E923" s="798"/>
      <c r="F923" s="798"/>
      <c r="G923" s="119"/>
      <c r="J923" s="119"/>
      <c r="K923" s="10"/>
      <c r="L923" s="117"/>
      <c r="M923" s="2"/>
      <c r="N923" s="2"/>
      <c r="O923" s="2"/>
      <c r="P923" s="107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>
      <c r="E924" s="798"/>
      <c r="F924" s="798"/>
      <c r="G924" s="119"/>
      <c r="J924" s="119"/>
      <c r="K924" s="10"/>
      <c r="L924" s="117"/>
      <c r="M924" s="2"/>
      <c r="N924" s="2"/>
      <c r="O924" s="2"/>
      <c r="P924" s="107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>
      <c r="E925" s="798"/>
      <c r="F925" s="798"/>
      <c r="G925" s="119"/>
      <c r="J925" s="119"/>
      <c r="K925" s="10"/>
      <c r="L925" s="117"/>
      <c r="M925" s="2"/>
      <c r="N925" s="2"/>
      <c r="O925" s="2"/>
      <c r="P925" s="107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>
      <c r="E926" s="798"/>
      <c r="F926" s="798"/>
      <c r="G926" s="119"/>
      <c r="J926" s="119"/>
      <c r="K926" s="10"/>
      <c r="L926" s="117"/>
      <c r="M926" s="2"/>
      <c r="N926" s="2"/>
      <c r="O926" s="2"/>
      <c r="P926" s="107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>
      <c r="E927" s="798"/>
      <c r="F927" s="798"/>
      <c r="G927" s="119"/>
      <c r="J927" s="119"/>
      <c r="K927" s="10"/>
      <c r="L927" s="117"/>
      <c r="M927" s="2"/>
      <c r="N927" s="2"/>
      <c r="O927" s="2"/>
      <c r="P927" s="107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>
      <c r="E928" s="798"/>
      <c r="F928" s="798"/>
      <c r="G928" s="119"/>
      <c r="J928" s="119"/>
      <c r="K928" s="10"/>
      <c r="L928" s="117"/>
      <c r="M928" s="2"/>
      <c r="N928" s="2"/>
      <c r="O928" s="2"/>
      <c r="P928" s="107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>
      <c r="E929" s="798"/>
      <c r="F929" s="798"/>
      <c r="G929" s="119"/>
      <c r="J929" s="119"/>
      <c r="K929" s="10"/>
      <c r="L929" s="117"/>
      <c r="M929" s="2"/>
      <c r="N929" s="2"/>
      <c r="O929" s="2"/>
      <c r="P929" s="107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>
      <c r="E930" s="798"/>
      <c r="F930" s="798"/>
      <c r="G930" s="119"/>
      <c r="J930" s="119"/>
      <c r="K930" s="10"/>
      <c r="L930" s="117"/>
      <c r="M930" s="2"/>
      <c r="N930" s="2"/>
      <c r="O930" s="2"/>
      <c r="P930" s="107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>
      <c r="E931" s="798"/>
      <c r="F931" s="798"/>
      <c r="G931" s="119"/>
      <c r="J931" s="119"/>
      <c r="K931" s="10"/>
      <c r="L931" s="117"/>
      <c r="M931" s="2"/>
      <c r="N931" s="2"/>
      <c r="O931" s="2"/>
      <c r="P931" s="107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>
      <c r="E932" s="798"/>
      <c r="F932" s="798"/>
      <c r="G932" s="119"/>
      <c r="J932" s="119"/>
      <c r="K932" s="10"/>
      <c r="L932" s="117"/>
      <c r="M932" s="2"/>
      <c r="N932" s="2"/>
      <c r="O932" s="2"/>
      <c r="P932" s="107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>
      <c r="E933" s="798"/>
      <c r="F933" s="798"/>
      <c r="G933" s="119"/>
      <c r="J933" s="119"/>
      <c r="K933" s="10"/>
      <c r="L933" s="117"/>
      <c r="M933" s="2"/>
      <c r="N933" s="2"/>
      <c r="O933" s="2"/>
      <c r="P933" s="107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>
      <c r="E934" s="798"/>
      <c r="F934" s="798"/>
      <c r="G934" s="119"/>
      <c r="J934" s="119"/>
      <c r="K934" s="10"/>
      <c r="L934" s="117"/>
      <c r="M934" s="2"/>
      <c r="N934" s="2"/>
      <c r="O934" s="2"/>
      <c r="P934" s="107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>
      <c r="E935" s="798"/>
      <c r="F935" s="798"/>
      <c r="G935" s="119"/>
      <c r="J935" s="119"/>
      <c r="K935" s="10"/>
      <c r="L935" s="117"/>
      <c r="M935" s="2"/>
      <c r="N935" s="2"/>
      <c r="O935" s="2"/>
      <c r="P935" s="107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>
      <c r="E936" s="798"/>
      <c r="F936" s="798"/>
      <c r="G936" s="119"/>
      <c r="J936" s="119"/>
      <c r="K936" s="10"/>
      <c r="L936" s="117"/>
      <c r="M936" s="2"/>
      <c r="N936" s="2"/>
      <c r="O936" s="2"/>
      <c r="P936" s="107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>
      <c r="E937" s="798"/>
      <c r="F937" s="798"/>
      <c r="G937" s="119"/>
      <c r="J937" s="119"/>
      <c r="K937" s="10"/>
      <c r="L937" s="117"/>
      <c r="M937" s="2"/>
      <c r="N937" s="2"/>
      <c r="O937" s="2"/>
      <c r="P937" s="107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>
      <c r="E938" s="798"/>
      <c r="F938" s="798"/>
      <c r="G938" s="119"/>
      <c r="J938" s="119"/>
      <c r="K938" s="10"/>
      <c r="L938" s="117"/>
      <c r="M938" s="2"/>
      <c r="N938" s="2"/>
      <c r="O938" s="2"/>
      <c r="P938" s="107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>
      <c r="E939" s="798"/>
      <c r="F939" s="798"/>
      <c r="G939" s="119"/>
      <c r="J939" s="119"/>
      <c r="K939" s="10"/>
      <c r="L939" s="117"/>
      <c r="M939" s="2"/>
      <c r="N939" s="2"/>
      <c r="O939" s="2"/>
      <c r="P939" s="107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>
      <c r="E940" s="798"/>
      <c r="F940" s="798"/>
      <c r="G940" s="119"/>
      <c r="J940" s="119"/>
      <c r="K940" s="10"/>
      <c r="L940" s="117"/>
      <c r="M940" s="2"/>
      <c r="N940" s="2"/>
      <c r="O940" s="2"/>
      <c r="P940" s="107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>
      <c r="E941" s="798"/>
      <c r="F941" s="798"/>
      <c r="G941" s="119"/>
      <c r="J941" s="119"/>
      <c r="K941" s="10"/>
      <c r="L941" s="117"/>
      <c r="M941" s="2"/>
      <c r="N941" s="2"/>
      <c r="O941" s="2"/>
      <c r="P941" s="107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>
      <c r="E942" s="798"/>
      <c r="F942" s="798"/>
      <c r="G942" s="119"/>
      <c r="J942" s="119"/>
      <c r="K942" s="10"/>
      <c r="L942" s="117"/>
      <c r="M942" s="2"/>
      <c r="N942" s="2"/>
      <c r="O942" s="2"/>
      <c r="P942" s="107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>
      <c r="E943" s="798"/>
      <c r="F943" s="798"/>
      <c r="G943" s="119"/>
      <c r="J943" s="119"/>
      <c r="K943" s="10"/>
      <c r="L943" s="117"/>
      <c r="M943" s="2"/>
      <c r="N943" s="2"/>
      <c r="O943" s="2"/>
      <c r="P943" s="107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>
      <c r="E944" s="798"/>
      <c r="F944" s="798"/>
      <c r="G944" s="119"/>
      <c r="J944" s="119"/>
      <c r="K944" s="10"/>
      <c r="L944" s="117"/>
      <c r="M944" s="2"/>
      <c r="N944" s="2"/>
      <c r="O944" s="2"/>
      <c r="P944" s="107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>
      <c r="E945" s="798"/>
      <c r="F945" s="798"/>
      <c r="G945" s="119"/>
      <c r="J945" s="119"/>
      <c r="K945" s="10"/>
      <c r="L945" s="117"/>
      <c r="M945" s="2"/>
      <c r="N945" s="2"/>
      <c r="O945" s="2"/>
      <c r="P945" s="107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>
      <c r="E946" s="798"/>
      <c r="F946" s="798"/>
      <c r="G946" s="119"/>
      <c r="J946" s="119"/>
      <c r="K946" s="10"/>
      <c r="L946" s="117"/>
      <c r="M946" s="2"/>
      <c r="N946" s="2"/>
      <c r="O946" s="2"/>
      <c r="P946" s="107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>
      <c r="E947" s="798"/>
      <c r="F947" s="798"/>
      <c r="G947" s="119"/>
      <c r="J947" s="119"/>
      <c r="K947" s="10"/>
      <c r="L947" s="117"/>
      <c r="M947" s="2"/>
      <c r="N947" s="2"/>
      <c r="O947" s="2"/>
      <c r="P947" s="107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>
      <c r="E948" s="798"/>
      <c r="F948" s="798"/>
      <c r="G948" s="119"/>
      <c r="J948" s="119"/>
      <c r="K948" s="10"/>
      <c r="L948" s="117"/>
      <c r="M948" s="2"/>
      <c r="N948" s="2"/>
      <c r="O948" s="2"/>
      <c r="P948" s="107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>
      <c r="E949" s="798"/>
      <c r="F949" s="798"/>
      <c r="G949" s="119"/>
      <c r="J949" s="119"/>
      <c r="K949" s="10"/>
      <c r="L949" s="117"/>
      <c r="M949" s="2"/>
      <c r="N949" s="2"/>
      <c r="O949" s="2"/>
      <c r="P949" s="107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>
      <c r="E950" s="798"/>
      <c r="F950" s="798"/>
      <c r="G950" s="119"/>
      <c r="J950" s="119"/>
      <c r="K950" s="10"/>
      <c r="L950" s="117"/>
      <c r="M950" s="2"/>
      <c r="N950" s="2"/>
      <c r="O950" s="2"/>
      <c r="P950" s="107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>
      <c r="E951" s="798"/>
      <c r="F951" s="798"/>
      <c r="G951" s="119"/>
      <c r="J951" s="119"/>
      <c r="K951" s="10"/>
      <c r="L951" s="117"/>
      <c r="M951" s="2"/>
      <c r="N951" s="2"/>
      <c r="O951" s="2"/>
      <c r="P951" s="107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>
      <c r="E952" s="798"/>
      <c r="F952" s="798"/>
      <c r="G952" s="119"/>
      <c r="J952" s="119"/>
      <c r="K952" s="10"/>
      <c r="L952" s="117"/>
      <c r="M952" s="2"/>
      <c r="N952" s="2"/>
      <c r="O952" s="2"/>
      <c r="P952" s="107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>
      <c r="E953" s="798"/>
      <c r="F953" s="798"/>
      <c r="G953" s="119"/>
      <c r="J953" s="119"/>
      <c r="K953" s="10"/>
      <c r="L953" s="117"/>
      <c r="M953" s="2"/>
      <c r="N953" s="2"/>
      <c r="O953" s="2"/>
      <c r="P953" s="107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>
      <c r="E954" s="798"/>
      <c r="F954" s="798"/>
      <c r="G954" s="119"/>
      <c r="J954" s="119"/>
      <c r="K954" s="10"/>
      <c r="L954" s="117"/>
      <c r="M954" s="2"/>
      <c r="N954" s="2"/>
      <c r="O954" s="2"/>
      <c r="P954" s="107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>
      <c r="E955" s="798"/>
      <c r="F955" s="798"/>
      <c r="G955" s="119"/>
      <c r="J955" s="119"/>
      <c r="K955" s="10"/>
      <c r="L955" s="117"/>
      <c r="M955" s="2"/>
      <c r="N955" s="2"/>
      <c r="O955" s="2"/>
      <c r="P955" s="107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>
      <c r="E956" s="798"/>
      <c r="F956" s="798"/>
      <c r="G956" s="119"/>
      <c r="J956" s="119"/>
      <c r="K956" s="10"/>
      <c r="L956" s="117"/>
      <c r="M956" s="2"/>
      <c r="N956" s="2"/>
      <c r="O956" s="2"/>
      <c r="P956" s="107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>
      <c r="E957" s="798"/>
      <c r="F957" s="798"/>
      <c r="G957" s="119"/>
      <c r="J957" s="119"/>
      <c r="K957" s="10"/>
      <c r="L957" s="117"/>
      <c r="M957" s="2"/>
      <c r="N957" s="2"/>
      <c r="O957" s="2"/>
      <c r="P957" s="107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>
      <c r="E958" s="798"/>
      <c r="F958" s="798"/>
      <c r="G958" s="119"/>
      <c r="J958" s="119"/>
      <c r="K958" s="10"/>
      <c r="L958" s="117"/>
      <c r="M958" s="2"/>
      <c r="N958" s="2"/>
      <c r="O958" s="2"/>
      <c r="P958" s="107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>
      <c r="E959" s="798"/>
      <c r="F959" s="798"/>
      <c r="G959" s="119"/>
      <c r="J959" s="119"/>
      <c r="K959" s="10"/>
      <c r="L959" s="117"/>
      <c r="M959" s="2"/>
      <c r="N959" s="2"/>
      <c r="O959" s="2"/>
      <c r="P959" s="107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>
      <c r="E960" s="798"/>
      <c r="F960" s="798"/>
      <c r="G960" s="119"/>
      <c r="J960" s="119"/>
      <c r="K960" s="10"/>
      <c r="L960" s="117"/>
      <c r="M960" s="2"/>
      <c r="N960" s="2"/>
      <c r="O960" s="2"/>
      <c r="P960" s="107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>
      <c r="E961" s="798"/>
      <c r="F961" s="798"/>
      <c r="G961" s="119"/>
      <c r="J961" s="119"/>
      <c r="K961" s="10"/>
      <c r="L961" s="117"/>
      <c r="M961" s="2"/>
      <c r="N961" s="2"/>
      <c r="O961" s="2"/>
      <c r="P961" s="107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>
      <c r="E962" s="798"/>
      <c r="F962" s="798"/>
      <c r="G962" s="119"/>
      <c r="J962" s="119"/>
      <c r="K962" s="10"/>
      <c r="L962" s="117"/>
      <c r="M962" s="2"/>
      <c r="N962" s="2"/>
      <c r="O962" s="2"/>
      <c r="P962" s="107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>
      <c r="E963" s="798"/>
      <c r="F963" s="798"/>
      <c r="G963" s="119"/>
      <c r="J963" s="119"/>
      <c r="K963" s="10"/>
      <c r="L963" s="117"/>
      <c r="M963" s="2"/>
      <c r="N963" s="2"/>
      <c r="O963" s="2"/>
      <c r="P963" s="107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>
      <c r="E964" s="798"/>
      <c r="F964" s="798"/>
      <c r="G964" s="119"/>
      <c r="J964" s="119"/>
      <c r="K964" s="10"/>
      <c r="L964" s="117"/>
      <c r="M964" s="2"/>
      <c r="N964" s="2"/>
      <c r="O964" s="2"/>
      <c r="P964" s="107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>
      <c r="E965" s="798"/>
      <c r="F965" s="798"/>
      <c r="G965" s="119"/>
      <c r="J965" s="119"/>
      <c r="K965" s="10"/>
      <c r="L965" s="117"/>
      <c r="M965" s="2"/>
      <c r="N965" s="2"/>
      <c r="O965" s="2"/>
      <c r="P965" s="107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>
      <c r="E966" s="798"/>
      <c r="F966" s="798"/>
      <c r="G966" s="119"/>
      <c r="J966" s="119"/>
      <c r="K966" s="10"/>
      <c r="L966" s="117"/>
      <c r="M966" s="2"/>
      <c r="N966" s="2"/>
      <c r="O966" s="2"/>
      <c r="P966" s="107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>
      <c r="E967" s="798"/>
      <c r="F967" s="798"/>
      <c r="G967" s="119"/>
      <c r="J967" s="119"/>
      <c r="K967" s="10"/>
      <c r="L967" s="117"/>
      <c r="M967" s="2"/>
      <c r="N967" s="2"/>
      <c r="O967" s="2"/>
      <c r="P967" s="107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>
      <c r="E968" s="798"/>
      <c r="F968" s="798"/>
      <c r="G968" s="119"/>
      <c r="J968" s="119"/>
      <c r="K968" s="10"/>
      <c r="L968" s="117"/>
      <c r="M968" s="2"/>
      <c r="N968" s="2"/>
      <c r="O968" s="2"/>
      <c r="P968" s="107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>
      <c r="E969" s="798"/>
      <c r="F969" s="798"/>
      <c r="G969" s="119"/>
      <c r="J969" s="119"/>
      <c r="K969" s="10"/>
      <c r="L969" s="117"/>
      <c r="M969" s="2"/>
      <c r="N969" s="2"/>
      <c r="O969" s="2"/>
      <c r="P969" s="107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>
      <c r="E970" s="798"/>
      <c r="F970" s="798"/>
      <c r="G970" s="119"/>
      <c r="J970" s="119"/>
      <c r="K970" s="10"/>
      <c r="L970" s="117"/>
      <c r="M970" s="2"/>
      <c r="N970" s="2"/>
      <c r="O970" s="2"/>
      <c r="P970" s="107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>
      <c r="E971" s="798"/>
      <c r="F971" s="798"/>
      <c r="G971" s="119"/>
      <c r="J971" s="119"/>
      <c r="K971" s="10"/>
      <c r="L971" s="117"/>
      <c r="M971" s="2"/>
      <c r="N971" s="2"/>
      <c r="O971" s="2"/>
      <c r="P971" s="107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>
      <c r="E972" s="798"/>
      <c r="F972" s="798"/>
      <c r="G972" s="119"/>
      <c r="J972" s="119"/>
      <c r="K972" s="10"/>
      <c r="L972" s="117"/>
      <c r="M972" s="2"/>
      <c r="N972" s="2"/>
      <c r="O972" s="2"/>
      <c r="P972" s="107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>
      <c r="E973" s="798"/>
      <c r="F973" s="798"/>
      <c r="G973" s="119"/>
      <c r="J973" s="119"/>
      <c r="K973" s="10"/>
      <c r="L973" s="117"/>
      <c r="M973" s="2"/>
      <c r="N973" s="2"/>
      <c r="O973" s="2"/>
      <c r="P973" s="107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>
      <c r="E974" s="798"/>
      <c r="F974" s="798"/>
      <c r="G974" s="119"/>
      <c r="J974" s="119"/>
      <c r="K974" s="10"/>
      <c r="L974" s="117"/>
      <c r="M974" s="2"/>
      <c r="N974" s="2"/>
      <c r="O974" s="2"/>
      <c r="P974" s="107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>
      <c r="E975" s="798"/>
      <c r="F975" s="798"/>
      <c r="G975" s="119"/>
      <c r="J975" s="119"/>
      <c r="K975" s="10"/>
      <c r="L975" s="117"/>
      <c r="M975" s="2"/>
      <c r="N975" s="2"/>
      <c r="O975" s="2"/>
      <c r="P975" s="107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>
      <c r="E976" s="798"/>
      <c r="F976" s="798"/>
      <c r="G976" s="119"/>
      <c r="J976" s="119"/>
      <c r="K976" s="10"/>
      <c r="L976" s="117"/>
      <c r="M976" s="2"/>
      <c r="N976" s="2"/>
      <c r="O976" s="2"/>
      <c r="P976" s="107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>
      <c r="E977" s="798"/>
      <c r="F977" s="798"/>
      <c r="G977" s="119"/>
      <c r="J977" s="119"/>
      <c r="K977" s="10"/>
      <c r="L977" s="117"/>
      <c r="M977" s="2"/>
      <c r="N977" s="2"/>
      <c r="O977" s="2"/>
      <c r="P977" s="107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>
      <c r="E978" s="798"/>
      <c r="F978" s="798"/>
      <c r="G978" s="119"/>
      <c r="J978" s="119"/>
      <c r="K978" s="10"/>
      <c r="L978" s="117"/>
      <c r="M978" s="2"/>
      <c r="N978" s="2"/>
      <c r="O978" s="2"/>
      <c r="P978" s="107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>
      <c r="E979" s="798"/>
      <c r="F979" s="798"/>
      <c r="G979" s="119"/>
      <c r="J979" s="119"/>
      <c r="K979" s="10"/>
      <c r="L979" s="117"/>
      <c r="M979" s="2"/>
      <c r="N979" s="2"/>
      <c r="O979" s="2"/>
      <c r="P979" s="107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>
      <c r="E980" s="798"/>
      <c r="F980" s="798"/>
      <c r="G980" s="119"/>
      <c r="J980" s="119"/>
      <c r="K980" s="10"/>
      <c r="L980" s="117"/>
      <c r="M980" s="2"/>
      <c r="N980" s="2"/>
      <c r="O980" s="2"/>
      <c r="P980" s="107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>
      <c r="E981" s="798"/>
      <c r="F981" s="798"/>
      <c r="G981" s="119"/>
      <c r="J981" s="119"/>
      <c r="K981" s="10"/>
      <c r="L981" s="117"/>
      <c r="M981" s="2"/>
      <c r="N981" s="2"/>
      <c r="O981" s="2"/>
      <c r="P981" s="107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>
      <c r="E982" s="798"/>
      <c r="F982" s="798"/>
      <c r="G982" s="119"/>
      <c r="J982" s="119"/>
      <c r="K982" s="10"/>
      <c r="L982" s="117"/>
      <c r="M982" s="2"/>
      <c r="N982" s="2"/>
      <c r="O982" s="2"/>
      <c r="P982" s="107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>
      <c r="E983" s="798"/>
      <c r="F983" s="798"/>
      <c r="G983" s="119"/>
      <c r="J983" s="119"/>
      <c r="K983" s="10"/>
      <c r="L983" s="117"/>
      <c r="M983" s="2"/>
      <c r="N983" s="2"/>
      <c r="O983" s="2"/>
      <c r="P983" s="107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>
      <c r="E984" s="798"/>
      <c r="F984" s="798"/>
      <c r="G984" s="119"/>
      <c r="J984" s="119"/>
      <c r="K984" s="10"/>
      <c r="L984" s="117"/>
      <c r="M984" s="2"/>
      <c r="N984" s="2"/>
      <c r="O984" s="2"/>
      <c r="P984" s="107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>
      <c r="E985" s="798"/>
      <c r="F985" s="798"/>
      <c r="G985" s="119"/>
      <c r="J985" s="119"/>
      <c r="K985" s="10"/>
      <c r="L985" s="117"/>
      <c r="M985" s="2"/>
      <c r="N985" s="2"/>
      <c r="O985" s="2"/>
      <c r="P985" s="107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>
      <c r="E986" s="798"/>
      <c r="F986" s="798"/>
      <c r="G986" s="119"/>
      <c r="J986" s="119"/>
      <c r="K986" s="10"/>
      <c r="L986" s="117"/>
      <c r="M986" s="2"/>
      <c r="N986" s="2"/>
      <c r="O986" s="2"/>
      <c r="P986" s="107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>
      <c r="E987" s="798"/>
      <c r="F987" s="798"/>
      <c r="G987" s="119"/>
      <c r="J987" s="119"/>
      <c r="K987" s="10"/>
      <c r="L987" s="117"/>
      <c r="M987" s="2"/>
      <c r="N987" s="2"/>
      <c r="O987" s="2"/>
      <c r="P987" s="107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>
      <c r="E988" s="798"/>
      <c r="F988" s="798"/>
      <c r="G988" s="119"/>
      <c r="J988" s="119"/>
      <c r="K988" s="10"/>
      <c r="L988" s="117"/>
      <c r="M988" s="2"/>
      <c r="N988" s="2"/>
      <c r="O988" s="2"/>
      <c r="P988" s="107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>
      <c r="E989" s="798"/>
      <c r="F989" s="798"/>
      <c r="G989" s="119"/>
      <c r="J989" s="119"/>
      <c r="K989" s="10"/>
      <c r="L989" s="117"/>
      <c r="M989" s="2"/>
      <c r="N989" s="2"/>
      <c r="O989" s="2"/>
      <c r="P989" s="107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>
      <c r="E990" s="798"/>
      <c r="F990" s="798"/>
      <c r="G990" s="119"/>
      <c r="J990" s="119"/>
      <c r="K990" s="10"/>
      <c r="L990" s="117"/>
      <c r="M990" s="2"/>
      <c r="N990" s="2"/>
      <c r="O990" s="2"/>
      <c r="P990" s="107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25"/>
    <col hidden="1" min="2" max="11" width="12.63"/>
    <col customWidth="1" min="21" max="21" width="12.63"/>
    <col customWidth="1" min="22" max="22" width="12.88"/>
    <col customWidth="1" min="23" max="24" width="13.75"/>
    <col customWidth="1" min="25" max="25" width="13.25"/>
    <col customWidth="1" min="26" max="26" width="12.63"/>
    <col customWidth="1" min="27" max="27" width="12.38"/>
    <col customWidth="1" min="28" max="28" width="18.88"/>
    <col customWidth="1" min="29" max="30" width="14.13"/>
    <col customWidth="1" min="31" max="31" width="14.5"/>
    <col customWidth="1" min="32" max="32" width="15.75"/>
    <col customWidth="1" min="33" max="33" width="15.88"/>
    <col customWidth="1" min="34" max="34" width="15.38"/>
    <col customWidth="1" min="35" max="51" width="15.63"/>
  </cols>
  <sheetData>
    <row r="1">
      <c r="A1" s="799" t="s">
        <v>1</v>
      </c>
      <c r="B1" s="674" t="s">
        <v>288</v>
      </c>
      <c r="C1" s="674" t="s">
        <v>288</v>
      </c>
      <c r="D1" s="674" t="s">
        <v>288</v>
      </c>
      <c r="E1" s="674" t="s">
        <v>288</v>
      </c>
      <c r="F1" s="674" t="s">
        <v>288</v>
      </c>
      <c r="G1" s="674" t="s">
        <v>288</v>
      </c>
      <c r="H1" s="674" t="s">
        <v>288</v>
      </c>
      <c r="I1" s="674" t="s">
        <v>288</v>
      </c>
      <c r="J1" s="674" t="s">
        <v>288</v>
      </c>
      <c r="K1" s="674" t="s">
        <v>288</v>
      </c>
      <c r="L1" s="721" t="s">
        <v>288</v>
      </c>
      <c r="M1" s="721" t="s">
        <v>288</v>
      </c>
      <c r="N1" s="721" t="s">
        <v>288</v>
      </c>
      <c r="O1" s="721" t="s">
        <v>288</v>
      </c>
      <c r="P1" s="721" t="s">
        <v>288</v>
      </c>
      <c r="Q1" s="721" t="s">
        <v>288</v>
      </c>
      <c r="R1" s="724" t="s">
        <v>288</v>
      </c>
      <c r="S1" s="724" t="s">
        <v>288</v>
      </c>
      <c r="T1" s="721" t="s">
        <v>288</v>
      </c>
      <c r="U1" s="721" t="s">
        <v>288</v>
      </c>
      <c r="V1" s="721" t="s">
        <v>288</v>
      </c>
      <c r="W1" s="721" t="s">
        <v>288</v>
      </c>
      <c r="X1" s="721" t="s">
        <v>288</v>
      </c>
      <c r="Y1" s="721" t="s">
        <v>288</v>
      </c>
      <c r="Z1" s="721" t="s">
        <v>288</v>
      </c>
      <c r="AA1" s="721" t="s">
        <v>288</v>
      </c>
      <c r="AB1" s="721" t="s">
        <v>288</v>
      </c>
      <c r="AC1" s="721" t="s">
        <v>288</v>
      </c>
      <c r="AD1" s="721" t="s">
        <v>288</v>
      </c>
      <c r="AE1" s="721" t="s">
        <v>288</v>
      </c>
      <c r="AF1" s="721" t="s">
        <v>288</v>
      </c>
      <c r="AG1" s="721" t="s">
        <v>288</v>
      </c>
      <c r="AH1" s="721" t="s">
        <v>288</v>
      </c>
      <c r="AI1" s="721" t="s">
        <v>288</v>
      </c>
      <c r="AJ1" s="721" t="s">
        <v>288</v>
      </c>
      <c r="AK1" s="721" t="s">
        <v>288</v>
      </c>
      <c r="AL1" s="721" t="s">
        <v>288</v>
      </c>
      <c r="AM1" s="721" t="s">
        <v>288</v>
      </c>
      <c r="AN1" s="721" t="s">
        <v>288</v>
      </c>
      <c r="AO1" s="721" t="s">
        <v>288</v>
      </c>
      <c r="AP1" s="721" t="s">
        <v>288</v>
      </c>
      <c r="AQ1" s="721" t="s">
        <v>288</v>
      </c>
      <c r="AR1" s="721" t="s">
        <v>288</v>
      </c>
      <c r="AS1" s="721" t="s">
        <v>288</v>
      </c>
      <c r="AT1" s="721" t="s">
        <v>288</v>
      </c>
      <c r="AU1" s="721" t="s">
        <v>288</v>
      </c>
      <c r="AV1" s="721" t="s">
        <v>288</v>
      </c>
      <c r="AW1" s="721" t="s">
        <v>288</v>
      </c>
      <c r="AX1" s="721" t="s">
        <v>288</v>
      </c>
      <c r="AY1" s="721" t="s">
        <v>288</v>
      </c>
    </row>
    <row r="2">
      <c r="A2" s="727"/>
      <c r="B2" s="800">
        <v>45814.0</v>
      </c>
      <c r="C2" s="800">
        <v>45821.0</v>
      </c>
      <c r="D2" s="800">
        <v>45828.0</v>
      </c>
      <c r="E2" s="800">
        <v>45835.0</v>
      </c>
      <c r="F2" s="800">
        <v>45842.0</v>
      </c>
      <c r="G2" s="800">
        <v>45856.0</v>
      </c>
      <c r="H2" s="800">
        <v>45870.0</v>
      </c>
      <c r="I2" s="800">
        <v>45877.0</v>
      </c>
      <c r="J2" s="800">
        <v>45884.0</v>
      </c>
      <c r="K2" s="800">
        <v>45891.0</v>
      </c>
      <c r="L2" s="801">
        <v>45898.0</v>
      </c>
      <c r="M2" s="801">
        <v>45912.0</v>
      </c>
      <c r="N2" s="801">
        <v>45919.0</v>
      </c>
      <c r="O2" s="801">
        <v>45926.0</v>
      </c>
      <c r="P2" s="802">
        <v>45933.0</v>
      </c>
      <c r="Q2" s="803">
        <v>45943.0</v>
      </c>
      <c r="R2" s="804">
        <v>45954.0</v>
      </c>
      <c r="S2" s="801">
        <v>45968.0</v>
      </c>
      <c r="T2" s="805">
        <v>45975.0</v>
      </c>
      <c r="U2" s="805">
        <v>45982.0</v>
      </c>
      <c r="V2" s="805">
        <v>45990.0</v>
      </c>
      <c r="W2" s="802">
        <v>45998.0</v>
      </c>
      <c r="X2" s="803">
        <v>46003.0</v>
      </c>
      <c r="Y2" s="806">
        <v>46010.0</v>
      </c>
      <c r="Z2" s="807">
        <v>46018.0</v>
      </c>
      <c r="AA2" s="807">
        <v>46024.0</v>
      </c>
      <c r="AB2" s="808">
        <v>46031.0</v>
      </c>
      <c r="AC2" s="808">
        <v>46038.0</v>
      </c>
      <c r="AD2" s="808">
        <v>46045.0</v>
      </c>
      <c r="AE2" s="808">
        <v>46052.0</v>
      </c>
      <c r="AF2" s="808">
        <v>46059.0</v>
      </c>
      <c r="AG2" s="808">
        <v>46066.0</v>
      </c>
      <c r="AH2" s="808">
        <v>46073.0</v>
      </c>
      <c r="AI2" s="808">
        <v>46080.0</v>
      </c>
      <c r="AJ2" s="808">
        <v>46087.0</v>
      </c>
      <c r="AK2" s="808">
        <v>46094.0</v>
      </c>
      <c r="AL2" s="808">
        <v>46103.0</v>
      </c>
      <c r="AM2" s="808">
        <v>46109.0</v>
      </c>
      <c r="AN2" s="808"/>
      <c r="AO2" s="808"/>
      <c r="AP2" s="808"/>
      <c r="AQ2" s="808"/>
      <c r="AR2" s="808"/>
      <c r="AS2" s="808"/>
      <c r="AT2" s="808"/>
      <c r="AU2" s="808"/>
      <c r="AV2" s="808"/>
      <c r="AW2" s="808"/>
      <c r="AX2" s="808"/>
      <c r="AY2" s="808"/>
    </row>
    <row r="3">
      <c r="A3" s="746" t="s">
        <v>6951</v>
      </c>
      <c r="B3" s="809"/>
      <c r="C3" s="809"/>
      <c r="D3" s="810"/>
      <c r="E3" s="748"/>
      <c r="F3" s="512"/>
      <c r="G3" s="512"/>
      <c r="H3" s="512"/>
      <c r="I3" s="809"/>
      <c r="J3" s="809"/>
      <c r="K3" s="811"/>
      <c r="L3" s="753"/>
      <c r="M3" s="753"/>
      <c r="N3" s="769"/>
      <c r="O3" s="753"/>
      <c r="P3" s="753"/>
      <c r="Q3" s="812"/>
      <c r="R3" s="813"/>
      <c r="S3" s="814"/>
      <c r="T3" s="815" t="s">
        <v>45</v>
      </c>
      <c r="U3" s="757" t="s">
        <v>45</v>
      </c>
      <c r="V3" s="757" t="s">
        <v>45</v>
      </c>
      <c r="W3" s="757" t="s">
        <v>45</v>
      </c>
      <c r="X3" s="757" t="s">
        <v>45</v>
      </c>
      <c r="Y3" s="757" t="s">
        <v>45</v>
      </c>
      <c r="Z3" s="757" t="s">
        <v>45</v>
      </c>
      <c r="AA3" s="757" t="s">
        <v>45</v>
      </c>
      <c r="AB3" s="757" t="s">
        <v>45</v>
      </c>
      <c r="AC3" s="757" t="s">
        <v>45</v>
      </c>
      <c r="AD3" s="757" t="s">
        <v>240</v>
      </c>
      <c r="AE3" s="757" t="s">
        <v>45</v>
      </c>
      <c r="AF3" s="757" t="s">
        <v>45</v>
      </c>
      <c r="AG3" s="816" t="s">
        <v>6954</v>
      </c>
      <c r="AH3" s="816" t="s">
        <v>240</v>
      </c>
      <c r="AI3" s="816" t="s">
        <v>45</v>
      </c>
      <c r="AJ3" s="816" t="s">
        <v>45</v>
      </c>
      <c r="AK3" s="816" t="s">
        <v>240</v>
      </c>
      <c r="AL3" s="816" t="s">
        <v>45</v>
      </c>
      <c r="AM3" s="816" t="s">
        <v>240</v>
      </c>
      <c r="AN3" s="816"/>
      <c r="AO3" s="816"/>
      <c r="AP3" s="816"/>
      <c r="AQ3" s="816"/>
      <c r="AR3" s="816"/>
      <c r="AS3" s="816"/>
      <c r="AT3" s="816"/>
      <c r="AU3" s="816"/>
      <c r="AV3" s="816"/>
      <c r="AW3" s="816"/>
      <c r="AX3" s="816"/>
      <c r="AY3" s="816"/>
    </row>
    <row r="4">
      <c r="A4" s="758" t="s">
        <v>6955</v>
      </c>
      <c r="B4" s="750"/>
      <c r="C4" s="750"/>
      <c r="D4" s="817"/>
      <c r="E4" s="759" t="s">
        <v>7016</v>
      </c>
      <c r="F4" s="759"/>
      <c r="G4" s="606"/>
      <c r="H4" s="606"/>
      <c r="I4" s="750"/>
      <c r="J4" s="811" t="s">
        <v>6956</v>
      </c>
      <c r="K4" s="809"/>
      <c r="L4" s="753"/>
      <c r="M4" s="753"/>
      <c r="N4" s="753"/>
      <c r="O4" s="753"/>
      <c r="P4" s="753"/>
      <c r="Q4" s="753"/>
      <c r="R4" s="818"/>
      <c r="S4" s="819"/>
      <c r="T4" s="820" t="s">
        <v>6958</v>
      </c>
      <c r="U4" s="821" t="s">
        <v>6958</v>
      </c>
      <c r="V4" s="821" t="s">
        <v>6958</v>
      </c>
      <c r="W4" s="821" t="s">
        <v>6958</v>
      </c>
      <c r="X4" s="753"/>
      <c r="Y4" s="822" t="s">
        <v>6958</v>
      </c>
      <c r="Z4" s="539"/>
      <c r="AA4" s="822"/>
      <c r="AB4" s="823" t="s">
        <v>7017</v>
      </c>
      <c r="AC4" s="824"/>
      <c r="AD4" s="824"/>
      <c r="AE4" s="823" t="s">
        <v>6958</v>
      </c>
      <c r="AF4" s="823" t="s">
        <v>6958</v>
      </c>
      <c r="AG4" s="823"/>
      <c r="AH4" s="823"/>
      <c r="AI4" s="823" t="s">
        <v>7018</v>
      </c>
      <c r="AJ4" s="823"/>
      <c r="AK4" s="823"/>
      <c r="AL4" s="825" t="s">
        <v>6958</v>
      </c>
      <c r="AM4" s="823"/>
      <c r="AN4" s="823"/>
      <c r="AO4" s="823"/>
      <c r="AP4" s="823"/>
      <c r="AQ4" s="823"/>
      <c r="AR4" s="823"/>
      <c r="AS4" s="823"/>
      <c r="AT4" s="823"/>
      <c r="AU4" s="823"/>
      <c r="AV4" s="823"/>
      <c r="AW4" s="769"/>
      <c r="AX4" s="769"/>
      <c r="AY4" s="769"/>
    </row>
    <row r="5">
      <c r="A5" s="608" t="s">
        <v>6961</v>
      </c>
      <c r="B5" s="750"/>
      <c r="C5" s="810" t="s">
        <v>6956</v>
      </c>
      <c r="D5" s="817"/>
      <c r="E5" s="748"/>
      <c r="F5" s="748"/>
      <c r="G5" s="512"/>
      <c r="H5" s="811" t="s">
        <v>6956</v>
      </c>
      <c r="I5" s="826"/>
      <c r="J5" s="810"/>
      <c r="K5" s="809"/>
      <c r="L5" s="769"/>
      <c r="M5" s="753"/>
      <c r="N5" s="753"/>
      <c r="O5" s="769"/>
      <c r="P5" s="753"/>
      <c r="Q5" s="753"/>
      <c r="R5" s="818"/>
      <c r="S5" s="769" t="s">
        <v>6968</v>
      </c>
      <c r="T5" s="753"/>
      <c r="U5" s="753"/>
      <c r="V5" s="753"/>
      <c r="W5" s="753"/>
      <c r="X5" s="753"/>
      <c r="Y5" s="539"/>
      <c r="Z5" s="539"/>
      <c r="AA5" s="539"/>
      <c r="AB5" s="823" t="s">
        <v>7017</v>
      </c>
      <c r="AC5" s="827"/>
      <c r="AD5" s="827"/>
      <c r="AE5" s="823"/>
      <c r="AF5" s="823"/>
      <c r="AG5" s="823"/>
      <c r="AH5" s="823"/>
      <c r="AI5" s="823"/>
      <c r="AJ5" s="823"/>
      <c r="AK5" s="823"/>
      <c r="AL5" s="823"/>
      <c r="AM5" s="828" t="s">
        <v>7019</v>
      </c>
      <c r="AN5" s="823"/>
      <c r="AO5" s="823"/>
      <c r="AP5" s="823"/>
      <c r="AQ5" s="823"/>
      <c r="AR5" s="823"/>
      <c r="AS5" s="823"/>
      <c r="AT5" s="823"/>
      <c r="AU5" s="823"/>
      <c r="AV5" s="823"/>
      <c r="AW5" s="827"/>
      <c r="AX5" s="827"/>
      <c r="AY5" s="827"/>
    </row>
    <row r="6">
      <c r="A6" s="758" t="s">
        <v>6965</v>
      </c>
      <c r="B6" s="750"/>
      <c r="C6" s="750"/>
      <c r="D6" s="817"/>
      <c r="E6" s="748"/>
      <c r="F6" s="748"/>
      <c r="G6" s="512"/>
      <c r="H6" s="512"/>
      <c r="I6" s="826"/>
      <c r="J6" s="750"/>
      <c r="K6" s="809"/>
      <c r="L6" s="765" t="s">
        <v>6956</v>
      </c>
      <c r="M6" s="753"/>
      <c r="N6" s="753"/>
      <c r="O6" s="753"/>
      <c r="P6" s="753"/>
      <c r="Q6" s="753"/>
      <c r="R6" s="751"/>
      <c r="S6" s="829"/>
      <c r="T6" s="753"/>
      <c r="U6" s="753"/>
      <c r="V6" s="753"/>
      <c r="W6" s="753"/>
      <c r="X6" s="753"/>
      <c r="Y6" s="539"/>
      <c r="Z6" s="539"/>
      <c r="AA6" s="539"/>
      <c r="AB6" s="827"/>
      <c r="AC6" s="827"/>
      <c r="AD6" s="827"/>
      <c r="AE6" s="823"/>
      <c r="AF6" s="823"/>
      <c r="AG6" s="823"/>
      <c r="AH6" s="823"/>
      <c r="AI6" s="823"/>
      <c r="AJ6" s="823"/>
      <c r="AK6" s="823"/>
      <c r="AL6" s="823"/>
      <c r="AM6" s="823"/>
      <c r="AN6" s="823"/>
      <c r="AO6" s="823"/>
      <c r="AP6" s="823"/>
      <c r="AQ6" s="823"/>
      <c r="AR6" s="823"/>
      <c r="AS6" s="823"/>
      <c r="AT6" s="823"/>
      <c r="AU6" s="823"/>
      <c r="AV6" s="823"/>
      <c r="AW6" s="827"/>
      <c r="AX6" s="827"/>
      <c r="AY6" s="827"/>
    </row>
    <row r="7">
      <c r="A7" s="758" t="s">
        <v>6966</v>
      </c>
      <c r="B7" s="750"/>
      <c r="C7" s="750"/>
      <c r="D7" s="817"/>
      <c r="E7" s="767"/>
      <c r="F7" s="767"/>
      <c r="G7" s="525"/>
      <c r="H7" s="525"/>
      <c r="I7" s="750"/>
      <c r="J7" s="750"/>
      <c r="K7" s="809"/>
      <c r="L7" s="753"/>
      <c r="M7" s="753"/>
      <c r="N7" s="753"/>
      <c r="O7" s="753"/>
      <c r="P7" s="753"/>
      <c r="Q7" s="753"/>
      <c r="R7" s="751"/>
      <c r="S7" s="829"/>
      <c r="T7" s="753"/>
      <c r="U7" s="753"/>
      <c r="V7" s="753"/>
      <c r="W7" s="753"/>
      <c r="X7" s="753"/>
      <c r="Y7" s="539"/>
      <c r="Z7" s="539"/>
      <c r="AA7" s="539"/>
      <c r="AB7" s="827"/>
      <c r="AC7" s="827"/>
      <c r="AD7" s="827"/>
      <c r="AE7" s="823"/>
      <c r="AF7" s="823"/>
      <c r="AG7" s="823"/>
      <c r="AH7" s="823"/>
      <c r="AI7" s="823"/>
      <c r="AJ7" s="823"/>
      <c r="AK7" s="823" t="s">
        <v>7020</v>
      </c>
      <c r="AL7" s="823"/>
      <c r="AM7" s="823"/>
      <c r="AN7" s="823"/>
      <c r="AO7" s="823"/>
      <c r="AP7" s="823"/>
      <c r="AQ7" s="823"/>
      <c r="AR7" s="823"/>
      <c r="AS7" s="823"/>
      <c r="AT7" s="823"/>
      <c r="AU7" s="823"/>
      <c r="AV7" s="823"/>
      <c r="AW7" s="827"/>
      <c r="AX7" s="827"/>
      <c r="AY7" s="827"/>
    </row>
    <row r="8">
      <c r="A8" s="758" t="s">
        <v>6967</v>
      </c>
      <c r="B8" s="750"/>
      <c r="C8" s="750"/>
      <c r="D8" s="817"/>
      <c r="E8" s="810" t="s">
        <v>6956</v>
      </c>
      <c r="F8" s="767"/>
      <c r="G8" s="525"/>
      <c r="H8" s="525"/>
      <c r="I8" s="750"/>
      <c r="J8" s="750"/>
      <c r="K8" s="809"/>
      <c r="L8" s="753"/>
      <c r="M8" s="753"/>
      <c r="N8" s="753"/>
      <c r="O8" s="753"/>
      <c r="P8" s="753"/>
      <c r="Q8" s="753"/>
      <c r="R8" s="751"/>
      <c r="S8" s="829"/>
      <c r="T8" s="753"/>
      <c r="U8" s="753"/>
      <c r="V8" s="753"/>
      <c r="W8" s="753"/>
      <c r="X8" s="753"/>
      <c r="Y8" s="539"/>
      <c r="Z8" s="539"/>
      <c r="AA8" s="539"/>
      <c r="AB8" s="827"/>
      <c r="AC8" s="827"/>
      <c r="AD8" s="827"/>
      <c r="AE8" s="823"/>
      <c r="AF8" s="823"/>
      <c r="AG8" s="823"/>
      <c r="AH8" s="823"/>
      <c r="AI8" s="823"/>
      <c r="AJ8" s="823"/>
      <c r="AK8" s="823"/>
      <c r="AL8" s="823"/>
      <c r="AM8" s="823"/>
      <c r="AN8" s="823"/>
      <c r="AO8" s="823"/>
      <c r="AP8" s="823"/>
      <c r="AQ8" s="823"/>
      <c r="AR8" s="823"/>
      <c r="AS8" s="823"/>
      <c r="AT8" s="823"/>
      <c r="AU8" s="823"/>
      <c r="AV8" s="823"/>
      <c r="AW8" s="827"/>
      <c r="AX8" s="827"/>
      <c r="AY8" s="827"/>
    </row>
    <row r="9">
      <c r="A9" s="758" t="s">
        <v>6970</v>
      </c>
      <c r="B9" s="774"/>
      <c r="C9" s="774"/>
      <c r="D9" s="830"/>
      <c r="E9" s="771"/>
      <c r="F9" s="787"/>
      <c r="G9" s="539"/>
      <c r="H9" s="314"/>
      <c r="I9" s="774"/>
      <c r="J9" s="774"/>
      <c r="K9" s="831"/>
      <c r="L9" s="754"/>
      <c r="M9" s="754"/>
      <c r="N9" s="754"/>
      <c r="O9" s="754"/>
      <c r="P9" s="763" t="s">
        <v>7021</v>
      </c>
      <c r="Q9" s="754"/>
      <c r="R9" s="751"/>
      <c r="S9" s="829"/>
      <c r="T9" s="753"/>
      <c r="U9" s="753"/>
      <c r="V9" s="753"/>
      <c r="W9" s="753"/>
      <c r="X9" s="753"/>
      <c r="Y9" s="539"/>
      <c r="Z9" s="539"/>
      <c r="AA9" s="539"/>
      <c r="AB9" s="827"/>
      <c r="AC9" s="827"/>
      <c r="AD9" s="827"/>
      <c r="AE9" s="823"/>
      <c r="AF9" s="823"/>
      <c r="AG9" s="823"/>
      <c r="AH9" s="823"/>
      <c r="AI9" s="823"/>
      <c r="AJ9" s="823"/>
      <c r="AK9" s="823"/>
      <c r="AL9" s="823"/>
      <c r="AM9" s="823"/>
      <c r="AN9" s="823"/>
      <c r="AO9" s="823"/>
      <c r="AP9" s="823"/>
      <c r="AQ9" s="823"/>
      <c r="AR9" s="823"/>
      <c r="AS9" s="823"/>
      <c r="AT9" s="823"/>
      <c r="AU9" s="823"/>
      <c r="AV9" s="823"/>
      <c r="AW9" s="827"/>
      <c r="AX9" s="827"/>
      <c r="AY9" s="827"/>
    </row>
    <row r="10">
      <c r="A10" s="758" t="s">
        <v>6971</v>
      </c>
      <c r="B10" s="773"/>
      <c r="C10" s="774"/>
      <c r="D10" s="830"/>
      <c r="E10" s="771"/>
      <c r="F10" s="787"/>
      <c r="G10" s="811" t="s">
        <v>6956</v>
      </c>
      <c r="H10" s="314"/>
      <c r="I10" s="773"/>
      <c r="J10" s="774"/>
      <c r="K10" s="831"/>
      <c r="L10" s="754"/>
      <c r="M10" s="754"/>
      <c r="N10" s="754"/>
      <c r="O10" s="754"/>
      <c r="P10" s="754"/>
      <c r="Q10" s="754"/>
      <c r="R10" s="751"/>
      <c r="S10" s="832"/>
      <c r="T10" s="754"/>
      <c r="U10" s="754"/>
      <c r="V10" s="754"/>
      <c r="W10" s="754"/>
      <c r="X10" s="754"/>
      <c r="Y10" s="539"/>
      <c r="Z10" s="539"/>
      <c r="AA10" s="539"/>
      <c r="AB10" s="827"/>
      <c r="AC10" s="827"/>
      <c r="AD10" s="827"/>
      <c r="AE10" s="823"/>
      <c r="AF10" s="823"/>
      <c r="AG10" s="823"/>
      <c r="AH10" s="823"/>
      <c r="AI10" s="823"/>
      <c r="AJ10" s="823"/>
      <c r="AK10" s="823"/>
      <c r="AL10" s="823"/>
      <c r="AM10" s="823"/>
      <c r="AN10" s="823"/>
      <c r="AO10" s="823"/>
      <c r="AP10" s="823"/>
      <c r="AQ10" s="823"/>
      <c r="AR10" s="823"/>
      <c r="AS10" s="823"/>
      <c r="AT10" s="823"/>
      <c r="AU10" s="823"/>
      <c r="AV10" s="823"/>
      <c r="AW10" s="827"/>
      <c r="AX10" s="827"/>
      <c r="AY10" s="827"/>
    </row>
    <row r="11">
      <c r="A11" s="775" t="s">
        <v>6972</v>
      </c>
      <c r="B11" s="774"/>
      <c r="C11" s="774"/>
      <c r="D11" s="830"/>
      <c r="E11" s="771"/>
      <c r="F11" s="787"/>
      <c r="G11" s="539"/>
      <c r="H11" s="314"/>
      <c r="I11" s="774"/>
      <c r="J11" s="774"/>
      <c r="K11" s="831"/>
      <c r="L11" s="754"/>
      <c r="M11" s="754"/>
      <c r="N11" s="763" t="s">
        <v>6964</v>
      </c>
      <c r="O11" s="754"/>
      <c r="P11" s="763"/>
      <c r="Q11" s="754"/>
      <c r="R11" s="751"/>
      <c r="S11" s="832"/>
      <c r="T11" s="754"/>
      <c r="U11" s="754"/>
      <c r="V11" s="754"/>
      <c r="W11" s="754"/>
      <c r="X11" s="754"/>
      <c r="Y11" s="539"/>
      <c r="Z11" s="539"/>
      <c r="AA11" s="539"/>
      <c r="AB11" s="827"/>
      <c r="AC11" s="823" t="s">
        <v>7017</v>
      </c>
      <c r="AD11" s="827"/>
      <c r="AE11" s="823"/>
      <c r="AF11" s="823"/>
      <c r="AG11" s="823"/>
      <c r="AH11" s="823"/>
      <c r="AI11" s="823"/>
      <c r="AJ11" s="823"/>
      <c r="AK11" s="823"/>
      <c r="AL11" s="823"/>
      <c r="AM11" s="823"/>
      <c r="AN11" s="823"/>
      <c r="AO11" s="823"/>
      <c r="AP11" s="823"/>
      <c r="AQ11" s="823"/>
      <c r="AR11" s="823"/>
      <c r="AS11" s="823"/>
      <c r="AT11" s="823"/>
      <c r="AU11" s="823"/>
      <c r="AV11" s="823"/>
      <c r="AW11" s="827"/>
      <c r="AX11" s="827"/>
      <c r="AY11" s="827"/>
    </row>
    <row r="12">
      <c r="A12" s="758" t="s">
        <v>6974</v>
      </c>
      <c r="B12" s="774"/>
      <c r="C12" s="774"/>
      <c r="D12" s="830"/>
      <c r="E12" s="771"/>
      <c r="F12" s="787"/>
      <c r="G12" s="539"/>
      <c r="H12" s="811" t="s">
        <v>6956</v>
      </c>
      <c r="I12" s="774"/>
      <c r="J12" s="774"/>
      <c r="K12" s="831"/>
      <c r="L12" s="754"/>
      <c r="M12" s="754"/>
      <c r="N12" s="754"/>
      <c r="O12" s="754"/>
      <c r="P12" s="754"/>
      <c r="Q12" s="765" t="s">
        <v>6956</v>
      </c>
      <c r="R12" s="751"/>
      <c r="S12" s="769" t="s">
        <v>6968</v>
      </c>
      <c r="T12" s="754"/>
      <c r="U12" s="754"/>
      <c r="V12" s="754"/>
      <c r="W12" s="754"/>
      <c r="X12" s="754"/>
      <c r="Y12" s="539"/>
      <c r="Z12" s="539"/>
      <c r="AA12" s="539"/>
      <c r="AB12" s="827"/>
      <c r="AC12" s="823" t="s">
        <v>7017</v>
      </c>
      <c r="AD12" s="827"/>
      <c r="AE12" s="823"/>
      <c r="AF12" s="823"/>
      <c r="AG12" s="823"/>
      <c r="AH12" s="823"/>
      <c r="AI12" s="823"/>
      <c r="AJ12" s="823"/>
      <c r="AK12" s="823"/>
      <c r="AL12" s="823"/>
      <c r="AM12" s="823"/>
      <c r="AN12" s="823"/>
      <c r="AO12" s="823"/>
      <c r="AP12" s="823"/>
      <c r="AQ12" s="823"/>
      <c r="AR12" s="823"/>
      <c r="AS12" s="823"/>
      <c r="AT12" s="823"/>
      <c r="AU12" s="823"/>
      <c r="AV12" s="823"/>
      <c r="AW12" s="827"/>
      <c r="AX12" s="827"/>
      <c r="AY12" s="827"/>
    </row>
    <row r="13">
      <c r="A13" s="758" t="s">
        <v>6976</v>
      </c>
      <c r="B13" s="774"/>
      <c r="C13" s="774"/>
      <c r="D13" s="830"/>
      <c r="E13" s="771"/>
      <c r="F13" s="787"/>
      <c r="G13" s="539"/>
      <c r="H13" s="833" t="s">
        <v>7016</v>
      </c>
      <c r="I13" s="774"/>
      <c r="J13" s="774"/>
      <c r="K13" s="831"/>
      <c r="L13" s="754"/>
      <c r="M13" s="754"/>
      <c r="N13" s="754"/>
      <c r="O13" s="754"/>
      <c r="P13" s="754"/>
      <c r="Q13" s="754"/>
      <c r="R13" s="751"/>
      <c r="S13" s="832"/>
      <c r="T13" s="754"/>
      <c r="U13" s="754"/>
      <c r="V13" s="754"/>
      <c r="W13" s="754"/>
      <c r="X13" s="754"/>
      <c r="Y13" s="539"/>
      <c r="Z13" s="539"/>
      <c r="AA13" s="539"/>
      <c r="AB13" s="827"/>
      <c r="AC13" s="827"/>
      <c r="AD13" s="827"/>
      <c r="AE13" s="823"/>
      <c r="AF13" s="823"/>
      <c r="AG13" s="823"/>
      <c r="AH13" s="823"/>
      <c r="AI13" s="823"/>
      <c r="AJ13" s="823"/>
      <c r="AK13" s="823"/>
      <c r="AL13" s="823"/>
      <c r="AM13" s="823"/>
      <c r="AN13" s="823"/>
      <c r="AO13" s="823"/>
      <c r="AP13" s="823"/>
      <c r="AQ13" s="823"/>
      <c r="AR13" s="823"/>
      <c r="AS13" s="823"/>
      <c r="AT13" s="823"/>
      <c r="AU13" s="823"/>
      <c r="AV13" s="823"/>
      <c r="AW13" s="827"/>
      <c r="AX13" s="827"/>
      <c r="AY13" s="827"/>
    </row>
    <row r="14">
      <c r="A14" s="608" t="s">
        <v>6977</v>
      </c>
      <c r="B14" s="774"/>
      <c r="C14" s="774"/>
      <c r="D14" s="830"/>
      <c r="E14" s="771"/>
      <c r="F14" s="787"/>
      <c r="G14" s="539"/>
      <c r="H14" s="833" t="s">
        <v>7016</v>
      </c>
      <c r="I14" s="774"/>
      <c r="J14" s="774"/>
      <c r="K14" s="831"/>
      <c r="L14" s="754"/>
      <c r="M14" s="754"/>
      <c r="N14" s="754"/>
      <c r="O14" s="754"/>
      <c r="P14" s="754"/>
      <c r="Q14" s="754"/>
      <c r="R14" s="751"/>
      <c r="S14" s="832"/>
      <c r="T14" s="754"/>
      <c r="U14" s="754"/>
      <c r="V14" s="754"/>
      <c r="W14" s="754"/>
      <c r="X14" s="469" t="s">
        <v>7022</v>
      </c>
      <c r="Y14" s="539"/>
      <c r="Z14" s="539"/>
      <c r="AA14" s="539"/>
      <c r="AB14" s="827"/>
      <c r="AC14" s="827"/>
      <c r="AD14" s="827"/>
      <c r="AE14" s="823"/>
      <c r="AF14" s="823"/>
      <c r="AG14" s="823"/>
      <c r="AH14" s="823"/>
      <c r="AI14" s="823"/>
      <c r="AJ14" s="823"/>
      <c r="AK14" s="823"/>
      <c r="AL14" s="823"/>
      <c r="AM14" s="823"/>
      <c r="AN14" s="823"/>
      <c r="AO14" s="823"/>
      <c r="AP14" s="823"/>
      <c r="AQ14" s="823"/>
      <c r="AR14" s="823"/>
      <c r="AS14" s="823"/>
      <c r="AT14" s="823"/>
      <c r="AU14" s="823"/>
      <c r="AV14" s="823"/>
      <c r="AW14" s="827"/>
      <c r="AX14" s="827"/>
      <c r="AY14" s="827"/>
    </row>
    <row r="15">
      <c r="A15" s="608" t="s">
        <v>6979</v>
      </c>
      <c r="B15" s="774"/>
      <c r="C15" s="774"/>
      <c r="D15" s="830"/>
      <c r="E15" s="771"/>
      <c r="F15" s="834"/>
      <c r="G15" s="539"/>
      <c r="H15" s="314"/>
      <c r="I15" s="774"/>
      <c r="J15" s="774"/>
      <c r="K15" s="831"/>
      <c r="L15" s="754"/>
      <c r="M15" s="754"/>
      <c r="N15" s="754"/>
      <c r="O15" s="754"/>
      <c r="P15" s="754"/>
      <c r="Q15" s="754"/>
      <c r="R15" s="751"/>
      <c r="S15" s="832"/>
      <c r="T15" s="754"/>
      <c r="U15" s="754"/>
      <c r="V15" s="754"/>
      <c r="W15" s="754"/>
      <c r="X15" s="754"/>
      <c r="Y15" s="539"/>
      <c r="Z15" s="539"/>
      <c r="AA15" s="539"/>
      <c r="AB15" s="827"/>
      <c r="AC15" s="827"/>
      <c r="AD15" s="827"/>
      <c r="AE15" s="823"/>
      <c r="AF15" s="823"/>
      <c r="AG15" s="823"/>
      <c r="AH15" s="823"/>
      <c r="AI15" s="823"/>
      <c r="AJ15" s="823"/>
      <c r="AK15" s="823"/>
      <c r="AL15" s="823"/>
      <c r="AM15" s="823"/>
      <c r="AN15" s="823"/>
      <c r="AO15" s="823"/>
      <c r="AP15" s="823"/>
      <c r="AQ15" s="823"/>
      <c r="AR15" s="823"/>
      <c r="AS15" s="823"/>
      <c r="AT15" s="823"/>
      <c r="AU15" s="823"/>
      <c r="AV15" s="823"/>
      <c r="AW15" s="827"/>
      <c r="AX15" s="827"/>
      <c r="AY15" s="827"/>
    </row>
    <row r="16">
      <c r="A16" s="608" t="s">
        <v>6980</v>
      </c>
      <c r="B16" s="774"/>
      <c r="C16" s="774"/>
      <c r="D16" s="830"/>
      <c r="E16" s="771"/>
      <c r="F16" s="787"/>
      <c r="G16" s="539"/>
      <c r="H16" s="314"/>
      <c r="I16" s="774"/>
      <c r="J16" s="774"/>
      <c r="K16" s="831"/>
      <c r="L16" s="754"/>
      <c r="M16" s="754"/>
      <c r="N16" s="754"/>
      <c r="O16" s="754"/>
      <c r="P16" s="754"/>
      <c r="Q16" s="754"/>
      <c r="R16" s="751"/>
      <c r="S16" s="832"/>
      <c r="T16" s="754"/>
      <c r="U16" s="754"/>
      <c r="V16" s="754"/>
      <c r="W16" s="754"/>
      <c r="X16" s="754"/>
      <c r="Y16" s="539"/>
      <c r="Z16" s="539"/>
      <c r="AA16" s="539"/>
      <c r="AB16" s="827"/>
      <c r="AC16" s="827"/>
      <c r="AD16" s="827"/>
      <c r="AE16" s="823"/>
      <c r="AF16" s="823"/>
      <c r="AG16" s="823"/>
      <c r="AH16" s="823"/>
      <c r="AI16" s="823"/>
      <c r="AJ16" s="823" t="s">
        <v>7020</v>
      </c>
      <c r="AK16" s="823"/>
      <c r="AL16" s="823"/>
      <c r="AM16" s="823"/>
      <c r="AN16" s="823"/>
      <c r="AO16" s="823"/>
      <c r="AP16" s="823"/>
      <c r="AQ16" s="823"/>
      <c r="AR16" s="823"/>
      <c r="AS16" s="823"/>
      <c r="AT16" s="823"/>
      <c r="AU16" s="823"/>
      <c r="AV16" s="823"/>
      <c r="AW16" s="827"/>
      <c r="AX16" s="827"/>
      <c r="AY16" s="827"/>
    </row>
    <row r="17">
      <c r="A17" s="608" t="s">
        <v>6981</v>
      </c>
      <c r="B17" s="774"/>
      <c r="C17" s="774"/>
      <c r="D17" s="830"/>
      <c r="E17" s="771"/>
      <c r="F17" s="834"/>
      <c r="G17" s="539"/>
      <c r="H17" s="314"/>
      <c r="I17" s="774"/>
      <c r="J17" s="774"/>
      <c r="K17" s="831"/>
      <c r="L17" s="754"/>
      <c r="M17" s="754"/>
      <c r="N17" s="754"/>
      <c r="O17" s="754"/>
      <c r="P17" s="754"/>
      <c r="Q17" s="754"/>
      <c r="R17" s="751"/>
      <c r="S17" s="832"/>
      <c r="T17" s="754"/>
      <c r="U17" s="754"/>
      <c r="V17" s="754"/>
      <c r="W17" s="754"/>
      <c r="X17" s="763" t="s">
        <v>7023</v>
      </c>
      <c r="Y17" s="539"/>
      <c r="Z17" s="539"/>
      <c r="AA17" s="539"/>
      <c r="AB17" s="827"/>
      <c r="AC17" s="827"/>
      <c r="AD17" s="827"/>
      <c r="AE17" s="823"/>
      <c r="AF17" s="823"/>
      <c r="AG17" s="823"/>
      <c r="AH17" s="823"/>
      <c r="AI17" s="823"/>
      <c r="AJ17" s="823"/>
      <c r="AK17" s="823"/>
      <c r="AL17" s="823"/>
      <c r="AM17" s="823"/>
      <c r="AN17" s="823"/>
      <c r="AO17" s="823"/>
      <c r="AP17" s="823"/>
      <c r="AQ17" s="823"/>
      <c r="AR17" s="823"/>
      <c r="AS17" s="823"/>
      <c r="AT17" s="823"/>
      <c r="AU17" s="823"/>
      <c r="AV17" s="823"/>
      <c r="AW17" s="827"/>
      <c r="AX17" s="827"/>
      <c r="AY17" s="827"/>
    </row>
    <row r="18">
      <c r="A18" s="608" t="s">
        <v>6982</v>
      </c>
      <c r="B18" s="774"/>
      <c r="C18" s="774"/>
      <c r="D18" s="830"/>
      <c r="E18" s="771"/>
      <c r="F18" s="787"/>
      <c r="G18" s="539"/>
      <c r="H18" s="314"/>
      <c r="I18" s="774"/>
      <c r="J18" s="774"/>
      <c r="K18" s="831"/>
      <c r="L18" s="754"/>
      <c r="M18" s="754"/>
      <c r="N18" s="754"/>
      <c r="O18" s="754"/>
      <c r="P18" s="754"/>
      <c r="Q18" s="754"/>
      <c r="R18" s="751"/>
      <c r="S18" s="832"/>
      <c r="T18" s="754"/>
      <c r="U18" s="754"/>
      <c r="V18" s="754"/>
      <c r="W18" s="754"/>
      <c r="X18" s="763" t="s">
        <v>7023</v>
      </c>
      <c r="Y18" s="539"/>
      <c r="Z18" s="539"/>
      <c r="AA18" s="539"/>
      <c r="AB18" s="827"/>
      <c r="AC18" s="827"/>
      <c r="AD18" s="827"/>
      <c r="AE18" s="823"/>
      <c r="AF18" s="823"/>
      <c r="AG18" s="823"/>
      <c r="AH18" s="823"/>
      <c r="AI18" s="823"/>
      <c r="AJ18" s="823"/>
      <c r="AK18" s="823"/>
      <c r="AL18" s="823"/>
      <c r="AM18" s="823"/>
      <c r="AN18" s="823"/>
      <c r="AO18" s="823"/>
      <c r="AP18" s="823"/>
      <c r="AQ18" s="823"/>
      <c r="AR18" s="823"/>
      <c r="AS18" s="823"/>
      <c r="AT18" s="823"/>
      <c r="AU18" s="823"/>
      <c r="AV18" s="823"/>
      <c r="AW18" s="827"/>
      <c r="AX18" s="827"/>
      <c r="AY18" s="827"/>
    </row>
    <row r="19">
      <c r="A19" s="758" t="s">
        <v>6983</v>
      </c>
      <c r="B19" s="774"/>
      <c r="C19" s="774"/>
      <c r="D19" s="830"/>
      <c r="E19" s="771"/>
      <c r="F19" s="787"/>
      <c r="G19" s="513"/>
      <c r="H19" s="314"/>
      <c r="I19" s="774"/>
      <c r="J19" s="774"/>
      <c r="K19" s="835" t="s">
        <v>6956</v>
      </c>
      <c r="L19" s="754"/>
      <c r="M19" s="754"/>
      <c r="N19" s="754"/>
      <c r="O19" s="754"/>
      <c r="P19" s="754"/>
      <c r="Q19" s="754"/>
      <c r="R19" s="751"/>
      <c r="S19" s="832"/>
      <c r="T19" s="754"/>
      <c r="U19" s="754"/>
      <c r="V19" s="754"/>
      <c r="W19" s="754"/>
      <c r="X19" s="754"/>
      <c r="Y19" s="539"/>
      <c r="Z19" s="539"/>
      <c r="AA19" s="539"/>
      <c r="AB19" s="827"/>
      <c r="AC19" s="827"/>
      <c r="AD19" s="827"/>
      <c r="AE19" s="823"/>
      <c r="AF19" s="823"/>
      <c r="AG19" s="823"/>
      <c r="AH19" s="823"/>
      <c r="AI19" s="823"/>
      <c r="AJ19" s="823"/>
      <c r="AK19" s="823"/>
      <c r="AL19" s="823"/>
      <c r="AM19" s="823"/>
      <c r="AN19" s="823"/>
      <c r="AO19" s="823"/>
      <c r="AP19" s="823"/>
      <c r="AQ19" s="823"/>
      <c r="AR19" s="823"/>
      <c r="AS19" s="823"/>
      <c r="AT19" s="823"/>
      <c r="AU19" s="823"/>
      <c r="AV19" s="823"/>
      <c r="AW19" s="827"/>
      <c r="AX19" s="827"/>
      <c r="AY19" s="827"/>
    </row>
    <row r="20">
      <c r="A20" s="758" t="s">
        <v>6985</v>
      </c>
      <c r="B20" s="787"/>
      <c r="C20" s="787"/>
      <c r="D20" s="539"/>
      <c r="E20" s="771"/>
      <c r="F20" s="787"/>
      <c r="G20" s="539"/>
      <c r="H20" s="314"/>
      <c r="I20" s="787"/>
      <c r="J20" s="787"/>
      <c r="K20" s="314"/>
      <c r="L20" s="312"/>
      <c r="M20" s="312"/>
      <c r="N20" s="312"/>
      <c r="O20" s="312"/>
      <c r="P20" s="312"/>
      <c r="Q20" s="312"/>
      <c r="R20" s="818"/>
      <c r="S20" s="836"/>
      <c r="T20" s="754"/>
      <c r="U20" s="754"/>
      <c r="V20" s="754"/>
      <c r="W20" s="754"/>
      <c r="X20" s="754"/>
      <c r="Y20" s="539"/>
      <c r="Z20" s="539"/>
      <c r="AA20" s="539"/>
      <c r="AB20" s="827"/>
      <c r="AC20" s="827"/>
      <c r="AD20" s="827"/>
      <c r="AE20" s="823"/>
      <c r="AF20" s="823"/>
      <c r="AG20" s="823" t="s">
        <v>7024</v>
      </c>
      <c r="AH20" s="823"/>
      <c r="AI20" s="823"/>
      <c r="AJ20" s="823"/>
      <c r="AK20" s="823"/>
      <c r="AL20" s="823"/>
      <c r="AM20" s="823"/>
      <c r="AN20" s="823"/>
      <c r="AO20" s="823"/>
      <c r="AP20" s="823"/>
      <c r="AQ20" s="823"/>
      <c r="AR20" s="823"/>
      <c r="AS20" s="823"/>
      <c r="AT20" s="823"/>
      <c r="AU20" s="823"/>
      <c r="AV20" s="823"/>
      <c r="AW20" s="827"/>
      <c r="AX20" s="827"/>
      <c r="AY20" s="827"/>
    </row>
    <row r="21">
      <c r="A21" s="758" t="s">
        <v>6986</v>
      </c>
      <c r="B21" s="787"/>
      <c r="C21" s="787"/>
      <c r="D21" s="539"/>
      <c r="E21" s="837" t="s">
        <v>6956</v>
      </c>
      <c r="F21" s="787"/>
      <c r="G21" s="539"/>
      <c r="H21" s="314"/>
      <c r="I21" s="787"/>
      <c r="J21" s="787"/>
      <c r="K21" s="314"/>
      <c r="L21" s="765" t="s">
        <v>6956</v>
      </c>
      <c r="M21" s="312"/>
      <c r="N21" s="312"/>
      <c r="O21" s="312"/>
      <c r="P21" s="312"/>
      <c r="Q21" s="312"/>
      <c r="R21" s="790"/>
      <c r="S21" s="838"/>
      <c r="T21" s="312"/>
      <c r="U21" s="312"/>
      <c r="V21" s="312"/>
      <c r="W21" s="312"/>
      <c r="X21" s="312"/>
      <c r="Y21" s="539"/>
      <c r="Z21" s="539"/>
      <c r="AA21" s="539"/>
      <c r="AB21" s="839"/>
      <c r="AC21" s="823" t="s">
        <v>7017</v>
      </c>
      <c r="AD21" s="827"/>
      <c r="AE21" s="823"/>
      <c r="AF21" s="823"/>
      <c r="AG21" s="823"/>
      <c r="AH21" s="823"/>
      <c r="AI21" s="823"/>
      <c r="AJ21" s="823"/>
      <c r="AK21" s="823" t="s">
        <v>7020</v>
      </c>
      <c r="AL21" s="823"/>
      <c r="AM21" s="823"/>
      <c r="AN21" s="823"/>
      <c r="AO21" s="823"/>
      <c r="AP21" s="823"/>
      <c r="AQ21" s="823"/>
      <c r="AR21" s="823"/>
      <c r="AS21" s="823"/>
      <c r="AT21" s="823"/>
      <c r="AU21" s="823"/>
      <c r="AV21" s="823"/>
      <c r="AW21" s="827"/>
      <c r="AX21" s="827"/>
      <c r="AY21" s="827"/>
    </row>
    <row r="22">
      <c r="A22" s="758" t="s">
        <v>6988</v>
      </c>
      <c r="B22" s="787"/>
      <c r="C22" s="787"/>
      <c r="D22" s="539"/>
      <c r="E22" s="771"/>
      <c r="F22" s="787"/>
      <c r="G22" s="539"/>
      <c r="H22" s="314"/>
      <c r="I22" s="787"/>
      <c r="J22" s="811" t="s">
        <v>6956</v>
      </c>
      <c r="K22" s="314"/>
      <c r="L22" s="312"/>
      <c r="M22" s="312"/>
      <c r="N22" s="312"/>
      <c r="O22" s="312"/>
      <c r="P22" s="312"/>
      <c r="Q22" s="312"/>
      <c r="R22" s="790"/>
      <c r="S22" s="838"/>
      <c r="T22" s="312"/>
      <c r="U22" s="312"/>
      <c r="V22" s="312"/>
      <c r="W22" s="312"/>
      <c r="X22" s="312"/>
      <c r="Y22" s="539"/>
      <c r="Z22" s="539"/>
      <c r="AA22" s="539"/>
      <c r="AB22" s="827"/>
      <c r="AC22" s="827"/>
      <c r="AD22" s="827"/>
      <c r="AE22" s="823"/>
      <c r="AF22" s="823"/>
      <c r="AG22" s="823"/>
      <c r="AH22" s="823"/>
      <c r="AI22" s="823"/>
      <c r="AJ22" s="823"/>
      <c r="AK22" s="823"/>
      <c r="AL22" s="823"/>
      <c r="AM22" s="823"/>
      <c r="AN22" s="823"/>
      <c r="AO22" s="823"/>
      <c r="AP22" s="823"/>
      <c r="AQ22" s="823"/>
      <c r="AR22" s="823"/>
      <c r="AS22" s="823"/>
      <c r="AT22" s="823"/>
      <c r="AU22" s="823"/>
      <c r="AV22" s="823"/>
      <c r="AW22" s="827"/>
      <c r="AX22" s="827"/>
      <c r="AY22" s="827"/>
    </row>
    <row r="23">
      <c r="A23" s="758" t="s">
        <v>6990</v>
      </c>
      <c r="B23" s="787"/>
      <c r="C23" s="787"/>
      <c r="D23" s="539"/>
      <c r="E23" s="771"/>
      <c r="F23" s="787"/>
      <c r="G23" s="539"/>
      <c r="H23" s="314"/>
      <c r="I23" s="787"/>
      <c r="J23" s="787"/>
      <c r="K23" s="314"/>
      <c r="L23" s="312"/>
      <c r="M23" s="312"/>
      <c r="N23" s="312"/>
      <c r="O23" s="312"/>
      <c r="P23" s="312"/>
      <c r="Q23" s="312"/>
      <c r="R23" s="790"/>
      <c r="S23" s="838"/>
      <c r="T23" s="312"/>
      <c r="U23" s="312"/>
      <c r="V23" s="312"/>
      <c r="W23" s="312"/>
      <c r="X23" s="312"/>
      <c r="Y23" s="539"/>
      <c r="Z23" s="539"/>
      <c r="AA23" s="539"/>
      <c r="AB23" s="827"/>
      <c r="AC23" s="827"/>
      <c r="AD23" s="827"/>
      <c r="AE23" s="823"/>
      <c r="AF23" s="823"/>
      <c r="AG23" s="823"/>
      <c r="AH23" s="823"/>
      <c r="AI23" s="823"/>
      <c r="AJ23" s="823"/>
      <c r="AK23" s="823"/>
      <c r="AL23" s="823"/>
      <c r="AM23" s="823"/>
      <c r="AN23" s="823"/>
      <c r="AO23" s="823"/>
      <c r="AP23" s="823"/>
      <c r="AQ23" s="823"/>
      <c r="AR23" s="823"/>
      <c r="AS23" s="823"/>
      <c r="AT23" s="823"/>
      <c r="AU23" s="823"/>
      <c r="AV23" s="823"/>
      <c r="AW23" s="827"/>
      <c r="AX23" s="827"/>
      <c r="AY23" s="827"/>
    </row>
    <row r="24">
      <c r="A24" s="758" t="s">
        <v>6991</v>
      </c>
      <c r="B24" s="787"/>
      <c r="C24" s="787"/>
      <c r="D24" s="539"/>
      <c r="E24" s="771"/>
      <c r="F24" s="787"/>
      <c r="G24" s="539"/>
      <c r="H24" s="314"/>
      <c r="I24" s="787"/>
      <c r="J24" s="787"/>
      <c r="K24" s="314"/>
      <c r="L24" s="312"/>
      <c r="M24" s="312"/>
      <c r="N24" s="312"/>
      <c r="O24" s="312"/>
      <c r="P24" s="312"/>
      <c r="Q24" s="312"/>
      <c r="R24" s="790"/>
      <c r="S24" s="838"/>
      <c r="T24" s="312"/>
      <c r="U24" s="312"/>
      <c r="V24" s="312"/>
      <c r="W24" s="312"/>
      <c r="X24" s="312"/>
      <c r="Y24" s="539"/>
      <c r="Z24" s="539"/>
      <c r="AA24" s="539"/>
      <c r="AB24" s="827"/>
      <c r="AC24" s="827"/>
      <c r="AD24" s="827"/>
      <c r="AE24" s="823"/>
      <c r="AF24" s="823"/>
      <c r="AG24" s="823"/>
      <c r="AH24" s="823"/>
      <c r="AI24" s="823"/>
      <c r="AJ24" s="823"/>
      <c r="AK24" s="823"/>
      <c r="AL24" s="823"/>
      <c r="AM24" s="823"/>
      <c r="AN24" s="823"/>
      <c r="AO24" s="823"/>
      <c r="AP24" s="823"/>
      <c r="AQ24" s="823"/>
      <c r="AR24" s="823"/>
      <c r="AS24" s="823"/>
      <c r="AT24" s="823"/>
      <c r="AU24" s="823"/>
      <c r="AV24" s="823"/>
      <c r="AW24" s="827"/>
      <c r="AX24" s="827"/>
      <c r="AY24" s="827"/>
    </row>
    <row r="25">
      <c r="A25" s="758" t="s">
        <v>6992</v>
      </c>
      <c r="B25" s="787"/>
      <c r="C25" s="787"/>
      <c r="D25" s="539"/>
      <c r="E25" s="810" t="s">
        <v>6956</v>
      </c>
      <c r="F25" s="840"/>
      <c r="G25" s="561"/>
      <c r="H25" s="314"/>
      <c r="I25" s="787"/>
      <c r="J25" s="787"/>
      <c r="K25" s="314"/>
      <c r="L25" s="312"/>
      <c r="M25" s="312"/>
      <c r="N25" s="469" t="s">
        <v>7021</v>
      </c>
      <c r="O25" s="312"/>
      <c r="P25" s="469" t="s">
        <v>7021</v>
      </c>
      <c r="Q25" s="312"/>
      <c r="R25" s="469" t="s">
        <v>7021</v>
      </c>
      <c r="S25" s="838"/>
      <c r="T25" s="312"/>
      <c r="U25" s="312"/>
      <c r="V25" s="312"/>
      <c r="W25" s="312"/>
      <c r="X25" s="312"/>
      <c r="Y25" s="539"/>
      <c r="Z25" s="539"/>
      <c r="AA25" s="823" t="s">
        <v>7017</v>
      </c>
      <c r="AB25" s="827"/>
      <c r="AC25" s="827"/>
      <c r="AD25" s="827"/>
      <c r="AE25" s="823"/>
      <c r="AF25" s="823"/>
      <c r="AG25" s="823"/>
      <c r="AH25" s="823"/>
      <c r="AI25" s="823"/>
      <c r="AJ25" s="823"/>
      <c r="AK25" s="823"/>
      <c r="AL25" s="823"/>
      <c r="AM25" s="823"/>
      <c r="AN25" s="823"/>
      <c r="AO25" s="823"/>
      <c r="AP25" s="823"/>
      <c r="AQ25" s="823"/>
      <c r="AR25" s="823"/>
      <c r="AS25" s="823"/>
      <c r="AT25" s="823"/>
      <c r="AU25" s="823"/>
      <c r="AV25" s="823"/>
      <c r="AW25" s="827"/>
      <c r="AX25" s="827"/>
      <c r="AY25" s="827"/>
    </row>
    <row r="26">
      <c r="A26" s="758" t="s">
        <v>6997</v>
      </c>
      <c r="B26" s="787"/>
      <c r="C26" s="787"/>
      <c r="D26" s="539"/>
      <c r="E26" s="771"/>
      <c r="F26" s="787"/>
      <c r="G26" s="539"/>
      <c r="H26" s="314"/>
      <c r="I26" s="787"/>
      <c r="J26" s="787"/>
      <c r="K26" s="314"/>
      <c r="L26" s="312"/>
      <c r="M26" s="312"/>
      <c r="N26" s="312"/>
      <c r="O26" s="312"/>
      <c r="P26" s="312"/>
      <c r="Q26" s="312"/>
      <c r="R26" s="791"/>
      <c r="S26" s="841"/>
      <c r="T26" s="312"/>
      <c r="U26" s="312"/>
      <c r="V26" s="312"/>
      <c r="W26" s="312"/>
      <c r="X26" s="312"/>
      <c r="Y26" s="539"/>
      <c r="Z26" s="539"/>
      <c r="AA26" s="539"/>
      <c r="AB26" s="827"/>
      <c r="AC26" s="827"/>
      <c r="AD26" s="827"/>
      <c r="AE26" s="823"/>
      <c r="AF26" s="823"/>
      <c r="AG26" s="823"/>
      <c r="AH26" s="823"/>
      <c r="AI26" s="823"/>
      <c r="AJ26" s="823"/>
      <c r="AK26" s="823"/>
      <c r="AL26" s="823"/>
      <c r="AM26" s="823"/>
      <c r="AN26" s="823"/>
      <c r="AO26" s="823"/>
      <c r="AP26" s="823"/>
      <c r="AQ26" s="823"/>
      <c r="AR26" s="823"/>
      <c r="AS26" s="823"/>
      <c r="AT26" s="823"/>
      <c r="AU26" s="823"/>
      <c r="AV26" s="823"/>
      <c r="AW26" s="827"/>
      <c r="AX26" s="827"/>
      <c r="AY26" s="827"/>
    </row>
    <row r="27">
      <c r="A27" s="758" t="s">
        <v>7025</v>
      </c>
      <c r="B27" s="787"/>
      <c r="C27" s="787"/>
      <c r="D27" s="539"/>
      <c r="E27" s="771"/>
      <c r="F27" s="787"/>
      <c r="G27" s="539"/>
      <c r="H27" s="314"/>
      <c r="I27" s="787"/>
      <c r="J27" s="787"/>
      <c r="K27" s="314"/>
      <c r="L27" s="312"/>
      <c r="M27" s="312"/>
      <c r="N27" s="312"/>
      <c r="O27" s="312"/>
      <c r="P27" s="312"/>
      <c r="Q27" s="312"/>
      <c r="R27" s="790"/>
      <c r="S27" s="838"/>
      <c r="T27" s="312"/>
      <c r="U27" s="312"/>
      <c r="V27" s="312"/>
      <c r="W27" s="312"/>
      <c r="X27" s="312"/>
      <c r="Y27" s="539"/>
      <c r="Z27" s="539"/>
      <c r="AA27" s="539"/>
      <c r="AB27" s="827"/>
      <c r="AC27" s="827"/>
      <c r="AD27" s="827"/>
      <c r="AE27" s="823"/>
      <c r="AF27" s="823"/>
      <c r="AG27" s="823"/>
      <c r="AH27" s="823"/>
      <c r="AI27" s="823"/>
      <c r="AJ27" s="823"/>
      <c r="AK27" s="823"/>
      <c r="AL27" s="823"/>
      <c r="AM27" s="823"/>
      <c r="AN27" s="823"/>
      <c r="AO27" s="823"/>
      <c r="AP27" s="823"/>
      <c r="AQ27" s="823"/>
      <c r="AR27" s="823"/>
      <c r="AS27" s="823"/>
      <c r="AT27" s="823"/>
      <c r="AU27" s="823"/>
      <c r="AV27" s="823"/>
      <c r="AW27" s="827"/>
      <c r="AX27" s="827"/>
      <c r="AY27" s="827"/>
    </row>
    <row r="28">
      <c r="A28" s="758" t="s">
        <v>6999</v>
      </c>
      <c r="B28" s="787"/>
      <c r="C28" s="787"/>
      <c r="D28" s="539"/>
      <c r="E28" s="771"/>
      <c r="F28" s="787"/>
      <c r="G28" s="539"/>
      <c r="H28" s="314"/>
      <c r="I28" s="787"/>
      <c r="J28" s="787"/>
      <c r="K28" s="314"/>
      <c r="L28" s="312"/>
      <c r="M28" s="312"/>
      <c r="N28" s="312"/>
      <c r="O28" s="312"/>
      <c r="P28" s="312"/>
      <c r="Q28" s="312"/>
      <c r="R28" s="790"/>
      <c r="S28" s="838"/>
      <c r="T28" s="312"/>
      <c r="U28" s="312"/>
      <c r="V28" s="312"/>
      <c r="W28" s="312"/>
      <c r="X28" s="312"/>
      <c r="Y28" s="539"/>
      <c r="Z28" s="539"/>
      <c r="AA28" s="539"/>
      <c r="AB28" s="827"/>
      <c r="AC28" s="827"/>
      <c r="AD28" s="827"/>
      <c r="AE28" s="823"/>
      <c r="AF28" s="823"/>
      <c r="AG28" s="823"/>
      <c r="AH28" s="823"/>
      <c r="AI28" s="823"/>
      <c r="AJ28" s="823"/>
      <c r="AK28" s="823"/>
      <c r="AL28" s="823"/>
      <c r="AM28" s="823"/>
      <c r="AN28" s="823"/>
      <c r="AO28" s="823"/>
      <c r="AP28" s="823"/>
      <c r="AQ28" s="823"/>
      <c r="AR28" s="823"/>
      <c r="AS28" s="823"/>
      <c r="AT28" s="823"/>
      <c r="AU28" s="823"/>
      <c r="AV28" s="823"/>
      <c r="AW28" s="827"/>
      <c r="AX28" s="827"/>
      <c r="AY28" s="827"/>
    </row>
    <row r="29">
      <c r="A29" s="758" t="s">
        <v>7000</v>
      </c>
      <c r="B29" s="787"/>
      <c r="C29" s="787"/>
      <c r="D29" s="539"/>
      <c r="E29" s="771"/>
      <c r="F29" s="787"/>
      <c r="G29" s="539"/>
      <c r="H29" s="314"/>
      <c r="I29" s="787"/>
      <c r="J29" s="787"/>
      <c r="K29" s="314"/>
      <c r="L29" s="312"/>
      <c r="M29" s="312"/>
      <c r="N29" s="312"/>
      <c r="O29" s="312"/>
      <c r="P29" s="312"/>
      <c r="Q29" s="312"/>
      <c r="R29" s="790"/>
      <c r="S29" s="838"/>
      <c r="T29" s="312"/>
      <c r="U29" s="312"/>
      <c r="V29" s="312"/>
      <c r="W29" s="312"/>
      <c r="X29" s="312"/>
      <c r="Y29" s="539"/>
      <c r="Z29" s="539"/>
      <c r="AA29" s="539"/>
      <c r="AB29" s="827"/>
      <c r="AC29" s="827"/>
      <c r="AD29" s="827"/>
      <c r="AE29" s="823"/>
      <c r="AF29" s="823"/>
      <c r="AG29" s="823"/>
      <c r="AH29" s="823"/>
      <c r="AI29" s="823"/>
      <c r="AJ29" s="823"/>
      <c r="AK29" s="823"/>
      <c r="AL29" s="823"/>
      <c r="AM29" s="823"/>
      <c r="AN29" s="823"/>
      <c r="AO29" s="823"/>
      <c r="AP29" s="823"/>
      <c r="AQ29" s="823"/>
      <c r="AR29" s="823"/>
      <c r="AS29" s="823"/>
      <c r="AT29" s="823"/>
      <c r="AU29" s="823"/>
      <c r="AV29" s="823"/>
      <c r="AW29" s="827"/>
      <c r="AX29" s="827"/>
      <c r="AY29" s="827"/>
    </row>
    <row r="30">
      <c r="A30" s="758" t="s">
        <v>7001</v>
      </c>
      <c r="B30" s="787"/>
      <c r="C30" s="787"/>
      <c r="D30" s="539"/>
      <c r="E30" s="771"/>
      <c r="F30" s="787"/>
      <c r="G30" s="539"/>
      <c r="H30" s="314"/>
      <c r="I30" s="787"/>
      <c r="J30" s="787"/>
      <c r="K30" s="314"/>
      <c r="L30" s="312"/>
      <c r="M30" s="312"/>
      <c r="N30" s="312"/>
      <c r="O30" s="312"/>
      <c r="P30" s="312"/>
      <c r="Q30" s="312"/>
      <c r="R30" s="790"/>
      <c r="S30" s="838"/>
      <c r="T30" s="312"/>
      <c r="U30" s="312"/>
      <c r="V30" s="312"/>
      <c r="W30" s="312"/>
      <c r="X30" s="312"/>
      <c r="Y30" s="539"/>
      <c r="Z30" s="539"/>
      <c r="AA30" s="539"/>
      <c r="AB30" s="827"/>
      <c r="AC30" s="827"/>
      <c r="AD30" s="827"/>
      <c r="AE30" s="823"/>
      <c r="AF30" s="823"/>
      <c r="AG30" s="823"/>
      <c r="AH30" s="823" t="s">
        <v>7005</v>
      </c>
      <c r="AI30" s="823"/>
      <c r="AJ30" s="823"/>
      <c r="AK30" s="823"/>
      <c r="AL30" s="823"/>
      <c r="AM30" s="823"/>
      <c r="AN30" s="823"/>
      <c r="AO30" s="823"/>
      <c r="AP30" s="823"/>
      <c r="AQ30" s="823"/>
      <c r="AR30" s="823"/>
      <c r="AS30" s="823"/>
      <c r="AT30" s="823"/>
      <c r="AU30" s="823"/>
      <c r="AV30" s="823"/>
      <c r="AW30" s="842"/>
      <c r="AX30" s="842"/>
      <c r="AY30" s="842"/>
    </row>
    <row r="31">
      <c r="A31" s="758" t="s">
        <v>7002</v>
      </c>
      <c r="B31" s="787"/>
      <c r="C31" s="787"/>
      <c r="D31" s="539"/>
      <c r="E31" s="771"/>
      <c r="F31" s="787"/>
      <c r="G31" s="539"/>
      <c r="H31" s="314"/>
      <c r="I31" s="787"/>
      <c r="J31" s="787"/>
      <c r="K31" s="314"/>
      <c r="L31" s="312"/>
      <c r="M31" s="312"/>
      <c r="N31" s="312"/>
      <c r="O31" s="312"/>
      <c r="P31" s="312"/>
      <c r="Q31" s="312"/>
      <c r="R31" s="790"/>
      <c r="S31" s="838"/>
      <c r="T31" s="312"/>
      <c r="U31" s="312"/>
      <c r="V31" s="312"/>
      <c r="W31" s="312"/>
      <c r="X31" s="312"/>
      <c r="Y31" s="539"/>
      <c r="Z31" s="539"/>
      <c r="AA31" s="539"/>
      <c r="AB31" s="827"/>
      <c r="AC31" s="827"/>
      <c r="AD31" s="827"/>
      <c r="AE31" s="823"/>
      <c r="AF31" s="823"/>
      <c r="AG31" s="823"/>
      <c r="AH31" s="823"/>
      <c r="AI31" s="823"/>
      <c r="AJ31" s="823"/>
      <c r="AK31" s="823"/>
      <c r="AL31" s="823"/>
      <c r="AM31" s="823"/>
      <c r="AN31" s="823"/>
      <c r="AO31" s="823"/>
      <c r="AP31" s="823"/>
      <c r="AQ31" s="823"/>
      <c r="AR31" s="823"/>
      <c r="AS31" s="823"/>
      <c r="AT31" s="823"/>
      <c r="AU31" s="823"/>
      <c r="AV31" s="823"/>
      <c r="AW31" s="827"/>
      <c r="AX31" s="827"/>
      <c r="AY31" s="827"/>
    </row>
    <row r="32">
      <c r="A32" s="795" t="s">
        <v>7026</v>
      </c>
      <c r="B32" s="787"/>
      <c r="C32" s="787"/>
      <c r="D32" s="539"/>
      <c r="E32" s="771"/>
      <c r="F32" s="787"/>
      <c r="G32" s="539"/>
      <c r="H32" s="314"/>
      <c r="I32" s="787"/>
      <c r="J32" s="787"/>
      <c r="K32" s="835" t="s">
        <v>6956</v>
      </c>
      <c r="L32" s="312"/>
      <c r="M32" s="312"/>
      <c r="N32" s="312"/>
      <c r="O32" s="312"/>
      <c r="P32" s="312"/>
      <c r="Q32" s="312"/>
      <c r="R32" s="790"/>
      <c r="S32" s="838"/>
      <c r="T32" s="312"/>
      <c r="U32" s="312"/>
      <c r="V32" s="312"/>
      <c r="W32" s="312"/>
      <c r="X32" s="312"/>
      <c r="Y32" s="539"/>
      <c r="Z32" s="539"/>
      <c r="AA32" s="539"/>
      <c r="AB32" s="827"/>
      <c r="AC32" s="827"/>
      <c r="AD32" s="763" t="s">
        <v>6987</v>
      </c>
      <c r="AE32" s="823"/>
      <c r="AF32" s="823"/>
      <c r="AG32" s="823"/>
      <c r="AH32" s="823"/>
      <c r="AI32" s="823"/>
      <c r="AJ32" s="823"/>
      <c r="AK32" s="823"/>
      <c r="AL32" s="823"/>
      <c r="AM32" s="823"/>
      <c r="AN32" s="823"/>
      <c r="AO32" s="823"/>
      <c r="AP32" s="823"/>
      <c r="AQ32" s="823"/>
      <c r="AR32" s="823"/>
      <c r="AS32" s="823"/>
      <c r="AT32" s="823"/>
      <c r="AU32" s="823"/>
      <c r="AV32" s="823"/>
      <c r="AW32" s="827"/>
      <c r="AX32" s="827"/>
      <c r="AY32" s="827"/>
    </row>
    <row r="33">
      <c r="A33" s="795" t="s">
        <v>7027</v>
      </c>
      <c r="B33" s="787"/>
      <c r="C33" s="787"/>
      <c r="D33" s="539"/>
      <c r="E33" s="771"/>
      <c r="F33" s="787"/>
      <c r="G33" s="539"/>
      <c r="H33" s="314"/>
      <c r="I33" s="787"/>
      <c r="J33" s="787"/>
      <c r="K33" s="314"/>
      <c r="L33" s="312"/>
      <c r="M33" s="312"/>
      <c r="N33" s="312"/>
      <c r="O33" s="312"/>
      <c r="P33" s="312"/>
      <c r="Q33" s="312"/>
      <c r="R33" s="790"/>
      <c r="S33" s="838"/>
      <c r="T33" s="312"/>
      <c r="U33" s="312"/>
      <c r="V33" s="312"/>
      <c r="W33" s="312"/>
      <c r="X33" s="312"/>
      <c r="Y33" s="539"/>
      <c r="Z33" s="539"/>
      <c r="AA33" s="539"/>
      <c r="AB33" s="827"/>
      <c r="AC33" s="827"/>
      <c r="AD33" s="827"/>
      <c r="AE33" s="823"/>
      <c r="AF33" s="823"/>
      <c r="AG33" s="823"/>
      <c r="AH33" s="823"/>
      <c r="AI33" s="823"/>
      <c r="AJ33" s="823"/>
      <c r="AK33" s="823"/>
      <c r="AL33" s="823"/>
      <c r="AM33" s="823"/>
      <c r="AN33" s="823"/>
      <c r="AO33" s="823"/>
      <c r="AP33" s="823"/>
      <c r="AQ33" s="823"/>
      <c r="AR33" s="823"/>
      <c r="AS33" s="823"/>
      <c r="AT33" s="823"/>
      <c r="AU33" s="823"/>
      <c r="AV33" s="823"/>
      <c r="AW33" s="827"/>
      <c r="AX33" s="827"/>
      <c r="AY33" s="827"/>
    </row>
    <row r="34">
      <c r="A34" s="513" t="s">
        <v>7028</v>
      </c>
      <c r="B34" s="571"/>
      <c r="C34" s="787"/>
      <c r="D34" s="843" t="s">
        <v>7016</v>
      </c>
      <c r="E34" s="771"/>
      <c r="F34" s="787"/>
      <c r="G34" s="539"/>
      <c r="H34" s="314"/>
      <c r="I34" s="571"/>
      <c r="J34" s="787"/>
      <c r="K34" s="561"/>
      <c r="L34" s="312"/>
      <c r="M34" s="312"/>
      <c r="N34" s="312"/>
      <c r="O34" s="469" t="s">
        <v>6993</v>
      </c>
      <c r="P34" s="312"/>
      <c r="Q34" s="312"/>
      <c r="R34" s="790"/>
      <c r="S34" s="838"/>
      <c r="T34" s="312"/>
      <c r="U34" s="312"/>
      <c r="V34" s="312"/>
      <c r="W34" s="312"/>
      <c r="X34" s="312"/>
      <c r="Y34" s="539"/>
      <c r="Z34" s="539"/>
      <c r="AA34" s="539"/>
      <c r="AB34" s="844" t="s">
        <v>7016</v>
      </c>
      <c r="AC34" s="827"/>
      <c r="AD34" s="827"/>
      <c r="AE34" s="823"/>
      <c r="AF34" s="823"/>
      <c r="AG34" s="823"/>
      <c r="AH34" s="823"/>
      <c r="AI34" s="823"/>
      <c r="AJ34" s="823"/>
      <c r="AK34" s="823"/>
      <c r="AL34" s="823"/>
      <c r="AM34" s="823"/>
      <c r="AN34" s="823"/>
      <c r="AO34" s="823"/>
      <c r="AP34" s="823"/>
      <c r="AQ34" s="823"/>
      <c r="AR34" s="823"/>
      <c r="AS34" s="823"/>
      <c r="AT34" s="823"/>
      <c r="AU34" s="823"/>
      <c r="AV34" s="823"/>
      <c r="AW34" s="827"/>
      <c r="AX34" s="827"/>
      <c r="AY34" s="827"/>
    </row>
    <row r="35">
      <c r="A35" s="795" t="s">
        <v>7029</v>
      </c>
      <c r="B35" s="561"/>
      <c r="C35" s="561"/>
      <c r="D35" s="513"/>
      <c r="E35" s="789"/>
      <c r="F35" s="571"/>
      <c r="G35" s="513"/>
      <c r="H35" s="561"/>
      <c r="I35" s="561"/>
      <c r="J35" s="561"/>
      <c r="K35" s="561"/>
      <c r="L35" s="469"/>
      <c r="M35" s="469"/>
      <c r="N35" s="469"/>
      <c r="O35" s="469"/>
      <c r="P35" s="469"/>
      <c r="Q35" s="469"/>
      <c r="R35" s="791"/>
      <c r="S35" s="841"/>
      <c r="T35" s="312"/>
      <c r="U35" s="312"/>
      <c r="V35" s="312"/>
      <c r="W35" s="312"/>
      <c r="X35" s="312"/>
      <c r="Y35" s="539"/>
      <c r="Z35" s="539"/>
      <c r="AA35" s="539"/>
      <c r="AB35" s="827"/>
      <c r="AC35" s="827"/>
      <c r="AD35" s="827"/>
      <c r="AE35" s="823"/>
      <c r="AF35" s="823"/>
      <c r="AG35" s="823"/>
      <c r="AH35" s="823"/>
      <c r="AI35" s="823"/>
      <c r="AJ35" s="823"/>
      <c r="AK35" s="823"/>
      <c r="AL35" s="823"/>
      <c r="AM35" s="823"/>
      <c r="AN35" s="823"/>
      <c r="AO35" s="823"/>
      <c r="AP35" s="823"/>
      <c r="AQ35" s="823"/>
      <c r="AR35" s="823"/>
      <c r="AS35" s="823"/>
      <c r="AT35" s="823"/>
      <c r="AU35" s="823"/>
      <c r="AV35" s="823"/>
      <c r="AW35" s="827"/>
      <c r="AX35" s="827"/>
      <c r="AY35" s="827"/>
    </row>
    <row r="36">
      <c r="A36" s="795" t="s">
        <v>7009</v>
      </c>
      <c r="B36" s="787"/>
      <c r="C36" s="771"/>
      <c r="D36" s="314"/>
      <c r="E36" s="771"/>
      <c r="F36" s="787"/>
      <c r="G36" s="539"/>
      <c r="H36" s="314"/>
      <c r="I36" s="314"/>
      <c r="J36" s="314"/>
      <c r="K36" s="314"/>
      <c r="L36" s="312"/>
      <c r="M36" s="312"/>
      <c r="N36" s="312"/>
      <c r="O36" s="312"/>
      <c r="P36" s="312"/>
      <c r="Q36" s="312"/>
      <c r="R36" s="791"/>
      <c r="S36" s="841"/>
      <c r="T36" s="469"/>
      <c r="U36" s="469"/>
      <c r="V36" s="469"/>
      <c r="W36" s="469"/>
      <c r="X36" s="469"/>
      <c r="Y36" s="539"/>
      <c r="Z36" s="845" t="s">
        <v>6993</v>
      </c>
      <c r="AA36" s="513"/>
      <c r="AB36" s="824"/>
      <c r="AC36" s="824"/>
      <c r="AD36" s="824"/>
      <c r="AE36" s="823"/>
      <c r="AF36" s="823"/>
      <c r="AG36" s="823"/>
      <c r="AH36" s="823"/>
      <c r="AI36" s="823"/>
      <c r="AJ36" s="823"/>
      <c r="AK36" s="823"/>
      <c r="AL36" s="823"/>
      <c r="AM36" s="823"/>
      <c r="AN36" s="823"/>
      <c r="AO36" s="823"/>
      <c r="AP36" s="823"/>
      <c r="AQ36" s="823"/>
      <c r="AR36" s="823"/>
      <c r="AS36" s="823"/>
      <c r="AT36" s="823"/>
      <c r="AU36" s="823"/>
      <c r="AV36" s="823"/>
      <c r="AW36" s="824"/>
      <c r="AX36" s="824"/>
      <c r="AY36" s="824"/>
    </row>
    <row r="37">
      <c r="A37" s="513" t="s">
        <v>7010</v>
      </c>
      <c r="B37" s="787"/>
      <c r="C37" s="771"/>
      <c r="D37" s="314"/>
      <c r="E37" s="539"/>
      <c r="F37" s="314"/>
      <c r="G37" s="539"/>
      <c r="H37" s="314"/>
      <c r="I37" s="314"/>
      <c r="J37" s="314"/>
      <c r="K37" s="314"/>
      <c r="L37" s="312"/>
      <c r="M37" s="312"/>
      <c r="N37" s="312"/>
      <c r="O37" s="312"/>
      <c r="P37" s="312"/>
      <c r="Q37" s="312"/>
      <c r="R37" s="768"/>
      <c r="S37" s="312"/>
      <c r="T37" s="312"/>
      <c r="U37" s="312"/>
      <c r="V37" s="312"/>
      <c r="W37" s="312"/>
      <c r="X37" s="312"/>
      <c r="Y37" s="539"/>
      <c r="Z37" s="539"/>
      <c r="AA37" s="539"/>
      <c r="AB37" s="827"/>
      <c r="AC37" s="827"/>
      <c r="AD37" s="827"/>
      <c r="AE37" s="823"/>
      <c r="AF37" s="823"/>
      <c r="AG37" s="823"/>
      <c r="AH37" s="823"/>
      <c r="AI37" s="823"/>
      <c r="AJ37" s="823"/>
      <c r="AK37" s="823"/>
      <c r="AL37" s="823"/>
      <c r="AM37" s="823"/>
      <c r="AN37" s="823"/>
      <c r="AO37" s="823"/>
      <c r="AP37" s="823"/>
      <c r="AQ37" s="823"/>
      <c r="AR37" s="823"/>
      <c r="AS37" s="823"/>
      <c r="AT37" s="823"/>
      <c r="AU37" s="823"/>
      <c r="AV37" s="823"/>
      <c r="AW37" s="827"/>
      <c r="AX37" s="827"/>
      <c r="AY37" s="827"/>
    </row>
    <row r="38">
      <c r="A38" s="513"/>
      <c r="B38" s="787"/>
      <c r="C38" s="771"/>
      <c r="D38" s="314"/>
      <c r="E38" s="539"/>
      <c r="F38" s="314"/>
      <c r="G38" s="539"/>
      <c r="H38" s="314"/>
      <c r="I38" s="314"/>
      <c r="J38" s="314"/>
      <c r="K38" s="314"/>
      <c r="L38" s="312"/>
      <c r="M38" s="841" t="s">
        <v>7030</v>
      </c>
      <c r="N38" s="469"/>
      <c r="O38" s="312"/>
      <c r="P38" s="312"/>
      <c r="Q38" s="312"/>
      <c r="R38" s="768"/>
      <c r="S38" s="469"/>
      <c r="T38" s="469"/>
      <c r="U38" s="312"/>
      <c r="V38" s="312"/>
      <c r="W38" s="312"/>
      <c r="X38" s="312"/>
      <c r="Y38" s="539"/>
      <c r="Z38" s="539"/>
      <c r="AA38" s="539"/>
      <c r="AB38" s="827"/>
      <c r="AC38" s="827"/>
      <c r="AD38" s="827"/>
      <c r="AE38" s="823"/>
      <c r="AF38" s="823"/>
      <c r="AG38" s="823"/>
      <c r="AH38" s="823"/>
      <c r="AI38" s="823"/>
      <c r="AJ38" s="823"/>
      <c r="AK38" s="823"/>
      <c r="AL38" s="823"/>
      <c r="AM38" s="823"/>
      <c r="AN38" s="823"/>
      <c r="AO38" s="823"/>
      <c r="AP38" s="823"/>
      <c r="AQ38" s="823"/>
      <c r="AR38" s="823"/>
      <c r="AS38" s="823"/>
      <c r="AT38" s="823"/>
      <c r="AU38" s="823"/>
      <c r="AV38" s="823"/>
      <c r="AW38" s="827"/>
      <c r="AX38" s="827"/>
      <c r="AY38" s="827"/>
    </row>
    <row r="39">
      <c r="B39" s="846"/>
      <c r="C39" s="578"/>
      <c r="D39" s="10"/>
      <c r="F39" s="10"/>
      <c r="H39" s="10"/>
      <c r="I39" s="10"/>
      <c r="J39" s="10"/>
      <c r="K39" s="10"/>
      <c r="L39" s="2"/>
      <c r="M39" s="2"/>
      <c r="N39" s="2"/>
      <c r="O39" s="2"/>
      <c r="P39" s="2"/>
      <c r="Q39" s="2"/>
      <c r="R39" s="847"/>
      <c r="S39" s="847"/>
      <c r="T39" s="116"/>
      <c r="U39" s="116"/>
      <c r="V39" s="116"/>
      <c r="W39" s="116"/>
      <c r="X39" s="116"/>
    </row>
    <row r="40">
      <c r="B40" s="846"/>
      <c r="C40" s="578"/>
      <c r="D40" s="10"/>
      <c r="F40" s="10"/>
      <c r="H40" s="10"/>
      <c r="I40" s="10"/>
      <c r="J40" s="10"/>
      <c r="K40" s="10"/>
      <c r="L40" s="2"/>
      <c r="M40" s="2"/>
      <c r="N40" s="2"/>
      <c r="O40" s="2"/>
      <c r="P40" s="2"/>
      <c r="Q40" s="2"/>
      <c r="R40" s="848"/>
      <c r="S40" s="848"/>
      <c r="T40" s="848"/>
      <c r="U40" s="848"/>
      <c r="V40" s="848"/>
      <c r="W40" s="848"/>
      <c r="X40" s="848"/>
    </row>
    <row r="41">
      <c r="B41" s="846"/>
      <c r="C41" s="578"/>
      <c r="D41" s="10"/>
      <c r="F41" s="10"/>
      <c r="H41" s="10"/>
      <c r="I41" s="10"/>
      <c r="J41" s="10"/>
      <c r="K41" s="10"/>
      <c r="L41" s="2"/>
      <c r="M41" s="2"/>
      <c r="N41" s="2"/>
      <c r="O41" s="2"/>
      <c r="P41" s="2"/>
      <c r="Q41" s="2"/>
      <c r="R41" s="849"/>
      <c r="S41" s="850"/>
      <c r="T41" s="851"/>
      <c r="U41" s="851"/>
      <c r="V41" s="851"/>
      <c r="W41" s="851"/>
      <c r="X41" s="851"/>
    </row>
    <row r="42">
      <c r="B42" s="846"/>
      <c r="C42" s="578"/>
      <c r="D42" s="10"/>
      <c r="F42" s="10"/>
      <c r="H42" s="10"/>
      <c r="I42" s="10"/>
      <c r="J42" s="10"/>
      <c r="K42" s="10"/>
      <c r="L42" s="2"/>
      <c r="M42" s="2"/>
      <c r="N42" s="2"/>
      <c r="O42" s="2"/>
      <c r="P42" s="2"/>
      <c r="Q42" s="2"/>
      <c r="R42" s="852"/>
      <c r="S42" s="853"/>
      <c r="T42" s="854"/>
      <c r="U42" s="854"/>
      <c r="V42" s="854"/>
      <c r="W42" s="854"/>
      <c r="X42" s="854"/>
    </row>
    <row r="43">
      <c r="B43" s="846"/>
      <c r="C43" s="578"/>
      <c r="D43" s="10"/>
      <c r="F43" s="10"/>
      <c r="H43" s="10"/>
      <c r="I43" s="10"/>
      <c r="J43" s="10"/>
      <c r="K43" s="10"/>
      <c r="L43" s="2"/>
      <c r="M43" s="2"/>
      <c r="N43" s="2"/>
      <c r="O43" s="2"/>
      <c r="P43" s="2"/>
      <c r="Q43" s="2"/>
      <c r="R43" s="855"/>
      <c r="S43" s="856"/>
      <c r="T43" s="854"/>
      <c r="U43" s="854"/>
      <c r="V43" s="854"/>
      <c r="W43" s="854"/>
      <c r="X43" s="854"/>
    </row>
    <row r="44">
      <c r="B44" s="846"/>
      <c r="C44" s="578"/>
      <c r="D44" s="10"/>
      <c r="F44" s="10"/>
      <c r="H44" s="10"/>
      <c r="I44" s="10"/>
      <c r="J44" s="10"/>
      <c r="K44" s="10"/>
      <c r="L44" s="2"/>
      <c r="M44" s="2"/>
      <c r="N44" s="2"/>
      <c r="O44" s="2"/>
      <c r="P44" s="2"/>
      <c r="Q44" s="2"/>
      <c r="R44" s="855"/>
      <c r="S44" s="856"/>
      <c r="T44" s="854"/>
      <c r="U44" s="854"/>
      <c r="V44" s="854"/>
      <c r="W44" s="854"/>
      <c r="X44" s="854"/>
    </row>
    <row r="45">
      <c r="B45" s="846"/>
      <c r="C45" s="578"/>
      <c r="D45" s="10"/>
      <c r="F45" s="10"/>
      <c r="H45" s="10"/>
      <c r="I45" s="10"/>
      <c r="J45" s="10"/>
      <c r="K45" s="10"/>
      <c r="L45" s="2"/>
      <c r="M45" s="2"/>
      <c r="N45" s="2"/>
      <c r="O45" s="2"/>
      <c r="P45" s="2"/>
      <c r="Q45" s="2"/>
      <c r="R45" s="852"/>
      <c r="S45" s="853"/>
      <c r="T45" s="854"/>
      <c r="U45" s="854"/>
      <c r="V45" s="854"/>
      <c r="W45" s="854"/>
      <c r="X45" s="854"/>
    </row>
    <row r="46">
      <c r="B46" s="846"/>
      <c r="C46" s="578"/>
      <c r="D46" s="10"/>
      <c r="F46" s="10"/>
      <c r="H46" s="10"/>
      <c r="I46" s="10"/>
      <c r="J46" s="10"/>
      <c r="K46" s="10"/>
      <c r="L46" s="2"/>
      <c r="M46" s="2"/>
      <c r="N46" s="2"/>
      <c r="O46" s="2"/>
      <c r="P46" s="2"/>
      <c r="Q46" s="2"/>
      <c r="R46" s="857"/>
      <c r="S46" s="858"/>
      <c r="T46" s="854"/>
      <c r="U46" s="854"/>
      <c r="V46" s="854"/>
      <c r="W46" s="854"/>
      <c r="X46" s="854"/>
    </row>
    <row r="47">
      <c r="B47" s="846"/>
      <c r="C47" s="578"/>
      <c r="D47" s="10"/>
      <c r="F47" s="10"/>
      <c r="H47" s="10"/>
      <c r="I47" s="10"/>
      <c r="J47" s="10"/>
      <c r="K47" s="10"/>
      <c r="L47" s="2"/>
      <c r="M47" s="2"/>
      <c r="N47" s="2"/>
      <c r="O47" s="2"/>
      <c r="P47" s="2"/>
      <c r="Q47" s="2"/>
      <c r="R47" s="857"/>
      <c r="S47" s="858"/>
      <c r="T47" s="854"/>
      <c r="U47" s="854"/>
      <c r="V47" s="854"/>
      <c r="W47" s="854"/>
      <c r="X47" s="854"/>
    </row>
    <row r="48">
      <c r="B48" s="846"/>
      <c r="C48" s="578"/>
      <c r="D48" s="10"/>
      <c r="F48" s="10"/>
      <c r="H48" s="10"/>
      <c r="I48" s="10"/>
      <c r="J48" s="10"/>
      <c r="K48" s="10"/>
      <c r="L48" s="2"/>
      <c r="M48" s="2"/>
      <c r="N48" s="2"/>
      <c r="O48" s="2"/>
      <c r="P48" s="2"/>
      <c r="Q48" s="2"/>
      <c r="R48" s="857"/>
      <c r="S48" s="858"/>
      <c r="T48" s="854"/>
      <c r="U48" s="854"/>
      <c r="V48" s="854"/>
      <c r="W48" s="854"/>
      <c r="X48" s="854"/>
    </row>
    <row r="49">
      <c r="B49" s="846"/>
      <c r="C49" s="578"/>
      <c r="D49" s="10"/>
      <c r="F49" s="10"/>
      <c r="H49" s="10"/>
      <c r="I49" s="10"/>
      <c r="J49" s="10"/>
      <c r="K49" s="10"/>
      <c r="L49" s="2"/>
      <c r="M49" s="2"/>
      <c r="N49" s="2"/>
      <c r="O49" s="2"/>
      <c r="P49" s="2"/>
      <c r="Q49" s="2"/>
      <c r="R49" s="852"/>
      <c r="S49" s="853"/>
      <c r="T49" s="854"/>
      <c r="U49" s="854"/>
      <c r="V49" s="854"/>
      <c r="W49" s="854"/>
      <c r="X49" s="854"/>
    </row>
    <row r="50">
      <c r="B50" s="846"/>
      <c r="C50" s="578"/>
      <c r="D50" s="10"/>
      <c r="F50" s="10"/>
      <c r="H50" s="10"/>
      <c r="I50" s="10"/>
      <c r="J50" s="10"/>
      <c r="K50" s="10"/>
      <c r="L50" s="2"/>
      <c r="M50" s="2"/>
      <c r="N50" s="2"/>
      <c r="O50" s="2"/>
      <c r="P50" s="2"/>
      <c r="Q50" s="2"/>
      <c r="R50" s="852"/>
      <c r="S50" s="853"/>
      <c r="T50" s="854"/>
      <c r="U50" s="854"/>
      <c r="V50" s="854"/>
      <c r="W50" s="854"/>
      <c r="X50" s="854"/>
    </row>
    <row r="51">
      <c r="B51" s="846"/>
      <c r="C51" s="578"/>
      <c r="D51" s="10"/>
      <c r="F51" s="10"/>
      <c r="H51" s="10"/>
      <c r="I51" s="10"/>
      <c r="J51" s="10"/>
      <c r="K51" s="10"/>
      <c r="L51" s="2"/>
      <c r="M51" s="2"/>
      <c r="N51" s="2"/>
      <c r="O51" s="2"/>
      <c r="P51" s="2"/>
      <c r="Q51" s="2"/>
      <c r="R51" s="852"/>
      <c r="S51" s="853"/>
      <c r="T51" s="854"/>
      <c r="U51" s="854"/>
      <c r="V51" s="854"/>
      <c r="W51" s="854"/>
      <c r="X51" s="854"/>
    </row>
    <row r="52">
      <c r="B52" s="846"/>
      <c r="C52" s="578"/>
      <c r="D52" s="10"/>
      <c r="F52" s="10"/>
      <c r="H52" s="10"/>
      <c r="I52" s="10"/>
      <c r="J52" s="10"/>
      <c r="K52" s="10"/>
      <c r="L52" s="2"/>
      <c r="M52" s="2"/>
      <c r="N52" s="2"/>
      <c r="O52" s="2"/>
      <c r="P52" s="2"/>
      <c r="Q52" s="2"/>
      <c r="R52" s="852"/>
      <c r="S52" s="853"/>
      <c r="T52" s="854"/>
      <c r="U52" s="854"/>
      <c r="V52" s="854"/>
      <c r="W52" s="854"/>
      <c r="X52" s="854"/>
    </row>
    <row r="53">
      <c r="B53" s="846"/>
      <c r="C53" s="578"/>
      <c r="D53" s="10"/>
      <c r="F53" s="10"/>
      <c r="H53" s="10"/>
      <c r="I53" s="10"/>
      <c r="J53" s="10"/>
      <c r="K53" s="10"/>
      <c r="L53" s="2"/>
      <c r="M53" s="2"/>
      <c r="N53" s="2"/>
      <c r="O53" s="2"/>
      <c r="P53" s="2"/>
      <c r="Q53" s="2"/>
      <c r="R53" s="852"/>
      <c r="S53" s="859"/>
      <c r="T53" s="107"/>
      <c r="U53" s="107"/>
      <c r="V53" s="107"/>
      <c r="W53" s="107"/>
      <c r="X53" s="107"/>
    </row>
    <row r="54">
      <c r="B54" s="846"/>
      <c r="C54" s="578"/>
      <c r="D54" s="10"/>
      <c r="F54" s="10"/>
      <c r="H54" s="10"/>
      <c r="I54" s="10"/>
      <c r="J54" s="10"/>
      <c r="K54" s="10"/>
      <c r="L54" s="2"/>
      <c r="M54" s="2"/>
      <c r="N54" s="2"/>
      <c r="O54" s="2"/>
      <c r="P54" s="2"/>
      <c r="Q54" s="2"/>
      <c r="R54" s="852"/>
      <c r="S54" s="859"/>
      <c r="T54" s="107"/>
      <c r="U54" s="107"/>
      <c r="V54" s="107"/>
      <c r="W54" s="107"/>
      <c r="X54" s="107"/>
    </row>
    <row r="55">
      <c r="B55" s="846"/>
      <c r="C55" s="578"/>
      <c r="D55" s="10"/>
      <c r="F55" s="10"/>
      <c r="H55" s="10"/>
      <c r="I55" s="10"/>
      <c r="J55" s="10"/>
      <c r="K55" s="10"/>
      <c r="L55" s="2"/>
      <c r="M55" s="2"/>
      <c r="N55" s="2"/>
      <c r="O55" s="2"/>
      <c r="P55" s="2"/>
      <c r="Q55" s="2"/>
      <c r="R55" s="852"/>
      <c r="S55" s="859"/>
      <c r="T55" s="107"/>
      <c r="U55" s="107"/>
      <c r="V55" s="107"/>
      <c r="W55" s="107"/>
      <c r="X55" s="107"/>
    </row>
    <row r="56">
      <c r="B56" s="846"/>
      <c r="C56" s="578"/>
      <c r="D56" s="10"/>
      <c r="F56" s="10"/>
      <c r="H56" s="10"/>
      <c r="I56" s="10"/>
      <c r="J56" s="10"/>
      <c r="K56" s="10"/>
      <c r="L56" s="2"/>
      <c r="M56" s="2"/>
      <c r="N56" s="2"/>
      <c r="O56" s="2"/>
      <c r="P56" s="2"/>
      <c r="Q56" s="2"/>
      <c r="R56" s="852"/>
      <c r="S56" s="859"/>
      <c r="T56" s="107"/>
      <c r="U56" s="107"/>
      <c r="V56" s="107"/>
      <c r="W56" s="107"/>
      <c r="X56" s="107"/>
    </row>
    <row r="57">
      <c r="B57" s="846"/>
      <c r="C57" s="578"/>
      <c r="D57" s="10"/>
      <c r="F57" s="10"/>
      <c r="H57" s="10"/>
      <c r="I57" s="10"/>
      <c r="J57" s="10"/>
      <c r="K57" s="10"/>
      <c r="L57" s="2"/>
      <c r="M57" s="2"/>
      <c r="N57" s="2"/>
      <c r="O57" s="2"/>
      <c r="P57" s="2"/>
      <c r="Q57" s="2"/>
      <c r="R57" s="852"/>
      <c r="S57" s="859"/>
      <c r="T57" s="107"/>
      <c r="U57" s="107"/>
      <c r="V57" s="107"/>
      <c r="W57" s="107"/>
      <c r="X57" s="107"/>
    </row>
    <row r="58">
      <c r="B58" s="846"/>
      <c r="C58" s="578"/>
      <c r="D58" s="10"/>
      <c r="F58" s="10"/>
      <c r="H58" s="10"/>
      <c r="I58" s="10"/>
      <c r="J58" s="10"/>
      <c r="K58" s="10"/>
      <c r="L58" s="2"/>
      <c r="M58" s="2"/>
      <c r="N58" s="2"/>
      <c r="O58" s="2"/>
      <c r="P58" s="2"/>
      <c r="Q58" s="2"/>
      <c r="R58" s="852"/>
      <c r="S58" s="859"/>
      <c r="T58" s="107"/>
      <c r="U58" s="107"/>
      <c r="V58" s="107"/>
      <c r="W58" s="107"/>
      <c r="X58" s="107"/>
    </row>
    <row r="59">
      <c r="B59" s="846"/>
      <c r="C59" s="578"/>
      <c r="D59" s="10"/>
      <c r="F59" s="10"/>
      <c r="H59" s="10"/>
      <c r="I59" s="10"/>
      <c r="J59" s="10"/>
      <c r="K59" s="10"/>
      <c r="L59" s="2"/>
      <c r="M59" s="2"/>
      <c r="N59" s="2"/>
      <c r="O59" s="2"/>
      <c r="P59" s="2"/>
      <c r="Q59" s="2"/>
      <c r="R59" s="852"/>
      <c r="S59" s="859"/>
      <c r="T59" s="107"/>
      <c r="U59" s="107"/>
      <c r="V59" s="107"/>
      <c r="W59" s="107"/>
      <c r="X59" s="107"/>
    </row>
    <row r="60">
      <c r="B60" s="846"/>
      <c r="C60" s="578"/>
      <c r="D60" s="10"/>
      <c r="F60" s="10"/>
      <c r="H60" s="10"/>
      <c r="I60" s="10"/>
      <c r="J60" s="10"/>
      <c r="K60" s="10"/>
      <c r="L60" s="2"/>
      <c r="M60" s="2"/>
      <c r="N60" s="2"/>
      <c r="O60" s="2"/>
      <c r="P60" s="2"/>
      <c r="Q60" s="2"/>
      <c r="R60" s="852"/>
      <c r="S60" s="859"/>
      <c r="T60" s="107"/>
      <c r="U60" s="107"/>
      <c r="V60" s="107"/>
      <c r="W60" s="107"/>
      <c r="X60" s="107"/>
    </row>
    <row r="61">
      <c r="B61" s="846"/>
      <c r="C61" s="578"/>
      <c r="D61" s="10"/>
      <c r="F61" s="10"/>
      <c r="H61" s="10"/>
      <c r="I61" s="10"/>
      <c r="J61" s="10"/>
      <c r="K61" s="10"/>
      <c r="L61" s="2"/>
      <c r="M61" s="2"/>
      <c r="N61" s="2"/>
      <c r="O61" s="2"/>
      <c r="P61" s="2"/>
      <c r="Q61" s="2"/>
      <c r="R61" s="852"/>
      <c r="S61" s="859"/>
      <c r="T61" s="107"/>
      <c r="U61" s="107"/>
      <c r="V61" s="107"/>
      <c r="W61" s="107"/>
      <c r="X61" s="107"/>
    </row>
    <row r="62">
      <c r="B62" s="846"/>
      <c r="C62" s="578"/>
      <c r="D62" s="10"/>
      <c r="F62" s="10"/>
      <c r="H62" s="10"/>
      <c r="I62" s="10"/>
      <c r="J62" s="10"/>
      <c r="K62" s="10"/>
      <c r="L62" s="2"/>
      <c r="M62" s="2"/>
      <c r="N62" s="2"/>
      <c r="O62" s="2"/>
      <c r="P62" s="2"/>
      <c r="Q62" s="2"/>
      <c r="R62" s="852"/>
      <c r="S62" s="859"/>
      <c r="T62" s="107"/>
      <c r="U62" s="107"/>
      <c r="V62" s="107"/>
      <c r="W62" s="107"/>
      <c r="X62" s="107"/>
    </row>
    <row r="63">
      <c r="B63" s="846"/>
      <c r="C63" s="578"/>
      <c r="D63" s="10"/>
      <c r="F63" s="10"/>
      <c r="H63" s="10"/>
      <c r="I63" s="10"/>
      <c r="J63" s="10"/>
      <c r="K63" s="10"/>
      <c r="L63" s="2"/>
      <c r="M63" s="2"/>
      <c r="N63" s="2"/>
      <c r="O63" s="2"/>
      <c r="P63" s="2"/>
      <c r="Q63" s="2"/>
      <c r="R63" s="857"/>
      <c r="S63" s="860"/>
      <c r="T63" s="107"/>
      <c r="U63" s="107"/>
      <c r="V63" s="107"/>
      <c r="W63" s="107"/>
      <c r="X63" s="107"/>
    </row>
    <row r="64">
      <c r="B64" s="846"/>
      <c r="C64" s="578"/>
      <c r="D64" s="10"/>
      <c r="F64" s="10"/>
      <c r="H64" s="10"/>
      <c r="I64" s="10"/>
      <c r="J64" s="10"/>
      <c r="K64" s="10"/>
      <c r="L64" s="2"/>
      <c r="M64" s="2"/>
      <c r="N64" s="2"/>
      <c r="O64" s="2"/>
      <c r="P64" s="2"/>
      <c r="Q64" s="2"/>
      <c r="R64" s="861"/>
      <c r="S64" s="111"/>
      <c r="T64" s="2"/>
      <c r="U64" s="2"/>
      <c r="V64" s="2"/>
      <c r="W64" s="2"/>
      <c r="X64" s="2"/>
    </row>
    <row r="65">
      <c r="B65" s="846"/>
      <c r="C65" s="578"/>
      <c r="D65" s="10"/>
      <c r="F65" s="10"/>
      <c r="H65" s="10"/>
      <c r="I65" s="10"/>
      <c r="J65" s="10"/>
      <c r="K65" s="10"/>
      <c r="L65" s="2"/>
      <c r="M65" s="2"/>
      <c r="N65" s="2"/>
      <c r="O65" s="2"/>
      <c r="P65" s="2"/>
      <c r="Q65" s="2"/>
      <c r="R65" s="861"/>
      <c r="S65" s="111"/>
      <c r="T65" s="2"/>
      <c r="U65" s="2"/>
      <c r="V65" s="2"/>
      <c r="W65" s="2"/>
      <c r="X65" s="2"/>
    </row>
    <row r="66">
      <c r="B66" s="846"/>
      <c r="C66" s="578"/>
      <c r="D66" s="10"/>
      <c r="F66" s="10"/>
      <c r="H66" s="10"/>
      <c r="I66" s="10"/>
      <c r="J66" s="10"/>
      <c r="K66" s="10"/>
      <c r="L66" s="2"/>
      <c r="M66" s="2"/>
      <c r="N66" s="2"/>
      <c r="O66" s="2"/>
      <c r="P66" s="2"/>
      <c r="Q66" s="2"/>
      <c r="R66" s="861"/>
      <c r="S66" s="111"/>
      <c r="T66" s="2"/>
      <c r="U66" s="2"/>
      <c r="V66" s="2"/>
      <c r="W66" s="2"/>
      <c r="X66" s="2"/>
    </row>
    <row r="67">
      <c r="B67" s="846"/>
      <c r="C67" s="578"/>
      <c r="D67" s="10"/>
      <c r="F67" s="10"/>
      <c r="H67" s="10"/>
      <c r="I67" s="10"/>
      <c r="J67" s="10"/>
      <c r="K67" s="10"/>
      <c r="L67" s="2"/>
      <c r="M67" s="2"/>
      <c r="N67" s="2"/>
      <c r="O67" s="2"/>
      <c r="P67" s="2"/>
      <c r="Q67" s="2"/>
      <c r="R67" s="861"/>
      <c r="S67" s="111"/>
      <c r="T67" s="2"/>
      <c r="U67" s="2"/>
      <c r="V67" s="2"/>
      <c r="W67" s="2"/>
      <c r="X67" s="2"/>
    </row>
    <row r="68">
      <c r="B68" s="846"/>
      <c r="C68" s="578"/>
      <c r="D68" s="10"/>
      <c r="F68" s="10"/>
      <c r="H68" s="10"/>
      <c r="I68" s="10"/>
      <c r="J68" s="10"/>
      <c r="K68" s="10"/>
      <c r="L68" s="2"/>
      <c r="M68" s="2"/>
      <c r="N68" s="2"/>
      <c r="O68" s="2"/>
      <c r="P68" s="2"/>
      <c r="Q68" s="2"/>
      <c r="R68" s="861"/>
      <c r="S68" s="111"/>
      <c r="T68" s="2"/>
      <c r="U68" s="2"/>
      <c r="V68" s="2"/>
      <c r="W68" s="2"/>
      <c r="X68" s="2"/>
    </row>
    <row r="69">
      <c r="B69" s="846"/>
      <c r="C69" s="578"/>
      <c r="D69" s="10"/>
      <c r="F69" s="10"/>
      <c r="H69" s="10"/>
      <c r="I69" s="10"/>
      <c r="J69" s="10"/>
      <c r="K69" s="10"/>
      <c r="L69" s="2"/>
      <c r="M69" s="2"/>
      <c r="N69" s="2"/>
      <c r="O69" s="2"/>
      <c r="P69" s="2"/>
      <c r="Q69" s="2"/>
      <c r="R69" s="862"/>
      <c r="S69" s="109"/>
      <c r="T69" s="2"/>
      <c r="U69" s="2"/>
      <c r="V69" s="2"/>
      <c r="W69" s="2"/>
      <c r="X69" s="2"/>
    </row>
    <row r="70">
      <c r="B70" s="846"/>
      <c r="C70" s="578"/>
      <c r="D70" s="10"/>
      <c r="F70" s="10"/>
      <c r="H70" s="10"/>
      <c r="I70" s="10"/>
      <c r="J70" s="10"/>
      <c r="K70" s="10"/>
      <c r="L70" s="2"/>
      <c r="M70" s="2"/>
      <c r="N70" s="2"/>
      <c r="O70" s="2"/>
      <c r="P70" s="2"/>
      <c r="Q70" s="2"/>
      <c r="R70" s="861"/>
      <c r="S70" s="111"/>
      <c r="T70" s="2"/>
      <c r="U70" s="2"/>
      <c r="V70" s="2"/>
      <c r="W70" s="2"/>
      <c r="X70" s="2"/>
    </row>
    <row r="71">
      <c r="B71" s="846"/>
      <c r="C71" s="578"/>
      <c r="D71" s="10"/>
      <c r="F71" s="10"/>
      <c r="H71" s="10"/>
      <c r="I71" s="10"/>
      <c r="J71" s="10"/>
      <c r="K71" s="10"/>
      <c r="L71" s="2"/>
      <c r="M71" s="2"/>
      <c r="N71" s="2"/>
      <c r="O71" s="2"/>
      <c r="P71" s="2"/>
      <c r="Q71" s="2"/>
      <c r="R71" s="861"/>
      <c r="S71" s="111"/>
      <c r="T71" s="2"/>
      <c r="U71" s="2"/>
      <c r="V71" s="2"/>
      <c r="W71" s="2"/>
      <c r="X71" s="2"/>
    </row>
    <row r="72">
      <c r="B72" s="846"/>
      <c r="C72" s="578"/>
      <c r="D72" s="10"/>
      <c r="F72" s="10"/>
      <c r="H72" s="10"/>
      <c r="I72" s="10"/>
      <c r="J72" s="10"/>
      <c r="K72" s="10"/>
      <c r="L72" s="2"/>
      <c r="M72" s="2"/>
      <c r="N72" s="2"/>
      <c r="O72" s="2"/>
      <c r="P72" s="2"/>
      <c r="Q72" s="2"/>
      <c r="R72" s="861"/>
      <c r="S72" s="111"/>
      <c r="T72" s="2"/>
      <c r="U72" s="2"/>
      <c r="V72" s="2"/>
      <c r="W72" s="2"/>
      <c r="X72" s="2"/>
    </row>
    <row r="73">
      <c r="B73" s="846"/>
      <c r="C73" s="578"/>
      <c r="D73" s="10"/>
      <c r="F73" s="10"/>
      <c r="H73" s="10"/>
      <c r="I73" s="10"/>
      <c r="J73" s="10"/>
      <c r="K73" s="10"/>
      <c r="L73" s="2"/>
      <c r="M73" s="2"/>
      <c r="N73" s="2"/>
      <c r="O73" s="2"/>
      <c r="P73" s="2"/>
      <c r="Q73" s="2"/>
      <c r="R73" s="861"/>
      <c r="S73" s="111"/>
      <c r="T73" s="2"/>
      <c r="U73" s="2"/>
      <c r="V73" s="2"/>
      <c r="W73" s="2"/>
      <c r="X73" s="2"/>
    </row>
    <row r="74">
      <c r="B74" s="846"/>
      <c r="C74" s="578"/>
      <c r="D74" s="10"/>
      <c r="F74" s="10"/>
      <c r="H74" s="10"/>
      <c r="I74" s="10"/>
      <c r="J74" s="10"/>
      <c r="K74" s="10"/>
      <c r="L74" s="2"/>
      <c r="M74" s="2"/>
      <c r="N74" s="2"/>
      <c r="O74" s="2"/>
      <c r="P74" s="2"/>
      <c r="Q74" s="2"/>
      <c r="R74" s="861"/>
      <c r="S74" s="111"/>
      <c r="T74" s="2"/>
      <c r="U74" s="2"/>
      <c r="V74" s="2"/>
      <c r="W74" s="2"/>
      <c r="X74" s="2"/>
    </row>
    <row r="75">
      <c r="B75" s="846"/>
      <c r="C75" s="578"/>
      <c r="D75" s="10"/>
      <c r="F75" s="10"/>
      <c r="H75" s="10"/>
      <c r="I75" s="10"/>
      <c r="J75" s="10"/>
      <c r="K75" s="10"/>
      <c r="L75" s="2"/>
      <c r="M75" s="2"/>
      <c r="N75" s="2"/>
      <c r="O75" s="2"/>
      <c r="P75" s="2"/>
      <c r="Q75" s="2"/>
      <c r="R75" s="861"/>
      <c r="S75" s="111"/>
      <c r="T75" s="2"/>
      <c r="U75" s="2"/>
      <c r="V75" s="2"/>
      <c r="W75" s="2"/>
      <c r="X75" s="2"/>
    </row>
    <row r="76">
      <c r="B76" s="846"/>
      <c r="C76" s="578"/>
      <c r="D76" s="10"/>
      <c r="F76" s="10"/>
      <c r="H76" s="10"/>
      <c r="I76" s="10"/>
      <c r="J76" s="10"/>
      <c r="K76" s="10"/>
      <c r="L76" s="2"/>
      <c r="M76" s="2"/>
      <c r="N76" s="2"/>
      <c r="O76" s="2"/>
      <c r="P76" s="2"/>
      <c r="Q76" s="2"/>
      <c r="R76" s="861"/>
      <c r="S76" s="111"/>
      <c r="T76" s="2"/>
      <c r="U76" s="2"/>
      <c r="V76" s="2"/>
      <c r="W76" s="2"/>
      <c r="X76" s="2"/>
    </row>
    <row r="77">
      <c r="B77" s="846"/>
      <c r="C77" s="578"/>
      <c r="D77" s="10"/>
      <c r="F77" s="10"/>
      <c r="H77" s="10"/>
      <c r="I77" s="10"/>
      <c r="J77" s="10"/>
      <c r="K77" s="10"/>
      <c r="L77" s="2"/>
      <c r="M77" s="2"/>
      <c r="N77" s="2"/>
      <c r="O77" s="2"/>
      <c r="P77" s="2"/>
      <c r="Q77" s="2"/>
      <c r="R77" s="861"/>
      <c r="S77" s="111"/>
      <c r="T77" s="2"/>
      <c r="U77" s="2"/>
      <c r="V77" s="2"/>
      <c r="W77" s="2"/>
      <c r="X77" s="2"/>
    </row>
    <row r="78">
      <c r="B78" s="846"/>
      <c r="C78" s="578"/>
      <c r="D78" s="10"/>
      <c r="F78" s="10"/>
      <c r="H78" s="10"/>
      <c r="I78" s="10"/>
      <c r="J78" s="10"/>
      <c r="K78" s="10"/>
      <c r="L78" s="2"/>
      <c r="M78" s="2"/>
      <c r="N78" s="2"/>
      <c r="O78" s="2"/>
      <c r="P78" s="2"/>
      <c r="Q78" s="2"/>
      <c r="R78" s="862"/>
      <c r="S78" s="109"/>
      <c r="T78" s="2"/>
      <c r="U78" s="2"/>
      <c r="V78" s="2"/>
      <c r="W78" s="2"/>
      <c r="X78" s="2"/>
    </row>
    <row r="79">
      <c r="B79" s="846"/>
      <c r="C79" s="578"/>
      <c r="D79" s="10"/>
      <c r="F79" s="10"/>
      <c r="H79" s="10"/>
      <c r="I79" s="10"/>
      <c r="J79" s="10"/>
      <c r="K79" s="10"/>
      <c r="L79" s="2"/>
      <c r="M79" s="2"/>
      <c r="N79" s="2"/>
      <c r="O79" s="2"/>
      <c r="P79" s="2"/>
      <c r="Q79" s="2"/>
      <c r="R79" s="862"/>
      <c r="S79" s="109"/>
      <c r="T79" s="54"/>
      <c r="U79" s="54"/>
      <c r="V79" s="54"/>
      <c r="W79" s="54"/>
      <c r="X79" s="54"/>
    </row>
    <row r="80">
      <c r="B80" s="846"/>
      <c r="C80" s="578"/>
      <c r="D80" s="10"/>
      <c r="F80" s="10"/>
      <c r="H80" s="10"/>
      <c r="I80" s="10"/>
      <c r="J80" s="10"/>
      <c r="K80" s="10"/>
      <c r="L80" s="2"/>
      <c r="M80" s="2"/>
      <c r="N80" s="2"/>
      <c r="O80" s="2"/>
      <c r="P80" s="2"/>
      <c r="Q80" s="2"/>
      <c r="R80" s="117"/>
      <c r="S80" s="2"/>
      <c r="T80" s="2"/>
      <c r="U80" s="2"/>
      <c r="V80" s="2"/>
      <c r="W80" s="2"/>
      <c r="X80" s="2"/>
    </row>
    <row r="81">
      <c r="B81" s="846"/>
      <c r="C81" s="578"/>
      <c r="D81" s="10"/>
      <c r="F81" s="10"/>
      <c r="H81" s="10"/>
      <c r="I81" s="10"/>
      <c r="J81" s="10"/>
      <c r="K81" s="10"/>
      <c r="L81" s="2"/>
      <c r="M81" s="2"/>
      <c r="N81" s="2"/>
      <c r="O81" s="2"/>
      <c r="P81" s="2"/>
      <c r="Q81" s="2"/>
      <c r="R81" s="117"/>
      <c r="S81" s="2"/>
      <c r="T81" s="2"/>
      <c r="U81" s="2"/>
      <c r="V81" s="2"/>
      <c r="W81" s="2"/>
      <c r="X81" s="2"/>
    </row>
    <row r="82">
      <c r="B82" s="846"/>
      <c r="C82" s="578"/>
      <c r="D82" s="10"/>
      <c r="F82" s="10"/>
      <c r="H82" s="10"/>
      <c r="I82" s="10"/>
      <c r="J82" s="10"/>
      <c r="K82" s="10"/>
      <c r="L82" s="2"/>
      <c r="M82" s="2"/>
      <c r="N82" s="2"/>
      <c r="O82" s="2"/>
      <c r="P82" s="2"/>
      <c r="Q82" s="2"/>
      <c r="R82" s="847"/>
      <c r="S82" s="847"/>
      <c r="T82" s="116"/>
      <c r="U82" s="116"/>
      <c r="V82" s="116"/>
      <c r="W82" s="116"/>
      <c r="X82" s="116"/>
    </row>
    <row r="83">
      <c r="B83" s="846"/>
      <c r="C83" s="578"/>
      <c r="D83" s="10"/>
      <c r="F83" s="10"/>
      <c r="H83" s="10"/>
      <c r="I83" s="10"/>
      <c r="J83" s="10"/>
      <c r="K83" s="10"/>
      <c r="L83" s="2"/>
      <c r="M83" s="2"/>
      <c r="N83" s="2"/>
      <c r="O83" s="2"/>
      <c r="P83" s="2"/>
      <c r="Q83" s="2"/>
      <c r="R83" s="848"/>
      <c r="S83" s="848"/>
      <c r="T83" s="848"/>
      <c r="U83" s="848"/>
      <c r="V83" s="848"/>
      <c r="W83" s="848"/>
      <c r="X83" s="848"/>
    </row>
    <row r="84">
      <c r="B84" s="846"/>
      <c r="C84" s="578"/>
      <c r="D84" s="10"/>
      <c r="F84" s="10"/>
      <c r="H84" s="10"/>
      <c r="I84" s="10"/>
      <c r="J84" s="10"/>
      <c r="K84" s="10"/>
      <c r="L84" s="2"/>
      <c r="M84" s="2"/>
      <c r="N84" s="2"/>
      <c r="O84" s="2"/>
      <c r="P84" s="2"/>
      <c r="Q84" s="2"/>
      <c r="R84" s="849"/>
      <c r="S84" s="850"/>
      <c r="T84" s="851"/>
      <c r="U84" s="851"/>
      <c r="V84" s="851"/>
      <c r="W84" s="851"/>
      <c r="X84" s="851"/>
    </row>
    <row r="85">
      <c r="B85" s="846"/>
      <c r="C85" s="578"/>
      <c r="D85" s="10"/>
      <c r="F85" s="10"/>
      <c r="H85" s="10"/>
      <c r="I85" s="10"/>
      <c r="J85" s="10"/>
      <c r="K85" s="10"/>
      <c r="L85" s="2"/>
      <c r="M85" s="2"/>
      <c r="N85" s="2"/>
      <c r="O85" s="2"/>
      <c r="P85" s="2"/>
      <c r="Q85" s="2"/>
      <c r="R85" s="852"/>
      <c r="S85" s="853"/>
      <c r="T85" s="854"/>
      <c r="U85" s="854"/>
      <c r="V85" s="854"/>
      <c r="W85" s="854"/>
      <c r="X85" s="854"/>
    </row>
    <row r="86">
      <c r="B86" s="846"/>
      <c r="C86" s="578"/>
      <c r="D86" s="10"/>
      <c r="F86" s="10"/>
      <c r="H86" s="10"/>
      <c r="I86" s="10"/>
      <c r="J86" s="10"/>
      <c r="K86" s="10"/>
      <c r="L86" s="2"/>
      <c r="M86" s="2"/>
      <c r="N86" s="2"/>
      <c r="O86" s="2"/>
      <c r="P86" s="2"/>
      <c r="Q86" s="2"/>
      <c r="R86" s="855"/>
      <c r="S86" s="856"/>
      <c r="T86" s="854"/>
      <c r="U86" s="854"/>
      <c r="V86" s="854"/>
      <c r="W86" s="854"/>
      <c r="X86" s="854"/>
    </row>
    <row r="87">
      <c r="B87" s="846"/>
      <c r="C87" s="578"/>
      <c r="D87" s="10"/>
      <c r="F87" s="10"/>
      <c r="H87" s="10"/>
      <c r="I87" s="10"/>
      <c r="J87" s="10"/>
      <c r="K87" s="10"/>
      <c r="L87" s="2"/>
      <c r="M87" s="2"/>
      <c r="N87" s="2"/>
      <c r="O87" s="2"/>
      <c r="P87" s="2"/>
      <c r="Q87" s="2"/>
      <c r="R87" s="855"/>
      <c r="S87" s="856"/>
      <c r="T87" s="854"/>
      <c r="U87" s="854"/>
      <c r="V87" s="854"/>
      <c r="W87" s="854"/>
      <c r="X87" s="854"/>
    </row>
    <row r="88">
      <c r="B88" s="846"/>
      <c r="C88" s="578"/>
      <c r="D88" s="10"/>
      <c r="F88" s="10"/>
      <c r="H88" s="10"/>
      <c r="I88" s="10"/>
      <c r="J88" s="10"/>
      <c r="K88" s="10"/>
      <c r="L88" s="2"/>
      <c r="M88" s="2"/>
      <c r="N88" s="2"/>
      <c r="O88" s="2"/>
      <c r="P88" s="2"/>
      <c r="Q88" s="2"/>
      <c r="R88" s="852"/>
      <c r="S88" s="853"/>
      <c r="T88" s="854"/>
      <c r="U88" s="854"/>
      <c r="V88" s="854"/>
      <c r="W88" s="854"/>
      <c r="X88" s="854"/>
    </row>
    <row r="89">
      <c r="B89" s="846"/>
      <c r="C89" s="578"/>
      <c r="D89" s="10"/>
      <c r="F89" s="10"/>
      <c r="H89" s="10"/>
      <c r="I89" s="10"/>
      <c r="J89" s="10"/>
      <c r="K89" s="10"/>
      <c r="L89" s="2"/>
      <c r="M89" s="2"/>
      <c r="N89" s="2"/>
      <c r="O89" s="2"/>
      <c r="P89" s="2"/>
      <c r="Q89" s="2"/>
      <c r="R89" s="857"/>
      <c r="S89" s="858"/>
      <c r="T89" s="854"/>
      <c r="U89" s="854"/>
      <c r="V89" s="854"/>
      <c r="W89" s="854"/>
      <c r="X89" s="854"/>
    </row>
    <row r="90">
      <c r="B90" s="846"/>
      <c r="C90" s="578"/>
      <c r="D90" s="10"/>
      <c r="F90" s="10"/>
      <c r="H90" s="10"/>
      <c r="I90" s="10"/>
      <c r="J90" s="10"/>
      <c r="K90" s="10"/>
      <c r="L90" s="2"/>
      <c r="M90" s="2"/>
      <c r="N90" s="2"/>
      <c r="O90" s="2"/>
      <c r="P90" s="2"/>
      <c r="Q90" s="2"/>
      <c r="R90" s="857"/>
      <c r="S90" s="858"/>
      <c r="T90" s="854"/>
      <c r="U90" s="854"/>
      <c r="V90" s="854"/>
      <c r="W90" s="854"/>
      <c r="X90" s="854"/>
    </row>
    <row r="91">
      <c r="B91" s="846"/>
      <c r="C91" s="578"/>
      <c r="D91" s="10"/>
      <c r="F91" s="10"/>
      <c r="H91" s="10"/>
      <c r="I91" s="10"/>
      <c r="J91" s="10"/>
      <c r="K91" s="10"/>
      <c r="L91" s="2"/>
      <c r="M91" s="2"/>
      <c r="N91" s="2"/>
      <c r="O91" s="2"/>
      <c r="P91" s="2"/>
      <c r="Q91" s="2"/>
      <c r="R91" s="857"/>
      <c r="S91" s="858"/>
      <c r="T91" s="854"/>
      <c r="U91" s="854"/>
      <c r="V91" s="854"/>
      <c r="W91" s="854"/>
      <c r="X91" s="854"/>
    </row>
    <row r="92">
      <c r="B92" s="846"/>
      <c r="C92" s="578"/>
      <c r="D92" s="10"/>
      <c r="F92" s="10"/>
      <c r="H92" s="10"/>
      <c r="I92" s="10"/>
      <c r="J92" s="10"/>
      <c r="K92" s="10"/>
      <c r="L92" s="2"/>
      <c r="M92" s="2"/>
      <c r="N92" s="2"/>
      <c r="O92" s="2"/>
      <c r="P92" s="2"/>
      <c r="Q92" s="2"/>
      <c r="R92" s="852"/>
      <c r="S92" s="853"/>
      <c r="T92" s="854"/>
      <c r="U92" s="854"/>
      <c r="V92" s="854"/>
      <c r="W92" s="854"/>
      <c r="X92" s="854"/>
    </row>
    <row r="93">
      <c r="B93" s="846"/>
      <c r="C93" s="578"/>
      <c r="D93" s="10"/>
      <c r="F93" s="10"/>
      <c r="H93" s="10"/>
      <c r="I93" s="10"/>
      <c r="J93" s="10"/>
      <c r="K93" s="10"/>
      <c r="L93" s="2"/>
      <c r="M93" s="2"/>
      <c r="N93" s="2"/>
      <c r="O93" s="2"/>
      <c r="P93" s="2"/>
      <c r="Q93" s="2"/>
      <c r="R93" s="852"/>
      <c r="S93" s="853"/>
      <c r="T93" s="854"/>
      <c r="U93" s="854"/>
      <c r="V93" s="854"/>
      <c r="W93" s="854"/>
      <c r="X93" s="854"/>
    </row>
    <row r="94">
      <c r="B94" s="846"/>
      <c r="C94" s="578"/>
      <c r="D94" s="10"/>
      <c r="F94" s="10"/>
      <c r="H94" s="10"/>
      <c r="I94" s="10"/>
      <c r="J94" s="10"/>
      <c r="K94" s="10"/>
      <c r="L94" s="2"/>
      <c r="M94" s="2"/>
      <c r="N94" s="2"/>
      <c r="O94" s="2"/>
      <c r="P94" s="2"/>
      <c r="Q94" s="2"/>
      <c r="R94" s="852"/>
      <c r="S94" s="853"/>
      <c r="T94" s="854"/>
      <c r="U94" s="854"/>
      <c r="V94" s="854"/>
      <c r="W94" s="854"/>
      <c r="X94" s="854"/>
    </row>
    <row r="95">
      <c r="B95" s="846"/>
      <c r="C95" s="578"/>
      <c r="D95" s="10"/>
      <c r="F95" s="10"/>
      <c r="H95" s="10"/>
      <c r="I95" s="10"/>
      <c r="J95" s="10"/>
      <c r="K95" s="10"/>
      <c r="L95" s="2"/>
      <c r="M95" s="2"/>
      <c r="N95" s="2"/>
      <c r="O95" s="2"/>
      <c r="P95" s="2"/>
      <c r="Q95" s="2"/>
      <c r="R95" s="852"/>
      <c r="S95" s="853"/>
      <c r="T95" s="854"/>
      <c r="U95" s="854"/>
      <c r="V95" s="854"/>
      <c r="W95" s="854"/>
      <c r="X95" s="854"/>
    </row>
    <row r="96">
      <c r="B96" s="846"/>
      <c r="C96" s="578"/>
      <c r="D96" s="10"/>
      <c r="F96" s="10"/>
      <c r="H96" s="10"/>
      <c r="I96" s="10"/>
      <c r="J96" s="10"/>
      <c r="K96" s="10"/>
      <c r="L96" s="2"/>
      <c r="M96" s="2"/>
      <c r="N96" s="2"/>
      <c r="O96" s="2"/>
      <c r="P96" s="2"/>
      <c r="Q96" s="2"/>
      <c r="R96" s="852"/>
      <c r="S96" s="859"/>
      <c r="T96" s="107"/>
      <c r="U96" s="107"/>
      <c r="V96" s="107"/>
      <c r="W96" s="107"/>
      <c r="X96" s="107"/>
    </row>
    <row r="97">
      <c r="B97" s="846"/>
      <c r="C97" s="578"/>
      <c r="D97" s="10"/>
      <c r="F97" s="10"/>
      <c r="H97" s="10"/>
      <c r="I97" s="10"/>
      <c r="J97" s="10"/>
      <c r="K97" s="10"/>
      <c r="L97" s="2"/>
      <c r="M97" s="2"/>
      <c r="N97" s="2"/>
      <c r="O97" s="2"/>
      <c r="P97" s="2"/>
      <c r="Q97" s="2"/>
      <c r="R97" s="852"/>
      <c r="S97" s="859"/>
      <c r="T97" s="107"/>
      <c r="U97" s="107"/>
      <c r="V97" s="107"/>
      <c r="W97" s="107"/>
      <c r="X97" s="107"/>
    </row>
    <row r="98">
      <c r="B98" s="846"/>
      <c r="C98" s="578"/>
      <c r="D98" s="10"/>
      <c r="F98" s="10"/>
      <c r="H98" s="10"/>
      <c r="I98" s="10"/>
      <c r="J98" s="10"/>
      <c r="K98" s="10"/>
      <c r="L98" s="2"/>
      <c r="M98" s="2"/>
      <c r="N98" s="2"/>
      <c r="O98" s="2"/>
      <c r="P98" s="2"/>
      <c r="Q98" s="2"/>
      <c r="R98" s="852"/>
      <c r="S98" s="859"/>
      <c r="T98" s="107"/>
      <c r="U98" s="107"/>
      <c r="V98" s="107"/>
      <c r="W98" s="107"/>
      <c r="X98" s="107"/>
    </row>
    <row r="99">
      <c r="B99" s="846"/>
      <c r="C99" s="578"/>
      <c r="D99" s="10"/>
      <c r="F99" s="10"/>
      <c r="H99" s="10"/>
      <c r="I99" s="10"/>
      <c r="J99" s="10"/>
      <c r="K99" s="10"/>
      <c r="L99" s="2"/>
      <c r="M99" s="2"/>
      <c r="N99" s="2"/>
      <c r="O99" s="2"/>
      <c r="P99" s="2"/>
      <c r="Q99" s="2"/>
      <c r="R99" s="852"/>
      <c r="S99" s="859"/>
      <c r="T99" s="107"/>
      <c r="U99" s="107"/>
      <c r="V99" s="107"/>
      <c r="W99" s="107"/>
      <c r="X99" s="107"/>
    </row>
    <row r="100">
      <c r="B100" s="846"/>
      <c r="C100" s="578"/>
      <c r="D100" s="10"/>
      <c r="F100" s="10"/>
      <c r="H100" s="10"/>
      <c r="I100" s="10"/>
      <c r="J100" s="10"/>
      <c r="K100" s="10"/>
      <c r="L100" s="2"/>
      <c r="M100" s="2"/>
      <c r="N100" s="2"/>
      <c r="O100" s="2"/>
      <c r="P100" s="2"/>
      <c r="Q100" s="2"/>
      <c r="R100" s="852"/>
      <c r="S100" s="859"/>
      <c r="T100" s="107"/>
      <c r="U100" s="107"/>
      <c r="V100" s="107"/>
      <c r="W100" s="107"/>
      <c r="X100" s="107"/>
    </row>
    <row r="101">
      <c r="B101" s="846"/>
      <c r="C101" s="578"/>
      <c r="D101" s="10"/>
      <c r="F101" s="10"/>
      <c r="H101" s="10"/>
      <c r="I101" s="10"/>
      <c r="J101" s="10"/>
      <c r="K101" s="10"/>
      <c r="L101" s="2"/>
      <c r="M101" s="2"/>
      <c r="N101" s="2"/>
      <c r="O101" s="2"/>
      <c r="P101" s="2"/>
      <c r="Q101" s="2"/>
      <c r="R101" s="852"/>
      <c r="S101" s="859"/>
      <c r="T101" s="107"/>
      <c r="U101" s="107"/>
      <c r="V101" s="107"/>
      <c r="W101" s="107"/>
      <c r="X101" s="107"/>
    </row>
    <row r="102">
      <c r="B102" s="846"/>
      <c r="C102" s="578"/>
      <c r="D102" s="10"/>
      <c r="F102" s="10"/>
      <c r="H102" s="10"/>
      <c r="I102" s="10"/>
      <c r="J102" s="10"/>
      <c r="K102" s="10"/>
      <c r="L102" s="2"/>
      <c r="M102" s="2"/>
      <c r="N102" s="2"/>
      <c r="O102" s="2"/>
      <c r="P102" s="2"/>
      <c r="Q102" s="2"/>
      <c r="R102" s="852"/>
      <c r="S102" s="859"/>
      <c r="T102" s="107"/>
      <c r="U102" s="107"/>
      <c r="V102" s="107"/>
      <c r="W102" s="107"/>
      <c r="X102" s="107"/>
    </row>
    <row r="103">
      <c r="B103" s="846"/>
      <c r="C103" s="578"/>
      <c r="D103" s="10"/>
      <c r="F103" s="10"/>
      <c r="H103" s="10"/>
      <c r="I103" s="10"/>
      <c r="J103" s="10"/>
      <c r="K103" s="10"/>
      <c r="L103" s="2"/>
      <c r="M103" s="2"/>
      <c r="N103" s="2"/>
      <c r="O103" s="2"/>
      <c r="P103" s="2"/>
      <c r="Q103" s="2"/>
      <c r="R103" s="852"/>
      <c r="S103" s="859"/>
      <c r="T103" s="107"/>
      <c r="U103" s="107"/>
      <c r="V103" s="107"/>
      <c r="W103" s="107"/>
      <c r="X103" s="107"/>
    </row>
    <row r="104">
      <c r="B104" s="846"/>
      <c r="C104" s="578"/>
      <c r="D104" s="10"/>
      <c r="F104" s="10"/>
      <c r="H104" s="10"/>
      <c r="I104" s="10"/>
      <c r="J104" s="10"/>
      <c r="K104" s="10"/>
      <c r="L104" s="2"/>
      <c r="M104" s="2"/>
      <c r="N104" s="2"/>
      <c r="O104" s="2"/>
      <c r="P104" s="2"/>
      <c r="Q104" s="2"/>
      <c r="R104" s="852"/>
      <c r="S104" s="859"/>
      <c r="T104" s="107"/>
      <c r="U104" s="107"/>
      <c r="V104" s="107"/>
      <c r="W104" s="107"/>
      <c r="X104" s="107"/>
    </row>
    <row r="105">
      <c r="B105" s="846"/>
      <c r="C105" s="578"/>
      <c r="D105" s="10"/>
      <c r="F105" s="10"/>
      <c r="H105" s="10"/>
      <c r="I105" s="10"/>
      <c r="J105" s="10"/>
      <c r="K105" s="10"/>
      <c r="L105" s="2"/>
      <c r="M105" s="2"/>
      <c r="N105" s="2"/>
      <c r="O105" s="2"/>
      <c r="P105" s="2"/>
      <c r="Q105" s="2"/>
      <c r="R105" s="852"/>
      <c r="S105" s="859"/>
      <c r="T105" s="107"/>
      <c r="U105" s="107"/>
      <c r="V105" s="107"/>
      <c r="W105" s="107"/>
      <c r="X105" s="107"/>
    </row>
    <row r="106">
      <c r="B106" s="846"/>
      <c r="C106" s="578"/>
      <c r="D106" s="10"/>
      <c r="F106" s="10"/>
      <c r="H106" s="10"/>
      <c r="I106" s="10"/>
      <c r="J106" s="10"/>
      <c r="K106" s="10"/>
      <c r="L106" s="2"/>
      <c r="M106" s="2"/>
      <c r="N106" s="2"/>
      <c r="O106" s="2"/>
      <c r="P106" s="2"/>
      <c r="Q106" s="2"/>
      <c r="R106" s="857"/>
      <c r="S106" s="860"/>
      <c r="T106" s="107"/>
      <c r="U106" s="107"/>
      <c r="V106" s="107"/>
      <c r="W106" s="107"/>
      <c r="X106" s="107"/>
    </row>
    <row r="107">
      <c r="B107" s="846"/>
      <c r="C107" s="578"/>
      <c r="D107" s="10"/>
      <c r="F107" s="10"/>
      <c r="H107" s="10"/>
      <c r="I107" s="10"/>
      <c r="J107" s="10"/>
      <c r="K107" s="10"/>
      <c r="L107" s="2"/>
      <c r="M107" s="2"/>
      <c r="N107" s="2"/>
      <c r="O107" s="2"/>
      <c r="P107" s="2"/>
      <c r="Q107" s="2"/>
      <c r="R107" s="861"/>
      <c r="S107" s="111"/>
      <c r="T107" s="2"/>
      <c r="U107" s="2"/>
      <c r="V107" s="2"/>
      <c r="W107" s="2"/>
      <c r="X107" s="2"/>
    </row>
    <row r="108">
      <c r="B108" s="846"/>
      <c r="C108" s="578"/>
      <c r="D108" s="10"/>
      <c r="F108" s="10"/>
      <c r="H108" s="10"/>
      <c r="I108" s="10"/>
      <c r="J108" s="10"/>
      <c r="K108" s="10"/>
      <c r="L108" s="2"/>
      <c r="M108" s="2"/>
      <c r="N108" s="2"/>
      <c r="O108" s="2"/>
      <c r="P108" s="2"/>
      <c r="Q108" s="2"/>
      <c r="R108" s="861"/>
      <c r="S108" s="111"/>
      <c r="T108" s="2"/>
      <c r="U108" s="2"/>
      <c r="V108" s="2"/>
      <c r="W108" s="2"/>
      <c r="X108" s="2"/>
    </row>
    <row r="109">
      <c r="B109" s="846"/>
      <c r="C109" s="578"/>
      <c r="D109" s="10"/>
      <c r="F109" s="10"/>
      <c r="H109" s="10"/>
      <c r="I109" s="10"/>
      <c r="J109" s="10"/>
      <c r="K109" s="10"/>
      <c r="L109" s="2"/>
      <c r="M109" s="2"/>
      <c r="N109" s="2"/>
      <c r="O109" s="2"/>
      <c r="P109" s="2"/>
      <c r="Q109" s="2"/>
      <c r="R109" s="861"/>
      <c r="S109" s="111"/>
      <c r="T109" s="2"/>
      <c r="U109" s="2"/>
      <c r="V109" s="2"/>
      <c r="W109" s="2"/>
      <c r="X109" s="2"/>
    </row>
    <row r="110">
      <c r="B110" s="846"/>
      <c r="C110" s="578"/>
      <c r="D110" s="10"/>
      <c r="F110" s="10"/>
      <c r="H110" s="10"/>
      <c r="I110" s="10"/>
      <c r="J110" s="10"/>
      <c r="K110" s="10"/>
      <c r="L110" s="2"/>
      <c r="M110" s="2"/>
      <c r="N110" s="2"/>
      <c r="O110" s="2"/>
      <c r="P110" s="2"/>
      <c r="Q110" s="2"/>
      <c r="R110" s="861"/>
      <c r="S110" s="111"/>
      <c r="T110" s="2"/>
      <c r="U110" s="2"/>
      <c r="V110" s="2"/>
      <c r="W110" s="2"/>
      <c r="X110" s="2"/>
    </row>
    <row r="111">
      <c r="B111" s="846"/>
      <c r="C111" s="578"/>
      <c r="D111" s="10"/>
      <c r="F111" s="10"/>
      <c r="H111" s="10"/>
      <c r="I111" s="10"/>
      <c r="J111" s="10"/>
      <c r="K111" s="10"/>
      <c r="L111" s="2"/>
      <c r="M111" s="2"/>
      <c r="N111" s="2"/>
      <c r="O111" s="2"/>
      <c r="P111" s="2"/>
      <c r="Q111" s="2"/>
      <c r="R111" s="861"/>
      <c r="S111" s="111"/>
      <c r="T111" s="2"/>
      <c r="U111" s="2"/>
      <c r="V111" s="2"/>
      <c r="W111" s="2"/>
      <c r="X111" s="2"/>
    </row>
    <row r="112">
      <c r="B112" s="846"/>
      <c r="C112" s="578"/>
      <c r="D112" s="10"/>
      <c r="F112" s="10"/>
      <c r="H112" s="10"/>
      <c r="I112" s="10"/>
      <c r="J112" s="10"/>
      <c r="K112" s="10"/>
      <c r="L112" s="2"/>
      <c r="M112" s="2"/>
      <c r="N112" s="2"/>
      <c r="O112" s="2"/>
      <c r="P112" s="2"/>
      <c r="Q112" s="2"/>
      <c r="R112" s="862"/>
      <c r="S112" s="109"/>
      <c r="T112" s="2"/>
      <c r="U112" s="2"/>
      <c r="V112" s="2"/>
      <c r="W112" s="2"/>
      <c r="X112" s="2"/>
    </row>
    <row r="113">
      <c r="B113" s="846"/>
      <c r="C113" s="578"/>
      <c r="D113" s="10"/>
      <c r="F113" s="10"/>
      <c r="H113" s="10"/>
      <c r="I113" s="10"/>
      <c r="J113" s="10"/>
      <c r="K113" s="10"/>
      <c r="L113" s="2"/>
      <c r="M113" s="2"/>
      <c r="N113" s="2"/>
      <c r="O113" s="2"/>
      <c r="P113" s="2"/>
      <c r="Q113" s="2"/>
      <c r="R113" s="861"/>
      <c r="S113" s="111"/>
      <c r="T113" s="2"/>
      <c r="U113" s="2"/>
      <c r="V113" s="2"/>
      <c r="W113" s="2"/>
      <c r="X113" s="2"/>
    </row>
    <row r="114">
      <c r="B114" s="846"/>
      <c r="C114" s="578"/>
      <c r="D114" s="10"/>
      <c r="F114" s="10"/>
      <c r="H114" s="10"/>
      <c r="I114" s="10"/>
      <c r="J114" s="10"/>
      <c r="K114" s="10"/>
      <c r="L114" s="2"/>
      <c r="M114" s="2"/>
      <c r="N114" s="2"/>
      <c r="O114" s="2"/>
      <c r="P114" s="2"/>
      <c r="Q114" s="2"/>
      <c r="R114" s="861"/>
      <c r="S114" s="111"/>
      <c r="T114" s="2"/>
      <c r="U114" s="2"/>
      <c r="V114" s="2"/>
      <c r="W114" s="2"/>
      <c r="X114" s="2"/>
    </row>
    <row r="115">
      <c r="B115" s="846"/>
      <c r="C115" s="578"/>
      <c r="D115" s="10"/>
      <c r="F115" s="10"/>
      <c r="H115" s="10"/>
      <c r="I115" s="10"/>
      <c r="J115" s="10"/>
      <c r="K115" s="10"/>
      <c r="L115" s="2"/>
      <c r="M115" s="2"/>
      <c r="N115" s="2"/>
      <c r="O115" s="2"/>
      <c r="P115" s="2"/>
      <c r="Q115" s="2"/>
      <c r="R115" s="861"/>
      <c r="S115" s="111"/>
      <c r="T115" s="2"/>
      <c r="U115" s="2"/>
      <c r="V115" s="2"/>
      <c r="W115" s="2"/>
      <c r="X115" s="2"/>
    </row>
    <row r="116">
      <c r="B116" s="846"/>
      <c r="C116" s="578"/>
      <c r="D116" s="10"/>
      <c r="F116" s="10"/>
      <c r="H116" s="10"/>
      <c r="I116" s="10"/>
      <c r="J116" s="10"/>
      <c r="K116" s="10"/>
      <c r="L116" s="2"/>
      <c r="M116" s="2"/>
      <c r="N116" s="2"/>
      <c r="O116" s="2"/>
      <c r="P116" s="2"/>
      <c r="Q116" s="2"/>
      <c r="R116" s="861"/>
      <c r="S116" s="111"/>
      <c r="T116" s="2"/>
      <c r="U116" s="2"/>
      <c r="V116" s="2"/>
      <c r="W116" s="2"/>
      <c r="X116" s="2"/>
    </row>
    <row r="117">
      <c r="B117" s="846"/>
      <c r="C117" s="578"/>
      <c r="D117" s="10"/>
      <c r="F117" s="10"/>
      <c r="H117" s="10"/>
      <c r="I117" s="10"/>
      <c r="J117" s="10"/>
      <c r="K117" s="10"/>
      <c r="L117" s="2"/>
      <c r="M117" s="2"/>
      <c r="N117" s="2"/>
      <c r="O117" s="2"/>
      <c r="P117" s="2"/>
      <c r="Q117" s="2"/>
      <c r="R117" s="861"/>
      <c r="S117" s="111"/>
      <c r="T117" s="2"/>
      <c r="U117" s="2"/>
      <c r="V117" s="2"/>
      <c r="W117" s="2"/>
      <c r="X117" s="2"/>
    </row>
    <row r="118">
      <c r="B118" s="846"/>
      <c r="C118" s="578"/>
      <c r="D118" s="10"/>
      <c r="F118" s="10"/>
      <c r="H118" s="10"/>
      <c r="I118" s="10"/>
      <c r="J118" s="10"/>
      <c r="K118" s="10"/>
      <c r="L118" s="2"/>
      <c r="M118" s="2"/>
      <c r="N118" s="2"/>
      <c r="O118" s="2"/>
      <c r="P118" s="2"/>
      <c r="Q118" s="2"/>
      <c r="R118" s="861"/>
      <c r="S118" s="111"/>
      <c r="T118" s="2"/>
      <c r="U118" s="2"/>
      <c r="V118" s="2"/>
      <c r="W118" s="2"/>
      <c r="X118" s="2"/>
    </row>
    <row r="119">
      <c r="B119" s="846"/>
      <c r="C119" s="578"/>
      <c r="D119" s="10"/>
      <c r="F119" s="10"/>
      <c r="H119" s="10"/>
      <c r="I119" s="10"/>
      <c r="J119" s="10"/>
      <c r="K119" s="10"/>
      <c r="L119" s="2"/>
      <c r="M119" s="2"/>
      <c r="N119" s="2"/>
      <c r="O119" s="2"/>
      <c r="P119" s="2"/>
      <c r="Q119" s="2"/>
      <c r="R119" s="861"/>
      <c r="S119" s="111"/>
      <c r="T119" s="2"/>
      <c r="U119" s="2"/>
      <c r="V119" s="2"/>
      <c r="W119" s="2"/>
      <c r="X119" s="2"/>
    </row>
    <row r="120">
      <c r="B120" s="846"/>
      <c r="C120" s="578"/>
      <c r="D120" s="10"/>
      <c r="F120" s="10"/>
      <c r="H120" s="10"/>
      <c r="I120" s="10"/>
      <c r="J120" s="10"/>
      <c r="K120" s="10"/>
      <c r="L120" s="2"/>
      <c r="M120" s="2"/>
      <c r="N120" s="2"/>
      <c r="O120" s="2"/>
      <c r="P120" s="2"/>
      <c r="Q120" s="2"/>
      <c r="R120" s="861"/>
      <c r="S120" s="111"/>
      <c r="T120" s="2"/>
      <c r="U120" s="2"/>
      <c r="V120" s="2"/>
      <c r="W120" s="2"/>
      <c r="X120" s="2"/>
    </row>
    <row r="121">
      <c r="B121" s="846"/>
      <c r="C121" s="578"/>
      <c r="D121" s="10"/>
      <c r="F121" s="10"/>
      <c r="H121" s="10"/>
      <c r="I121" s="10"/>
      <c r="J121" s="10"/>
      <c r="K121" s="10"/>
      <c r="L121" s="2"/>
      <c r="M121" s="2"/>
      <c r="N121" s="2"/>
      <c r="O121" s="2"/>
      <c r="P121" s="2"/>
      <c r="Q121" s="2"/>
      <c r="R121" s="862"/>
      <c r="S121" s="109"/>
      <c r="T121" s="2"/>
      <c r="U121" s="2"/>
      <c r="V121" s="2"/>
      <c r="W121" s="2"/>
      <c r="X121" s="2"/>
    </row>
    <row r="122">
      <c r="B122" s="846"/>
      <c r="C122" s="578"/>
      <c r="D122" s="10"/>
      <c r="F122" s="10"/>
      <c r="H122" s="10"/>
      <c r="I122" s="10"/>
      <c r="J122" s="10"/>
      <c r="K122" s="10"/>
      <c r="L122" s="2"/>
      <c r="M122" s="2"/>
      <c r="N122" s="2"/>
      <c r="O122" s="2"/>
      <c r="P122" s="2"/>
      <c r="Q122" s="2"/>
      <c r="R122" s="862"/>
      <c r="S122" s="109"/>
      <c r="T122" s="54"/>
      <c r="U122" s="54"/>
      <c r="V122" s="54"/>
      <c r="W122" s="54"/>
      <c r="X122" s="54"/>
    </row>
    <row r="123">
      <c r="B123" s="846"/>
      <c r="C123" s="578"/>
      <c r="D123" s="10"/>
      <c r="F123" s="10"/>
      <c r="H123" s="10"/>
      <c r="I123" s="10"/>
      <c r="J123" s="10"/>
      <c r="K123" s="10"/>
      <c r="L123" s="2"/>
      <c r="M123" s="2"/>
      <c r="N123" s="2"/>
      <c r="O123" s="2"/>
      <c r="P123" s="2"/>
      <c r="Q123" s="2"/>
      <c r="R123" s="117"/>
      <c r="S123" s="2"/>
      <c r="T123" s="2"/>
      <c r="U123" s="2"/>
      <c r="V123" s="2"/>
      <c r="W123" s="2"/>
      <c r="X123" s="2"/>
    </row>
    <row r="124">
      <c r="B124" s="846"/>
      <c r="C124" s="578"/>
      <c r="D124" s="10"/>
      <c r="F124" s="10"/>
      <c r="H124" s="10"/>
      <c r="I124" s="10"/>
      <c r="J124" s="10"/>
      <c r="K124" s="10"/>
      <c r="L124" s="2"/>
      <c r="M124" s="2"/>
      <c r="N124" s="2"/>
      <c r="O124" s="2"/>
      <c r="P124" s="2"/>
      <c r="Q124" s="2"/>
      <c r="R124" s="117"/>
      <c r="S124" s="2"/>
      <c r="T124" s="2"/>
      <c r="U124" s="2"/>
      <c r="V124" s="2"/>
      <c r="W124" s="2"/>
      <c r="X124" s="2"/>
    </row>
    <row r="125">
      <c r="B125" s="846"/>
      <c r="C125" s="578"/>
      <c r="D125" s="10"/>
      <c r="F125" s="10"/>
      <c r="H125" s="10"/>
      <c r="I125" s="10"/>
      <c r="J125" s="10"/>
      <c r="K125" s="10"/>
      <c r="L125" s="2"/>
      <c r="M125" s="2"/>
      <c r="N125" s="2"/>
      <c r="O125" s="2"/>
      <c r="P125" s="2"/>
      <c r="Q125" s="2"/>
      <c r="R125" s="847"/>
      <c r="S125" s="847"/>
      <c r="T125" s="116"/>
      <c r="U125" s="116"/>
      <c r="V125" s="116"/>
      <c r="W125" s="116"/>
      <c r="X125" s="116"/>
    </row>
    <row r="126">
      <c r="B126" s="846"/>
      <c r="C126" s="578"/>
      <c r="D126" s="10"/>
      <c r="F126" s="10"/>
      <c r="H126" s="10"/>
      <c r="I126" s="10"/>
      <c r="J126" s="10"/>
      <c r="K126" s="10"/>
      <c r="L126" s="2"/>
      <c r="M126" s="2"/>
      <c r="N126" s="2"/>
      <c r="O126" s="2"/>
      <c r="P126" s="2"/>
      <c r="Q126" s="2"/>
      <c r="R126" s="848"/>
      <c r="S126" s="848"/>
      <c r="T126" s="848"/>
      <c r="U126" s="848"/>
      <c r="V126" s="848"/>
      <c r="W126" s="848"/>
      <c r="X126" s="848"/>
    </row>
    <row r="127">
      <c r="B127" s="846"/>
      <c r="C127" s="578"/>
      <c r="D127" s="10"/>
      <c r="F127" s="10"/>
      <c r="H127" s="10"/>
      <c r="I127" s="10"/>
      <c r="J127" s="10"/>
      <c r="K127" s="10"/>
      <c r="L127" s="2"/>
      <c r="M127" s="2"/>
      <c r="N127" s="2"/>
      <c r="O127" s="2"/>
      <c r="P127" s="2"/>
      <c r="Q127" s="2"/>
      <c r="R127" s="849"/>
      <c r="S127" s="850"/>
      <c r="T127" s="851"/>
      <c r="U127" s="851"/>
      <c r="V127" s="851"/>
      <c r="W127" s="851"/>
      <c r="X127" s="851"/>
    </row>
    <row r="128">
      <c r="B128" s="846"/>
      <c r="C128" s="578"/>
      <c r="D128" s="10"/>
      <c r="F128" s="10"/>
      <c r="H128" s="10"/>
      <c r="I128" s="10"/>
      <c r="J128" s="10"/>
      <c r="K128" s="10"/>
      <c r="L128" s="2"/>
      <c r="M128" s="2"/>
      <c r="N128" s="2"/>
      <c r="O128" s="2"/>
      <c r="P128" s="2"/>
      <c r="Q128" s="2"/>
      <c r="R128" s="852"/>
      <c r="S128" s="853"/>
      <c r="T128" s="854"/>
      <c r="U128" s="854"/>
      <c r="V128" s="854"/>
      <c r="W128" s="854"/>
      <c r="X128" s="854"/>
    </row>
    <row r="129">
      <c r="B129" s="846"/>
      <c r="C129" s="578"/>
      <c r="D129" s="10"/>
      <c r="F129" s="10"/>
      <c r="H129" s="10"/>
      <c r="I129" s="10"/>
      <c r="J129" s="10"/>
      <c r="K129" s="10"/>
      <c r="L129" s="2"/>
      <c r="M129" s="2"/>
      <c r="N129" s="2"/>
      <c r="O129" s="2"/>
      <c r="P129" s="2"/>
      <c r="Q129" s="2"/>
      <c r="R129" s="855"/>
      <c r="S129" s="856"/>
      <c r="T129" s="854"/>
      <c r="U129" s="854"/>
      <c r="V129" s="854"/>
      <c r="W129" s="854"/>
      <c r="X129" s="854"/>
    </row>
    <row r="130">
      <c r="B130" s="846"/>
      <c r="C130" s="578"/>
      <c r="D130" s="10"/>
      <c r="F130" s="10"/>
      <c r="H130" s="10"/>
      <c r="I130" s="10"/>
      <c r="J130" s="10"/>
      <c r="K130" s="10"/>
      <c r="L130" s="2"/>
      <c r="M130" s="2"/>
      <c r="N130" s="2"/>
      <c r="O130" s="2"/>
      <c r="P130" s="2"/>
      <c r="Q130" s="2"/>
      <c r="R130" s="855"/>
      <c r="S130" s="856"/>
      <c r="T130" s="854"/>
      <c r="U130" s="854"/>
      <c r="V130" s="854"/>
      <c r="W130" s="854"/>
      <c r="X130" s="854"/>
    </row>
    <row r="131">
      <c r="B131" s="846"/>
      <c r="C131" s="578"/>
      <c r="D131" s="10"/>
      <c r="F131" s="10"/>
      <c r="H131" s="10"/>
      <c r="I131" s="10"/>
      <c r="J131" s="10"/>
      <c r="K131" s="10"/>
      <c r="L131" s="2"/>
      <c r="M131" s="2"/>
      <c r="N131" s="2"/>
      <c r="O131" s="2"/>
      <c r="P131" s="2"/>
      <c r="Q131" s="2"/>
      <c r="R131" s="852"/>
      <c r="S131" s="853"/>
      <c r="T131" s="854"/>
      <c r="U131" s="854"/>
      <c r="V131" s="854"/>
      <c r="W131" s="854"/>
      <c r="X131" s="854"/>
    </row>
    <row r="132">
      <c r="B132" s="846"/>
      <c r="C132" s="578"/>
      <c r="D132" s="10"/>
      <c r="F132" s="10"/>
      <c r="H132" s="10"/>
      <c r="I132" s="10"/>
      <c r="J132" s="10"/>
      <c r="K132" s="10"/>
      <c r="L132" s="2"/>
      <c r="M132" s="2"/>
      <c r="N132" s="2"/>
      <c r="O132" s="2"/>
      <c r="P132" s="2"/>
      <c r="Q132" s="2"/>
      <c r="R132" s="857"/>
      <c r="S132" s="858"/>
      <c r="T132" s="854"/>
      <c r="U132" s="854"/>
      <c r="V132" s="854"/>
      <c r="W132" s="854"/>
      <c r="X132" s="854"/>
    </row>
    <row r="133">
      <c r="B133" s="846"/>
      <c r="C133" s="578"/>
      <c r="D133" s="10"/>
      <c r="F133" s="10"/>
      <c r="H133" s="10"/>
      <c r="I133" s="10"/>
      <c r="J133" s="10"/>
      <c r="K133" s="10"/>
      <c r="L133" s="2"/>
      <c r="M133" s="2"/>
      <c r="N133" s="2"/>
      <c r="O133" s="2"/>
      <c r="P133" s="2"/>
      <c r="Q133" s="2"/>
      <c r="R133" s="857"/>
      <c r="S133" s="858"/>
      <c r="T133" s="854"/>
      <c r="U133" s="854"/>
      <c r="V133" s="854"/>
      <c r="W133" s="854"/>
      <c r="X133" s="854"/>
    </row>
    <row r="134">
      <c r="B134" s="846"/>
      <c r="C134" s="578"/>
      <c r="D134" s="10"/>
      <c r="F134" s="10"/>
      <c r="H134" s="10"/>
      <c r="I134" s="10"/>
      <c r="J134" s="10"/>
      <c r="K134" s="10"/>
      <c r="L134" s="2"/>
      <c r="M134" s="2"/>
      <c r="N134" s="2"/>
      <c r="O134" s="2"/>
      <c r="P134" s="2"/>
      <c r="Q134" s="2"/>
      <c r="R134" s="857"/>
      <c r="S134" s="858"/>
      <c r="T134" s="854"/>
      <c r="U134" s="854"/>
      <c r="V134" s="854"/>
      <c r="W134" s="854"/>
      <c r="X134" s="854"/>
    </row>
    <row r="135">
      <c r="B135" s="846"/>
      <c r="C135" s="578"/>
      <c r="D135" s="10"/>
      <c r="F135" s="10"/>
      <c r="H135" s="10"/>
      <c r="I135" s="10"/>
      <c r="J135" s="10"/>
      <c r="K135" s="10"/>
      <c r="L135" s="2"/>
      <c r="M135" s="2"/>
      <c r="N135" s="2"/>
      <c r="O135" s="2"/>
      <c r="P135" s="2"/>
      <c r="Q135" s="2"/>
      <c r="R135" s="852"/>
      <c r="S135" s="853"/>
      <c r="T135" s="854"/>
      <c r="U135" s="854"/>
      <c r="V135" s="854"/>
      <c r="W135" s="854"/>
      <c r="X135" s="854"/>
    </row>
    <row r="136">
      <c r="B136" s="846"/>
      <c r="C136" s="578"/>
      <c r="D136" s="10"/>
      <c r="F136" s="10"/>
      <c r="H136" s="10"/>
      <c r="I136" s="10"/>
      <c r="J136" s="10"/>
      <c r="K136" s="10"/>
      <c r="L136" s="2"/>
      <c r="M136" s="2"/>
      <c r="N136" s="2"/>
      <c r="O136" s="2"/>
      <c r="P136" s="2"/>
      <c r="Q136" s="2"/>
      <c r="R136" s="852"/>
      <c r="S136" s="853"/>
      <c r="T136" s="854"/>
      <c r="U136" s="854"/>
      <c r="V136" s="854"/>
      <c r="W136" s="854"/>
      <c r="X136" s="854"/>
    </row>
    <row r="137">
      <c r="B137" s="846"/>
      <c r="C137" s="578"/>
      <c r="D137" s="10"/>
      <c r="F137" s="10"/>
      <c r="H137" s="10"/>
      <c r="I137" s="10"/>
      <c r="J137" s="10"/>
      <c r="K137" s="10"/>
      <c r="L137" s="2"/>
      <c r="M137" s="2"/>
      <c r="N137" s="2"/>
      <c r="O137" s="2"/>
      <c r="P137" s="2"/>
      <c r="Q137" s="2"/>
      <c r="R137" s="852"/>
      <c r="S137" s="853"/>
      <c r="T137" s="854"/>
      <c r="U137" s="854"/>
      <c r="V137" s="854"/>
      <c r="W137" s="854"/>
      <c r="X137" s="854"/>
    </row>
    <row r="138">
      <c r="B138" s="846"/>
      <c r="C138" s="578"/>
      <c r="D138" s="10"/>
      <c r="F138" s="10"/>
      <c r="H138" s="10"/>
      <c r="I138" s="10"/>
      <c r="J138" s="10"/>
      <c r="K138" s="10"/>
      <c r="L138" s="2"/>
      <c r="M138" s="2"/>
      <c r="N138" s="2"/>
      <c r="O138" s="2"/>
      <c r="P138" s="2"/>
      <c r="Q138" s="2"/>
      <c r="R138" s="852"/>
      <c r="S138" s="853"/>
      <c r="T138" s="854"/>
      <c r="U138" s="854"/>
      <c r="V138" s="854"/>
      <c r="W138" s="854"/>
      <c r="X138" s="854"/>
    </row>
    <row r="139">
      <c r="B139" s="846"/>
      <c r="C139" s="578"/>
      <c r="D139" s="10"/>
      <c r="F139" s="10"/>
      <c r="H139" s="10"/>
      <c r="I139" s="10"/>
      <c r="J139" s="10"/>
      <c r="K139" s="10"/>
      <c r="L139" s="2"/>
      <c r="M139" s="2"/>
      <c r="N139" s="2"/>
      <c r="O139" s="2"/>
      <c r="P139" s="2"/>
      <c r="Q139" s="2"/>
      <c r="R139" s="852"/>
      <c r="S139" s="859"/>
      <c r="T139" s="107"/>
      <c r="U139" s="107"/>
      <c r="V139" s="107"/>
      <c r="W139" s="107"/>
      <c r="X139" s="107"/>
    </row>
    <row r="140">
      <c r="B140" s="846"/>
      <c r="C140" s="578"/>
      <c r="D140" s="10"/>
      <c r="F140" s="10"/>
      <c r="H140" s="10"/>
      <c r="I140" s="10"/>
      <c r="J140" s="10"/>
      <c r="K140" s="10"/>
      <c r="L140" s="2"/>
      <c r="M140" s="2"/>
      <c r="N140" s="2"/>
      <c r="O140" s="2"/>
      <c r="P140" s="2"/>
      <c r="Q140" s="2"/>
      <c r="R140" s="852"/>
      <c r="S140" s="859"/>
      <c r="T140" s="107"/>
      <c r="U140" s="107"/>
      <c r="V140" s="107"/>
      <c r="W140" s="107"/>
      <c r="X140" s="107"/>
    </row>
    <row r="141">
      <c r="B141" s="846"/>
      <c r="C141" s="578"/>
      <c r="D141" s="10"/>
      <c r="F141" s="10"/>
      <c r="H141" s="10"/>
      <c r="I141" s="10"/>
      <c r="J141" s="10"/>
      <c r="K141" s="10"/>
      <c r="L141" s="2"/>
      <c r="M141" s="2"/>
      <c r="N141" s="2"/>
      <c r="O141" s="2"/>
      <c r="P141" s="2"/>
      <c r="Q141" s="2"/>
      <c r="R141" s="852"/>
      <c r="S141" s="859"/>
      <c r="T141" s="107"/>
      <c r="U141" s="107"/>
      <c r="V141" s="107"/>
      <c r="W141" s="107"/>
      <c r="X141" s="107"/>
    </row>
    <row r="142">
      <c r="B142" s="846"/>
      <c r="C142" s="578"/>
      <c r="D142" s="10"/>
      <c r="F142" s="10"/>
      <c r="H142" s="10"/>
      <c r="I142" s="10"/>
      <c r="J142" s="10"/>
      <c r="K142" s="10"/>
      <c r="L142" s="2"/>
      <c r="M142" s="2"/>
      <c r="N142" s="2"/>
      <c r="O142" s="2"/>
      <c r="P142" s="2"/>
      <c r="Q142" s="2"/>
      <c r="R142" s="852"/>
      <c r="S142" s="859"/>
      <c r="T142" s="107"/>
      <c r="U142" s="107"/>
      <c r="V142" s="107"/>
      <c r="W142" s="107"/>
      <c r="X142" s="107"/>
    </row>
    <row r="143">
      <c r="B143" s="846"/>
      <c r="C143" s="578"/>
      <c r="D143" s="10"/>
      <c r="F143" s="10"/>
      <c r="H143" s="10"/>
      <c r="I143" s="10"/>
      <c r="J143" s="10"/>
      <c r="K143" s="10"/>
      <c r="L143" s="2"/>
      <c r="M143" s="2"/>
      <c r="N143" s="2"/>
      <c r="O143" s="2"/>
      <c r="P143" s="2"/>
      <c r="Q143" s="2"/>
      <c r="R143" s="852"/>
      <c r="S143" s="859"/>
      <c r="T143" s="107"/>
      <c r="U143" s="107"/>
      <c r="V143" s="107"/>
      <c r="W143" s="107"/>
      <c r="X143" s="107"/>
    </row>
    <row r="144">
      <c r="B144" s="846"/>
      <c r="C144" s="578"/>
      <c r="D144" s="10"/>
      <c r="F144" s="10"/>
      <c r="H144" s="10"/>
      <c r="I144" s="10"/>
      <c r="J144" s="10"/>
      <c r="K144" s="10"/>
      <c r="L144" s="2"/>
      <c r="M144" s="2"/>
      <c r="N144" s="2"/>
      <c r="O144" s="2"/>
      <c r="P144" s="2"/>
      <c r="Q144" s="2"/>
      <c r="R144" s="852"/>
      <c r="S144" s="859"/>
      <c r="T144" s="107"/>
      <c r="U144" s="107"/>
      <c r="V144" s="107"/>
      <c r="W144" s="107"/>
      <c r="X144" s="107"/>
    </row>
    <row r="145">
      <c r="B145" s="846"/>
      <c r="C145" s="578"/>
      <c r="D145" s="10"/>
      <c r="F145" s="10"/>
      <c r="H145" s="10"/>
      <c r="I145" s="10"/>
      <c r="J145" s="10"/>
      <c r="K145" s="10"/>
      <c r="L145" s="2"/>
      <c r="M145" s="2"/>
      <c r="N145" s="2"/>
      <c r="O145" s="2"/>
      <c r="P145" s="2"/>
      <c r="Q145" s="2"/>
      <c r="R145" s="852"/>
      <c r="S145" s="859"/>
      <c r="T145" s="107"/>
      <c r="U145" s="107"/>
      <c r="V145" s="107"/>
      <c r="W145" s="107"/>
      <c r="X145" s="107"/>
    </row>
    <row r="146">
      <c r="B146" s="846"/>
      <c r="C146" s="578"/>
      <c r="D146" s="10"/>
      <c r="F146" s="10"/>
      <c r="H146" s="10"/>
      <c r="I146" s="10"/>
      <c r="J146" s="10"/>
      <c r="K146" s="10"/>
      <c r="L146" s="2"/>
      <c r="M146" s="2"/>
      <c r="N146" s="2"/>
      <c r="O146" s="2"/>
      <c r="P146" s="2"/>
      <c r="Q146" s="2"/>
      <c r="R146" s="852"/>
      <c r="S146" s="859"/>
      <c r="T146" s="107"/>
      <c r="U146" s="107"/>
      <c r="V146" s="107"/>
      <c r="W146" s="107"/>
      <c r="X146" s="107"/>
    </row>
    <row r="147">
      <c r="B147" s="846"/>
      <c r="C147" s="578"/>
      <c r="D147" s="10"/>
      <c r="F147" s="10"/>
      <c r="H147" s="10"/>
      <c r="I147" s="10"/>
      <c r="J147" s="10"/>
      <c r="K147" s="10"/>
      <c r="L147" s="2"/>
      <c r="M147" s="2"/>
      <c r="N147" s="2"/>
      <c r="O147" s="2"/>
      <c r="P147" s="2"/>
      <c r="Q147" s="2"/>
      <c r="R147" s="852"/>
      <c r="S147" s="859"/>
      <c r="T147" s="107"/>
      <c r="U147" s="107"/>
      <c r="V147" s="107"/>
      <c r="W147" s="107"/>
      <c r="X147" s="107"/>
    </row>
    <row r="148">
      <c r="B148" s="846"/>
      <c r="C148" s="578"/>
      <c r="D148" s="10"/>
      <c r="F148" s="10"/>
      <c r="H148" s="10"/>
      <c r="I148" s="10"/>
      <c r="J148" s="10"/>
      <c r="K148" s="10"/>
      <c r="L148" s="2"/>
      <c r="M148" s="2"/>
      <c r="N148" s="2"/>
      <c r="O148" s="2"/>
      <c r="P148" s="2"/>
      <c r="Q148" s="2"/>
      <c r="R148" s="852"/>
      <c r="S148" s="859"/>
      <c r="T148" s="107"/>
      <c r="U148" s="107"/>
      <c r="V148" s="107"/>
      <c r="W148" s="107"/>
      <c r="X148" s="107"/>
    </row>
    <row r="149">
      <c r="B149" s="846"/>
      <c r="C149" s="578"/>
      <c r="D149" s="10"/>
      <c r="F149" s="10"/>
      <c r="H149" s="10"/>
      <c r="I149" s="10"/>
      <c r="J149" s="10"/>
      <c r="K149" s="10"/>
      <c r="L149" s="2"/>
      <c r="M149" s="2"/>
      <c r="N149" s="2"/>
      <c r="O149" s="2"/>
      <c r="P149" s="2"/>
      <c r="Q149" s="2"/>
      <c r="R149" s="857"/>
      <c r="S149" s="860"/>
      <c r="T149" s="107"/>
      <c r="U149" s="107"/>
      <c r="V149" s="107"/>
      <c r="W149" s="107"/>
      <c r="X149" s="107"/>
    </row>
    <row r="150">
      <c r="B150" s="846"/>
      <c r="C150" s="578"/>
      <c r="D150" s="10"/>
      <c r="F150" s="10"/>
      <c r="H150" s="10"/>
      <c r="I150" s="10"/>
      <c r="J150" s="10"/>
      <c r="K150" s="10"/>
      <c r="L150" s="2"/>
      <c r="M150" s="2"/>
      <c r="N150" s="2"/>
      <c r="O150" s="2"/>
      <c r="P150" s="2"/>
      <c r="Q150" s="2"/>
      <c r="R150" s="861"/>
      <c r="S150" s="111"/>
      <c r="T150" s="2"/>
      <c r="U150" s="2"/>
      <c r="V150" s="2"/>
      <c r="W150" s="2"/>
      <c r="X150" s="2"/>
    </row>
    <row r="151">
      <c r="B151" s="846"/>
      <c r="C151" s="578"/>
      <c r="D151" s="10"/>
      <c r="F151" s="10"/>
      <c r="H151" s="10"/>
      <c r="I151" s="10"/>
      <c r="J151" s="10"/>
      <c r="K151" s="10"/>
      <c r="L151" s="2"/>
      <c r="M151" s="2"/>
      <c r="N151" s="2"/>
      <c r="O151" s="2"/>
      <c r="P151" s="2"/>
      <c r="Q151" s="2"/>
      <c r="R151" s="861"/>
      <c r="S151" s="111"/>
      <c r="T151" s="2"/>
      <c r="U151" s="2"/>
      <c r="V151" s="2"/>
      <c r="W151" s="2"/>
      <c r="X151" s="2"/>
    </row>
    <row r="152">
      <c r="B152" s="846"/>
      <c r="C152" s="578"/>
      <c r="D152" s="10"/>
      <c r="F152" s="10"/>
      <c r="H152" s="10"/>
      <c r="I152" s="10"/>
      <c r="J152" s="10"/>
      <c r="K152" s="10"/>
      <c r="L152" s="2"/>
      <c r="M152" s="2"/>
      <c r="N152" s="2"/>
      <c r="O152" s="2"/>
      <c r="P152" s="2"/>
      <c r="Q152" s="2"/>
      <c r="R152" s="861"/>
      <c r="S152" s="111"/>
      <c r="T152" s="2"/>
      <c r="U152" s="2"/>
      <c r="V152" s="2"/>
      <c r="W152" s="2"/>
      <c r="X152" s="2"/>
    </row>
    <row r="153">
      <c r="B153" s="846"/>
      <c r="C153" s="578"/>
      <c r="D153" s="10"/>
      <c r="F153" s="10"/>
      <c r="H153" s="10"/>
      <c r="I153" s="10"/>
      <c r="J153" s="10"/>
      <c r="K153" s="10"/>
      <c r="L153" s="2"/>
      <c r="M153" s="2"/>
      <c r="N153" s="2"/>
      <c r="O153" s="2"/>
      <c r="P153" s="2"/>
      <c r="Q153" s="2"/>
      <c r="R153" s="861"/>
      <c r="S153" s="111"/>
      <c r="T153" s="2"/>
      <c r="U153" s="2"/>
      <c r="V153" s="2"/>
      <c r="W153" s="2"/>
      <c r="X153" s="2"/>
    </row>
    <row r="154">
      <c r="B154" s="846"/>
      <c r="C154" s="578"/>
      <c r="D154" s="10"/>
      <c r="F154" s="10"/>
      <c r="H154" s="10"/>
      <c r="I154" s="10"/>
      <c r="J154" s="10"/>
      <c r="K154" s="10"/>
      <c r="L154" s="2"/>
      <c r="M154" s="2"/>
      <c r="N154" s="2"/>
      <c r="O154" s="2"/>
      <c r="P154" s="2"/>
      <c r="Q154" s="2"/>
      <c r="R154" s="861"/>
      <c r="S154" s="111"/>
      <c r="T154" s="2"/>
      <c r="U154" s="2"/>
      <c r="V154" s="2"/>
      <c r="W154" s="2"/>
      <c r="X154" s="2"/>
    </row>
    <row r="155">
      <c r="B155" s="846"/>
      <c r="C155" s="578"/>
      <c r="D155" s="10"/>
      <c r="F155" s="10"/>
      <c r="H155" s="10"/>
      <c r="I155" s="10"/>
      <c r="J155" s="10"/>
      <c r="K155" s="10"/>
      <c r="L155" s="2"/>
      <c r="M155" s="2"/>
      <c r="N155" s="2"/>
      <c r="O155" s="2"/>
      <c r="P155" s="2"/>
      <c r="Q155" s="2"/>
      <c r="R155" s="862"/>
      <c r="S155" s="109"/>
      <c r="T155" s="2"/>
      <c r="U155" s="2"/>
      <c r="V155" s="2"/>
      <c r="W155" s="2"/>
      <c r="X155" s="2"/>
    </row>
    <row r="156">
      <c r="B156" s="846"/>
      <c r="C156" s="578"/>
      <c r="D156" s="10"/>
      <c r="F156" s="10"/>
      <c r="H156" s="10"/>
      <c r="I156" s="10"/>
      <c r="J156" s="10"/>
      <c r="K156" s="10"/>
      <c r="L156" s="2"/>
      <c r="M156" s="2"/>
      <c r="N156" s="2"/>
      <c r="O156" s="2"/>
      <c r="P156" s="2"/>
      <c r="Q156" s="2"/>
      <c r="R156" s="861"/>
      <c r="S156" s="111"/>
      <c r="T156" s="2"/>
      <c r="U156" s="2"/>
      <c r="V156" s="2"/>
      <c r="W156" s="2"/>
      <c r="X156" s="2"/>
    </row>
    <row r="157">
      <c r="B157" s="846"/>
      <c r="C157" s="578"/>
      <c r="D157" s="10"/>
      <c r="F157" s="10"/>
      <c r="H157" s="10"/>
      <c r="I157" s="10"/>
      <c r="J157" s="10"/>
      <c r="K157" s="10"/>
      <c r="L157" s="2"/>
      <c r="M157" s="2"/>
      <c r="N157" s="2"/>
      <c r="O157" s="2"/>
      <c r="P157" s="2"/>
      <c r="Q157" s="2"/>
      <c r="R157" s="861"/>
      <c r="S157" s="111"/>
      <c r="T157" s="2"/>
      <c r="U157" s="2"/>
      <c r="V157" s="2"/>
      <c r="W157" s="2"/>
      <c r="X157" s="2"/>
    </row>
    <row r="158">
      <c r="B158" s="846"/>
      <c r="C158" s="578"/>
      <c r="D158" s="10"/>
      <c r="F158" s="10"/>
      <c r="H158" s="10"/>
      <c r="I158" s="10"/>
      <c r="J158" s="10"/>
      <c r="K158" s="10"/>
      <c r="L158" s="2"/>
      <c r="M158" s="2"/>
      <c r="N158" s="2"/>
      <c r="O158" s="2"/>
      <c r="P158" s="2"/>
      <c r="Q158" s="2"/>
      <c r="R158" s="861"/>
      <c r="S158" s="111"/>
      <c r="T158" s="2"/>
      <c r="U158" s="2"/>
      <c r="V158" s="2"/>
      <c r="W158" s="2"/>
      <c r="X158" s="2"/>
    </row>
    <row r="159">
      <c r="B159" s="846"/>
      <c r="C159" s="578"/>
      <c r="D159" s="10"/>
      <c r="F159" s="10"/>
      <c r="H159" s="10"/>
      <c r="I159" s="10"/>
      <c r="J159" s="10"/>
      <c r="K159" s="10"/>
      <c r="L159" s="2"/>
      <c r="M159" s="2"/>
      <c r="N159" s="2"/>
      <c r="O159" s="2"/>
      <c r="P159" s="2"/>
      <c r="Q159" s="2"/>
      <c r="R159" s="861"/>
      <c r="S159" s="111"/>
      <c r="T159" s="2"/>
      <c r="U159" s="2"/>
      <c r="V159" s="2"/>
      <c r="W159" s="2"/>
      <c r="X159" s="2"/>
    </row>
    <row r="160">
      <c r="B160" s="846"/>
      <c r="C160" s="578"/>
      <c r="D160" s="10"/>
      <c r="F160" s="10"/>
      <c r="H160" s="10"/>
      <c r="I160" s="10"/>
      <c r="J160" s="10"/>
      <c r="K160" s="10"/>
      <c r="L160" s="2"/>
      <c r="M160" s="2"/>
      <c r="N160" s="2"/>
      <c r="O160" s="2"/>
      <c r="P160" s="2"/>
      <c r="Q160" s="2"/>
      <c r="R160" s="861"/>
      <c r="S160" s="111"/>
      <c r="T160" s="2"/>
      <c r="U160" s="2"/>
      <c r="V160" s="2"/>
      <c r="W160" s="2"/>
      <c r="X160" s="2"/>
    </row>
    <row r="161">
      <c r="B161" s="846"/>
      <c r="C161" s="578"/>
      <c r="D161" s="10"/>
      <c r="F161" s="10"/>
      <c r="H161" s="10"/>
      <c r="I161" s="10"/>
      <c r="J161" s="10"/>
      <c r="K161" s="10"/>
      <c r="L161" s="2"/>
      <c r="M161" s="2"/>
      <c r="N161" s="2"/>
      <c r="O161" s="2"/>
      <c r="P161" s="2"/>
      <c r="Q161" s="2"/>
      <c r="R161" s="861"/>
      <c r="S161" s="111"/>
      <c r="T161" s="2"/>
      <c r="U161" s="2"/>
      <c r="V161" s="2"/>
      <c r="W161" s="2"/>
      <c r="X161" s="2"/>
    </row>
    <row r="162">
      <c r="B162" s="846"/>
      <c r="C162" s="578"/>
      <c r="D162" s="10"/>
      <c r="F162" s="10"/>
      <c r="H162" s="10"/>
      <c r="I162" s="10"/>
      <c r="J162" s="10"/>
      <c r="K162" s="10"/>
      <c r="L162" s="2"/>
      <c r="M162" s="2"/>
      <c r="N162" s="2"/>
      <c r="O162" s="2"/>
      <c r="P162" s="2"/>
      <c r="Q162" s="2"/>
      <c r="R162" s="861"/>
      <c r="S162" s="111"/>
      <c r="T162" s="2"/>
      <c r="U162" s="2"/>
      <c r="V162" s="2"/>
      <c r="W162" s="2"/>
      <c r="X162" s="2"/>
    </row>
    <row r="163">
      <c r="B163" s="846"/>
      <c r="C163" s="578"/>
      <c r="D163" s="10"/>
      <c r="F163" s="10"/>
      <c r="H163" s="10"/>
      <c r="I163" s="10"/>
      <c r="J163" s="10"/>
      <c r="K163" s="10"/>
      <c r="L163" s="2"/>
      <c r="M163" s="2"/>
      <c r="N163" s="2"/>
      <c r="O163" s="2"/>
      <c r="P163" s="2"/>
      <c r="Q163" s="2"/>
      <c r="R163" s="861"/>
      <c r="S163" s="111"/>
      <c r="T163" s="2"/>
      <c r="U163" s="2"/>
      <c r="V163" s="2"/>
      <c r="W163" s="2"/>
      <c r="X163" s="2"/>
    </row>
    <row r="164">
      <c r="B164" s="846"/>
      <c r="C164" s="578"/>
      <c r="D164" s="10"/>
      <c r="F164" s="10"/>
      <c r="H164" s="10"/>
      <c r="I164" s="10"/>
      <c r="J164" s="10"/>
      <c r="K164" s="10"/>
      <c r="L164" s="2"/>
      <c r="M164" s="2"/>
      <c r="N164" s="2"/>
      <c r="O164" s="2"/>
      <c r="P164" s="2"/>
      <c r="Q164" s="2"/>
      <c r="R164" s="862"/>
      <c r="S164" s="109"/>
      <c r="T164" s="2"/>
      <c r="U164" s="2"/>
      <c r="V164" s="2"/>
      <c r="W164" s="2"/>
      <c r="X164" s="2"/>
    </row>
    <row r="165">
      <c r="B165" s="846"/>
      <c r="C165" s="578"/>
      <c r="D165" s="10"/>
      <c r="F165" s="10"/>
      <c r="H165" s="10"/>
      <c r="I165" s="10"/>
      <c r="J165" s="10"/>
      <c r="K165" s="10"/>
      <c r="L165" s="2"/>
      <c r="M165" s="2"/>
      <c r="N165" s="2"/>
      <c r="O165" s="2"/>
      <c r="P165" s="2"/>
      <c r="Q165" s="2"/>
      <c r="R165" s="862"/>
      <c r="S165" s="109"/>
      <c r="T165" s="54"/>
      <c r="U165" s="54"/>
      <c r="V165" s="54"/>
      <c r="W165" s="54"/>
      <c r="X165" s="54"/>
    </row>
    <row r="166">
      <c r="B166" s="846"/>
      <c r="C166" s="578"/>
      <c r="D166" s="10"/>
      <c r="F166" s="10"/>
      <c r="H166" s="10"/>
      <c r="I166" s="10"/>
      <c r="J166" s="10"/>
      <c r="K166" s="10"/>
      <c r="L166" s="2"/>
      <c r="M166" s="2"/>
      <c r="N166" s="2"/>
      <c r="O166" s="2"/>
      <c r="P166" s="2"/>
      <c r="Q166" s="2"/>
      <c r="R166" s="117"/>
      <c r="S166" s="2"/>
      <c r="T166" s="2"/>
      <c r="U166" s="2"/>
      <c r="V166" s="2"/>
      <c r="W166" s="2"/>
      <c r="X166" s="2"/>
    </row>
    <row r="167">
      <c r="B167" s="846"/>
      <c r="C167" s="578"/>
      <c r="D167" s="10"/>
      <c r="F167" s="10"/>
      <c r="H167" s="10"/>
      <c r="I167" s="10"/>
      <c r="J167" s="10"/>
      <c r="K167" s="10"/>
      <c r="L167" s="2"/>
      <c r="M167" s="2"/>
      <c r="N167" s="2"/>
      <c r="O167" s="2"/>
      <c r="P167" s="2"/>
      <c r="Q167" s="2"/>
      <c r="R167" s="117"/>
      <c r="S167" s="2"/>
      <c r="T167" s="2"/>
      <c r="U167" s="2"/>
      <c r="V167" s="2"/>
      <c r="W167" s="2"/>
      <c r="X167" s="2"/>
    </row>
    <row r="168">
      <c r="B168" s="846"/>
      <c r="C168" s="578"/>
      <c r="D168" s="10"/>
      <c r="F168" s="10"/>
      <c r="H168" s="10"/>
      <c r="I168" s="10"/>
      <c r="J168" s="10"/>
      <c r="K168" s="10"/>
      <c r="L168" s="2"/>
      <c r="M168" s="2"/>
      <c r="N168" s="2"/>
      <c r="O168" s="2"/>
      <c r="P168" s="2"/>
      <c r="Q168" s="2"/>
      <c r="R168" s="847"/>
      <c r="S168" s="847"/>
      <c r="T168" s="116"/>
      <c r="U168" s="116"/>
      <c r="V168" s="116"/>
      <c r="W168" s="116"/>
      <c r="X168" s="116"/>
    </row>
    <row r="169">
      <c r="B169" s="846"/>
      <c r="C169" s="578"/>
      <c r="D169" s="10"/>
      <c r="F169" s="10"/>
      <c r="H169" s="10"/>
      <c r="I169" s="10"/>
      <c r="J169" s="10"/>
      <c r="K169" s="10"/>
      <c r="L169" s="2"/>
      <c r="M169" s="2"/>
      <c r="N169" s="2"/>
      <c r="O169" s="2"/>
      <c r="P169" s="2"/>
      <c r="Q169" s="2"/>
      <c r="R169" s="848"/>
      <c r="S169" s="848"/>
      <c r="T169" s="848"/>
      <c r="U169" s="848"/>
      <c r="V169" s="848"/>
      <c r="W169" s="848"/>
      <c r="X169" s="848"/>
    </row>
    <row r="170">
      <c r="B170" s="846"/>
      <c r="C170" s="578"/>
      <c r="D170" s="10"/>
      <c r="F170" s="10"/>
      <c r="H170" s="10"/>
      <c r="I170" s="10"/>
      <c r="J170" s="10"/>
      <c r="K170" s="10"/>
      <c r="L170" s="2"/>
      <c r="M170" s="2"/>
      <c r="N170" s="2"/>
      <c r="O170" s="2"/>
      <c r="P170" s="2"/>
      <c r="Q170" s="2"/>
      <c r="R170" s="849"/>
      <c r="S170" s="850"/>
      <c r="T170" s="851"/>
      <c r="U170" s="851"/>
      <c r="V170" s="851"/>
      <c r="W170" s="851"/>
      <c r="X170" s="851"/>
    </row>
    <row r="171">
      <c r="B171" s="846"/>
      <c r="C171" s="578"/>
      <c r="D171" s="10"/>
      <c r="F171" s="10"/>
      <c r="H171" s="10"/>
      <c r="I171" s="10"/>
      <c r="J171" s="10"/>
      <c r="K171" s="10"/>
      <c r="L171" s="2"/>
      <c r="M171" s="2"/>
      <c r="N171" s="2"/>
      <c r="O171" s="2"/>
      <c r="P171" s="2"/>
      <c r="Q171" s="2"/>
      <c r="R171" s="852"/>
      <c r="S171" s="853"/>
      <c r="T171" s="854"/>
      <c r="U171" s="854"/>
      <c r="V171" s="854"/>
      <c r="W171" s="854"/>
      <c r="X171" s="854"/>
    </row>
    <row r="172">
      <c r="B172" s="846"/>
      <c r="C172" s="578"/>
      <c r="D172" s="10"/>
      <c r="F172" s="10"/>
      <c r="H172" s="10"/>
      <c r="I172" s="10"/>
      <c r="J172" s="10"/>
      <c r="K172" s="10"/>
      <c r="L172" s="2"/>
      <c r="M172" s="2"/>
      <c r="N172" s="2"/>
      <c r="O172" s="2"/>
      <c r="P172" s="2"/>
      <c r="Q172" s="2"/>
      <c r="R172" s="855"/>
      <c r="S172" s="856"/>
      <c r="T172" s="854"/>
      <c r="U172" s="854"/>
      <c r="V172" s="854"/>
      <c r="W172" s="854"/>
      <c r="X172" s="854"/>
    </row>
    <row r="173">
      <c r="B173" s="846"/>
      <c r="C173" s="578"/>
      <c r="D173" s="10"/>
      <c r="F173" s="10"/>
      <c r="H173" s="10"/>
      <c r="I173" s="10"/>
      <c r="J173" s="10"/>
      <c r="K173" s="10"/>
      <c r="L173" s="2"/>
      <c r="M173" s="2"/>
      <c r="N173" s="2"/>
      <c r="O173" s="2"/>
      <c r="P173" s="2"/>
      <c r="Q173" s="2"/>
      <c r="R173" s="855"/>
      <c r="S173" s="856"/>
      <c r="T173" s="854"/>
      <c r="U173" s="854"/>
      <c r="V173" s="854"/>
      <c r="W173" s="854"/>
      <c r="X173" s="854"/>
    </row>
    <row r="174">
      <c r="B174" s="846"/>
      <c r="C174" s="578"/>
      <c r="D174" s="10"/>
      <c r="F174" s="10"/>
      <c r="H174" s="10"/>
      <c r="I174" s="10"/>
      <c r="J174" s="10"/>
      <c r="K174" s="10"/>
      <c r="L174" s="2"/>
      <c r="M174" s="2"/>
      <c r="N174" s="2"/>
      <c r="O174" s="2"/>
      <c r="P174" s="2"/>
      <c r="Q174" s="2"/>
      <c r="R174" s="852"/>
      <c r="S174" s="853"/>
      <c r="T174" s="854"/>
      <c r="U174" s="854"/>
      <c r="V174" s="854"/>
      <c r="W174" s="854"/>
      <c r="X174" s="854"/>
    </row>
    <row r="175">
      <c r="B175" s="846"/>
      <c r="C175" s="578"/>
      <c r="D175" s="10"/>
      <c r="F175" s="10"/>
      <c r="H175" s="10"/>
      <c r="I175" s="10"/>
      <c r="J175" s="10"/>
      <c r="K175" s="10"/>
      <c r="L175" s="2"/>
      <c r="M175" s="2"/>
      <c r="N175" s="2"/>
      <c r="O175" s="2"/>
      <c r="P175" s="2"/>
      <c r="Q175" s="2"/>
      <c r="R175" s="857"/>
      <c r="S175" s="858"/>
      <c r="T175" s="854"/>
      <c r="U175" s="854"/>
      <c r="V175" s="854"/>
      <c r="W175" s="854"/>
      <c r="X175" s="854"/>
    </row>
    <row r="176">
      <c r="B176" s="846"/>
      <c r="C176" s="578"/>
      <c r="D176" s="10"/>
      <c r="F176" s="10"/>
      <c r="H176" s="10"/>
      <c r="I176" s="10"/>
      <c r="J176" s="10"/>
      <c r="K176" s="10"/>
      <c r="L176" s="2"/>
      <c r="M176" s="2"/>
      <c r="N176" s="2"/>
      <c r="O176" s="2"/>
      <c r="P176" s="2"/>
      <c r="Q176" s="2"/>
      <c r="R176" s="857"/>
      <c r="S176" s="858"/>
      <c r="T176" s="854"/>
      <c r="U176" s="854"/>
      <c r="V176" s="854"/>
      <c r="W176" s="854"/>
      <c r="X176" s="854"/>
    </row>
    <row r="177">
      <c r="B177" s="846"/>
      <c r="C177" s="578"/>
      <c r="D177" s="10"/>
      <c r="F177" s="10"/>
      <c r="H177" s="10"/>
      <c r="I177" s="10"/>
      <c r="J177" s="10"/>
      <c r="K177" s="10"/>
      <c r="L177" s="2"/>
      <c r="M177" s="2"/>
      <c r="N177" s="2"/>
      <c r="O177" s="2"/>
      <c r="P177" s="2"/>
      <c r="Q177" s="2"/>
      <c r="R177" s="857"/>
      <c r="S177" s="858"/>
      <c r="T177" s="854"/>
      <c r="U177" s="854"/>
      <c r="V177" s="854"/>
      <c r="W177" s="854"/>
      <c r="X177" s="854"/>
    </row>
    <row r="178">
      <c r="B178" s="846"/>
      <c r="C178" s="578"/>
      <c r="D178" s="10"/>
      <c r="F178" s="10"/>
      <c r="H178" s="10"/>
      <c r="I178" s="10"/>
      <c r="J178" s="10"/>
      <c r="K178" s="10"/>
      <c r="L178" s="2"/>
      <c r="M178" s="2"/>
      <c r="N178" s="2"/>
      <c r="O178" s="2"/>
      <c r="P178" s="2"/>
      <c r="Q178" s="2"/>
      <c r="R178" s="852"/>
      <c r="S178" s="853"/>
      <c r="T178" s="854"/>
      <c r="U178" s="854"/>
      <c r="V178" s="854"/>
      <c r="W178" s="854"/>
      <c r="X178" s="854"/>
    </row>
    <row r="179">
      <c r="B179" s="846"/>
      <c r="C179" s="578"/>
      <c r="D179" s="10"/>
      <c r="F179" s="10"/>
      <c r="H179" s="10"/>
      <c r="I179" s="10"/>
      <c r="J179" s="10"/>
      <c r="K179" s="10"/>
      <c r="L179" s="2"/>
      <c r="M179" s="2"/>
      <c r="N179" s="2"/>
      <c r="O179" s="2"/>
      <c r="P179" s="2"/>
      <c r="Q179" s="2"/>
      <c r="R179" s="852"/>
      <c r="S179" s="853"/>
      <c r="T179" s="854"/>
      <c r="U179" s="854"/>
      <c r="V179" s="854"/>
      <c r="W179" s="854"/>
      <c r="X179" s="854"/>
    </row>
    <row r="180">
      <c r="B180" s="846"/>
      <c r="C180" s="578"/>
      <c r="D180" s="10"/>
      <c r="F180" s="10"/>
      <c r="H180" s="10"/>
      <c r="I180" s="10"/>
      <c r="J180" s="10"/>
      <c r="K180" s="10"/>
      <c r="L180" s="2"/>
      <c r="M180" s="2"/>
      <c r="N180" s="2"/>
      <c r="O180" s="2"/>
      <c r="P180" s="2"/>
      <c r="Q180" s="2"/>
      <c r="R180" s="852"/>
      <c r="S180" s="853"/>
      <c r="T180" s="854"/>
      <c r="U180" s="854"/>
      <c r="V180" s="854"/>
      <c r="W180" s="854"/>
      <c r="X180" s="854"/>
    </row>
    <row r="181">
      <c r="B181" s="846"/>
      <c r="C181" s="578"/>
      <c r="D181" s="10"/>
      <c r="F181" s="10"/>
      <c r="H181" s="10"/>
      <c r="I181" s="10"/>
      <c r="J181" s="10"/>
      <c r="K181" s="10"/>
      <c r="L181" s="2"/>
      <c r="M181" s="2"/>
      <c r="N181" s="2"/>
      <c r="O181" s="2"/>
      <c r="P181" s="2"/>
      <c r="Q181" s="2"/>
      <c r="R181" s="852"/>
      <c r="S181" s="853"/>
      <c r="T181" s="854"/>
      <c r="U181" s="854"/>
      <c r="V181" s="854"/>
      <c r="W181" s="854"/>
      <c r="X181" s="854"/>
    </row>
    <row r="182">
      <c r="B182" s="846"/>
      <c r="C182" s="578"/>
      <c r="D182" s="10"/>
      <c r="F182" s="10"/>
      <c r="H182" s="10"/>
      <c r="I182" s="10"/>
      <c r="J182" s="10"/>
      <c r="K182" s="10"/>
      <c r="L182" s="2"/>
      <c r="M182" s="2"/>
      <c r="N182" s="2"/>
      <c r="O182" s="2"/>
      <c r="P182" s="2"/>
      <c r="Q182" s="2"/>
      <c r="R182" s="852"/>
      <c r="S182" s="859"/>
      <c r="T182" s="107"/>
      <c r="U182" s="107"/>
      <c r="V182" s="107"/>
      <c r="W182" s="107"/>
      <c r="X182" s="107"/>
    </row>
    <row r="183">
      <c r="B183" s="846"/>
      <c r="C183" s="578"/>
      <c r="D183" s="10"/>
      <c r="F183" s="10"/>
      <c r="H183" s="10"/>
      <c r="I183" s="10"/>
      <c r="J183" s="10"/>
      <c r="K183" s="10"/>
      <c r="L183" s="2"/>
      <c r="M183" s="2"/>
      <c r="N183" s="2"/>
      <c r="O183" s="2"/>
      <c r="P183" s="2"/>
      <c r="Q183" s="2"/>
      <c r="R183" s="852"/>
      <c r="S183" s="859"/>
      <c r="T183" s="107"/>
      <c r="U183" s="107"/>
      <c r="V183" s="107"/>
      <c r="W183" s="107"/>
      <c r="X183" s="107"/>
    </row>
    <row r="184">
      <c r="B184" s="846"/>
      <c r="C184" s="578"/>
      <c r="D184" s="10"/>
      <c r="F184" s="10"/>
      <c r="H184" s="10"/>
      <c r="I184" s="10"/>
      <c r="J184" s="10"/>
      <c r="K184" s="10"/>
      <c r="L184" s="2"/>
      <c r="M184" s="2"/>
      <c r="N184" s="2"/>
      <c r="O184" s="2"/>
      <c r="P184" s="2"/>
      <c r="Q184" s="2"/>
      <c r="R184" s="852"/>
      <c r="S184" s="859"/>
      <c r="T184" s="107"/>
      <c r="U184" s="107"/>
      <c r="V184" s="107"/>
      <c r="W184" s="107"/>
      <c r="X184" s="107"/>
    </row>
    <row r="185">
      <c r="B185" s="846"/>
      <c r="C185" s="578"/>
      <c r="D185" s="10"/>
      <c r="F185" s="10"/>
      <c r="H185" s="10"/>
      <c r="I185" s="10"/>
      <c r="J185" s="10"/>
      <c r="K185" s="10"/>
      <c r="L185" s="2"/>
      <c r="M185" s="2"/>
      <c r="N185" s="2"/>
      <c r="O185" s="2"/>
      <c r="P185" s="2"/>
      <c r="Q185" s="2"/>
      <c r="R185" s="852"/>
      <c r="S185" s="859"/>
      <c r="T185" s="107"/>
      <c r="U185" s="107"/>
      <c r="V185" s="107"/>
      <c r="W185" s="107"/>
      <c r="X185" s="107"/>
    </row>
    <row r="186">
      <c r="B186" s="846"/>
      <c r="C186" s="578"/>
      <c r="D186" s="10"/>
      <c r="F186" s="10"/>
      <c r="H186" s="10"/>
      <c r="I186" s="10"/>
      <c r="J186" s="10"/>
      <c r="K186" s="10"/>
      <c r="L186" s="2"/>
      <c r="M186" s="2"/>
      <c r="N186" s="2"/>
      <c r="O186" s="2"/>
      <c r="P186" s="2"/>
      <c r="Q186" s="2"/>
      <c r="R186" s="852"/>
      <c r="S186" s="859"/>
      <c r="T186" s="107"/>
      <c r="U186" s="107"/>
      <c r="V186" s="107"/>
      <c r="W186" s="107"/>
      <c r="X186" s="107"/>
    </row>
    <row r="187">
      <c r="B187" s="846"/>
      <c r="C187" s="578"/>
      <c r="D187" s="10"/>
      <c r="F187" s="10"/>
      <c r="H187" s="10"/>
      <c r="I187" s="10"/>
      <c r="J187" s="10"/>
      <c r="K187" s="10"/>
      <c r="L187" s="2"/>
      <c r="M187" s="2"/>
      <c r="N187" s="2"/>
      <c r="O187" s="2"/>
      <c r="P187" s="2"/>
      <c r="Q187" s="2"/>
      <c r="R187" s="852"/>
      <c r="S187" s="859"/>
      <c r="T187" s="107"/>
      <c r="U187" s="107"/>
      <c r="V187" s="107"/>
      <c r="W187" s="107"/>
      <c r="X187" s="107"/>
    </row>
    <row r="188">
      <c r="B188" s="846"/>
      <c r="C188" s="578"/>
      <c r="D188" s="10"/>
      <c r="F188" s="10"/>
      <c r="H188" s="10"/>
      <c r="I188" s="10"/>
      <c r="J188" s="10"/>
      <c r="K188" s="10"/>
      <c r="L188" s="2"/>
      <c r="M188" s="2"/>
      <c r="N188" s="2"/>
      <c r="O188" s="2"/>
      <c r="P188" s="2"/>
      <c r="Q188" s="2"/>
      <c r="R188" s="852"/>
      <c r="S188" s="859"/>
      <c r="T188" s="107"/>
      <c r="U188" s="107"/>
      <c r="V188" s="107"/>
      <c r="W188" s="107"/>
      <c r="X188" s="107"/>
    </row>
    <row r="189">
      <c r="B189" s="846"/>
      <c r="C189" s="578"/>
      <c r="D189" s="10"/>
      <c r="F189" s="10"/>
      <c r="H189" s="10"/>
      <c r="I189" s="10"/>
      <c r="J189" s="10"/>
      <c r="K189" s="10"/>
      <c r="L189" s="2"/>
      <c r="M189" s="2"/>
      <c r="N189" s="2"/>
      <c r="O189" s="2"/>
      <c r="P189" s="2"/>
      <c r="Q189" s="2"/>
      <c r="R189" s="852"/>
      <c r="S189" s="859"/>
      <c r="T189" s="107"/>
      <c r="U189" s="107"/>
      <c r="V189" s="107"/>
      <c r="W189" s="107"/>
      <c r="X189" s="107"/>
    </row>
    <row r="190">
      <c r="B190" s="846"/>
      <c r="C190" s="578"/>
      <c r="D190" s="10"/>
      <c r="F190" s="10"/>
      <c r="H190" s="10"/>
      <c r="I190" s="10"/>
      <c r="J190" s="10"/>
      <c r="K190" s="10"/>
      <c r="L190" s="2"/>
      <c r="M190" s="2"/>
      <c r="N190" s="2"/>
      <c r="O190" s="2"/>
      <c r="P190" s="2"/>
      <c r="Q190" s="2"/>
      <c r="R190" s="852"/>
      <c r="S190" s="859"/>
      <c r="T190" s="107"/>
      <c r="U190" s="107"/>
      <c r="V190" s="107"/>
      <c r="W190" s="107"/>
      <c r="X190" s="107"/>
    </row>
    <row r="191">
      <c r="B191" s="846"/>
      <c r="C191" s="578"/>
      <c r="D191" s="10"/>
      <c r="F191" s="10"/>
      <c r="H191" s="10"/>
      <c r="I191" s="10"/>
      <c r="J191" s="10"/>
      <c r="K191" s="10"/>
      <c r="L191" s="2"/>
      <c r="M191" s="2"/>
      <c r="N191" s="2"/>
      <c r="O191" s="2"/>
      <c r="P191" s="2"/>
      <c r="Q191" s="2"/>
      <c r="R191" s="852"/>
      <c r="S191" s="859"/>
      <c r="T191" s="107"/>
      <c r="U191" s="107"/>
      <c r="V191" s="107"/>
      <c r="W191" s="107"/>
      <c r="X191" s="107"/>
    </row>
    <row r="192">
      <c r="B192" s="846"/>
      <c r="C192" s="578"/>
      <c r="D192" s="10"/>
      <c r="F192" s="10"/>
      <c r="H192" s="10"/>
      <c r="I192" s="10"/>
      <c r="J192" s="10"/>
      <c r="K192" s="10"/>
      <c r="L192" s="2"/>
      <c r="M192" s="2"/>
      <c r="N192" s="2"/>
      <c r="O192" s="2"/>
      <c r="P192" s="2"/>
      <c r="Q192" s="2"/>
      <c r="R192" s="857"/>
      <c r="S192" s="860"/>
      <c r="T192" s="107"/>
      <c r="U192" s="107"/>
      <c r="V192" s="107"/>
      <c r="W192" s="107"/>
      <c r="X192" s="107"/>
    </row>
    <row r="193">
      <c r="B193" s="846"/>
      <c r="C193" s="578"/>
      <c r="D193" s="10"/>
      <c r="F193" s="10"/>
      <c r="H193" s="10"/>
      <c r="I193" s="10"/>
      <c r="J193" s="10"/>
      <c r="K193" s="10"/>
      <c r="L193" s="2"/>
      <c r="M193" s="2"/>
      <c r="N193" s="2"/>
      <c r="O193" s="2"/>
      <c r="P193" s="2"/>
      <c r="Q193" s="2"/>
      <c r="R193" s="861"/>
      <c r="S193" s="111"/>
      <c r="T193" s="2"/>
      <c r="U193" s="2"/>
      <c r="V193" s="2"/>
      <c r="W193" s="2"/>
      <c r="X193" s="2"/>
    </row>
    <row r="194">
      <c r="B194" s="846"/>
      <c r="C194" s="578"/>
      <c r="D194" s="10"/>
      <c r="F194" s="10"/>
      <c r="H194" s="10"/>
      <c r="I194" s="10"/>
      <c r="J194" s="10"/>
      <c r="K194" s="10"/>
      <c r="L194" s="2"/>
      <c r="M194" s="2"/>
      <c r="N194" s="2"/>
      <c r="O194" s="2"/>
      <c r="P194" s="2"/>
      <c r="Q194" s="2"/>
      <c r="R194" s="861"/>
      <c r="S194" s="111"/>
      <c r="T194" s="2"/>
      <c r="U194" s="2"/>
      <c r="V194" s="2"/>
      <c r="W194" s="2"/>
      <c r="X194" s="2"/>
    </row>
    <row r="195">
      <c r="B195" s="846"/>
      <c r="C195" s="578"/>
      <c r="D195" s="10"/>
      <c r="F195" s="10"/>
      <c r="H195" s="10"/>
      <c r="I195" s="10"/>
      <c r="J195" s="10"/>
      <c r="K195" s="10"/>
      <c r="L195" s="2"/>
      <c r="M195" s="2"/>
      <c r="N195" s="2"/>
      <c r="O195" s="2"/>
      <c r="P195" s="2"/>
      <c r="Q195" s="2"/>
      <c r="R195" s="861"/>
      <c r="S195" s="111"/>
      <c r="T195" s="2"/>
      <c r="U195" s="2"/>
      <c r="V195" s="2"/>
      <c r="W195" s="2"/>
      <c r="X195" s="2"/>
    </row>
    <row r="196">
      <c r="B196" s="846"/>
      <c r="C196" s="578"/>
      <c r="D196" s="10"/>
      <c r="F196" s="10"/>
      <c r="H196" s="10"/>
      <c r="I196" s="10"/>
      <c r="J196" s="10"/>
      <c r="K196" s="10"/>
      <c r="L196" s="2"/>
      <c r="M196" s="2"/>
      <c r="N196" s="2"/>
      <c r="O196" s="2"/>
      <c r="P196" s="2"/>
      <c r="Q196" s="2"/>
      <c r="R196" s="861"/>
      <c r="S196" s="111"/>
      <c r="T196" s="2"/>
      <c r="U196" s="2"/>
      <c r="V196" s="2"/>
      <c r="W196" s="2"/>
      <c r="X196" s="2"/>
    </row>
    <row r="197">
      <c r="B197" s="846"/>
      <c r="C197" s="578"/>
      <c r="D197" s="10"/>
      <c r="F197" s="10"/>
      <c r="H197" s="10"/>
      <c r="I197" s="10"/>
      <c r="J197" s="10"/>
      <c r="K197" s="10"/>
      <c r="L197" s="2"/>
      <c r="M197" s="2"/>
      <c r="N197" s="2"/>
      <c r="O197" s="2"/>
      <c r="P197" s="2"/>
      <c r="Q197" s="2"/>
      <c r="R197" s="861"/>
      <c r="S197" s="111"/>
      <c r="T197" s="2"/>
      <c r="U197" s="2"/>
      <c r="V197" s="2"/>
      <c r="W197" s="2"/>
      <c r="X197" s="2"/>
    </row>
    <row r="198">
      <c r="B198" s="846"/>
      <c r="C198" s="578"/>
      <c r="D198" s="10"/>
      <c r="F198" s="10"/>
      <c r="H198" s="10"/>
      <c r="I198" s="10"/>
      <c r="J198" s="10"/>
      <c r="K198" s="10"/>
      <c r="L198" s="2"/>
      <c r="M198" s="2"/>
      <c r="N198" s="2"/>
      <c r="O198" s="2"/>
      <c r="P198" s="2"/>
      <c r="Q198" s="2"/>
      <c r="R198" s="862"/>
      <c r="S198" s="109"/>
      <c r="T198" s="2"/>
      <c r="U198" s="2"/>
      <c r="V198" s="2"/>
      <c r="W198" s="2"/>
      <c r="X198" s="2"/>
    </row>
    <row r="199">
      <c r="B199" s="846"/>
      <c r="C199" s="578"/>
      <c r="D199" s="10"/>
      <c r="F199" s="10"/>
      <c r="H199" s="10"/>
      <c r="I199" s="10"/>
      <c r="J199" s="10"/>
      <c r="K199" s="10"/>
      <c r="L199" s="2"/>
      <c r="M199" s="2"/>
      <c r="N199" s="2"/>
      <c r="O199" s="2"/>
      <c r="P199" s="2"/>
      <c r="Q199" s="2"/>
      <c r="R199" s="861"/>
      <c r="S199" s="111"/>
      <c r="T199" s="2"/>
      <c r="U199" s="2"/>
      <c r="V199" s="2"/>
      <c r="W199" s="2"/>
      <c r="X199" s="2"/>
    </row>
    <row r="200">
      <c r="B200" s="846"/>
      <c r="C200" s="578"/>
      <c r="D200" s="10"/>
      <c r="F200" s="10"/>
      <c r="H200" s="10"/>
      <c r="I200" s="10"/>
      <c r="J200" s="10"/>
      <c r="K200" s="10"/>
      <c r="L200" s="2"/>
      <c r="M200" s="2"/>
      <c r="N200" s="2"/>
      <c r="O200" s="2"/>
      <c r="P200" s="2"/>
      <c r="Q200" s="2"/>
      <c r="R200" s="861"/>
      <c r="S200" s="111"/>
      <c r="T200" s="2"/>
      <c r="U200" s="2"/>
      <c r="V200" s="2"/>
      <c r="W200" s="2"/>
      <c r="X200" s="2"/>
    </row>
    <row r="201">
      <c r="B201" s="846"/>
      <c r="C201" s="578"/>
      <c r="D201" s="10"/>
      <c r="F201" s="10"/>
      <c r="H201" s="10"/>
      <c r="I201" s="10"/>
      <c r="J201" s="10"/>
      <c r="K201" s="10"/>
      <c r="L201" s="2"/>
      <c r="M201" s="2"/>
      <c r="N201" s="2"/>
      <c r="O201" s="2"/>
      <c r="P201" s="2"/>
      <c r="Q201" s="2"/>
      <c r="R201" s="861"/>
      <c r="S201" s="111"/>
      <c r="T201" s="2"/>
      <c r="U201" s="2"/>
      <c r="V201" s="2"/>
      <c r="W201" s="2"/>
      <c r="X201" s="2"/>
    </row>
    <row r="202">
      <c r="B202" s="846"/>
      <c r="C202" s="578"/>
      <c r="D202" s="10"/>
      <c r="F202" s="10"/>
      <c r="H202" s="10"/>
      <c r="I202" s="10"/>
      <c r="J202" s="10"/>
      <c r="K202" s="10"/>
      <c r="L202" s="2"/>
      <c r="M202" s="2"/>
      <c r="N202" s="2"/>
      <c r="O202" s="2"/>
      <c r="P202" s="2"/>
      <c r="Q202" s="2"/>
      <c r="R202" s="861"/>
      <c r="S202" s="111"/>
      <c r="T202" s="2"/>
      <c r="U202" s="2"/>
      <c r="V202" s="2"/>
      <c r="W202" s="2"/>
      <c r="X202" s="2"/>
    </row>
    <row r="203">
      <c r="B203" s="846"/>
      <c r="C203" s="578"/>
      <c r="D203" s="10"/>
      <c r="F203" s="10"/>
      <c r="H203" s="10"/>
      <c r="I203" s="10"/>
      <c r="J203" s="10"/>
      <c r="K203" s="10"/>
      <c r="L203" s="2"/>
      <c r="M203" s="2"/>
      <c r="N203" s="2"/>
      <c r="O203" s="2"/>
      <c r="P203" s="2"/>
      <c r="Q203" s="2"/>
      <c r="R203" s="861"/>
      <c r="S203" s="111"/>
      <c r="T203" s="2"/>
      <c r="U203" s="2"/>
      <c r="V203" s="2"/>
      <c r="W203" s="2"/>
      <c r="X203" s="2"/>
    </row>
    <row r="204">
      <c r="B204" s="846"/>
      <c r="C204" s="578"/>
      <c r="D204" s="10"/>
      <c r="F204" s="10"/>
      <c r="H204" s="10"/>
      <c r="I204" s="10"/>
      <c r="J204" s="10"/>
      <c r="K204" s="10"/>
      <c r="L204" s="2"/>
      <c r="M204" s="2"/>
      <c r="N204" s="2"/>
      <c r="O204" s="2"/>
      <c r="P204" s="2"/>
      <c r="Q204" s="2"/>
      <c r="R204" s="861"/>
      <c r="S204" s="111"/>
      <c r="T204" s="2"/>
      <c r="U204" s="2"/>
      <c r="V204" s="2"/>
      <c r="W204" s="2"/>
      <c r="X204" s="2"/>
    </row>
    <row r="205">
      <c r="B205" s="846"/>
      <c r="C205" s="578"/>
      <c r="D205" s="10"/>
      <c r="F205" s="10"/>
      <c r="H205" s="10"/>
      <c r="I205" s="10"/>
      <c r="J205" s="10"/>
      <c r="K205" s="10"/>
      <c r="L205" s="2"/>
      <c r="M205" s="2"/>
      <c r="N205" s="2"/>
      <c r="O205" s="2"/>
      <c r="P205" s="2"/>
      <c r="Q205" s="2"/>
      <c r="R205" s="861"/>
      <c r="S205" s="111"/>
      <c r="T205" s="2"/>
      <c r="U205" s="2"/>
      <c r="V205" s="2"/>
      <c r="W205" s="2"/>
      <c r="X205" s="2"/>
    </row>
    <row r="206">
      <c r="B206" s="846"/>
      <c r="C206" s="578"/>
      <c r="D206" s="10"/>
      <c r="F206" s="10"/>
      <c r="H206" s="10"/>
      <c r="I206" s="10"/>
      <c r="J206" s="10"/>
      <c r="K206" s="10"/>
      <c r="L206" s="2"/>
      <c r="M206" s="2"/>
      <c r="N206" s="2"/>
      <c r="O206" s="2"/>
      <c r="P206" s="2"/>
      <c r="Q206" s="2"/>
      <c r="R206" s="861"/>
      <c r="S206" s="111"/>
      <c r="T206" s="2"/>
      <c r="U206" s="2"/>
      <c r="V206" s="2"/>
      <c r="W206" s="2"/>
      <c r="X206" s="2"/>
    </row>
    <row r="207">
      <c r="B207" s="846"/>
      <c r="C207" s="578"/>
      <c r="D207" s="10"/>
      <c r="F207" s="10"/>
      <c r="H207" s="10"/>
      <c r="I207" s="10"/>
      <c r="J207" s="10"/>
      <c r="K207" s="10"/>
      <c r="L207" s="2"/>
      <c r="M207" s="2"/>
      <c r="N207" s="2"/>
      <c r="O207" s="2"/>
      <c r="P207" s="2"/>
      <c r="Q207" s="2"/>
      <c r="R207" s="862"/>
      <c r="S207" s="109"/>
      <c r="T207" s="2"/>
      <c r="U207" s="2"/>
      <c r="V207" s="2"/>
      <c r="W207" s="2"/>
      <c r="X207" s="2"/>
    </row>
    <row r="208">
      <c r="B208" s="846"/>
      <c r="C208" s="578"/>
      <c r="D208" s="10"/>
      <c r="F208" s="10"/>
      <c r="H208" s="10"/>
      <c r="I208" s="10"/>
      <c r="J208" s="10"/>
      <c r="K208" s="10"/>
      <c r="L208" s="2"/>
      <c r="M208" s="2"/>
      <c r="N208" s="2"/>
      <c r="O208" s="2"/>
      <c r="P208" s="2"/>
      <c r="Q208" s="2"/>
      <c r="R208" s="862"/>
      <c r="S208" s="109"/>
      <c r="T208" s="54"/>
      <c r="U208" s="54"/>
      <c r="V208" s="54"/>
      <c r="W208" s="54"/>
      <c r="X208" s="54"/>
    </row>
    <row r="209">
      <c r="B209" s="846"/>
      <c r="C209" s="578"/>
      <c r="D209" s="10"/>
      <c r="F209" s="10"/>
      <c r="H209" s="10"/>
      <c r="I209" s="10"/>
      <c r="J209" s="10"/>
      <c r="K209" s="10"/>
      <c r="L209" s="2"/>
      <c r="M209" s="2"/>
      <c r="N209" s="2"/>
      <c r="O209" s="2"/>
      <c r="P209" s="2"/>
      <c r="Q209" s="2"/>
      <c r="R209" s="117"/>
      <c r="S209" s="2"/>
      <c r="T209" s="2"/>
      <c r="U209" s="2"/>
      <c r="V209" s="2"/>
      <c r="W209" s="2"/>
      <c r="X209" s="2"/>
    </row>
    <row r="210">
      <c r="B210" s="846"/>
      <c r="C210" s="578"/>
      <c r="D210" s="10"/>
      <c r="F210" s="10"/>
      <c r="H210" s="10"/>
      <c r="I210" s="10"/>
      <c r="J210" s="10"/>
      <c r="K210" s="10"/>
      <c r="L210" s="2"/>
      <c r="M210" s="2"/>
      <c r="N210" s="2"/>
      <c r="O210" s="2"/>
      <c r="P210" s="2"/>
      <c r="Q210" s="2"/>
      <c r="R210" s="117"/>
      <c r="S210" s="2"/>
      <c r="T210" s="2"/>
      <c r="U210" s="2"/>
      <c r="V210" s="2"/>
      <c r="W210" s="2"/>
      <c r="X210" s="2"/>
    </row>
    <row r="211">
      <c r="B211" s="846"/>
      <c r="C211" s="578"/>
      <c r="D211" s="10"/>
      <c r="F211" s="10"/>
      <c r="H211" s="10"/>
      <c r="I211" s="10"/>
      <c r="J211" s="10"/>
      <c r="K211" s="10"/>
      <c r="L211" s="2"/>
      <c r="M211" s="2"/>
      <c r="N211" s="2"/>
      <c r="O211" s="2"/>
      <c r="P211" s="2"/>
      <c r="Q211" s="2"/>
      <c r="R211" s="847"/>
      <c r="S211" s="847"/>
      <c r="T211" s="116"/>
      <c r="U211" s="116"/>
      <c r="V211" s="116"/>
      <c r="W211" s="116"/>
      <c r="X211" s="116"/>
    </row>
    <row r="212">
      <c r="B212" s="846"/>
      <c r="C212" s="578"/>
      <c r="D212" s="10"/>
      <c r="F212" s="10"/>
      <c r="H212" s="10"/>
      <c r="I212" s="10"/>
      <c r="J212" s="10"/>
      <c r="K212" s="10"/>
      <c r="L212" s="2"/>
      <c r="M212" s="2"/>
      <c r="N212" s="2"/>
      <c r="O212" s="2"/>
      <c r="P212" s="2"/>
      <c r="Q212" s="2"/>
      <c r="R212" s="848"/>
      <c r="S212" s="848"/>
      <c r="T212" s="848"/>
      <c r="U212" s="848"/>
      <c r="V212" s="848"/>
      <c r="W212" s="848"/>
      <c r="X212" s="848"/>
    </row>
    <row r="213">
      <c r="B213" s="846"/>
      <c r="C213" s="578"/>
      <c r="D213" s="10"/>
      <c r="F213" s="10"/>
      <c r="H213" s="10"/>
      <c r="I213" s="10"/>
      <c r="J213" s="10"/>
      <c r="K213" s="10"/>
      <c r="L213" s="2"/>
      <c r="M213" s="2"/>
      <c r="N213" s="2"/>
      <c r="O213" s="2"/>
      <c r="P213" s="2"/>
      <c r="Q213" s="2"/>
      <c r="R213" s="849"/>
      <c r="S213" s="850"/>
      <c r="T213" s="851"/>
      <c r="U213" s="851"/>
      <c r="V213" s="851"/>
      <c r="W213" s="851"/>
      <c r="X213" s="851"/>
    </row>
    <row r="214">
      <c r="B214" s="846"/>
      <c r="C214" s="578"/>
      <c r="D214" s="10"/>
      <c r="F214" s="10"/>
      <c r="H214" s="10"/>
      <c r="I214" s="10"/>
      <c r="J214" s="10"/>
      <c r="K214" s="10"/>
      <c r="L214" s="2"/>
      <c r="M214" s="2"/>
      <c r="N214" s="2"/>
      <c r="O214" s="2"/>
      <c r="P214" s="2"/>
      <c r="Q214" s="2"/>
      <c r="R214" s="852"/>
      <c r="S214" s="853"/>
      <c r="T214" s="854"/>
      <c r="U214" s="854"/>
      <c r="V214" s="854"/>
      <c r="W214" s="854"/>
      <c r="X214" s="854"/>
    </row>
    <row r="215">
      <c r="B215" s="846"/>
      <c r="C215" s="578"/>
      <c r="D215" s="10"/>
      <c r="F215" s="10"/>
      <c r="H215" s="10"/>
      <c r="I215" s="10"/>
      <c r="J215" s="10"/>
      <c r="K215" s="10"/>
      <c r="L215" s="2"/>
      <c r="M215" s="2"/>
      <c r="N215" s="2"/>
      <c r="O215" s="2"/>
      <c r="P215" s="2"/>
      <c r="Q215" s="2"/>
      <c r="R215" s="855"/>
      <c r="S215" s="856"/>
      <c r="T215" s="854"/>
      <c r="U215" s="854"/>
      <c r="V215" s="854"/>
      <c r="W215" s="854"/>
      <c r="X215" s="854"/>
    </row>
    <row r="216">
      <c r="B216" s="846"/>
      <c r="C216" s="578"/>
      <c r="D216" s="10"/>
      <c r="F216" s="10"/>
      <c r="H216" s="10"/>
      <c r="I216" s="10"/>
      <c r="J216" s="10"/>
      <c r="K216" s="10"/>
      <c r="L216" s="2"/>
      <c r="M216" s="2"/>
      <c r="N216" s="2"/>
      <c r="O216" s="2"/>
      <c r="P216" s="2"/>
      <c r="Q216" s="2"/>
      <c r="R216" s="855"/>
      <c r="S216" s="856"/>
      <c r="T216" s="854"/>
      <c r="U216" s="854"/>
      <c r="V216" s="854"/>
      <c r="W216" s="854"/>
      <c r="X216" s="854"/>
    </row>
    <row r="217">
      <c r="B217" s="846"/>
      <c r="C217" s="578"/>
      <c r="D217" s="10"/>
      <c r="F217" s="10"/>
      <c r="H217" s="10"/>
      <c r="I217" s="10"/>
      <c r="J217" s="10"/>
      <c r="K217" s="10"/>
      <c r="L217" s="2"/>
      <c r="M217" s="2"/>
      <c r="N217" s="2"/>
      <c r="O217" s="2"/>
      <c r="P217" s="2"/>
      <c r="Q217" s="2"/>
      <c r="R217" s="852"/>
      <c r="S217" s="853"/>
      <c r="T217" s="854"/>
      <c r="U217" s="854"/>
      <c r="V217" s="854"/>
      <c r="W217" s="854"/>
      <c r="X217" s="854"/>
    </row>
    <row r="218">
      <c r="B218" s="846"/>
      <c r="C218" s="578"/>
      <c r="D218" s="10"/>
      <c r="F218" s="10"/>
      <c r="H218" s="10"/>
      <c r="I218" s="10"/>
      <c r="J218" s="10"/>
      <c r="K218" s="10"/>
      <c r="L218" s="2"/>
      <c r="M218" s="2"/>
      <c r="N218" s="2"/>
      <c r="O218" s="2"/>
      <c r="P218" s="2"/>
      <c r="Q218" s="2"/>
      <c r="R218" s="857"/>
      <c r="S218" s="858"/>
      <c r="T218" s="854"/>
      <c r="U218" s="854"/>
      <c r="V218" s="854"/>
      <c r="W218" s="854"/>
      <c r="X218" s="854"/>
    </row>
    <row r="219">
      <c r="B219" s="846"/>
      <c r="C219" s="578"/>
      <c r="D219" s="10"/>
      <c r="F219" s="10"/>
      <c r="H219" s="10"/>
      <c r="I219" s="10"/>
      <c r="J219" s="10"/>
      <c r="K219" s="10"/>
      <c r="L219" s="2"/>
      <c r="M219" s="2"/>
      <c r="N219" s="2"/>
      <c r="O219" s="2"/>
      <c r="P219" s="2"/>
      <c r="Q219" s="2"/>
      <c r="R219" s="857"/>
      <c r="S219" s="858"/>
      <c r="T219" s="854"/>
      <c r="U219" s="854"/>
      <c r="V219" s="854"/>
      <c r="W219" s="854"/>
      <c r="X219" s="854"/>
    </row>
    <row r="220">
      <c r="B220" s="846"/>
      <c r="C220" s="578"/>
      <c r="D220" s="10"/>
      <c r="F220" s="10"/>
      <c r="H220" s="10"/>
      <c r="I220" s="10"/>
      <c r="J220" s="10"/>
      <c r="K220" s="10"/>
      <c r="L220" s="2"/>
      <c r="M220" s="2"/>
      <c r="N220" s="2"/>
      <c r="O220" s="2"/>
      <c r="P220" s="2"/>
      <c r="Q220" s="2"/>
      <c r="R220" s="857"/>
      <c r="S220" s="858"/>
      <c r="T220" s="854"/>
      <c r="U220" s="854"/>
      <c r="V220" s="854"/>
      <c r="W220" s="854"/>
      <c r="X220" s="854"/>
    </row>
    <row r="221">
      <c r="B221" s="846"/>
      <c r="C221" s="578"/>
      <c r="D221" s="10"/>
      <c r="F221" s="10"/>
      <c r="H221" s="10"/>
      <c r="I221" s="10"/>
      <c r="J221" s="10"/>
      <c r="K221" s="10"/>
      <c r="L221" s="2"/>
      <c r="M221" s="2"/>
      <c r="N221" s="2"/>
      <c r="O221" s="2"/>
      <c r="P221" s="2"/>
      <c r="Q221" s="2"/>
      <c r="R221" s="852"/>
      <c r="S221" s="853"/>
      <c r="T221" s="854"/>
      <c r="U221" s="854"/>
      <c r="V221" s="854"/>
      <c r="W221" s="854"/>
      <c r="X221" s="854"/>
    </row>
    <row r="222">
      <c r="B222" s="846"/>
      <c r="C222" s="578"/>
      <c r="D222" s="10"/>
      <c r="F222" s="10"/>
      <c r="H222" s="10"/>
      <c r="I222" s="10"/>
      <c r="J222" s="10"/>
      <c r="K222" s="10"/>
      <c r="L222" s="2"/>
      <c r="M222" s="2"/>
      <c r="N222" s="2"/>
      <c r="O222" s="2"/>
      <c r="P222" s="2"/>
      <c r="Q222" s="2"/>
      <c r="R222" s="852"/>
      <c r="S222" s="853"/>
      <c r="T222" s="854"/>
      <c r="U222" s="854"/>
      <c r="V222" s="854"/>
      <c r="W222" s="854"/>
      <c r="X222" s="854"/>
    </row>
    <row r="223">
      <c r="B223" s="846"/>
      <c r="C223" s="578"/>
      <c r="D223" s="10"/>
      <c r="F223" s="10"/>
      <c r="H223" s="10"/>
      <c r="I223" s="10"/>
      <c r="J223" s="10"/>
      <c r="K223" s="10"/>
      <c r="L223" s="2"/>
      <c r="M223" s="2"/>
      <c r="N223" s="2"/>
      <c r="O223" s="2"/>
      <c r="P223" s="2"/>
      <c r="Q223" s="2"/>
      <c r="R223" s="852"/>
      <c r="S223" s="853"/>
      <c r="T223" s="854"/>
      <c r="U223" s="854"/>
      <c r="V223" s="854"/>
      <c r="W223" s="854"/>
      <c r="X223" s="854"/>
    </row>
    <row r="224">
      <c r="B224" s="846"/>
      <c r="C224" s="578"/>
      <c r="D224" s="10"/>
      <c r="F224" s="10"/>
      <c r="H224" s="10"/>
      <c r="I224" s="10"/>
      <c r="J224" s="10"/>
      <c r="K224" s="10"/>
      <c r="L224" s="2"/>
      <c r="M224" s="2"/>
      <c r="N224" s="2"/>
      <c r="O224" s="2"/>
      <c r="P224" s="2"/>
      <c r="Q224" s="2"/>
      <c r="R224" s="852"/>
      <c r="S224" s="853"/>
      <c r="T224" s="854"/>
      <c r="U224" s="854"/>
      <c r="V224" s="854"/>
      <c r="W224" s="854"/>
      <c r="X224" s="854"/>
    </row>
    <row r="225">
      <c r="B225" s="846"/>
      <c r="C225" s="578"/>
      <c r="D225" s="10"/>
      <c r="F225" s="10"/>
      <c r="H225" s="10"/>
      <c r="I225" s="10"/>
      <c r="J225" s="10"/>
      <c r="K225" s="10"/>
      <c r="L225" s="2"/>
      <c r="M225" s="2"/>
      <c r="N225" s="2"/>
      <c r="O225" s="2"/>
      <c r="P225" s="2"/>
      <c r="Q225" s="2"/>
      <c r="R225" s="852"/>
      <c r="S225" s="859"/>
      <c r="T225" s="107"/>
      <c r="U225" s="107"/>
      <c r="V225" s="107"/>
      <c r="W225" s="107"/>
      <c r="X225" s="107"/>
    </row>
    <row r="226">
      <c r="B226" s="846"/>
      <c r="C226" s="578"/>
      <c r="D226" s="10"/>
      <c r="F226" s="10"/>
      <c r="H226" s="10"/>
      <c r="I226" s="10"/>
      <c r="J226" s="10"/>
      <c r="K226" s="10"/>
      <c r="L226" s="2"/>
      <c r="M226" s="2"/>
      <c r="N226" s="2"/>
      <c r="O226" s="2"/>
      <c r="P226" s="2"/>
      <c r="Q226" s="2"/>
      <c r="R226" s="852"/>
      <c r="S226" s="859"/>
      <c r="T226" s="107"/>
      <c r="U226" s="107"/>
      <c r="V226" s="107"/>
      <c r="W226" s="107"/>
      <c r="X226" s="107"/>
    </row>
    <row r="227">
      <c r="B227" s="846"/>
      <c r="C227" s="578"/>
      <c r="D227" s="10"/>
      <c r="F227" s="10"/>
      <c r="H227" s="10"/>
      <c r="I227" s="10"/>
      <c r="J227" s="10"/>
      <c r="K227" s="10"/>
      <c r="L227" s="2"/>
      <c r="M227" s="2"/>
      <c r="N227" s="2"/>
      <c r="O227" s="2"/>
      <c r="P227" s="2"/>
      <c r="Q227" s="2"/>
      <c r="R227" s="852"/>
      <c r="S227" s="859"/>
      <c r="T227" s="107"/>
      <c r="U227" s="107"/>
      <c r="V227" s="107"/>
      <c r="W227" s="107"/>
      <c r="X227" s="107"/>
    </row>
    <row r="228">
      <c r="B228" s="846"/>
      <c r="C228" s="578"/>
      <c r="D228" s="10"/>
      <c r="F228" s="10"/>
      <c r="H228" s="10"/>
      <c r="I228" s="10"/>
      <c r="J228" s="10"/>
      <c r="K228" s="10"/>
      <c r="L228" s="2"/>
      <c r="M228" s="2"/>
      <c r="N228" s="2"/>
      <c r="O228" s="2"/>
      <c r="P228" s="2"/>
      <c r="Q228" s="2"/>
      <c r="R228" s="852"/>
      <c r="S228" s="859"/>
      <c r="T228" s="107"/>
      <c r="U228" s="107"/>
      <c r="V228" s="107"/>
      <c r="W228" s="107"/>
      <c r="X228" s="107"/>
    </row>
    <row r="229">
      <c r="B229" s="846"/>
      <c r="C229" s="578"/>
      <c r="D229" s="10"/>
      <c r="F229" s="10"/>
      <c r="H229" s="10"/>
      <c r="I229" s="10"/>
      <c r="J229" s="10"/>
      <c r="K229" s="10"/>
      <c r="L229" s="2"/>
      <c r="M229" s="2"/>
      <c r="N229" s="2"/>
      <c r="O229" s="2"/>
      <c r="P229" s="2"/>
      <c r="Q229" s="2"/>
      <c r="R229" s="852"/>
      <c r="S229" s="859"/>
      <c r="T229" s="107"/>
      <c r="U229" s="107"/>
      <c r="V229" s="107"/>
      <c r="W229" s="107"/>
      <c r="X229" s="107"/>
    </row>
    <row r="230">
      <c r="B230" s="846"/>
      <c r="C230" s="578"/>
      <c r="D230" s="10"/>
      <c r="F230" s="10"/>
      <c r="H230" s="10"/>
      <c r="I230" s="10"/>
      <c r="J230" s="10"/>
      <c r="K230" s="10"/>
      <c r="L230" s="2"/>
      <c r="M230" s="2"/>
      <c r="N230" s="2"/>
      <c r="O230" s="2"/>
      <c r="P230" s="2"/>
      <c r="Q230" s="2"/>
      <c r="R230" s="852"/>
      <c r="S230" s="859"/>
      <c r="T230" s="107"/>
      <c r="U230" s="107"/>
      <c r="V230" s="107"/>
      <c r="W230" s="107"/>
      <c r="X230" s="107"/>
    </row>
    <row r="231">
      <c r="B231" s="846"/>
      <c r="C231" s="578"/>
      <c r="D231" s="10"/>
      <c r="F231" s="10"/>
      <c r="H231" s="10"/>
      <c r="I231" s="10"/>
      <c r="J231" s="10"/>
      <c r="K231" s="10"/>
      <c r="L231" s="2"/>
      <c r="M231" s="2"/>
      <c r="N231" s="2"/>
      <c r="O231" s="2"/>
      <c r="P231" s="2"/>
      <c r="Q231" s="2"/>
      <c r="R231" s="852"/>
      <c r="S231" s="859"/>
      <c r="T231" s="107"/>
      <c r="U231" s="107"/>
      <c r="V231" s="107"/>
      <c r="W231" s="107"/>
      <c r="X231" s="107"/>
    </row>
    <row r="232">
      <c r="B232" s="846"/>
      <c r="C232" s="578"/>
      <c r="D232" s="10"/>
      <c r="F232" s="10"/>
      <c r="H232" s="10"/>
      <c r="I232" s="10"/>
      <c r="J232" s="10"/>
      <c r="K232" s="10"/>
      <c r="L232" s="2"/>
      <c r="M232" s="2"/>
      <c r="N232" s="2"/>
      <c r="O232" s="2"/>
      <c r="P232" s="2"/>
      <c r="Q232" s="2"/>
      <c r="R232" s="852"/>
      <c r="S232" s="859"/>
      <c r="T232" s="107"/>
      <c r="U232" s="107"/>
      <c r="V232" s="107"/>
      <c r="W232" s="107"/>
      <c r="X232" s="107"/>
    </row>
    <row r="233">
      <c r="B233" s="846"/>
      <c r="C233" s="578"/>
      <c r="D233" s="10"/>
      <c r="F233" s="10"/>
      <c r="H233" s="10"/>
      <c r="I233" s="10"/>
      <c r="J233" s="10"/>
      <c r="K233" s="10"/>
      <c r="L233" s="2"/>
      <c r="M233" s="2"/>
      <c r="N233" s="2"/>
      <c r="O233" s="2"/>
      <c r="P233" s="2"/>
      <c r="Q233" s="2"/>
      <c r="R233" s="852"/>
      <c r="S233" s="859"/>
      <c r="T233" s="107"/>
      <c r="U233" s="107"/>
      <c r="V233" s="107"/>
      <c r="W233" s="107"/>
      <c r="X233" s="107"/>
    </row>
    <row r="234">
      <c r="B234" s="846"/>
      <c r="C234" s="578"/>
      <c r="D234" s="10"/>
      <c r="F234" s="10"/>
      <c r="H234" s="10"/>
      <c r="I234" s="10"/>
      <c r="J234" s="10"/>
      <c r="K234" s="10"/>
      <c r="L234" s="2"/>
      <c r="M234" s="2"/>
      <c r="N234" s="2"/>
      <c r="O234" s="2"/>
      <c r="P234" s="2"/>
      <c r="Q234" s="2"/>
      <c r="R234" s="852"/>
      <c r="S234" s="859"/>
      <c r="T234" s="107"/>
      <c r="U234" s="107"/>
      <c r="V234" s="107"/>
      <c r="W234" s="107"/>
      <c r="X234" s="107"/>
    </row>
    <row r="235">
      <c r="B235" s="846"/>
      <c r="C235" s="578"/>
      <c r="D235" s="10"/>
      <c r="F235" s="10"/>
      <c r="H235" s="10"/>
      <c r="I235" s="10"/>
      <c r="J235" s="10"/>
      <c r="K235" s="10"/>
      <c r="L235" s="2"/>
      <c r="M235" s="2"/>
      <c r="N235" s="2"/>
      <c r="O235" s="2"/>
      <c r="P235" s="2"/>
      <c r="Q235" s="2"/>
      <c r="R235" s="857"/>
      <c r="S235" s="860"/>
      <c r="T235" s="107"/>
      <c r="U235" s="107"/>
      <c r="V235" s="107"/>
      <c r="W235" s="107"/>
      <c r="X235" s="107"/>
    </row>
    <row r="236">
      <c r="B236" s="846"/>
      <c r="C236" s="578"/>
      <c r="D236" s="10"/>
      <c r="F236" s="10"/>
      <c r="H236" s="10"/>
      <c r="I236" s="10"/>
      <c r="J236" s="10"/>
      <c r="K236" s="10"/>
      <c r="L236" s="2"/>
      <c r="M236" s="2"/>
      <c r="N236" s="2"/>
      <c r="O236" s="2"/>
      <c r="P236" s="2"/>
      <c r="Q236" s="2"/>
      <c r="R236" s="861"/>
      <c r="S236" s="111"/>
      <c r="T236" s="2"/>
      <c r="U236" s="2"/>
      <c r="V236" s="2"/>
      <c r="W236" s="2"/>
      <c r="X236" s="2"/>
    </row>
    <row r="237">
      <c r="B237" s="846"/>
      <c r="C237" s="578"/>
      <c r="D237" s="10"/>
      <c r="F237" s="10"/>
      <c r="H237" s="10"/>
      <c r="I237" s="10"/>
      <c r="J237" s="10"/>
      <c r="K237" s="10"/>
      <c r="L237" s="2"/>
      <c r="M237" s="2"/>
      <c r="N237" s="2"/>
      <c r="O237" s="2"/>
      <c r="P237" s="2"/>
      <c r="Q237" s="2"/>
      <c r="R237" s="861"/>
      <c r="S237" s="111"/>
      <c r="T237" s="2"/>
      <c r="U237" s="2"/>
      <c r="V237" s="2"/>
      <c r="W237" s="2"/>
      <c r="X237" s="2"/>
    </row>
    <row r="238">
      <c r="B238" s="846"/>
      <c r="C238" s="578"/>
      <c r="D238" s="10"/>
      <c r="F238" s="10"/>
      <c r="H238" s="10"/>
      <c r="I238" s="10"/>
      <c r="J238" s="10"/>
      <c r="K238" s="10"/>
      <c r="L238" s="2"/>
      <c r="M238" s="2"/>
      <c r="N238" s="2"/>
      <c r="O238" s="2"/>
      <c r="P238" s="2"/>
      <c r="Q238" s="2"/>
      <c r="R238" s="861"/>
      <c r="S238" s="111"/>
      <c r="T238" s="2"/>
      <c r="U238" s="2"/>
      <c r="V238" s="2"/>
      <c r="W238" s="2"/>
      <c r="X238" s="2"/>
    </row>
    <row r="239">
      <c r="B239" s="846"/>
      <c r="C239" s="578"/>
      <c r="D239" s="10"/>
      <c r="F239" s="10"/>
      <c r="H239" s="10"/>
      <c r="I239" s="10"/>
      <c r="J239" s="10"/>
      <c r="K239" s="10"/>
      <c r="L239" s="2"/>
      <c r="M239" s="2"/>
      <c r="N239" s="2"/>
      <c r="O239" s="2"/>
      <c r="P239" s="2"/>
      <c r="Q239" s="2"/>
      <c r="R239" s="861"/>
      <c r="S239" s="111"/>
      <c r="T239" s="2"/>
      <c r="U239" s="2"/>
      <c r="V239" s="2"/>
      <c r="W239" s="2"/>
      <c r="X239" s="2"/>
    </row>
    <row r="240">
      <c r="B240" s="846"/>
      <c r="C240" s="578"/>
      <c r="D240" s="10"/>
      <c r="F240" s="10"/>
      <c r="H240" s="10"/>
      <c r="I240" s="10"/>
      <c r="J240" s="10"/>
      <c r="K240" s="10"/>
      <c r="L240" s="2"/>
      <c r="M240" s="2"/>
      <c r="N240" s="2"/>
      <c r="O240" s="2"/>
      <c r="P240" s="2"/>
      <c r="Q240" s="2"/>
      <c r="R240" s="861"/>
      <c r="S240" s="111"/>
      <c r="T240" s="2"/>
      <c r="U240" s="2"/>
      <c r="V240" s="2"/>
      <c r="W240" s="2"/>
      <c r="X240" s="2"/>
    </row>
    <row r="241">
      <c r="B241" s="846"/>
      <c r="C241" s="578"/>
      <c r="D241" s="10"/>
      <c r="F241" s="10"/>
      <c r="H241" s="10"/>
      <c r="I241" s="10"/>
      <c r="J241" s="10"/>
      <c r="K241" s="10"/>
      <c r="L241" s="2"/>
      <c r="M241" s="2"/>
      <c r="N241" s="2"/>
      <c r="O241" s="2"/>
      <c r="P241" s="2"/>
      <c r="Q241" s="2"/>
      <c r="R241" s="862"/>
      <c r="S241" s="109"/>
      <c r="T241" s="2"/>
      <c r="U241" s="2"/>
      <c r="V241" s="2"/>
      <c r="W241" s="2"/>
      <c r="X241" s="2"/>
    </row>
    <row r="242">
      <c r="B242" s="846"/>
      <c r="C242" s="578"/>
      <c r="D242" s="10"/>
      <c r="F242" s="10"/>
      <c r="H242" s="10"/>
      <c r="I242" s="10"/>
      <c r="J242" s="10"/>
      <c r="K242" s="10"/>
      <c r="L242" s="2"/>
      <c r="M242" s="2"/>
      <c r="N242" s="2"/>
      <c r="O242" s="2"/>
      <c r="P242" s="2"/>
      <c r="Q242" s="2"/>
      <c r="R242" s="861"/>
      <c r="S242" s="111"/>
      <c r="T242" s="2"/>
      <c r="U242" s="2"/>
      <c r="V242" s="2"/>
      <c r="W242" s="2"/>
      <c r="X242" s="2"/>
    </row>
    <row r="243">
      <c r="B243" s="846"/>
      <c r="C243" s="578"/>
      <c r="D243" s="10"/>
      <c r="F243" s="10"/>
      <c r="H243" s="10"/>
      <c r="I243" s="10"/>
      <c r="J243" s="10"/>
      <c r="K243" s="10"/>
      <c r="L243" s="2"/>
      <c r="M243" s="2"/>
      <c r="N243" s="2"/>
      <c r="O243" s="2"/>
      <c r="P243" s="2"/>
      <c r="Q243" s="2"/>
      <c r="R243" s="861"/>
      <c r="S243" s="111"/>
      <c r="T243" s="2"/>
      <c r="U243" s="2"/>
      <c r="V243" s="2"/>
      <c r="W243" s="2"/>
      <c r="X243" s="2"/>
    </row>
    <row r="244">
      <c r="B244" s="846"/>
      <c r="C244" s="578"/>
      <c r="D244" s="10"/>
      <c r="F244" s="10"/>
      <c r="H244" s="10"/>
      <c r="I244" s="10"/>
      <c r="J244" s="10"/>
      <c r="K244" s="10"/>
      <c r="L244" s="2"/>
      <c r="M244" s="2"/>
      <c r="N244" s="2"/>
      <c r="O244" s="2"/>
      <c r="P244" s="2"/>
      <c r="Q244" s="2"/>
      <c r="R244" s="861"/>
      <c r="S244" s="111"/>
      <c r="T244" s="2"/>
      <c r="U244" s="2"/>
      <c r="V244" s="2"/>
      <c r="W244" s="2"/>
      <c r="X244" s="2"/>
    </row>
    <row r="245">
      <c r="B245" s="846"/>
      <c r="C245" s="578"/>
      <c r="D245" s="10"/>
      <c r="F245" s="10"/>
      <c r="H245" s="10"/>
      <c r="I245" s="10"/>
      <c r="J245" s="10"/>
      <c r="K245" s="10"/>
      <c r="L245" s="2"/>
      <c r="M245" s="2"/>
      <c r="N245" s="2"/>
      <c r="O245" s="2"/>
      <c r="P245" s="2"/>
      <c r="Q245" s="2"/>
      <c r="R245" s="861"/>
      <c r="S245" s="111"/>
      <c r="T245" s="2"/>
      <c r="U245" s="2"/>
      <c r="V245" s="2"/>
      <c r="W245" s="2"/>
      <c r="X245" s="2"/>
    </row>
    <row r="246">
      <c r="B246" s="846"/>
      <c r="C246" s="578"/>
      <c r="D246" s="10"/>
      <c r="F246" s="10"/>
      <c r="H246" s="10"/>
      <c r="I246" s="10"/>
      <c r="J246" s="10"/>
      <c r="K246" s="10"/>
      <c r="L246" s="2"/>
      <c r="M246" s="2"/>
      <c r="N246" s="2"/>
      <c r="O246" s="2"/>
      <c r="P246" s="2"/>
      <c r="Q246" s="2"/>
      <c r="R246" s="861"/>
      <c r="S246" s="111"/>
      <c r="T246" s="2"/>
      <c r="U246" s="2"/>
      <c r="V246" s="2"/>
      <c r="W246" s="2"/>
      <c r="X246" s="2"/>
    </row>
    <row r="247">
      <c r="B247" s="846"/>
      <c r="C247" s="578"/>
      <c r="D247" s="10"/>
      <c r="F247" s="10"/>
      <c r="H247" s="10"/>
      <c r="I247" s="10"/>
      <c r="J247" s="10"/>
      <c r="K247" s="10"/>
      <c r="L247" s="2"/>
      <c r="M247" s="2"/>
      <c r="N247" s="2"/>
      <c r="O247" s="2"/>
      <c r="P247" s="2"/>
      <c r="Q247" s="2"/>
      <c r="R247" s="861"/>
      <c r="S247" s="111"/>
      <c r="T247" s="2"/>
      <c r="U247" s="2"/>
      <c r="V247" s="2"/>
      <c r="W247" s="2"/>
      <c r="X247" s="2"/>
    </row>
    <row r="248">
      <c r="B248" s="846"/>
      <c r="C248" s="578"/>
      <c r="D248" s="10"/>
      <c r="F248" s="10"/>
      <c r="H248" s="10"/>
      <c r="I248" s="10"/>
      <c r="J248" s="10"/>
      <c r="K248" s="10"/>
      <c r="L248" s="2"/>
      <c r="M248" s="2"/>
      <c r="N248" s="2"/>
      <c r="O248" s="2"/>
      <c r="P248" s="2"/>
      <c r="Q248" s="2"/>
      <c r="R248" s="861"/>
      <c r="S248" s="111"/>
      <c r="T248" s="2"/>
      <c r="U248" s="2"/>
      <c r="V248" s="2"/>
      <c r="W248" s="2"/>
      <c r="X248" s="2"/>
    </row>
    <row r="249">
      <c r="B249" s="846"/>
      <c r="C249" s="578"/>
      <c r="D249" s="10"/>
      <c r="F249" s="10"/>
      <c r="H249" s="10"/>
      <c r="I249" s="10"/>
      <c r="J249" s="10"/>
      <c r="K249" s="10"/>
      <c r="L249" s="2"/>
      <c r="M249" s="2"/>
      <c r="N249" s="2"/>
      <c r="O249" s="2"/>
      <c r="P249" s="2"/>
      <c r="Q249" s="2"/>
      <c r="R249" s="861"/>
      <c r="S249" s="111"/>
      <c r="T249" s="2"/>
      <c r="U249" s="2"/>
      <c r="V249" s="2"/>
      <c r="W249" s="2"/>
      <c r="X249" s="2"/>
    </row>
    <row r="250">
      <c r="B250" s="846"/>
      <c r="C250" s="578"/>
      <c r="D250" s="10"/>
      <c r="F250" s="10"/>
      <c r="H250" s="10"/>
      <c r="I250" s="10"/>
      <c r="J250" s="10"/>
      <c r="K250" s="10"/>
      <c r="L250" s="2"/>
      <c r="M250" s="2"/>
      <c r="N250" s="2"/>
      <c r="O250" s="2"/>
      <c r="P250" s="2"/>
      <c r="Q250" s="2"/>
      <c r="R250" s="862"/>
      <c r="S250" s="109"/>
      <c r="T250" s="2"/>
      <c r="U250" s="2"/>
      <c r="V250" s="2"/>
      <c r="W250" s="2"/>
      <c r="X250" s="2"/>
    </row>
    <row r="251">
      <c r="B251" s="846"/>
      <c r="C251" s="578"/>
      <c r="D251" s="10"/>
      <c r="F251" s="10"/>
      <c r="H251" s="10"/>
      <c r="I251" s="10"/>
      <c r="J251" s="10"/>
      <c r="K251" s="10"/>
      <c r="L251" s="2"/>
      <c r="M251" s="2"/>
      <c r="N251" s="2"/>
      <c r="O251" s="2"/>
      <c r="P251" s="2"/>
      <c r="Q251" s="2"/>
      <c r="R251" s="862"/>
      <c r="S251" s="109"/>
      <c r="T251" s="54"/>
      <c r="U251" s="54"/>
      <c r="V251" s="54"/>
      <c r="W251" s="54"/>
      <c r="X251" s="54"/>
    </row>
    <row r="252">
      <c r="B252" s="846"/>
      <c r="C252" s="578"/>
      <c r="D252" s="10"/>
      <c r="F252" s="10"/>
      <c r="H252" s="10"/>
      <c r="I252" s="10"/>
      <c r="J252" s="10"/>
      <c r="K252" s="10"/>
      <c r="L252" s="2"/>
      <c r="M252" s="2"/>
      <c r="N252" s="2"/>
      <c r="O252" s="2"/>
      <c r="P252" s="2"/>
      <c r="Q252" s="2"/>
      <c r="R252" s="117"/>
      <c r="S252" s="2"/>
      <c r="T252" s="2"/>
      <c r="U252" s="2"/>
      <c r="V252" s="2"/>
      <c r="W252" s="2"/>
      <c r="X252" s="2"/>
    </row>
    <row r="253">
      <c r="B253" s="846"/>
      <c r="C253" s="578"/>
      <c r="D253" s="10"/>
      <c r="F253" s="10"/>
      <c r="H253" s="10"/>
      <c r="I253" s="10"/>
      <c r="J253" s="10"/>
      <c r="K253" s="10"/>
      <c r="L253" s="2"/>
      <c r="M253" s="2"/>
      <c r="N253" s="2"/>
      <c r="O253" s="2"/>
      <c r="P253" s="2"/>
      <c r="Q253" s="2"/>
      <c r="R253" s="117"/>
      <c r="S253" s="2"/>
      <c r="T253" s="2"/>
      <c r="U253" s="2"/>
      <c r="V253" s="2"/>
      <c r="W253" s="2"/>
      <c r="X253" s="2"/>
    </row>
    <row r="254">
      <c r="B254" s="846"/>
      <c r="C254" s="578"/>
      <c r="D254" s="10"/>
      <c r="F254" s="10"/>
      <c r="H254" s="10"/>
      <c r="I254" s="10"/>
      <c r="J254" s="10"/>
      <c r="K254" s="10"/>
      <c r="L254" s="2"/>
      <c r="M254" s="2"/>
      <c r="N254" s="2"/>
      <c r="O254" s="2"/>
      <c r="P254" s="2"/>
      <c r="Q254" s="2"/>
      <c r="R254" s="847"/>
      <c r="S254" s="847"/>
      <c r="T254" s="116"/>
      <c r="U254" s="116"/>
      <c r="V254" s="116"/>
      <c r="W254" s="116"/>
      <c r="X254" s="116"/>
    </row>
    <row r="255">
      <c r="B255" s="846"/>
      <c r="C255" s="578"/>
      <c r="D255" s="10"/>
      <c r="F255" s="10"/>
      <c r="H255" s="10"/>
      <c r="I255" s="10"/>
      <c r="J255" s="10"/>
      <c r="K255" s="10"/>
      <c r="L255" s="2"/>
      <c r="M255" s="2"/>
      <c r="N255" s="2"/>
      <c r="O255" s="2"/>
      <c r="P255" s="2"/>
      <c r="Q255" s="2"/>
      <c r="R255" s="848"/>
      <c r="S255" s="848"/>
      <c r="T255" s="848"/>
      <c r="U255" s="848"/>
      <c r="V255" s="848"/>
      <c r="W255" s="848"/>
      <c r="X255" s="848"/>
    </row>
    <row r="256">
      <c r="B256" s="846"/>
      <c r="C256" s="578"/>
      <c r="D256" s="10"/>
      <c r="F256" s="10"/>
      <c r="H256" s="10"/>
      <c r="I256" s="10"/>
      <c r="J256" s="10"/>
      <c r="K256" s="10"/>
      <c r="L256" s="2"/>
      <c r="M256" s="2"/>
      <c r="N256" s="2"/>
      <c r="O256" s="2"/>
      <c r="P256" s="2"/>
      <c r="Q256" s="2"/>
      <c r="R256" s="849"/>
      <c r="S256" s="850"/>
      <c r="T256" s="851"/>
      <c r="U256" s="851"/>
      <c r="V256" s="851"/>
      <c r="W256" s="851"/>
      <c r="X256" s="851"/>
    </row>
    <row r="257">
      <c r="B257" s="846"/>
      <c r="C257" s="578"/>
      <c r="D257" s="10"/>
      <c r="F257" s="10"/>
      <c r="H257" s="10"/>
      <c r="I257" s="10"/>
      <c r="J257" s="10"/>
      <c r="K257" s="10"/>
      <c r="L257" s="2"/>
      <c r="M257" s="2"/>
      <c r="N257" s="2"/>
      <c r="O257" s="2"/>
      <c r="P257" s="2"/>
      <c r="Q257" s="2"/>
      <c r="R257" s="852"/>
      <c r="S257" s="853"/>
      <c r="T257" s="854"/>
      <c r="U257" s="854"/>
      <c r="V257" s="854"/>
      <c r="W257" s="854"/>
      <c r="X257" s="854"/>
    </row>
    <row r="258">
      <c r="B258" s="846"/>
      <c r="C258" s="578"/>
      <c r="D258" s="10"/>
      <c r="F258" s="10"/>
      <c r="H258" s="10"/>
      <c r="I258" s="10"/>
      <c r="J258" s="10"/>
      <c r="K258" s="10"/>
      <c r="L258" s="2"/>
      <c r="M258" s="2"/>
      <c r="N258" s="2"/>
      <c r="O258" s="2"/>
      <c r="P258" s="2"/>
      <c r="Q258" s="2"/>
      <c r="R258" s="855"/>
      <c r="S258" s="856"/>
      <c r="T258" s="854"/>
      <c r="U258" s="854"/>
      <c r="V258" s="854"/>
      <c r="W258" s="854"/>
      <c r="X258" s="854"/>
    </row>
    <row r="259">
      <c r="B259" s="846"/>
      <c r="C259" s="578"/>
      <c r="D259" s="10"/>
      <c r="F259" s="10"/>
      <c r="H259" s="10"/>
      <c r="I259" s="10"/>
      <c r="J259" s="10"/>
      <c r="K259" s="10"/>
      <c r="L259" s="2"/>
      <c r="M259" s="2"/>
      <c r="N259" s="2"/>
      <c r="O259" s="2"/>
      <c r="P259" s="2"/>
      <c r="Q259" s="2"/>
      <c r="R259" s="855"/>
      <c r="S259" s="856"/>
      <c r="T259" s="854"/>
      <c r="U259" s="854"/>
      <c r="V259" s="854"/>
      <c r="W259" s="854"/>
      <c r="X259" s="854"/>
    </row>
    <row r="260">
      <c r="B260" s="846"/>
      <c r="C260" s="578"/>
      <c r="D260" s="10"/>
      <c r="F260" s="10"/>
      <c r="H260" s="10"/>
      <c r="I260" s="10"/>
      <c r="J260" s="10"/>
      <c r="K260" s="10"/>
      <c r="L260" s="2"/>
      <c r="M260" s="2"/>
      <c r="N260" s="2"/>
      <c r="O260" s="2"/>
      <c r="P260" s="2"/>
      <c r="Q260" s="2"/>
      <c r="R260" s="852"/>
      <c r="S260" s="853"/>
      <c r="T260" s="854"/>
      <c r="U260" s="854"/>
      <c r="V260" s="854"/>
      <c r="W260" s="854"/>
      <c r="X260" s="854"/>
    </row>
    <row r="261">
      <c r="B261" s="846"/>
      <c r="C261" s="578"/>
      <c r="D261" s="10"/>
      <c r="F261" s="10"/>
      <c r="H261" s="10"/>
      <c r="I261" s="10"/>
      <c r="J261" s="10"/>
      <c r="K261" s="10"/>
      <c r="L261" s="2"/>
      <c r="M261" s="2"/>
      <c r="N261" s="2"/>
      <c r="O261" s="2"/>
      <c r="P261" s="2"/>
      <c r="Q261" s="2"/>
      <c r="R261" s="857"/>
      <c r="S261" s="858"/>
      <c r="T261" s="854"/>
      <c r="U261" s="854"/>
      <c r="V261" s="854"/>
      <c r="W261" s="854"/>
      <c r="X261" s="854"/>
    </row>
    <row r="262">
      <c r="B262" s="846"/>
      <c r="C262" s="578"/>
      <c r="D262" s="10"/>
      <c r="F262" s="10"/>
      <c r="H262" s="10"/>
      <c r="I262" s="10"/>
      <c r="J262" s="10"/>
      <c r="K262" s="10"/>
      <c r="L262" s="2"/>
      <c r="M262" s="2"/>
      <c r="N262" s="2"/>
      <c r="O262" s="2"/>
      <c r="P262" s="2"/>
      <c r="Q262" s="2"/>
      <c r="R262" s="857"/>
      <c r="S262" s="858"/>
      <c r="T262" s="854"/>
      <c r="U262" s="854"/>
      <c r="V262" s="854"/>
      <c r="W262" s="854"/>
      <c r="X262" s="854"/>
    </row>
    <row r="263">
      <c r="B263" s="846"/>
      <c r="C263" s="578"/>
      <c r="D263" s="10"/>
      <c r="F263" s="10"/>
      <c r="H263" s="10"/>
      <c r="I263" s="10"/>
      <c r="J263" s="10"/>
      <c r="K263" s="10"/>
      <c r="L263" s="2"/>
      <c r="M263" s="2"/>
      <c r="N263" s="2"/>
      <c r="O263" s="2"/>
      <c r="P263" s="2"/>
      <c r="Q263" s="2"/>
      <c r="R263" s="857"/>
      <c r="S263" s="858"/>
      <c r="T263" s="854"/>
      <c r="U263" s="854"/>
      <c r="V263" s="854"/>
      <c r="W263" s="854"/>
      <c r="X263" s="854"/>
    </row>
    <row r="264">
      <c r="B264" s="846"/>
      <c r="C264" s="578"/>
      <c r="D264" s="10"/>
      <c r="F264" s="10"/>
      <c r="H264" s="10"/>
      <c r="I264" s="10"/>
      <c r="J264" s="10"/>
      <c r="K264" s="10"/>
      <c r="L264" s="2"/>
      <c r="M264" s="2"/>
      <c r="N264" s="2"/>
      <c r="O264" s="2"/>
      <c r="P264" s="2"/>
      <c r="Q264" s="2"/>
      <c r="R264" s="852"/>
      <c r="S264" s="853"/>
      <c r="T264" s="854"/>
      <c r="U264" s="854"/>
      <c r="V264" s="854"/>
      <c r="W264" s="854"/>
      <c r="X264" s="854"/>
    </row>
    <row r="265">
      <c r="B265" s="846"/>
      <c r="C265" s="578"/>
      <c r="D265" s="10"/>
      <c r="F265" s="10"/>
      <c r="H265" s="10"/>
      <c r="I265" s="10"/>
      <c r="J265" s="10"/>
      <c r="K265" s="10"/>
      <c r="L265" s="2"/>
      <c r="M265" s="2"/>
      <c r="N265" s="2"/>
      <c r="O265" s="2"/>
      <c r="P265" s="2"/>
      <c r="Q265" s="2"/>
      <c r="R265" s="852"/>
      <c r="S265" s="853"/>
      <c r="T265" s="854"/>
      <c r="U265" s="854"/>
      <c r="V265" s="854"/>
      <c r="W265" s="854"/>
      <c r="X265" s="854"/>
    </row>
    <row r="266">
      <c r="B266" s="846"/>
      <c r="C266" s="578"/>
      <c r="D266" s="10"/>
      <c r="F266" s="10"/>
      <c r="H266" s="10"/>
      <c r="I266" s="10"/>
      <c r="J266" s="10"/>
      <c r="K266" s="10"/>
      <c r="L266" s="2"/>
      <c r="M266" s="2"/>
      <c r="N266" s="2"/>
      <c r="O266" s="2"/>
      <c r="P266" s="2"/>
      <c r="Q266" s="2"/>
      <c r="R266" s="852"/>
      <c r="S266" s="853"/>
      <c r="T266" s="854"/>
      <c r="U266" s="854"/>
      <c r="V266" s="854"/>
      <c r="W266" s="854"/>
      <c r="X266" s="854"/>
    </row>
    <row r="267">
      <c r="B267" s="846"/>
      <c r="C267" s="578"/>
      <c r="D267" s="10"/>
      <c r="F267" s="10"/>
      <c r="H267" s="10"/>
      <c r="I267" s="10"/>
      <c r="J267" s="10"/>
      <c r="K267" s="10"/>
      <c r="L267" s="2"/>
      <c r="M267" s="2"/>
      <c r="N267" s="2"/>
      <c r="O267" s="2"/>
      <c r="P267" s="2"/>
      <c r="Q267" s="2"/>
      <c r="R267" s="852"/>
      <c r="S267" s="853"/>
      <c r="T267" s="854"/>
      <c r="U267" s="854"/>
      <c r="V267" s="854"/>
      <c r="W267" s="854"/>
      <c r="X267" s="854"/>
    </row>
    <row r="268">
      <c r="B268" s="846"/>
      <c r="C268" s="578"/>
      <c r="D268" s="10"/>
      <c r="F268" s="10"/>
      <c r="H268" s="10"/>
      <c r="I268" s="10"/>
      <c r="J268" s="10"/>
      <c r="K268" s="10"/>
      <c r="L268" s="2"/>
      <c r="M268" s="2"/>
      <c r="N268" s="2"/>
      <c r="O268" s="2"/>
      <c r="P268" s="2"/>
      <c r="Q268" s="2"/>
      <c r="R268" s="852"/>
      <c r="S268" s="859"/>
      <c r="T268" s="107"/>
      <c r="U268" s="107"/>
      <c r="V268" s="107"/>
      <c r="W268" s="107"/>
      <c r="X268" s="107"/>
    </row>
    <row r="269">
      <c r="B269" s="846"/>
      <c r="C269" s="578"/>
      <c r="D269" s="10"/>
      <c r="F269" s="10"/>
      <c r="H269" s="10"/>
      <c r="I269" s="10"/>
      <c r="J269" s="10"/>
      <c r="K269" s="10"/>
      <c r="L269" s="2"/>
      <c r="M269" s="2"/>
      <c r="N269" s="2"/>
      <c r="O269" s="2"/>
      <c r="P269" s="2"/>
      <c r="Q269" s="2"/>
      <c r="R269" s="852"/>
      <c r="S269" s="859"/>
      <c r="T269" s="107"/>
      <c r="U269" s="107"/>
      <c r="V269" s="107"/>
      <c r="W269" s="107"/>
      <c r="X269" s="107"/>
    </row>
    <row r="270">
      <c r="B270" s="846"/>
      <c r="C270" s="578"/>
      <c r="D270" s="10"/>
      <c r="F270" s="10"/>
      <c r="H270" s="10"/>
      <c r="I270" s="10"/>
      <c r="J270" s="10"/>
      <c r="K270" s="10"/>
      <c r="L270" s="2"/>
      <c r="M270" s="2"/>
      <c r="N270" s="2"/>
      <c r="O270" s="2"/>
      <c r="P270" s="2"/>
      <c r="Q270" s="2"/>
      <c r="R270" s="852"/>
      <c r="S270" s="859"/>
      <c r="T270" s="107"/>
      <c r="U270" s="107"/>
      <c r="V270" s="107"/>
      <c r="W270" s="107"/>
      <c r="X270" s="107"/>
    </row>
    <row r="271">
      <c r="B271" s="846"/>
      <c r="C271" s="578"/>
      <c r="D271" s="10"/>
      <c r="F271" s="10"/>
      <c r="H271" s="10"/>
      <c r="I271" s="10"/>
      <c r="J271" s="10"/>
      <c r="K271" s="10"/>
      <c r="L271" s="2"/>
      <c r="M271" s="2"/>
      <c r="N271" s="2"/>
      <c r="O271" s="2"/>
      <c r="P271" s="2"/>
      <c r="Q271" s="2"/>
      <c r="R271" s="852"/>
      <c r="S271" s="859"/>
      <c r="T271" s="107"/>
      <c r="U271" s="107"/>
      <c r="V271" s="107"/>
      <c r="W271" s="107"/>
      <c r="X271" s="107"/>
    </row>
    <row r="272">
      <c r="B272" s="846"/>
      <c r="C272" s="578"/>
      <c r="D272" s="10"/>
      <c r="F272" s="10"/>
      <c r="H272" s="10"/>
      <c r="I272" s="10"/>
      <c r="J272" s="10"/>
      <c r="K272" s="10"/>
      <c r="L272" s="2"/>
      <c r="M272" s="2"/>
      <c r="N272" s="2"/>
      <c r="O272" s="2"/>
      <c r="P272" s="2"/>
      <c r="Q272" s="2"/>
      <c r="R272" s="852"/>
      <c r="S272" s="859"/>
      <c r="T272" s="107"/>
      <c r="U272" s="107"/>
      <c r="V272" s="107"/>
      <c r="W272" s="107"/>
      <c r="X272" s="107"/>
    </row>
    <row r="273">
      <c r="B273" s="846"/>
      <c r="C273" s="578"/>
      <c r="D273" s="10"/>
      <c r="F273" s="10"/>
      <c r="H273" s="10"/>
      <c r="I273" s="10"/>
      <c r="J273" s="10"/>
      <c r="K273" s="10"/>
      <c r="L273" s="2"/>
      <c r="M273" s="2"/>
      <c r="N273" s="2"/>
      <c r="O273" s="2"/>
      <c r="P273" s="2"/>
      <c r="Q273" s="2"/>
      <c r="R273" s="852"/>
      <c r="S273" s="859"/>
      <c r="T273" s="107"/>
      <c r="U273" s="107"/>
      <c r="V273" s="107"/>
      <c r="W273" s="107"/>
      <c r="X273" s="107"/>
    </row>
    <row r="274">
      <c r="B274" s="846"/>
      <c r="C274" s="578"/>
      <c r="D274" s="10"/>
      <c r="F274" s="10"/>
      <c r="H274" s="10"/>
      <c r="I274" s="10"/>
      <c r="J274" s="10"/>
      <c r="K274" s="10"/>
      <c r="L274" s="2"/>
      <c r="M274" s="2"/>
      <c r="N274" s="2"/>
      <c r="O274" s="2"/>
      <c r="P274" s="2"/>
      <c r="Q274" s="2"/>
      <c r="R274" s="852"/>
      <c r="S274" s="859"/>
      <c r="T274" s="107"/>
      <c r="U274" s="107"/>
      <c r="V274" s="107"/>
      <c r="W274" s="107"/>
      <c r="X274" s="107"/>
    </row>
    <row r="275">
      <c r="B275" s="846"/>
      <c r="C275" s="578"/>
      <c r="D275" s="10"/>
      <c r="F275" s="10"/>
      <c r="H275" s="10"/>
      <c r="I275" s="10"/>
      <c r="J275" s="10"/>
      <c r="K275" s="10"/>
      <c r="L275" s="2"/>
      <c r="M275" s="2"/>
      <c r="N275" s="2"/>
      <c r="O275" s="2"/>
      <c r="P275" s="2"/>
      <c r="Q275" s="2"/>
      <c r="R275" s="852"/>
      <c r="S275" s="859"/>
      <c r="T275" s="107"/>
      <c r="U275" s="107"/>
      <c r="V275" s="107"/>
      <c r="W275" s="107"/>
      <c r="X275" s="107"/>
    </row>
    <row r="276">
      <c r="B276" s="846"/>
      <c r="C276" s="578"/>
      <c r="D276" s="10"/>
      <c r="F276" s="10"/>
      <c r="H276" s="10"/>
      <c r="I276" s="10"/>
      <c r="J276" s="10"/>
      <c r="K276" s="10"/>
      <c r="L276" s="2"/>
      <c r="M276" s="2"/>
      <c r="N276" s="2"/>
      <c r="O276" s="2"/>
      <c r="P276" s="2"/>
      <c r="Q276" s="2"/>
      <c r="R276" s="852"/>
      <c r="S276" s="859"/>
      <c r="T276" s="107"/>
      <c r="U276" s="107"/>
      <c r="V276" s="107"/>
      <c r="W276" s="107"/>
      <c r="X276" s="107"/>
    </row>
    <row r="277">
      <c r="B277" s="846"/>
      <c r="C277" s="578"/>
      <c r="D277" s="10"/>
      <c r="F277" s="10"/>
      <c r="H277" s="10"/>
      <c r="I277" s="10"/>
      <c r="J277" s="10"/>
      <c r="K277" s="10"/>
      <c r="L277" s="2"/>
      <c r="M277" s="2"/>
      <c r="N277" s="2"/>
      <c r="O277" s="2"/>
      <c r="P277" s="2"/>
      <c r="Q277" s="2"/>
      <c r="R277" s="852"/>
      <c r="S277" s="859"/>
      <c r="T277" s="107"/>
      <c r="U277" s="107"/>
      <c r="V277" s="107"/>
      <c r="W277" s="107"/>
      <c r="X277" s="107"/>
    </row>
    <row r="278">
      <c r="B278" s="846"/>
      <c r="C278" s="578"/>
      <c r="D278" s="10"/>
      <c r="F278" s="10"/>
      <c r="H278" s="10"/>
      <c r="I278" s="10"/>
      <c r="J278" s="10"/>
      <c r="K278" s="10"/>
      <c r="L278" s="2"/>
      <c r="M278" s="2"/>
      <c r="N278" s="2"/>
      <c r="O278" s="2"/>
      <c r="P278" s="2"/>
      <c r="Q278" s="2"/>
      <c r="R278" s="857"/>
      <c r="S278" s="860"/>
      <c r="T278" s="107"/>
      <c r="U278" s="107"/>
      <c r="V278" s="107"/>
      <c r="W278" s="107"/>
      <c r="X278" s="107"/>
    </row>
    <row r="279">
      <c r="B279" s="846"/>
      <c r="C279" s="578"/>
      <c r="D279" s="10"/>
      <c r="F279" s="10"/>
      <c r="H279" s="10"/>
      <c r="I279" s="10"/>
      <c r="J279" s="10"/>
      <c r="K279" s="10"/>
      <c r="L279" s="2"/>
      <c r="M279" s="2"/>
      <c r="N279" s="2"/>
      <c r="O279" s="2"/>
      <c r="P279" s="2"/>
      <c r="Q279" s="2"/>
      <c r="R279" s="861"/>
      <c r="S279" s="111"/>
      <c r="T279" s="2"/>
      <c r="U279" s="2"/>
      <c r="V279" s="2"/>
      <c r="W279" s="2"/>
      <c r="X279" s="2"/>
    </row>
    <row r="280">
      <c r="B280" s="846"/>
      <c r="C280" s="578"/>
      <c r="D280" s="10"/>
      <c r="F280" s="10"/>
      <c r="H280" s="10"/>
      <c r="I280" s="10"/>
      <c r="J280" s="10"/>
      <c r="K280" s="10"/>
      <c r="L280" s="2"/>
      <c r="M280" s="2"/>
      <c r="N280" s="2"/>
      <c r="O280" s="2"/>
      <c r="P280" s="2"/>
      <c r="Q280" s="2"/>
      <c r="R280" s="861"/>
      <c r="S280" s="111"/>
      <c r="T280" s="2"/>
      <c r="U280" s="2"/>
      <c r="V280" s="2"/>
      <c r="W280" s="2"/>
      <c r="X280" s="2"/>
    </row>
    <row r="281">
      <c r="B281" s="846"/>
      <c r="C281" s="578"/>
      <c r="D281" s="10"/>
      <c r="F281" s="10"/>
      <c r="H281" s="10"/>
      <c r="I281" s="10"/>
      <c r="J281" s="10"/>
      <c r="K281" s="10"/>
      <c r="L281" s="2"/>
      <c r="M281" s="2"/>
      <c r="N281" s="2"/>
      <c r="O281" s="2"/>
      <c r="P281" s="2"/>
      <c r="Q281" s="2"/>
      <c r="R281" s="861"/>
      <c r="S281" s="111"/>
      <c r="T281" s="2"/>
      <c r="U281" s="2"/>
      <c r="V281" s="2"/>
      <c r="W281" s="2"/>
      <c r="X281" s="2"/>
    </row>
    <row r="282">
      <c r="B282" s="846"/>
      <c r="C282" s="578"/>
      <c r="D282" s="10"/>
      <c r="F282" s="10"/>
      <c r="H282" s="10"/>
      <c r="I282" s="10"/>
      <c r="J282" s="10"/>
      <c r="K282" s="10"/>
      <c r="L282" s="2"/>
      <c r="M282" s="2"/>
      <c r="N282" s="2"/>
      <c r="O282" s="2"/>
      <c r="P282" s="2"/>
      <c r="Q282" s="2"/>
      <c r="R282" s="861"/>
      <c r="S282" s="111"/>
      <c r="T282" s="2"/>
      <c r="U282" s="2"/>
      <c r="V282" s="2"/>
      <c r="W282" s="2"/>
      <c r="X282" s="2"/>
    </row>
    <row r="283">
      <c r="B283" s="846"/>
      <c r="C283" s="578"/>
      <c r="D283" s="10"/>
      <c r="F283" s="10"/>
      <c r="H283" s="10"/>
      <c r="I283" s="10"/>
      <c r="J283" s="10"/>
      <c r="K283" s="10"/>
      <c r="L283" s="2"/>
      <c r="M283" s="2"/>
      <c r="N283" s="2"/>
      <c r="O283" s="2"/>
      <c r="P283" s="2"/>
      <c r="Q283" s="2"/>
      <c r="R283" s="861"/>
      <c r="S283" s="111"/>
      <c r="T283" s="2"/>
      <c r="U283" s="2"/>
      <c r="V283" s="2"/>
      <c r="W283" s="2"/>
      <c r="X283" s="2"/>
    </row>
    <row r="284">
      <c r="B284" s="846"/>
      <c r="C284" s="578"/>
      <c r="D284" s="10"/>
      <c r="F284" s="10"/>
      <c r="H284" s="10"/>
      <c r="I284" s="10"/>
      <c r="J284" s="10"/>
      <c r="K284" s="10"/>
      <c r="L284" s="2"/>
      <c r="M284" s="2"/>
      <c r="N284" s="2"/>
      <c r="O284" s="2"/>
      <c r="P284" s="2"/>
      <c r="Q284" s="2"/>
      <c r="R284" s="862"/>
      <c r="S284" s="109"/>
      <c r="T284" s="2"/>
      <c r="U284" s="2"/>
      <c r="V284" s="2"/>
      <c r="W284" s="2"/>
      <c r="X284" s="2"/>
    </row>
    <row r="285">
      <c r="B285" s="846"/>
      <c r="C285" s="578"/>
      <c r="D285" s="10"/>
      <c r="F285" s="10"/>
      <c r="H285" s="10"/>
      <c r="I285" s="10"/>
      <c r="J285" s="10"/>
      <c r="K285" s="10"/>
      <c r="L285" s="2"/>
      <c r="M285" s="2"/>
      <c r="N285" s="2"/>
      <c r="O285" s="2"/>
      <c r="P285" s="2"/>
      <c r="Q285" s="2"/>
      <c r="R285" s="861"/>
      <c r="S285" s="111"/>
      <c r="T285" s="2"/>
      <c r="U285" s="2"/>
      <c r="V285" s="2"/>
      <c r="W285" s="2"/>
      <c r="X285" s="2"/>
    </row>
    <row r="286">
      <c r="B286" s="846"/>
      <c r="C286" s="578"/>
      <c r="D286" s="10"/>
      <c r="F286" s="10"/>
      <c r="H286" s="10"/>
      <c r="I286" s="10"/>
      <c r="J286" s="10"/>
      <c r="K286" s="10"/>
      <c r="L286" s="2"/>
      <c r="M286" s="2"/>
      <c r="N286" s="2"/>
      <c r="O286" s="2"/>
      <c r="P286" s="2"/>
      <c r="Q286" s="2"/>
      <c r="R286" s="861"/>
      <c r="S286" s="111"/>
      <c r="T286" s="2"/>
      <c r="U286" s="2"/>
      <c r="V286" s="2"/>
      <c r="W286" s="2"/>
      <c r="X286" s="2"/>
    </row>
    <row r="287">
      <c r="B287" s="846"/>
      <c r="C287" s="578"/>
      <c r="D287" s="10"/>
      <c r="F287" s="10"/>
      <c r="H287" s="10"/>
      <c r="I287" s="10"/>
      <c r="J287" s="10"/>
      <c r="K287" s="10"/>
      <c r="L287" s="2"/>
      <c r="M287" s="2"/>
      <c r="N287" s="2"/>
      <c r="O287" s="2"/>
      <c r="P287" s="2"/>
      <c r="Q287" s="2"/>
      <c r="R287" s="861"/>
      <c r="S287" s="111"/>
      <c r="T287" s="2"/>
      <c r="U287" s="2"/>
      <c r="V287" s="2"/>
      <c r="W287" s="2"/>
      <c r="X287" s="2"/>
    </row>
    <row r="288">
      <c r="B288" s="846"/>
      <c r="C288" s="578"/>
      <c r="D288" s="10"/>
      <c r="F288" s="10"/>
      <c r="H288" s="10"/>
      <c r="I288" s="10"/>
      <c r="J288" s="10"/>
      <c r="K288" s="10"/>
      <c r="L288" s="2"/>
      <c r="M288" s="2"/>
      <c r="N288" s="2"/>
      <c r="O288" s="2"/>
      <c r="P288" s="2"/>
      <c r="Q288" s="2"/>
      <c r="R288" s="861"/>
      <c r="S288" s="111"/>
      <c r="T288" s="2"/>
      <c r="U288" s="2"/>
      <c r="V288" s="2"/>
      <c r="W288" s="2"/>
      <c r="X288" s="2"/>
    </row>
    <row r="289">
      <c r="B289" s="846"/>
      <c r="C289" s="578"/>
      <c r="D289" s="10"/>
      <c r="F289" s="10"/>
      <c r="H289" s="10"/>
      <c r="I289" s="10"/>
      <c r="J289" s="10"/>
      <c r="K289" s="10"/>
      <c r="L289" s="2"/>
      <c r="M289" s="2"/>
      <c r="N289" s="2"/>
      <c r="O289" s="2"/>
      <c r="P289" s="2"/>
      <c r="Q289" s="2"/>
      <c r="R289" s="861"/>
      <c r="S289" s="111"/>
      <c r="T289" s="2"/>
      <c r="U289" s="2"/>
      <c r="V289" s="2"/>
      <c r="W289" s="2"/>
      <c r="X289" s="2"/>
    </row>
    <row r="290">
      <c r="B290" s="846"/>
      <c r="C290" s="578"/>
      <c r="D290" s="10"/>
      <c r="F290" s="10"/>
      <c r="H290" s="10"/>
      <c r="I290" s="10"/>
      <c r="J290" s="10"/>
      <c r="K290" s="10"/>
      <c r="L290" s="2"/>
      <c r="M290" s="2"/>
      <c r="N290" s="2"/>
      <c r="O290" s="2"/>
      <c r="P290" s="2"/>
      <c r="Q290" s="2"/>
      <c r="R290" s="861"/>
      <c r="S290" s="111"/>
      <c r="T290" s="2"/>
      <c r="U290" s="2"/>
      <c r="V290" s="2"/>
      <c r="W290" s="2"/>
      <c r="X290" s="2"/>
    </row>
    <row r="291">
      <c r="B291" s="846"/>
      <c r="C291" s="578"/>
      <c r="D291" s="10"/>
      <c r="F291" s="10"/>
      <c r="H291" s="10"/>
      <c r="I291" s="10"/>
      <c r="J291" s="10"/>
      <c r="K291" s="10"/>
      <c r="L291" s="2"/>
      <c r="M291" s="2"/>
      <c r="N291" s="2"/>
      <c r="O291" s="2"/>
      <c r="P291" s="2"/>
      <c r="Q291" s="2"/>
      <c r="R291" s="861"/>
      <c r="S291" s="111"/>
      <c r="T291" s="2"/>
      <c r="U291" s="2"/>
      <c r="V291" s="2"/>
      <c r="W291" s="2"/>
      <c r="X291" s="2"/>
    </row>
    <row r="292">
      <c r="B292" s="846"/>
      <c r="C292" s="578"/>
      <c r="D292" s="10"/>
      <c r="F292" s="10"/>
      <c r="H292" s="10"/>
      <c r="I292" s="10"/>
      <c r="J292" s="10"/>
      <c r="K292" s="10"/>
      <c r="L292" s="2"/>
      <c r="M292" s="2"/>
      <c r="N292" s="2"/>
      <c r="O292" s="2"/>
      <c r="P292" s="2"/>
      <c r="Q292" s="2"/>
      <c r="R292" s="861"/>
      <c r="S292" s="111"/>
      <c r="T292" s="2"/>
      <c r="U292" s="2"/>
      <c r="V292" s="2"/>
      <c r="W292" s="2"/>
      <c r="X292" s="2"/>
    </row>
    <row r="293">
      <c r="B293" s="846"/>
      <c r="C293" s="578"/>
      <c r="D293" s="10"/>
      <c r="F293" s="10"/>
      <c r="H293" s="10"/>
      <c r="I293" s="10"/>
      <c r="J293" s="10"/>
      <c r="K293" s="10"/>
      <c r="L293" s="2"/>
      <c r="M293" s="2"/>
      <c r="N293" s="2"/>
      <c r="O293" s="2"/>
      <c r="P293" s="2"/>
      <c r="Q293" s="2"/>
      <c r="R293" s="862"/>
      <c r="S293" s="109"/>
      <c r="T293" s="2"/>
      <c r="U293" s="2"/>
      <c r="V293" s="2"/>
      <c r="W293" s="2"/>
      <c r="X293" s="2"/>
    </row>
    <row r="294">
      <c r="B294" s="846"/>
      <c r="C294" s="578"/>
      <c r="D294" s="10"/>
      <c r="F294" s="10"/>
      <c r="H294" s="10"/>
      <c r="I294" s="10"/>
      <c r="J294" s="10"/>
      <c r="K294" s="10"/>
      <c r="L294" s="2"/>
      <c r="M294" s="2"/>
      <c r="N294" s="2"/>
      <c r="O294" s="2"/>
      <c r="P294" s="2"/>
      <c r="Q294" s="2"/>
      <c r="R294" s="862"/>
      <c r="S294" s="109"/>
      <c r="T294" s="54"/>
      <c r="U294" s="54"/>
      <c r="V294" s="54"/>
      <c r="W294" s="54"/>
      <c r="X294" s="54"/>
    </row>
    <row r="295">
      <c r="B295" s="846"/>
      <c r="C295" s="578"/>
      <c r="D295" s="10"/>
      <c r="F295" s="10"/>
      <c r="H295" s="10"/>
      <c r="I295" s="10"/>
      <c r="J295" s="10"/>
      <c r="K295" s="10"/>
      <c r="L295" s="2"/>
      <c r="M295" s="2"/>
      <c r="N295" s="2"/>
      <c r="O295" s="2"/>
      <c r="P295" s="2"/>
      <c r="Q295" s="2"/>
      <c r="R295" s="117"/>
      <c r="S295" s="2"/>
      <c r="T295" s="2"/>
      <c r="U295" s="2"/>
      <c r="V295" s="2"/>
      <c r="W295" s="2"/>
      <c r="X295" s="2"/>
    </row>
    <row r="296">
      <c r="B296" s="846"/>
      <c r="C296" s="578"/>
      <c r="D296" s="10"/>
      <c r="F296" s="10"/>
      <c r="H296" s="10"/>
      <c r="I296" s="10"/>
      <c r="J296" s="10"/>
      <c r="K296" s="10"/>
      <c r="L296" s="2"/>
      <c r="M296" s="2"/>
      <c r="N296" s="2"/>
      <c r="O296" s="2"/>
      <c r="P296" s="2"/>
      <c r="Q296" s="2"/>
      <c r="R296" s="117"/>
      <c r="S296" s="2"/>
      <c r="T296" s="2"/>
      <c r="U296" s="2"/>
      <c r="V296" s="2"/>
      <c r="W296" s="2"/>
      <c r="X296" s="2"/>
    </row>
    <row r="297">
      <c r="B297" s="846"/>
      <c r="C297" s="578"/>
      <c r="D297" s="10"/>
      <c r="F297" s="10"/>
      <c r="H297" s="10"/>
      <c r="I297" s="10"/>
      <c r="J297" s="10"/>
      <c r="K297" s="10"/>
      <c r="L297" s="2"/>
      <c r="M297" s="2"/>
      <c r="N297" s="2"/>
      <c r="O297" s="2"/>
      <c r="P297" s="2"/>
      <c r="Q297" s="2"/>
      <c r="R297" s="847"/>
      <c r="S297" s="847"/>
      <c r="T297" s="116"/>
      <c r="U297" s="116"/>
      <c r="V297" s="116"/>
      <c r="W297" s="116"/>
      <c r="X297" s="116"/>
    </row>
    <row r="298">
      <c r="B298" s="846"/>
      <c r="C298" s="578"/>
      <c r="D298" s="10"/>
      <c r="F298" s="10"/>
      <c r="H298" s="10"/>
      <c r="I298" s="10"/>
      <c r="J298" s="10"/>
      <c r="K298" s="10"/>
      <c r="L298" s="2"/>
      <c r="M298" s="2"/>
      <c r="N298" s="2"/>
      <c r="O298" s="2"/>
      <c r="P298" s="2"/>
      <c r="Q298" s="2"/>
      <c r="R298" s="848"/>
      <c r="S298" s="848"/>
      <c r="T298" s="848"/>
      <c r="U298" s="848"/>
      <c r="V298" s="848"/>
      <c r="W298" s="848"/>
      <c r="X298" s="848"/>
    </row>
    <row r="299">
      <c r="B299" s="846"/>
      <c r="C299" s="578"/>
      <c r="D299" s="10"/>
      <c r="F299" s="10"/>
      <c r="H299" s="10"/>
      <c r="I299" s="10"/>
      <c r="J299" s="10"/>
      <c r="K299" s="10"/>
      <c r="L299" s="2"/>
      <c r="M299" s="2"/>
      <c r="N299" s="2"/>
      <c r="O299" s="2"/>
      <c r="P299" s="2"/>
      <c r="Q299" s="2"/>
      <c r="R299" s="849"/>
      <c r="S299" s="850"/>
      <c r="T299" s="851"/>
      <c r="U299" s="851"/>
      <c r="V299" s="851"/>
      <c r="W299" s="851"/>
      <c r="X299" s="851"/>
    </row>
    <row r="300">
      <c r="B300" s="846"/>
      <c r="C300" s="578"/>
      <c r="D300" s="10"/>
      <c r="F300" s="10"/>
      <c r="H300" s="10"/>
      <c r="I300" s="10"/>
      <c r="J300" s="10"/>
      <c r="K300" s="10"/>
      <c r="L300" s="2"/>
      <c r="M300" s="2"/>
      <c r="N300" s="2"/>
      <c r="O300" s="2"/>
      <c r="P300" s="2"/>
      <c r="Q300" s="2"/>
      <c r="R300" s="852"/>
      <c r="S300" s="853"/>
      <c r="T300" s="854"/>
      <c r="U300" s="854"/>
      <c r="V300" s="854"/>
      <c r="W300" s="854"/>
      <c r="X300" s="854"/>
    </row>
    <row r="301">
      <c r="B301" s="846"/>
      <c r="C301" s="578"/>
      <c r="D301" s="10"/>
      <c r="F301" s="10"/>
      <c r="H301" s="10"/>
      <c r="I301" s="10"/>
      <c r="J301" s="10"/>
      <c r="K301" s="10"/>
      <c r="L301" s="2"/>
      <c r="M301" s="2"/>
      <c r="N301" s="2"/>
      <c r="O301" s="2"/>
      <c r="P301" s="2"/>
      <c r="Q301" s="2"/>
      <c r="R301" s="855"/>
      <c r="S301" s="856"/>
      <c r="T301" s="854"/>
      <c r="U301" s="854"/>
      <c r="V301" s="854"/>
      <c r="W301" s="854"/>
      <c r="X301" s="854"/>
    </row>
    <row r="302">
      <c r="B302" s="846"/>
      <c r="C302" s="578"/>
      <c r="D302" s="10"/>
      <c r="F302" s="10"/>
      <c r="H302" s="10"/>
      <c r="I302" s="10"/>
      <c r="J302" s="10"/>
      <c r="K302" s="10"/>
      <c r="L302" s="2"/>
      <c r="M302" s="2"/>
      <c r="N302" s="2"/>
      <c r="O302" s="2"/>
      <c r="P302" s="2"/>
      <c r="Q302" s="2"/>
      <c r="R302" s="855"/>
      <c r="S302" s="856"/>
      <c r="T302" s="854"/>
      <c r="U302" s="854"/>
      <c r="V302" s="854"/>
      <c r="W302" s="854"/>
      <c r="X302" s="854"/>
    </row>
    <row r="303">
      <c r="B303" s="846"/>
      <c r="C303" s="578"/>
      <c r="D303" s="10"/>
      <c r="F303" s="10"/>
      <c r="H303" s="10"/>
      <c r="I303" s="10"/>
      <c r="J303" s="10"/>
      <c r="K303" s="10"/>
      <c r="L303" s="2"/>
      <c r="M303" s="2"/>
      <c r="N303" s="2"/>
      <c r="O303" s="2"/>
      <c r="P303" s="2"/>
      <c r="Q303" s="2"/>
      <c r="R303" s="852"/>
      <c r="S303" s="853"/>
      <c r="T303" s="854"/>
      <c r="U303" s="854"/>
      <c r="V303" s="854"/>
      <c r="W303" s="854"/>
      <c r="X303" s="854"/>
    </row>
    <row r="304">
      <c r="B304" s="846"/>
      <c r="C304" s="578"/>
      <c r="D304" s="10"/>
      <c r="F304" s="10"/>
      <c r="H304" s="10"/>
      <c r="I304" s="10"/>
      <c r="J304" s="10"/>
      <c r="K304" s="10"/>
      <c r="L304" s="2"/>
      <c r="M304" s="2"/>
      <c r="N304" s="2"/>
      <c r="O304" s="2"/>
      <c r="P304" s="2"/>
      <c r="Q304" s="2"/>
      <c r="R304" s="857"/>
      <c r="S304" s="858"/>
      <c r="T304" s="854"/>
      <c r="U304" s="854"/>
      <c r="V304" s="854"/>
      <c r="W304" s="854"/>
      <c r="X304" s="854"/>
    </row>
    <row r="305">
      <c r="B305" s="846"/>
      <c r="C305" s="578"/>
      <c r="D305" s="10"/>
      <c r="F305" s="10"/>
      <c r="H305" s="10"/>
      <c r="I305" s="10"/>
      <c r="J305" s="10"/>
      <c r="K305" s="10"/>
      <c r="L305" s="2"/>
      <c r="M305" s="2"/>
      <c r="N305" s="2"/>
      <c r="O305" s="2"/>
      <c r="P305" s="2"/>
      <c r="Q305" s="2"/>
      <c r="R305" s="857"/>
      <c r="S305" s="858"/>
      <c r="T305" s="854"/>
      <c r="U305" s="854"/>
      <c r="V305" s="854"/>
      <c r="W305" s="854"/>
      <c r="X305" s="854"/>
    </row>
    <row r="306">
      <c r="B306" s="846"/>
      <c r="C306" s="578"/>
      <c r="D306" s="10"/>
      <c r="F306" s="10"/>
      <c r="H306" s="10"/>
      <c r="I306" s="10"/>
      <c r="J306" s="10"/>
      <c r="K306" s="10"/>
      <c r="L306" s="2"/>
      <c r="M306" s="2"/>
      <c r="N306" s="2"/>
      <c r="O306" s="2"/>
      <c r="P306" s="2"/>
      <c r="Q306" s="2"/>
      <c r="R306" s="857"/>
      <c r="S306" s="858"/>
      <c r="T306" s="854"/>
      <c r="U306" s="854"/>
      <c r="V306" s="854"/>
      <c r="W306" s="854"/>
      <c r="X306" s="854"/>
    </row>
    <row r="307">
      <c r="B307" s="846"/>
      <c r="C307" s="578"/>
      <c r="D307" s="10"/>
      <c r="F307" s="10"/>
      <c r="H307" s="10"/>
      <c r="I307" s="10"/>
      <c r="J307" s="10"/>
      <c r="K307" s="10"/>
      <c r="L307" s="2"/>
      <c r="M307" s="2"/>
      <c r="N307" s="2"/>
      <c r="O307" s="2"/>
      <c r="P307" s="2"/>
      <c r="Q307" s="2"/>
      <c r="R307" s="852"/>
      <c r="S307" s="853"/>
      <c r="T307" s="854"/>
      <c r="U307" s="854"/>
      <c r="V307" s="854"/>
      <c r="W307" s="854"/>
      <c r="X307" s="854"/>
    </row>
    <row r="308">
      <c r="B308" s="846"/>
      <c r="C308" s="578"/>
      <c r="D308" s="10"/>
      <c r="F308" s="10"/>
      <c r="H308" s="10"/>
      <c r="I308" s="10"/>
      <c r="J308" s="10"/>
      <c r="K308" s="10"/>
      <c r="L308" s="2"/>
      <c r="M308" s="2"/>
      <c r="N308" s="2"/>
      <c r="O308" s="2"/>
      <c r="P308" s="2"/>
      <c r="Q308" s="2"/>
      <c r="R308" s="852"/>
      <c r="S308" s="853"/>
      <c r="T308" s="854"/>
      <c r="U308" s="854"/>
      <c r="V308" s="854"/>
      <c r="W308" s="854"/>
      <c r="X308" s="854"/>
    </row>
    <row r="309">
      <c r="B309" s="846"/>
      <c r="C309" s="578"/>
      <c r="D309" s="10"/>
      <c r="F309" s="10"/>
      <c r="H309" s="10"/>
      <c r="I309" s="10"/>
      <c r="J309" s="10"/>
      <c r="K309" s="10"/>
      <c r="L309" s="2"/>
      <c r="M309" s="2"/>
      <c r="N309" s="2"/>
      <c r="O309" s="2"/>
      <c r="P309" s="2"/>
      <c r="Q309" s="2"/>
      <c r="R309" s="852"/>
      <c r="S309" s="853"/>
      <c r="T309" s="854"/>
      <c r="U309" s="854"/>
      <c r="V309" s="854"/>
      <c r="W309" s="854"/>
      <c r="X309" s="854"/>
    </row>
    <row r="310">
      <c r="B310" s="846"/>
      <c r="C310" s="578"/>
      <c r="D310" s="10"/>
      <c r="F310" s="10"/>
      <c r="H310" s="10"/>
      <c r="I310" s="10"/>
      <c r="J310" s="10"/>
      <c r="K310" s="10"/>
      <c r="L310" s="2"/>
      <c r="M310" s="2"/>
      <c r="N310" s="2"/>
      <c r="O310" s="2"/>
      <c r="P310" s="2"/>
      <c r="Q310" s="2"/>
      <c r="R310" s="852"/>
      <c r="S310" s="853"/>
      <c r="T310" s="854"/>
      <c r="U310" s="854"/>
      <c r="V310" s="854"/>
      <c r="W310" s="854"/>
      <c r="X310" s="854"/>
    </row>
    <row r="311">
      <c r="B311" s="846"/>
      <c r="C311" s="578"/>
      <c r="D311" s="10"/>
      <c r="F311" s="10"/>
      <c r="H311" s="10"/>
      <c r="I311" s="10"/>
      <c r="J311" s="10"/>
      <c r="K311" s="10"/>
      <c r="L311" s="2"/>
      <c r="M311" s="2"/>
      <c r="N311" s="2"/>
      <c r="O311" s="2"/>
      <c r="P311" s="2"/>
      <c r="Q311" s="2"/>
      <c r="R311" s="852"/>
      <c r="S311" s="859"/>
      <c r="T311" s="107"/>
      <c r="U311" s="107"/>
      <c r="V311" s="107"/>
      <c r="W311" s="107"/>
      <c r="X311" s="107"/>
    </row>
    <row r="312">
      <c r="B312" s="846"/>
      <c r="C312" s="578"/>
      <c r="D312" s="10"/>
      <c r="F312" s="10"/>
      <c r="H312" s="10"/>
      <c r="I312" s="10"/>
      <c r="J312" s="10"/>
      <c r="K312" s="10"/>
      <c r="L312" s="2"/>
      <c r="M312" s="2"/>
      <c r="N312" s="2"/>
      <c r="O312" s="2"/>
      <c r="P312" s="2"/>
      <c r="Q312" s="2"/>
      <c r="R312" s="852"/>
      <c r="S312" s="859"/>
      <c r="T312" s="107"/>
      <c r="U312" s="107"/>
      <c r="V312" s="107"/>
      <c r="W312" s="107"/>
      <c r="X312" s="107"/>
    </row>
    <row r="313">
      <c r="B313" s="846"/>
      <c r="C313" s="578"/>
      <c r="D313" s="10"/>
      <c r="F313" s="10"/>
      <c r="H313" s="10"/>
      <c r="I313" s="10"/>
      <c r="J313" s="10"/>
      <c r="K313" s="10"/>
      <c r="L313" s="2"/>
      <c r="M313" s="2"/>
      <c r="N313" s="2"/>
      <c r="O313" s="2"/>
      <c r="P313" s="2"/>
      <c r="Q313" s="2"/>
      <c r="R313" s="852"/>
      <c r="S313" s="859"/>
      <c r="T313" s="107"/>
      <c r="U313" s="107"/>
      <c r="V313" s="107"/>
      <c r="W313" s="107"/>
      <c r="X313" s="107"/>
    </row>
    <row r="314">
      <c r="B314" s="846"/>
      <c r="C314" s="578"/>
      <c r="D314" s="10"/>
      <c r="F314" s="10"/>
      <c r="H314" s="10"/>
      <c r="I314" s="10"/>
      <c r="J314" s="10"/>
      <c r="K314" s="10"/>
      <c r="L314" s="2"/>
      <c r="M314" s="2"/>
      <c r="N314" s="2"/>
      <c r="O314" s="2"/>
      <c r="P314" s="2"/>
      <c r="Q314" s="2"/>
      <c r="R314" s="852"/>
      <c r="S314" s="859"/>
      <c r="T314" s="107"/>
      <c r="U314" s="107"/>
      <c r="V314" s="107"/>
      <c r="W314" s="107"/>
      <c r="X314" s="107"/>
    </row>
    <row r="315">
      <c r="B315" s="846"/>
      <c r="C315" s="578"/>
      <c r="D315" s="10"/>
      <c r="F315" s="10"/>
      <c r="H315" s="10"/>
      <c r="I315" s="10"/>
      <c r="J315" s="10"/>
      <c r="K315" s="10"/>
      <c r="L315" s="2"/>
      <c r="M315" s="2"/>
      <c r="N315" s="2"/>
      <c r="O315" s="2"/>
      <c r="P315" s="2"/>
      <c r="Q315" s="2"/>
      <c r="R315" s="852"/>
      <c r="S315" s="859"/>
      <c r="T315" s="107"/>
      <c r="U315" s="107"/>
      <c r="V315" s="107"/>
      <c r="W315" s="107"/>
      <c r="X315" s="107"/>
    </row>
    <row r="316">
      <c r="B316" s="846"/>
      <c r="C316" s="578"/>
      <c r="D316" s="10"/>
      <c r="F316" s="10"/>
      <c r="H316" s="10"/>
      <c r="I316" s="10"/>
      <c r="J316" s="10"/>
      <c r="K316" s="10"/>
      <c r="L316" s="2"/>
      <c r="M316" s="2"/>
      <c r="N316" s="2"/>
      <c r="O316" s="2"/>
      <c r="P316" s="2"/>
      <c r="Q316" s="2"/>
      <c r="R316" s="852"/>
      <c r="S316" s="859"/>
      <c r="T316" s="107"/>
      <c r="U316" s="107"/>
      <c r="V316" s="107"/>
      <c r="W316" s="107"/>
      <c r="X316" s="107"/>
    </row>
    <row r="317">
      <c r="B317" s="846"/>
      <c r="C317" s="578"/>
      <c r="D317" s="10"/>
      <c r="F317" s="10"/>
      <c r="H317" s="10"/>
      <c r="I317" s="10"/>
      <c r="J317" s="10"/>
      <c r="K317" s="10"/>
      <c r="L317" s="2"/>
      <c r="M317" s="2"/>
      <c r="N317" s="2"/>
      <c r="O317" s="2"/>
      <c r="P317" s="2"/>
      <c r="Q317" s="2"/>
      <c r="R317" s="852"/>
      <c r="S317" s="859"/>
      <c r="T317" s="107"/>
      <c r="U317" s="107"/>
      <c r="V317" s="107"/>
      <c r="W317" s="107"/>
      <c r="X317" s="107"/>
    </row>
    <row r="318">
      <c r="B318" s="846"/>
      <c r="C318" s="578"/>
      <c r="D318" s="10"/>
      <c r="F318" s="10"/>
      <c r="H318" s="10"/>
      <c r="I318" s="10"/>
      <c r="J318" s="10"/>
      <c r="K318" s="10"/>
      <c r="L318" s="2"/>
      <c r="M318" s="2"/>
      <c r="N318" s="2"/>
      <c r="O318" s="2"/>
      <c r="P318" s="2"/>
      <c r="Q318" s="2"/>
      <c r="R318" s="852"/>
      <c r="S318" s="859"/>
      <c r="T318" s="107"/>
      <c r="U318" s="107"/>
      <c r="V318" s="107"/>
      <c r="W318" s="107"/>
      <c r="X318" s="107"/>
    </row>
    <row r="319">
      <c r="B319" s="846"/>
      <c r="C319" s="578"/>
      <c r="D319" s="10"/>
      <c r="F319" s="10"/>
      <c r="H319" s="10"/>
      <c r="I319" s="10"/>
      <c r="J319" s="10"/>
      <c r="K319" s="10"/>
      <c r="L319" s="2"/>
      <c r="M319" s="2"/>
      <c r="N319" s="2"/>
      <c r="O319" s="2"/>
      <c r="P319" s="2"/>
      <c r="Q319" s="2"/>
      <c r="R319" s="852"/>
      <c r="S319" s="859"/>
      <c r="T319" s="107"/>
      <c r="U319" s="107"/>
      <c r="V319" s="107"/>
      <c r="W319" s="107"/>
      <c r="X319" s="107"/>
    </row>
    <row r="320">
      <c r="B320" s="846"/>
      <c r="C320" s="578"/>
      <c r="D320" s="10"/>
      <c r="F320" s="10"/>
      <c r="H320" s="10"/>
      <c r="I320" s="10"/>
      <c r="J320" s="10"/>
      <c r="K320" s="10"/>
      <c r="L320" s="2"/>
      <c r="M320" s="2"/>
      <c r="N320" s="2"/>
      <c r="O320" s="2"/>
      <c r="P320" s="2"/>
      <c r="Q320" s="2"/>
      <c r="R320" s="852"/>
      <c r="S320" s="859"/>
      <c r="T320" s="107"/>
      <c r="U320" s="107"/>
      <c r="V320" s="107"/>
      <c r="W320" s="107"/>
      <c r="X320" s="107"/>
    </row>
    <row r="321">
      <c r="B321" s="846"/>
      <c r="C321" s="578"/>
      <c r="D321" s="10"/>
      <c r="F321" s="10"/>
      <c r="H321" s="10"/>
      <c r="I321" s="10"/>
      <c r="J321" s="10"/>
      <c r="K321" s="10"/>
      <c r="L321" s="2"/>
      <c r="M321" s="2"/>
      <c r="N321" s="2"/>
      <c r="O321" s="2"/>
      <c r="P321" s="2"/>
      <c r="Q321" s="2"/>
      <c r="R321" s="857"/>
      <c r="S321" s="860"/>
      <c r="T321" s="107"/>
      <c r="U321" s="107"/>
      <c r="V321" s="107"/>
      <c r="W321" s="107"/>
      <c r="X321" s="107"/>
    </row>
    <row r="322">
      <c r="B322" s="846"/>
      <c r="C322" s="578"/>
      <c r="D322" s="10"/>
      <c r="F322" s="10"/>
      <c r="H322" s="10"/>
      <c r="I322" s="10"/>
      <c r="J322" s="10"/>
      <c r="K322" s="10"/>
      <c r="L322" s="2"/>
      <c r="M322" s="2"/>
      <c r="N322" s="2"/>
      <c r="O322" s="2"/>
      <c r="P322" s="2"/>
      <c r="Q322" s="2"/>
      <c r="R322" s="861"/>
      <c r="S322" s="111"/>
      <c r="T322" s="2"/>
      <c r="U322" s="2"/>
      <c r="V322" s="2"/>
      <c r="W322" s="2"/>
      <c r="X322" s="2"/>
    </row>
    <row r="323">
      <c r="B323" s="846"/>
      <c r="C323" s="578"/>
      <c r="D323" s="10"/>
      <c r="F323" s="10"/>
      <c r="H323" s="10"/>
      <c r="I323" s="10"/>
      <c r="J323" s="10"/>
      <c r="K323" s="10"/>
      <c r="L323" s="2"/>
      <c r="M323" s="2"/>
      <c r="N323" s="2"/>
      <c r="O323" s="2"/>
      <c r="P323" s="2"/>
      <c r="Q323" s="2"/>
      <c r="R323" s="861"/>
      <c r="S323" s="111"/>
      <c r="T323" s="2"/>
      <c r="U323" s="2"/>
      <c r="V323" s="2"/>
      <c r="W323" s="2"/>
      <c r="X323" s="2"/>
    </row>
    <row r="324">
      <c r="B324" s="846"/>
      <c r="C324" s="578"/>
      <c r="D324" s="10"/>
      <c r="F324" s="10"/>
      <c r="H324" s="10"/>
      <c r="I324" s="10"/>
      <c r="J324" s="10"/>
      <c r="K324" s="10"/>
      <c r="L324" s="2"/>
      <c r="M324" s="2"/>
      <c r="N324" s="2"/>
      <c r="O324" s="2"/>
      <c r="P324" s="2"/>
      <c r="Q324" s="2"/>
      <c r="R324" s="861"/>
      <c r="S324" s="111"/>
      <c r="T324" s="2"/>
      <c r="U324" s="2"/>
      <c r="V324" s="2"/>
      <c r="W324" s="2"/>
      <c r="X324" s="2"/>
    </row>
    <row r="325">
      <c r="B325" s="846"/>
      <c r="C325" s="578"/>
      <c r="D325" s="10"/>
      <c r="F325" s="10"/>
      <c r="H325" s="10"/>
      <c r="I325" s="10"/>
      <c r="J325" s="10"/>
      <c r="K325" s="10"/>
      <c r="L325" s="2"/>
      <c r="M325" s="2"/>
      <c r="N325" s="2"/>
      <c r="O325" s="2"/>
      <c r="P325" s="2"/>
      <c r="Q325" s="2"/>
      <c r="R325" s="861"/>
      <c r="S325" s="111"/>
      <c r="T325" s="2"/>
      <c r="U325" s="2"/>
      <c r="V325" s="2"/>
      <c r="W325" s="2"/>
      <c r="X325" s="2"/>
    </row>
    <row r="326">
      <c r="B326" s="846"/>
      <c r="C326" s="578"/>
      <c r="D326" s="10"/>
      <c r="F326" s="10"/>
      <c r="H326" s="10"/>
      <c r="I326" s="10"/>
      <c r="J326" s="10"/>
      <c r="K326" s="10"/>
      <c r="L326" s="2"/>
      <c r="M326" s="2"/>
      <c r="N326" s="2"/>
      <c r="O326" s="2"/>
      <c r="P326" s="2"/>
      <c r="Q326" s="2"/>
      <c r="R326" s="861"/>
      <c r="S326" s="111"/>
      <c r="T326" s="2"/>
      <c r="U326" s="2"/>
      <c r="V326" s="2"/>
      <c r="W326" s="2"/>
      <c r="X326" s="2"/>
    </row>
    <row r="327">
      <c r="B327" s="846"/>
      <c r="C327" s="578"/>
      <c r="D327" s="10"/>
      <c r="F327" s="10"/>
      <c r="H327" s="10"/>
      <c r="I327" s="10"/>
      <c r="J327" s="10"/>
      <c r="K327" s="10"/>
      <c r="L327" s="2"/>
      <c r="M327" s="2"/>
      <c r="N327" s="2"/>
      <c r="O327" s="2"/>
      <c r="P327" s="2"/>
      <c r="Q327" s="2"/>
      <c r="R327" s="862"/>
      <c r="S327" s="109"/>
      <c r="T327" s="2"/>
      <c r="U327" s="2"/>
      <c r="V327" s="2"/>
      <c r="W327" s="2"/>
      <c r="X327" s="2"/>
    </row>
    <row r="328">
      <c r="B328" s="846"/>
      <c r="C328" s="578"/>
      <c r="D328" s="10"/>
      <c r="F328" s="10"/>
      <c r="H328" s="10"/>
      <c r="I328" s="10"/>
      <c r="J328" s="10"/>
      <c r="K328" s="10"/>
      <c r="L328" s="2"/>
      <c r="M328" s="2"/>
      <c r="N328" s="2"/>
      <c r="O328" s="2"/>
      <c r="P328" s="2"/>
      <c r="Q328" s="2"/>
      <c r="R328" s="861"/>
      <c r="S328" s="111"/>
      <c r="T328" s="2"/>
      <c r="U328" s="2"/>
      <c r="V328" s="2"/>
      <c r="W328" s="2"/>
      <c r="X328" s="2"/>
    </row>
    <row r="329">
      <c r="B329" s="846"/>
      <c r="C329" s="578"/>
      <c r="D329" s="10"/>
      <c r="F329" s="10"/>
      <c r="H329" s="10"/>
      <c r="I329" s="10"/>
      <c r="J329" s="10"/>
      <c r="K329" s="10"/>
      <c r="L329" s="2"/>
      <c r="M329" s="2"/>
      <c r="N329" s="2"/>
      <c r="O329" s="2"/>
      <c r="P329" s="2"/>
      <c r="Q329" s="2"/>
      <c r="R329" s="861"/>
      <c r="S329" s="111"/>
      <c r="T329" s="2"/>
      <c r="U329" s="2"/>
      <c r="V329" s="2"/>
      <c r="W329" s="2"/>
      <c r="X329" s="2"/>
    </row>
    <row r="330">
      <c r="B330" s="846"/>
      <c r="C330" s="578"/>
      <c r="D330" s="10"/>
      <c r="F330" s="10"/>
      <c r="H330" s="10"/>
      <c r="I330" s="10"/>
      <c r="J330" s="10"/>
      <c r="K330" s="10"/>
      <c r="L330" s="2"/>
      <c r="M330" s="2"/>
      <c r="N330" s="2"/>
      <c r="O330" s="2"/>
      <c r="P330" s="2"/>
      <c r="Q330" s="2"/>
      <c r="R330" s="861"/>
      <c r="S330" s="111"/>
      <c r="T330" s="2"/>
      <c r="U330" s="2"/>
      <c r="V330" s="2"/>
      <c r="W330" s="2"/>
      <c r="X330" s="2"/>
    </row>
    <row r="331">
      <c r="B331" s="846"/>
      <c r="C331" s="578"/>
      <c r="D331" s="10"/>
      <c r="F331" s="10"/>
      <c r="H331" s="10"/>
      <c r="I331" s="10"/>
      <c r="J331" s="10"/>
      <c r="K331" s="10"/>
      <c r="L331" s="2"/>
      <c r="M331" s="2"/>
      <c r="N331" s="2"/>
      <c r="O331" s="2"/>
      <c r="P331" s="2"/>
      <c r="Q331" s="2"/>
      <c r="R331" s="861"/>
      <c r="S331" s="111"/>
      <c r="T331" s="2"/>
      <c r="U331" s="2"/>
      <c r="V331" s="2"/>
      <c r="W331" s="2"/>
      <c r="X331" s="2"/>
    </row>
    <row r="332">
      <c r="B332" s="846"/>
      <c r="C332" s="578"/>
      <c r="D332" s="10"/>
      <c r="F332" s="10"/>
      <c r="H332" s="10"/>
      <c r="I332" s="10"/>
      <c r="J332" s="10"/>
      <c r="K332" s="10"/>
      <c r="L332" s="2"/>
      <c r="M332" s="2"/>
      <c r="N332" s="2"/>
      <c r="O332" s="2"/>
      <c r="P332" s="2"/>
      <c r="Q332" s="2"/>
      <c r="R332" s="861"/>
      <c r="S332" s="111"/>
      <c r="T332" s="2"/>
      <c r="U332" s="2"/>
      <c r="V332" s="2"/>
      <c r="W332" s="2"/>
      <c r="X332" s="2"/>
    </row>
    <row r="333">
      <c r="B333" s="846"/>
      <c r="C333" s="578"/>
      <c r="D333" s="10"/>
      <c r="F333" s="10"/>
      <c r="H333" s="10"/>
      <c r="I333" s="10"/>
      <c r="J333" s="10"/>
      <c r="K333" s="10"/>
      <c r="L333" s="2"/>
      <c r="M333" s="2"/>
      <c r="N333" s="2"/>
      <c r="O333" s="2"/>
      <c r="P333" s="2"/>
      <c r="Q333" s="2"/>
      <c r="R333" s="861"/>
      <c r="S333" s="111"/>
      <c r="T333" s="2"/>
      <c r="U333" s="2"/>
      <c r="V333" s="2"/>
      <c r="W333" s="2"/>
      <c r="X333" s="2"/>
    </row>
    <row r="334">
      <c r="B334" s="846"/>
      <c r="C334" s="578"/>
      <c r="D334" s="10"/>
      <c r="F334" s="10"/>
      <c r="H334" s="10"/>
      <c r="I334" s="10"/>
      <c r="J334" s="10"/>
      <c r="K334" s="10"/>
      <c r="L334" s="2"/>
      <c r="M334" s="2"/>
      <c r="N334" s="2"/>
      <c r="O334" s="2"/>
      <c r="P334" s="2"/>
      <c r="Q334" s="2"/>
      <c r="R334" s="861"/>
      <c r="S334" s="111"/>
      <c r="T334" s="2"/>
      <c r="U334" s="2"/>
      <c r="V334" s="2"/>
      <c r="W334" s="2"/>
      <c r="X334" s="2"/>
    </row>
    <row r="335">
      <c r="B335" s="846"/>
      <c r="C335" s="578"/>
      <c r="D335" s="10"/>
      <c r="F335" s="10"/>
      <c r="H335" s="10"/>
      <c r="I335" s="10"/>
      <c r="J335" s="10"/>
      <c r="K335" s="10"/>
      <c r="L335" s="2"/>
      <c r="M335" s="2"/>
      <c r="N335" s="2"/>
      <c r="O335" s="2"/>
      <c r="P335" s="2"/>
      <c r="Q335" s="2"/>
      <c r="R335" s="861"/>
      <c r="S335" s="111"/>
      <c r="T335" s="2"/>
      <c r="U335" s="2"/>
      <c r="V335" s="2"/>
      <c r="W335" s="2"/>
      <c r="X335" s="2"/>
    </row>
    <row r="336">
      <c r="B336" s="846"/>
      <c r="C336" s="578"/>
      <c r="D336" s="10"/>
      <c r="F336" s="10"/>
      <c r="H336" s="10"/>
      <c r="I336" s="10"/>
      <c r="J336" s="10"/>
      <c r="K336" s="10"/>
      <c r="L336" s="2"/>
      <c r="M336" s="2"/>
      <c r="N336" s="2"/>
      <c r="O336" s="2"/>
      <c r="P336" s="2"/>
      <c r="Q336" s="2"/>
      <c r="R336" s="862"/>
      <c r="S336" s="109"/>
      <c r="T336" s="2"/>
      <c r="U336" s="2"/>
      <c r="V336" s="2"/>
      <c r="W336" s="2"/>
      <c r="X336" s="2"/>
    </row>
    <row r="337">
      <c r="B337" s="846"/>
      <c r="C337" s="578"/>
      <c r="D337" s="10"/>
      <c r="F337" s="10"/>
      <c r="H337" s="10"/>
      <c r="I337" s="10"/>
      <c r="J337" s="10"/>
      <c r="K337" s="10"/>
      <c r="L337" s="2"/>
      <c r="M337" s="2"/>
      <c r="N337" s="2"/>
      <c r="O337" s="2"/>
      <c r="P337" s="2"/>
      <c r="Q337" s="2"/>
      <c r="R337" s="862"/>
      <c r="S337" s="109"/>
      <c r="T337" s="54"/>
      <c r="U337" s="54"/>
      <c r="V337" s="54"/>
      <c r="W337" s="54"/>
      <c r="X337" s="54"/>
    </row>
    <row r="338">
      <c r="B338" s="846"/>
      <c r="C338" s="578"/>
      <c r="D338" s="10"/>
      <c r="F338" s="10"/>
      <c r="H338" s="10"/>
      <c r="I338" s="10"/>
      <c r="J338" s="10"/>
      <c r="K338" s="10"/>
      <c r="L338" s="2"/>
      <c r="M338" s="2"/>
      <c r="N338" s="2"/>
      <c r="O338" s="2"/>
      <c r="P338" s="2"/>
      <c r="Q338" s="2"/>
      <c r="R338" s="117"/>
      <c r="S338" s="2"/>
      <c r="T338" s="2"/>
      <c r="U338" s="2"/>
      <c r="V338" s="2"/>
      <c r="W338" s="2"/>
      <c r="X338" s="2"/>
    </row>
    <row r="339">
      <c r="B339" s="846"/>
      <c r="C339" s="578"/>
      <c r="D339" s="10"/>
      <c r="F339" s="10"/>
      <c r="H339" s="10"/>
      <c r="I339" s="10"/>
      <c r="J339" s="10"/>
      <c r="K339" s="10"/>
      <c r="L339" s="2"/>
      <c r="M339" s="2"/>
      <c r="N339" s="2"/>
      <c r="O339" s="2"/>
      <c r="P339" s="2"/>
      <c r="Q339" s="2"/>
      <c r="R339" s="117"/>
      <c r="S339" s="2"/>
      <c r="T339" s="2"/>
      <c r="U339" s="2"/>
      <c r="V339" s="2"/>
      <c r="W339" s="2"/>
      <c r="X339" s="2"/>
    </row>
    <row r="340">
      <c r="B340" s="846"/>
      <c r="C340" s="578"/>
      <c r="D340" s="10"/>
      <c r="F340" s="10"/>
      <c r="H340" s="10"/>
      <c r="I340" s="10"/>
      <c r="J340" s="10"/>
      <c r="K340" s="10"/>
      <c r="L340" s="2"/>
      <c r="M340" s="2"/>
      <c r="N340" s="2"/>
      <c r="O340" s="2"/>
      <c r="P340" s="2"/>
      <c r="Q340" s="2"/>
      <c r="R340" s="847"/>
      <c r="S340" s="847"/>
      <c r="T340" s="116"/>
      <c r="U340" s="116"/>
      <c r="V340" s="116"/>
      <c r="W340" s="116"/>
      <c r="X340" s="116"/>
    </row>
    <row r="341">
      <c r="B341" s="846"/>
      <c r="C341" s="578"/>
      <c r="D341" s="10"/>
      <c r="F341" s="10"/>
      <c r="H341" s="10"/>
      <c r="I341" s="10"/>
      <c r="J341" s="10"/>
      <c r="K341" s="10"/>
      <c r="L341" s="2"/>
      <c r="M341" s="2"/>
      <c r="N341" s="2"/>
      <c r="O341" s="2"/>
      <c r="P341" s="2"/>
      <c r="Q341" s="2"/>
      <c r="R341" s="848"/>
      <c r="S341" s="848"/>
      <c r="T341" s="848"/>
      <c r="U341" s="848"/>
      <c r="V341" s="848"/>
      <c r="W341" s="848"/>
      <c r="X341" s="848"/>
    </row>
    <row r="342">
      <c r="B342" s="846"/>
      <c r="C342" s="578"/>
      <c r="D342" s="10"/>
      <c r="F342" s="10"/>
      <c r="H342" s="10"/>
      <c r="I342" s="10"/>
      <c r="J342" s="10"/>
      <c r="K342" s="10"/>
      <c r="L342" s="2"/>
      <c r="M342" s="2"/>
      <c r="N342" s="2"/>
      <c r="O342" s="2"/>
      <c r="P342" s="2"/>
      <c r="Q342" s="2"/>
      <c r="R342" s="849"/>
      <c r="S342" s="850"/>
      <c r="T342" s="851"/>
      <c r="U342" s="851"/>
      <c r="V342" s="851"/>
      <c r="W342" s="851"/>
      <c r="X342" s="851"/>
    </row>
    <row r="343">
      <c r="B343" s="846"/>
      <c r="C343" s="578"/>
      <c r="D343" s="10"/>
      <c r="F343" s="10"/>
      <c r="H343" s="10"/>
      <c r="I343" s="10"/>
      <c r="J343" s="10"/>
      <c r="K343" s="10"/>
      <c r="L343" s="2"/>
      <c r="M343" s="2"/>
      <c r="N343" s="2"/>
      <c r="O343" s="2"/>
      <c r="P343" s="2"/>
      <c r="Q343" s="2"/>
      <c r="R343" s="852"/>
      <c r="S343" s="853"/>
      <c r="T343" s="854"/>
      <c r="U343" s="854"/>
      <c r="V343" s="854"/>
      <c r="W343" s="854"/>
      <c r="X343" s="854"/>
    </row>
    <row r="344">
      <c r="B344" s="846"/>
      <c r="C344" s="578"/>
      <c r="D344" s="10"/>
      <c r="F344" s="10"/>
      <c r="H344" s="10"/>
      <c r="I344" s="10"/>
      <c r="J344" s="10"/>
      <c r="K344" s="10"/>
      <c r="L344" s="2"/>
      <c r="M344" s="2"/>
      <c r="N344" s="2"/>
      <c r="O344" s="2"/>
      <c r="P344" s="2"/>
      <c r="Q344" s="2"/>
      <c r="R344" s="855"/>
      <c r="S344" s="856"/>
      <c r="T344" s="854"/>
      <c r="U344" s="854"/>
      <c r="V344" s="854"/>
      <c r="W344" s="854"/>
      <c r="X344" s="854"/>
    </row>
    <row r="345">
      <c r="B345" s="846"/>
      <c r="C345" s="578"/>
      <c r="D345" s="10"/>
      <c r="F345" s="10"/>
      <c r="H345" s="10"/>
      <c r="I345" s="10"/>
      <c r="J345" s="10"/>
      <c r="K345" s="10"/>
      <c r="L345" s="2"/>
      <c r="M345" s="2"/>
      <c r="N345" s="2"/>
      <c r="O345" s="2"/>
      <c r="P345" s="2"/>
      <c r="Q345" s="2"/>
      <c r="R345" s="855"/>
      <c r="S345" s="856"/>
      <c r="T345" s="854"/>
      <c r="U345" s="854"/>
      <c r="V345" s="854"/>
      <c r="W345" s="854"/>
      <c r="X345" s="854"/>
    </row>
    <row r="346">
      <c r="B346" s="846"/>
      <c r="C346" s="578"/>
      <c r="D346" s="10"/>
      <c r="F346" s="10"/>
      <c r="H346" s="10"/>
      <c r="I346" s="10"/>
      <c r="J346" s="10"/>
      <c r="K346" s="10"/>
      <c r="L346" s="2"/>
      <c r="M346" s="2"/>
      <c r="N346" s="2"/>
      <c r="O346" s="2"/>
      <c r="P346" s="2"/>
      <c r="Q346" s="2"/>
      <c r="R346" s="852"/>
      <c r="S346" s="853"/>
      <c r="T346" s="854"/>
      <c r="U346" s="854"/>
      <c r="V346" s="854"/>
      <c r="W346" s="854"/>
      <c r="X346" s="854"/>
    </row>
    <row r="347">
      <c r="B347" s="846"/>
      <c r="C347" s="578"/>
      <c r="D347" s="10"/>
      <c r="F347" s="10"/>
      <c r="H347" s="10"/>
      <c r="I347" s="10"/>
      <c r="J347" s="10"/>
      <c r="K347" s="10"/>
      <c r="L347" s="2"/>
      <c r="M347" s="2"/>
      <c r="N347" s="2"/>
      <c r="O347" s="2"/>
      <c r="P347" s="2"/>
      <c r="Q347" s="2"/>
      <c r="R347" s="857"/>
      <c r="S347" s="858"/>
      <c r="T347" s="854"/>
      <c r="U347" s="854"/>
      <c r="V347" s="854"/>
      <c r="W347" s="854"/>
      <c r="X347" s="854"/>
    </row>
    <row r="348">
      <c r="B348" s="846"/>
      <c r="C348" s="578"/>
      <c r="D348" s="10"/>
      <c r="F348" s="10"/>
      <c r="H348" s="10"/>
      <c r="I348" s="10"/>
      <c r="J348" s="10"/>
      <c r="K348" s="10"/>
      <c r="L348" s="2"/>
      <c r="M348" s="2"/>
      <c r="N348" s="2"/>
      <c r="O348" s="2"/>
      <c r="P348" s="2"/>
      <c r="Q348" s="2"/>
      <c r="R348" s="857"/>
      <c r="S348" s="858"/>
      <c r="T348" s="854"/>
      <c r="U348" s="854"/>
      <c r="V348" s="854"/>
      <c r="W348" s="854"/>
      <c r="X348" s="854"/>
    </row>
    <row r="349">
      <c r="B349" s="846"/>
      <c r="C349" s="578"/>
      <c r="D349" s="10"/>
      <c r="F349" s="10"/>
      <c r="H349" s="10"/>
      <c r="I349" s="10"/>
      <c r="J349" s="10"/>
      <c r="K349" s="10"/>
      <c r="L349" s="2"/>
      <c r="M349" s="2"/>
      <c r="N349" s="2"/>
      <c r="O349" s="2"/>
      <c r="P349" s="2"/>
      <c r="Q349" s="2"/>
      <c r="R349" s="857"/>
      <c r="S349" s="858"/>
      <c r="T349" s="854"/>
      <c r="U349" s="854"/>
      <c r="V349" s="854"/>
      <c r="W349" s="854"/>
      <c r="X349" s="854"/>
    </row>
    <row r="350">
      <c r="B350" s="846"/>
      <c r="C350" s="578"/>
      <c r="D350" s="10"/>
      <c r="F350" s="10"/>
      <c r="H350" s="10"/>
      <c r="I350" s="10"/>
      <c r="J350" s="10"/>
      <c r="K350" s="10"/>
      <c r="L350" s="2"/>
      <c r="M350" s="2"/>
      <c r="N350" s="2"/>
      <c r="O350" s="2"/>
      <c r="P350" s="2"/>
      <c r="Q350" s="2"/>
      <c r="R350" s="852"/>
      <c r="S350" s="853"/>
      <c r="T350" s="854"/>
      <c r="U350" s="854"/>
      <c r="V350" s="854"/>
      <c r="W350" s="854"/>
      <c r="X350" s="854"/>
    </row>
    <row r="351">
      <c r="B351" s="846"/>
      <c r="C351" s="578"/>
      <c r="D351" s="10"/>
      <c r="F351" s="10"/>
      <c r="H351" s="10"/>
      <c r="I351" s="10"/>
      <c r="J351" s="10"/>
      <c r="K351" s="10"/>
      <c r="L351" s="2"/>
      <c r="M351" s="2"/>
      <c r="N351" s="2"/>
      <c r="O351" s="2"/>
      <c r="P351" s="2"/>
      <c r="Q351" s="2"/>
      <c r="R351" s="852"/>
      <c r="S351" s="853"/>
      <c r="T351" s="854"/>
      <c r="U351" s="854"/>
      <c r="V351" s="854"/>
      <c r="W351" s="854"/>
      <c r="X351" s="854"/>
    </row>
    <row r="352">
      <c r="B352" s="846"/>
      <c r="C352" s="578"/>
      <c r="D352" s="10"/>
      <c r="F352" s="10"/>
      <c r="H352" s="10"/>
      <c r="I352" s="10"/>
      <c r="J352" s="10"/>
      <c r="K352" s="10"/>
      <c r="L352" s="2"/>
      <c r="M352" s="2"/>
      <c r="N352" s="2"/>
      <c r="O352" s="2"/>
      <c r="P352" s="2"/>
      <c r="Q352" s="2"/>
      <c r="R352" s="852"/>
      <c r="S352" s="853"/>
      <c r="T352" s="854"/>
      <c r="U352" s="854"/>
      <c r="V352" s="854"/>
      <c r="W352" s="854"/>
      <c r="X352" s="854"/>
    </row>
    <row r="353">
      <c r="B353" s="846"/>
      <c r="C353" s="578"/>
      <c r="D353" s="10"/>
      <c r="F353" s="10"/>
      <c r="H353" s="10"/>
      <c r="I353" s="10"/>
      <c r="J353" s="10"/>
      <c r="K353" s="10"/>
      <c r="L353" s="2"/>
      <c r="M353" s="2"/>
      <c r="N353" s="2"/>
      <c r="O353" s="2"/>
      <c r="P353" s="2"/>
      <c r="Q353" s="2"/>
      <c r="R353" s="852"/>
      <c r="S353" s="853"/>
      <c r="T353" s="854"/>
      <c r="U353" s="854"/>
      <c r="V353" s="854"/>
      <c r="W353" s="854"/>
      <c r="X353" s="854"/>
    </row>
    <row r="354">
      <c r="B354" s="846"/>
      <c r="C354" s="578"/>
      <c r="D354" s="10"/>
      <c r="F354" s="10"/>
      <c r="H354" s="10"/>
      <c r="I354" s="10"/>
      <c r="J354" s="10"/>
      <c r="K354" s="10"/>
      <c r="L354" s="2"/>
      <c r="M354" s="2"/>
      <c r="N354" s="2"/>
      <c r="O354" s="2"/>
      <c r="P354" s="2"/>
      <c r="Q354" s="2"/>
      <c r="R354" s="852"/>
      <c r="S354" s="859"/>
      <c r="T354" s="107"/>
      <c r="U354" s="107"/>
      <c r="V354" s="107"/>
      <c r="W354" s="107"/>
      <c r="X354" s="107"/>
    </row>
    <row r="355">
      <c r="B355" s="846"/>
      <c r="C355" s="578"/>
      <c r="D355" s="10"/>
      <c r="F355" s="10"/>
      <c r="H355" s="10"/>
      <c r="I355" s="10"/>
      <c r="J355" s="10"/>
      <c r="K355" s="10"/>
      <c r="L355" s="2"/>
      <c r="M355" s="2"/>
      <c r="N355" s="2"/>
      <c r="O355" s="2"/>
      <c r="P355" s="2"/>
      <c r="Q355" s="2"/>
      <c r="R355" s="852"/>
      <c r="S355" s="859"/>
      <c r="T355" s="107"/>
      <c r="U355" s="107"/>
      <c r="V355" s="107"/>
      <c r="W355" s="107"/>
      <c r="X355" s="107"/>
    </row>
    <row r="356">
      <c r="B356" s="846"/>
      <c r="C356" s="578"/>
      <c r="D356" s="10"/>
      <c r="F356" s="10"/>
      <c r="H356" s="10"/>
      <c r="I356" s="10"/>
      <c r="J356" s="10"/>
      <c r="K356" s="10"/>
      <c r="L356" s="2"/>
      <c r="M356" s="2"/>
      <c r="N356" s="2"/>
      <c r="O356" s="2"/>
      <c r="P356" s="2"/>
      <c r="Q356" s="2"/>
      <c r="R356" s="852"/>
      <c r="S356" s="859"/>
      <c r="T356" s="107"/>
      <c r="U356" s="107"/>
      <c r="V356" s="107"/>
      <c r="W356" s="107"/>
      <c r="X356" s="107"/>
    </row>
    <row r="357">
      <c r="B357" s="846"/>
      <c r="C357" s="578"/>
      <c r="D357" s="10"/>
      <c r="F357" s="10"/>
      <c r="H357" s="10"/>
      <c r="I357" s="10"/>
      <c r="J357" s="10"/>
      <c r="K357" s="10"/>
      <c r="L357" s="2"/>
      <c r="M357" s="2"/>
      <c r="N357" s="2"/>
      <c r="O357" s="2"/>
      <c r="P357" s="2"/>
      <c r="Q357" s="2"/>
      <c r="R357" s="852"/>
      <c r="S357" s="859"/>
      <c r="T357" s="107"/>
      <c r="U357" s="107"/>
      <c r="V357" s="107"/>
      <c r="W357" s="107"/>
      <c r="X357" s="107"/>
    </row>
    <row r="358">
      <c r="B358" s="846"/>
      <c r="C358" s="578"/>
      <c r="D358" s="10"/>
      <c r="F358" s="10"/>
      <c r="H358" s="10"/>
      <c r="I358" s="10"/>
      <c r="J358" s="10"/>
      <c r="K358" s="10"/>
      <c r="L358" s="2"/>
      <c r="M358" s="2"/>
      <c r="N358" s="2"/>
      <c r="O358" s="2"/>
      <c r="P358" s="2"/>
      <c r="Q358" s="2"/>
      <c r="R358" s="852"/>
      <c r="S358" s="859"/>
      <c r="T358" s="107"/>
      <c r="U358" s="107"/>
      <c r="V358" s="107"/>
      <c r="W358" s="107"/>
      <c r="X358" s="107"/>
    </row>
    <row r="359">
      <c r="B359" s="846"/>
      <c r="C359" s="578"/>
      <c r="D359" s="10"/>
      <c r="F359" s="10"/>
      <c r="H359" s="10"/>
      <c r="I359" s="10"/>
      <c r="J359" s="10"/>
      <c r="K359" s="10"/>
      <c r="L359" s="2"/>
      <c r="M359" s="2"/>
      <c r="N359" s="2"/>
      <c r="O359" s="2"/>
      <c r="P359" s="2"/>
      <c r="Q359" s="2"/>
      <c r="R359" s="852"/>
      <c r="S359" s="859"/>
      <c r="T359" s="107"/>
      <c r="U359" s="107"/>
      <c r="V359" s="107"/>
      <c r="W359" s="107"/>
      <c r="X359" s="107"/>
    </row>
    <row r="360">
      <c r="B360" s="846"/>
      <c r="C360" s="578"/>
      <c r="D360" s="10"/>
      <c r="F360" s="10"/>
      <c r="H360" s="10"/>
      <c r="I360" s="10"/>
      <c r="J360" s="10"/>
      <c r="K360" s="10"/>
      <c r="L360" s="2"/>
      <c r="M360" s="2"/>
      <c r="N360" s="2"/>
      <c r="O360" s="2"/>
      <c r="P360" s="2"/>
      <c r="Q360" s="2"/>
      <c r="R360" s="852"/>
      <c r="S360" s="859"/>
      <c r="T360" s="107"/>
      <c r="U360" s="107"/>
      <c r="V360" s="107"/>
      <c r="W360" s="107"/>
      <c r="X360" s="107"/>
    </row>
    <row r="361">
      <c r="B361" s="846"/>
      <c r="C361" s="578"/>
      <c r="D361" s="10"/>
      <c r="F361" s="10"/>
      <c r="H361" s="10"/>
      <c r="I361" s="10"/>
      <c r="J361" s="10"/>
      <c r="K361" s="10"/>
      <c r="L361" s="2"/>
      <c r="M361" s="2"/>
      <c r="N361" s="2"/>
      <c r="O361" s="2"/>
      <c r="P361" s="2"/>
      <c r="Q361" s="2"/>
      <c r="R361" s="852"/>
      <c r="S361" s="859"/>
      <c r="T361" s="107"/>
      <c r="U361" s="107"/>
      <c r="V361" s="107"/>
      <c r="W361" s="107"/>
      <c r="X361" s="107"/>
    </row>
    <row r="362">
      <c r="B362" s="846"/>
      <c r="C362" s="578"/>
      <c r="D362" s="10"/>
      <c r="F362" s="10"/>
      <c r="H362" s="10"/>
      <c r="I362" s="10"/>
      <c r="J362" s="10"/>
      <c r="K362" s="10"/>
      <c r="L362" s="2"/>
      <c r="M362" s="2"/>
      <c r="N362" s="2"/>
      <c r="O362" s="2"/>
      <c r="P362" s="2"/>
      <c r="Q362" s="2"/>
      <c r="R362" s="852"/>
      <c r="S362" s="859"/>
      <c r="T362" s="107"/>
      <c r="U362" s="107"/>
      <c r="V362" s="107"/>
      <c r="W362" s="107"/>
      <c r="X362" s="107"/>
    </row>
    <row r="363">
      <c r="B363" s="846"/>
      <c r="C363" s="578"/>
      <c r="D363" s="10"/>
      <c r="F363" s="10"/>
      <c r="H363" s="10"/>
      <c r="I363" s="10"/>
      <c r="J363" s="10"/>
      <c r="K363" s="10"/>
      <c r="L363" s="2"/>
      <c r="M363" s="2"/>
      <c r="N363" s="2"/>
      <c r="O363" s="2"/>
      <c r="P363" s="2"/>
      <c r="Q363" s="2"/>
      <c r="R363" s="852"/>
      <c r="S363" s="859"/>
      <c r="T363" s="107"/>
      <c r="U363" s="107"/>
      <c r="V363" s="107"/>
      <c r="W363" s="107"/>
      <c r="X363" s="107"/>
    </row>
    <row r="364">
      <c r="B364" s="846"/>
      <c r="C364" s="578"/>
      <c r="D364" s="10"/>
      <c r="F364" s="10"/>
      <c r="H364" s="10"/>
      <c r="I364" s="10"/>
      <c r="J364" s="10"/>
      <c r="K364" s="10"/>
      <c r="L364" s="2"/>
      <c r="M364" s="2"/>
      <c r="N364" s="2"/>
      <c r="O364" s="2"/>
      <c r="P364" s="2"/>
      <c r="Q364" s="2"/>
      <c r="R364" s="857"/>
      <c r="S364" s="860"/>
      <c r="T364" s="107"/>
      <c r="U364" s="107"/>
      <c r="V364" s="107"/>
      <c r="W364" s="107"/>
      <c r="X364" s="107"/>
    </row>
    <row r="365">
      <c r="B365" s="846"/>
      <c r="C365" s="578"/>
      <c r="D365" s="10"/>
      <c r="F365" s="10"/>
      <c r="H365" s="10"/>
      <c r="I365" s="10"/>
      <c r="J365" s="10"/>
      <c r="K365" s="10"/>
      <c r="L365" s="2"/>
      <c r="M365" s="2"/>
      <c r="N365" s="2"/>
      <c r="O365" s="2"/>
      <c r="P365" s="2"/>
      <c r="Q365" s="2"/>
      <c r="R365" s="861"/>
      <c r="S365" s="111"/>
      <c r="T365" s="2"/>
      <c r="U365" s="2"/>
      <c r="V365" s="2"/>
      <c r="W365" s="2"/>
      <c r="X365" s="2"/>
    </row>
    <row r="366">
      <c r="B366" s="846"/>
      <c r="C366" s="578"/>
      <c r="D366" s="10"/>
      <c r="F366" s="10"/>
      <c r="H366" s="10"/>
      <c r="I366" s="10"/>
      <c r="J366" s="10"/>
      <c r="K366" s="10"/>
      <c r="L366" s="2"/>
      <c r="M366" s="2"/>
      <c r="N366" s="2"/>
      <c r="O366" s="2"/>
      <c r="P366" s="2"/>
      <c r="Q366" s="2"/>
      <c r="R366" s="861"/>
      <c r="S366" s="111"/>
      <c r="T366" s="2"/>
      <c r="U366" s="2"/>
      <c r="V366" s="2"/>
      <c r="W366" s="2"/>
      <c r="X366" s="2"/>
    </row>
    <row r="367">
      <c r="B367" s="846"/>
      <c r="C367" s="578"/>
      <c r="D367" s="10"/>
      <c r="F367" s="10"/>
      <c r="H367" s="10"/>
      <c r="I367" s="10"/>
      <c r="J367" s="10"/>
      <c r="K367" s="10"/>
      <c r="L367" s="2"/>
      <c r="M367" s="2"/>
      <c r="N367" s="2"/>
      <c r="O367" s="2"/>
      <c r="P367" s="2"/>
      <c r="Q367" s="2"/>
      <c r="R367" s="861"/>
      <c r="S367" s="111"/>
      <c r="T367" s="2"/>
      <c r="U367" s="2"/>
      <c r="V367" s="2"/>
      <c r="W367" s="2"/>
      <c r="X367" s="2"/>
    </row>
    <row r="368">
      <c r="B368" s="846"/>
      <c r="C368" s="578"/>
      <c r="D368" s="10"/>
      <c r="F368" s="10"/>
      <c r="H368" s="10"/>
      <c r="I368" s="10"/>
      <c r="J368" s="10"/>
      <c r="K368" s="10"/>
      <c r="L368" s="2"/>
      <c r="M368" s="2"/>
      <c r="N368" s="2"/>
      <c r="O368" s="2"/>
      <c r="P368" s="2"/>
      <c r="Q368" s="2"/>
      <c r="R368" s="861"/>
      <c r="S368" s="111"/>
      <c r="T368" s="2"/>
      <c r="U368" s="2"/>
      <c r="V368" s="2"/>
      <c r="W368" s="2"/>
      <c r="X368" s="2"/>
    </row>
    <row r="369">
      <c r="B369" s="846"/>
      <c r="C369" s="578"/>
      <c r="D369" s="10"/>
      <c r="F369" s="10"/>
      <c r="H369" s="10"/>
      <c r="I369" s="10"/>
      <c r="J369" s="10"/>
      <c r="K369" s="10"/>
      <c r="L369" s="2"/>
      <c r="M369" s="2"/>
      <c r="N369" s="2"/>
      <c r="O369" s="2"/>
      <c r="P369" s="2"/>
      <c r="Q369" s="2"/>
      <c r="R369" s="861"/>
      <c r="S369" s="111"/>
      <c r="T369" s="2"/>
      <c r="U369" s="2"/>
      <c r="V369" s="2"/>
      <c r="W369" s="2"/>
      <c r="X369" s="2"/>
    </row>
    <row r="370">
      <c r="B370" s="846"/>
      <c r="C370" s="578"/>
      <c r="D370" s="10"/>
      <c r="F370" s="10"/>
      <c r="H370" s="10"/>
      <c r="I370" s="10"/>
      <c r="J370" s="10"/>
      <c r="K370" s="10"/>
      <c r="L370" s="2"/>
      <c r="M370" s="2"/>
      <c r="N370" s="2"/>
      <c r="O370" s="2"/>
      <c r="P370" s="2"/>
      <c r="Q370" s="2"/>
      <c r="R370" s="862"/>
      <c r="S370" s="109"/>
      <c r="T370" s="2"/>
      <c r="U370" s="2"/>
      <c r="V370" s="2"/>
      <c r="W370" s="2"/>
      <c r="X370" s="2"/>
    </row>
    <row r="371">
      <c r="B371" s="846"/>
      <c r="C371" s="578"/>
      <c r="D371" s="10"/>
      <c r="F371" s="10"/>
      <c r="H371" s="10"/>
      <c r="I371" s="10"/>
      <c r="J371" s="10"/>
      <c r="K371" s="10"/>
      <c r="L371" s="2"/>
      <c r="M371" s="2"/>
      <c r="N371" s="2"/>
      <c r="O371" s="2"/>
      <c r="P371" s="2"/>
      <c r="Q371" s="2"/>
      <c r="R371" s="861"/>
      <c r="S371" s="111"/>
      <c r="T371" s="2"/>
      <c r="U371" s="2"/>
      <c r="V371" s="2"/>
      <c r="W371" s="2"/>
      <c r="X371" s="2"/>
    </row>
    <row r="372">
      <c r="B372" s="846"/>
      <c r="C372" s="578"/>
      <c r="D372" s="10"/>
      <c r="F372" s="10"/>
      <c r="H372" s="10"/>
      <c r="I372" s="10"/>
      <c r="J372" s="10"/>
      <c r="K372" s="10"/>
      <c r="L372" s="2"/>
      <c r="M372" s="2"/>
      <c r="N372" s="2"/>
      <c r="O372" s="2"/>
      <c r="P372" s="2"/>
      <c r="Q372" s="2"/>
      <c r="R372" s="861"/>
      <c r="S372" s="111"/>
      <c r="T372" s="2"/>
      <c r="U372" s="2"/>
      <c r="V372" s="2"/>
      <c r="W372" s="2"/>
      <c r="X372" s="2"/>
    </row>
    <row r="373">
      <c r="B373" s="846"/>
      <c r="C373" s="578"/>
      <c r="D373" s="10"/>
      <c r="F373" s="10"/>
      <c r="H373" s="10"/>
      <c r="I373" s="10"/>
      <c r="J373" s="10"/>
      <c r="K373" s="10"/>
      <c r="L373" s="2"/>
      <c r="M373" s="2"/>
      <c r="N373" s="2"/>
      <c r="O373" s="2"/>
      <c r="P373" s="2"/>
      <c r="Q373" s="2"/>
      <c r="R373" s="861"/>
      <c r="S373" s="111"/>
      <c r="T373" s="2"/>
      <c r="U373" s="2"/>
      <c r="V373" s="2"/>
      <c r="W373" s="2"/>
      <c r="X373" s="2"/>
    </row>
    <row r="374">
      <c r="B374" s="846"/>
      <c r="C374" s="578"/>
      <c r="D374" s="10"/>
      <c r="F374" s="10"/>
      <c r="H374" s="10"/>
      <c r="I374" s="10"/>
      <c r="J374" s="10"/>
      <c r="K374" s="10"/>
      <c r="L374" s="2"/>
      <c r="M374" s="2"/>
      <c r="N374" s="2"/>
      <c r="O374" s="2"/>
      <c r="P374" s="2"/>
      <c r="Q374" s="2"/>
      <c r="R374" s="861"/>
      <c r="S374" s="111"/>
      <c r="T374" s="2"/>
      <c r="U374" s="2"/>
      <c r="V374" s="2"/>
      <c r="W374" s="2"/>
      <c r="X374" s="2"/>
    </row>
    <row r="375">
      <c r="B375" s="846"/>
      <c r="C375" s="578"/>
      <c r="D375" s="10"/>
      <c r="F375" s="10"/>
      <c r="H375" s="10"/>
      <c r="I375" s="10"/>
      <c r="J375" s="10"/>
      <c r="K375" s="10"/>
      <c r="L375" s="2"/>
      <c r="M375" s="2"/>
      <c r="N375" s="2"/>
      <c r="O375" s="2"/>
      <c r="P375" s="2"/>
      <c r="Q375" s="2"/>
      <c r="R375" s="861"/>
      <c r="S375" s="111"/>
      <c r="T375" s="2"/>
      <c r="U375" s="2"/>
      <c r="V375" s="2"/>
      <c r="W375" s="2"/>
      <c r="X375" s="2"/>
    </row>
    <row r="376">
      <c r="B376" s="846"/>
      <c r="C376" s="578"/>
      <c r="D376" s="10"/>
      <c r="F376" s="10"/>
      <c r="H376" s="10"/>
      <c r="I376" s="10"/>
      <c r="J376" s="10"/>
      <c r="K376" s="10"/>
      <c r="L376" s="2"/>
      <c r="M376" s="2"/>
      <c r="N376" s="2"/>
      <c r="O376" s="2"/>
      <c r="P376" s="2"/>
      <c r="Q376" s="2"/>
      <c r="R376" s="861"/>
      <c r="S376" s="111"/>
      <c r="T376" s="2"/>
      <c r="U376" s="2"/>
      <c r="V376" s="2"/>
      <c r="W376" s="2"/>
      <c r="X376" s="2"/>
    </row>
    <row r="377">
      <c r="B377" s="846"/>
      <c r="C377" s="578"/>
      <c r="D377" s="10"/>
      <c r="F377" s="10"/>
      <c r="H377" s="10"/>
      <c r="I377" s="10"/>
      <c r="J377" s="10"/>
      <c r="K377" s="10"/>
      <c r="L377" s="2"/>
      <c r="M377" s="2"/>
      <c r="N377" s="2"/>
      <c r="O377" s="2"/>
      <c r="P377" s="2"/>
      <c r="Q377" s="2"/>
      <c r="R377" s="861"/>
      <c r="S377" s="111"/>
      <c r="T377" s="2"/>
      <c r="U377" s="2"/>
      <c r="V377" s="2"/>
      <c r="W377" s="2"/>
      <c r="X377" s="2"/>
    </row>
    <row r="378">
      <c r="B378" s="846"/>
      <c r="C378" s="578"/>
      <c r="D378" s="10"/>
      <c r="F378" s="10"/>
      <c r="H378" s="10"/>
      <c r="I378" s="10"/>
      <c r="J378" s="10"/>
      <c r="K378" s="10"/>
      <c r="L378" s="2"/>
      <c r="M378" s="2"/>
      <c r="N378" s="2"/>
      <c r="O378" s="2"/>
      <c r="P378" s="2"/>
      <c r="Q378" s="2"/>
      <c r="R378" s="861"/>
      <c r="S378" s="111"/>
      <c r="T378" s="2"/>
      <c r="U378" s="2"/>
      <c r="V378" s="2"/>
      <c r="W378" s="2"/>
      <c r="X378" s="2"/>
    </row>
    <row r="379">
      <c r="B379" s="846"/>
      <c r="C379" s="578"/>
      <c r="D379" s="10"/>
      <c r="F379" s="10"/>
      <c r="H379" s="10"/>
      <c r="I379" s="10"/>
      <c r="J379" s="10"/>
      <c r="K379" s="10"/>
      <c r="L379" s="2"/>
      <c r="M379" s="2"/>
      <c r="N379" s="2"/>
      <c r="O379" s="2"/>
      <c r="P379" s="2"/>
      <c r="Q379" s="2"/>
      <c r="R379" s="862"/>
      <c r="S379" s="109"/>
      <c r="T379" s="2"/>
      <c r="U379" s="2"/>
      <c r="V379" s="2"/>
      <c r="W379" s="2"/>
      <c r="X379" s="2"/>
    </row>
    <row r="380">
      <c r="B380" s="846"/>
      <c r="C380" s="578"/>
      <c r="D380" s="10"/>
      <c r="F380" s="10"/>
      <c r="H380" s="10"/>
      <c r="I380" s="10"/>
      <c r="J380" s="10"/>
      <c r="K380" s="10"/>
      <c r="L380" s="2"/>
      <c r="M380" s="2"/>
      <c r="N380" s="2"/>
      <c r="O380" s="2"/>
      <c r="P380" s="2"/>
      <c r="Q380" s="2"/>
      <c r="R380" s="862"/>
      <c r="S380" s="109"/>
      <c r="T380" s="54"/>
      <c r="U380" s="54"/>
      <c r="V380" s="54"/>
      <c r="W380" s="54"/>
      <c r="X380" s="54"/>
    </row>
    <row r="381">
      <c r="B381" s="846"/>
      <c r="C381" s="578"/>
      <c r="D381" s="10"/>
      <c r="F381" s="10"/>
      <c r="H381" s="10"/>
      <c r="I381" s="10"/>
      <c r="J381" s="10"/>
      <c r="K381" s="10"/>
      <c r="L381" s="2"/>
      <c r="M381" s="2"/>
      <c r="N381" s="2"/>
      <c r="O381" s="2"/>
      <c r="P381" s="2"/>
      <c r="Q381" s="2"/>
      <c r="R381" s="117"/>
      <c r="S381" s="2"/>
      <c r="T381" s="2"/>
      <c r="U381" s="2"/>
      <c r="V381" s="2"/>
      <c r="W381" s="2"/>
      <c r="X381" s="2"/>
    </row>
    <row r="382">
      <c r="B382" s="846"/>
      <c r="C382" s="578"/>
      <c r="D382" s="10"/>
      <c r="F382" s="10"/>
      <c r="H382" s="10"/>
      <c r="I382" s="10"/>
      <c r="J382" s="10"/>
      <c r="K382" s="10"/>
      <c r="L382" s="2"/>
      <c r="M382" s="2"/>
      <c r="N382" s="2"/>
      <c r="O382" s="2"/>
      <c r="P382" s="2"/>
      <c r="Q382" s="2"/>
      <c r="R382" s="117"/>
      <c r="S382" s="2"/>
      <c r="T382" s="2"/>
      <c r="U382" s="2"/>
      <c r="V382" s="2"/>
      <c r="W382" s="2"/>
      <c r="X382" s="2"/>
    </row>
    <row r="383">
      <c r="B383" s="846"/>
      <c r="C383" s="578"/>
      <c r="D383" s="10"/>
      <c r="F383" s="10"/>
      <c r="H383" s="10"/>
      <c r="I383" s="10"/>
      <c r="J383" s="10"/>
      <c r="K383" s="10"/>
      <c r="L383" s="2"/>
      <c r="M383" s="2"/>
      <c r="N383" s="2"/>
      <c r="O383" s="2"/>
      <c r="P383" s="2"/>
      <c r="Q383" s="2"/>
      <c r="R383" s="847"/>
      <c r="S383" s="847"/>
      <c r="T383" s="116"/>
      <c r="U383" s="116"/>
      <c r="V383" s="116"/>
      <c r="W383" s="116"/>
      <c r="X383" s="116"/>
    </row>
    <row r="384">
      <c r="B384" s="846"/>
      <c r="C384" s="578"/>
      <c r="D384" s="10"/>
      <c r="F384" s="10"/>
      <c r="H384" s="10"/>
      <c r="I384" s="10"/>
      <c r="J384" s="10"/>
      <c r="K384" s="10"/>
      <c r="L384" s="2"/>
      <c r="M384" s="2"/>
      <c r="N384" s="2"/>
      <c r="O384" s="2"/>
      <c r="P384" s="2"/>
      <c r="Q384" s="2"/>
      <c r="R384" s="848"/>
      <c r="S384" s="848"/>
      <c r="T384" s="848"/>
      <c r="U384" s="848"/>
      <c r="V384" s="848"/>
      <c r="W384" s="848"/>
      <c r="X384" s="848"/>
    </row>
    <row r="385">
      <c r="B385" s="846"/>
      <c r="C385" s="578"/>
      <c r="D385" s="10"/>
      <c r="F385" s="10"/>
      <c r="H385" s="10"/>
      <c r="I385" s="10"/>
      <c r="J385" s="10"/>
      <c r="K385" s="10"/>
      <c r="L385" s="2"/>
      <c r="M385" s="2"/>
      <c r="N385" s="2"/>
      <c r="O385" s="2"/>
      <c r="P385" s="2"/>
      <c r="Q385" s="2"/>
      <c r="R385" s="849"/>
      <c r="S385" s="850"/>
      <c r="T385" s="851"/>
      <c r="U385" s="851"/>
      <c r="V385" s="851"/>
      <c r="W385" s="851"/>
      <c r="X385" s="851"/>
    </row>
    <row r="386">
      <c r="B386" s="846"/>
      <c r="C386" s="578"/>
      <c r="D386" s="10"/>
      <c r="F386" s="10"/>
      <c r="H386" s="10"/>
      <c r="I386" s="10"/>
      <c r="J386" s="10"/>
      <c r="K386" s="10"/>
      <c r="L386" s="2"/>
      <c r="M386" s="2"/>
      <c r="N386" s="2"/>
      <c r="O386" s="2"/>
      <c r="P386" s="2"/>
      <c r="Q386" s="2"/>
      <c r="R386" s="852"/>
      <c r="S386" s="853"/>
      <c r="T386" s="854"/>
      <c r="U386" s="854"/>
      <c r="V386" s="854"/>
      <c r="W386" s="854"/>
      <c r="X386" s="854"/>
    </row>
    <row r="387">
      <c r="B387" s="846"/>
      <c r="C387" s="578"/>
      <c r="D387" s="10"/>
      <c r="F387" s="10"/>
      <c r="H387" s="10"/>
      <c r="I387" s="10"/>
      <c r="J387" s="10"/>
      <c r="K387" s="10"/>
      <c r="L387" s="2"/>
      <c r="M387" s="2"/>
      <c r="N387" s="2"/>
      <c r="O387" s="2"/>
      <c r="P387" s="2"/>
      <c r="Q387" s="2"/>
      <c r="R387" s="855"/>
      <c r="S387" s="856"/>
      <c r="T387" s="854"/>
      <c r="U387" s="854"/>
      <c r="V387" s="854"/>
      <c r="W387" s="854"/>
      <c r="X387" s="854"/>
    </row>
    <row r="388">
      <c r="B388" s="846"/>
      <c r="C388" s="578"/>
      <c r="D388" s="10"/>
      <c r="F388" s="10"/>
      <c r="H388" s="10"/>
      <c r="I388" s="10"/>
      <c r="J388" s="10"/>
      <c r="K388" s="10"/>
      <c r="L388" s="2"/>
      <c r="M388" s="2"/>
      <c r="N388" s="2"/>
      <c r="O388" s="2"/>
      <c r="P388" s="2"/>
      <c r="Q388" s="2"/>
      <c r="R388" s="855"/>
      <c r="S388" s="856"/>
      <c r="T388" s="854"/>
      <c r="U388" s="854"/>
      <c r="V388" s="854"/>
      <c r="W388" s="854"/>
      <c r="X388" s="854"/>
    </row>
    <row r="389">
      <c r="B389" s="846"/>
      <c r="C389" s="578"/>
      <c r="D389" s="10"/>
      <c r="F389" s="10"/>
      <c r="H389" s="10"/>
      <c r="I389" s="10"/>
      <c r="J389" s="10"/>
      <c r="K389" s="10"/>
      <c r="L389" s="2"/>
      <c r="M389" s="2"/>
      <c r="N389" s="2"/>
      <c r="O389" s="2"/>
      <c r="P389" s="2"/>
      <c r="Q389" s="2"/>
      <c r="R389" s="852"/>
      <c r="S389" s="853"/>
      <c r="T389" s="854"/>
      <c r="U389" s="854"/>
      <c r="V389" s="854"/>
      <c r="W389" s="854"/>
      <c r="X389" s="854"/>
    </row>
    <row r="390">
      <c r="B390" s="846"/>
      <c r="C390" s="578"/>
      <c r="D390" s="10"/>
      <c r="F390" s="10"/>
      <c r="H390" s="10"/>
      <c r="I390" s="10"/>
      <c r="J390" s="10"/>
      <c r="K390" s="10"/>
      <c r="L390" s="2"/>
      <c r="M390" s="2"/>
      <c r="N390" s="2"/>
      <c r="O390" s="2"/>
      <c r="P390" s="2"/>
      <c r="Q390" s="2"/>
      <c r="R390" s="857"/>
      <c r="S390" s="858"/>
      <c r="T390" s="854"/>
      <c r="U390" s="854"/>
      <c r="V390" s="854"/>
      <c r="W390" s="854"/>
      <c r="X390" s="854"/>
    </row>
    <row r="391">
      <c r="B391" s="846"/>
      <c r="C391" s="578"/>
      <c r="D391" s="10"/>
      <c r="F391" s="10"/>
      <c r="H391" s="10"/>
      <c r="I391" s="10"/>
      <c r="J391" s="10"/>
      <c r="K391" s="10"/>
      <c r="L391" s="2"/>
      <c r="M391" s="2"/>
      <c r="N391" s="2"/>
      <c r="O391" s="2"/>
      <c r="P391" s="2"/>
      <c r="Q391" s="2"/>
      <c r="R391" s="857"/>
      <c r="S391" s="858"/>
      <c r="T391" s="854"/>
      <c r="U391" s="854"/>
      <c r="V391" s="854"/>
      <c r="W391" s="854"/>
      <c r="X391" s="854"/>
    </row>
    <row r="392">
      <c r="B392" s="846"/>
      <c r="C392" s="578"/>
      <c r="D392" s="10"/>
      <c r="F392" s="10"/>
      <c r="H392" s="10"/>
      <c r="I392" s="10"/>
      <c r="J392" s="10"/>
      <c r="K392" s="10"/>
      <c r="L392" s="2"/>
      <c r="M392" s="2"/>
      <c r="N392" s="2"/>
      <c r="O392" s="2"/>
      <c r="P392" s="2"/>
      <c r="Q392" s="2"/>
      <c r="R392" s="857"/>
      <c r="S392" s="858"/>
      <c r="T392" s="854"/>
      <c r="U392" s="854"/>
      <c r="V392" s="854"/>
      <c r="W392" s="854"/>
      <c r="X392" s="854"/>
    </row>
    <row r="393">
      <c r="B393" s="846"/>
      <c r="C393" s="578"/>
      <c r="D393" s="10"/>
      <c r="F393" s="10"/>
      <c r="H393" s="10"/>
      <c r="I393" s="10"/>
      <c r="J393" s="10"/>
      <c r="K393" s="10"/>
      <c r="L393" s="2"/>
      <c r="M393" s="2"/>
      <c r="N393" s="2"/>
      <c r="O393" s="2"/>
      <c r="P393" s="2"/>
      <c r="Q393" s="2"/>
      <c r="R393" s="852"/>
      <c r="S393" s="853"/>
      <c r="T393" s="854"/>
      <c r="U393" s="854"/>
      <c r="V393" s="854"/>
      <c r="W393" s="854"/>
      <c r="X393" s="854"/>
    </row>
    <row r="394">
      <c r="B394" s="846"/>
      <c r="C394" s="578"/>
      <c r="D394" s="10"/>
      <c r="F394" s="10"/>
      <c r="H394" s="10"/>
      <c r="I394" s="10"/>
      <c r="J394" s="10"/>
      <c r="K394" s="10"/>
      <c r="L394" s="2"/>
      <c r="M394" s="2"/>
      <c r="N394" s="2"/>
      <c r="O394" s="2"/>
      <c r="P394" s="2"/>
      <c r="Q394" s="2"/>
      <c r="R394" s="852"/>
      <c r="S394" s="853"/>
      <c r="T394" s="854"/>
      <c r="U394" s="854"/>
      <c r="V394" s="854"/>
      <c r="W394" s="854"/>
      <c r="X394" s="854"/>
    </row>
    <row r="395">
      <c r="B395" s="846"/>
      <c r="C395" s="578"/>
      <c r="D395" s="10"/>
      <c r="F395" s="10"/>
      <c r="H395" s="10"/>
      <c r="I395" s="10"/>
      <c r="J395" s="10"/>
      <c r="K395" s="10"/>
      <c r="L395" s="2"/>
      <c r="M395" s="2"/>
      <c r="N395" s="2"/>
      <c r="O395" s="2"/>
      <c r="P395" s="2"/>
      <c r="Q395" s="2"/>
      <c r="R395" s="852"/>
      <c r="S395" s="853"/>
      <c r="T395" s="854"/>
      <c r="U395" s="854"/>
      <c r="V395" s="854"/>
      <c r="W395" s="854"/>
      <c r="X395" s="854"/>
    </row>
    <row r="396">
      <c r="B396" s="846"/>
      <c r="C396" s="578"/>
      <c r="D396" s="10"/>
      <c r="F396" s="10"/>
      <c r="H396" s="10"/>
      <c r="I396" s="10"/>
      <c r="J396" s="10"/>
      <c r="K396" s="10"/>
      <c r="L396" s="2"/>
      <c r="M396" s="2"/>
      <c r="N396" s="2"/>
      <c r="O396" s="2"/>
      <c r="P396" s="2"/>
      <c r="Q396" s="2"/>
      <c r="R396" s="852"/>
      <c r="S396" s="853"/>
      <c r="T396" s="854"/>
      <c r="U396" s="854"/>
      <c r="V396" s="854"/>
      <c r="W396" s="854"/>
      <c r="X396" s="854"/>
    </row>
    <row r="397">
      <c r="B397" s="846"/>
      <c r="C397" s="578"/>
      <c r="D397" s="10"/>
      <c r="F397" s="10"/>
      <c r="H397" s="10"/>
      <c r="I397" s="10"/>
      <c r="J397" s="10"/>
      <c r="K397" s="10"/>
      <c r="L397" s="2"/>
      <c r="M397" s="2"/>
      <c r="N397" s="2"/>
      <c r="O397" s="2"/>
      <c r="P397" s="2"/>
      <c r="Q397" s="2"/>
      <c r="R397" s="852"/>
      <c r="S397" s="859"/>
      <c r="T397" s="107"/>
      <c r="U397" s="107"/>
      <c r="V397" s="107"/>
      <c r="W397" s="107"/>
      <c r="X397" s="107"/>
    </row>
    <row r="398">
      <c r="B398" s="846"/>
      <c r="C398" s="578"/>
      <c r="D398" s="10"/>
      <c r="F398" s="10"/>
      <c r="H398" s="10"/>
      <c r="I398" s="10"/>
      <c r="J398" s="10"/>
      <c r="K398" s="10"/>
      <c r="L398" s="2"/>
      <c r="M398" s="2"/>
      <c r="N398" s="2"/>
      <c r="O398" s="2"/>
      <c r="P398" s="2"/>
      <c r="Q398" s="2"/>
      <c r="R398" s="852"/>
      <c r="S398" s="859"/>
      <c r="T398" s="107"/>
      <c r="U398" s="107"/>
      <c r="V398" s="107"/>
      <c r="W398" s="107"/>
      <c r="X398" s="107"/>
    </row>
    <row r="399">
      <c r="B399" s="846"/>
      <c r="C399" s="578"/>
      <c r="D399" s="10"/>
      <c r="F399" s="10"/>
      <c r="H399" s="10"/>
      <c r="I399" s="10"/>
      <c r="J399" s="10"/>
      <c r="K399" s="10"/>
      <c r="L399" s="2"/>
      <c r="M399" s="2"/>
      <c r="N399" s="2"/>
      <c r="O399" s="2"/>
      <c r="P399" s="2"/>
      <c r="Q399" s="2"/>
      <c r="R399" s="852"/>
      <c r="S399" s="859"/>
      <c r="T399" s="107"/>
      <c r="U399" s="107"/>
      <c r="V399" s="107"/>
      <c r="W399" s="107"/>
      <c r="X399" s="107"/>
    </row>
    <row r="400">
      <c r="B400" s="846"/>
      <c r="C400" s="578"/>
      <c r="D400" s="10"/>
      <c r="F400" s="10"/>
      <c r="H400" s="10"/>
      <c r="I400" s="10"/>
      <c r="J400" s="10"/>
      <c r="K400" s="10"/>
      <c r="L400" s="2"/>
      <c r="M400" s="2"/>
      <c r="N400" s="2"/>
      <c r="O400" s="2"/>
      <c r="P400" s="2"/>
      <c r="Q400" s="2"/>
      <c r="R400" s="852"/>
      <c r="S400" s="859"/>
      <c r="T400" s="107"/>
      <c r="U400" s="107"/>
      <c r="V400" s="107"/>
      <c r="W400" s="107"/>
      <c r="X400" s="107"/>
    </row>
    <row r="401">
      <c r="B401" s="846"/>
      <c r="C401" s="578"/>
      <c r="D401" s="10"/>
      <c r="F401" s="10"/>
      <c r="H401" s="10"/>
      <c r="I401" s="10"/>
      <c r="J401" s="10"/>
      <c r="K401" s="10"/>
      <c r="L401" s="2"/>
      <c r="M401" s="2"/>
      <c r="N401" s="2"/>
      <c r="O401" s="2"/>
      <c r="P401" s="2"/>
      <c r="Q401" s="2"/>
      <c r="R401" s="852"/>
      <c r="S401" s="859"/>
      <c r="T401" s="107"/>
      <c r="U401" s="107"/>
      <c r="V401" s="107"/>
      <c r="W401" s="107"/>
      <c r="X401" s="107"/>
    </row>
    <row r="402">
      <c r="B402" s="846"/>
      <c r="C402" s="578"/>
      <c r="D402" s="10"/>
      <c r="F402" s="10"/>
      <c r="H402" s="10"/>
      <c r="I402" s="10"/>
      <c r="J402" s="10"/>
      <c r="K402" s="10"/>
      <c r="L402" s="2"/>
      <c r="M402" s="2"/>
      <c r="N402" s="2"/>
      <c r="O402" s="2"/>
      <c r="P402" s="2"/>
      <c r="Q402" s="2"/>
      <c r="R402" s="852"/>
      <c r="S402" s="859"/>
      <c r="T402" s="107"/>
      <c r="U402" s="107"/>
      <c r="V402" s="107"/>
      <c r="W402" s="107"/>
      <c r="X402" s="107"/>
    </row>
    <row r="403">
      <c r="B403" s="846"/>
      <c r="C403" s="578"/>
      <c r="D403" s="10"/>
      <c r="F403" s="10"/>
      <c r="H403" s="10"/>
      <c r="I403" s="10"/>
      <c r="J403" s="10"/>
      <c r="K403" s="10"/>
      <c r="L403" s="2"/>
      <c r="M403" s="2"/>
      <c r="N403" s="2"/>
      <c r="O403" s="2"/>
      <c r="P403" s="2"/>
      <c r="Q403" s="2"/>
      <c r="R403" s="852"/>
      <c r="S403" s="859"/>
      <c r="T403" s="107"/>
      <c r="U403" s="107"/>
      <c r="V403" s="107"/>
      <c r="W403" s="107"/>
      <c r="X403" s="107"/>
    </row>
    <row r="404">
      <c r="B404" s="846"/>
      <c r="C404" s="578"/>
      <c r="D404" s="10"/>
      <c r="F404" s="10"/>
      <c r="H404" s="10"/>
      <c r="I404" s="10"/>
      <c r="J404" s="10"/>
      <c r="K404" s="10"/>
      <c r="L404" s="2"/>
      <c r="M404" s="2"/>
      <c r="N404" s="2"/>
      <c r="O404" s="2"/>
      <c r="P404" s="2"/>
      <c r="Q404" s="2"/>
      <c r="R404" s="852"/>
      <c r="S404" s="859"/>
      <c r="T404" s="107"/>
      <c r="U404" s="107"/>
      <c r="V404" s="107"/>
      <c r="W404" s="107"/>
      <c r="X404" s="107"/>
    </row>
    <row r="405">
      <c r="B405" s="846"/>
      <c r="C405" s="578"/>
      <c r="D405" s="10"/>
      <c r="F405" s="10"/>
      <c r="H405" s="10"/>
      <c r="I405" s="10"/>
      <c r="J405" s="10"/>
      <c r="K405" s="10"/>
      <c r="L405" s="2"/>
      <c r="M405" s="2"/>
      <c r="N405" s="2"/>
      <c r="O405" s="2"/>
      <c r="P405" s="2"/>
      <c r="Q405" s="2"/>
      <c r="R405" s="852"/>
      <c r="S405" s="859"/>
      <c r="T405" s="107"/>
      <c r="U405" s="107"/>
      <c r="V405" s="107"/>
      <c r="W405" s="107"/>
      <c r="X405" s="107"/>
    </row>
    <row r="406">
      <c r="B406" s="846"/>
      <c r="C406" s="578"/>
      <c r="D406" s="10"/>
      <c r="F406" s="10"/>
      <c r="H406" s="10"/>
      <c r="I406" s="10"/>
      <c r="J406" s="10"/>
      <c r="K406" s="10"/>
      <c r="L406" s="2"/>
      <c r="M406" s="2"/>
      <c r="N406" s="2"/>
      <c r="O406" s="2"/>
      <c r="P406" s="2"/>
      <c r="Q406" s="2"/>
      <c r="R406" s="852"/>
      <c r="S406" s="859"/>
      <c r="T406" s="107"/>
      <c r="U406" s="107"/>
      <c r="V406" s="107"/>
      <c r="W406" s="107"/>
      <c r="X406" s="107"/>
    </row>
    <row r="407">
      <c r="B407" s="846"/>
      <c r="C407" s="578"/>
      <c r="D407" s="10"/>
      <c r="F407" s="10"/>
      <c r="H407" s="10"/>
      <c r="I407" s="10"/>
      <c r="J407" s="10"/>
      <c r="K407" s="10"/>
      <c r="L407" s="2"/>
      <c r="M407" s="2"/>
      <c r="N407" s="2"/>
      <c r="O407" s="2"/>
      <c r="P407" s="2"/>
      <c r="Q407" s="2"/>
      <c r="R407" s="857"/>
      <c r="S407" s="860"/>
      <c r="T407" s="107"/>
      <c r="U407" s="107"/>
      <c r="V407" s="107"/>
      <c r="W407" s="107"/>
      <c r="X407" s="107"/>
    </row>
    <row r="408">
      <c r="B408" s="846"/>
      <c r="C408" s="578"/>
      <c r="D408" s="10"/>
      <c r="F408" s="10"/>
      <c r="H408" s="10"/>
      <c r="I408" s="10"/>
      <c r="J408" s="10"/>
      <c r="K408" s="10"/>
      <c r="L408" s="2"/>
      <c r="M408" s="2"/>
      <c r="N408" s="2"/>
      <c r="O408" s="2"/>
      <c r="P408" s="2"/>
      <c r="Q408" s="2"/>
      <c r="R408" s="861"/>
      <c r="S408" s="111"/>
      <c r="T408" s="2"/>
      <c r="U408" s="2"/>
      <c r="V408" s="2"/>
      <c r="W408" s="2"/>
      <c r="X408" s="2"/>
    </row>
    <row r="409">
      <c r="B409" s="846"/>
      <c r="C409" s="578"/>
      <c r="D409" s="10"/>
      <c r="F409" s="10"/>
      <c r="H409" s="10"/>
      <c r="I409" s="10"/>
      <c r="J409" s="10"/>
      <c r="K409" s="10"/>
      <c r="L409" s="2"/>
      <c r="M409" s="2"/>
      <c r="N409" s="2"/>
      <c r="O409" s="2"/>
      <c r="P409" s="2"/>
      <c r="Q409" s="2"/>
      <c r="R409" s="861"/>
      <c r="S409" s="111"/>
      <c r="T409" s="2"/>
      <c r="U409" s="2"/>
      <c r="V409" s="2"/>
      <c r="W409" s="2"/>
      <c r="X409" s="2"/>
    </row>
    <row r="410">
      <c r="B410" s="846"/>
      <c r="C410" s="578"/>
      <c r="D410" s="10"/>
      <c r="F410" s="10"/>
      <c r="H410" s="10"/>
      <c r="I410" s="10"/>
      <c r="J410" s="10"/>
      <c r="K410" s="10"/>
      <c r="L410" s="2"/>
      <c r="M410" s="2"/>
      <c r="N410" s="2"/>
      <c r="O410" s="2"/>
      <c r="P410" s="2"/>
      <c r="Q410" s="2"/>
      <c r="R410" s="861"/>
      <c r="S410" s="111"/>
      <c r="T410" s="2"/>
      <c r="U410" s="2"/>
      <c r="V410" s="2"/>
      <c r="W410" s="2"/>
      <c r="X410" s="2"/>
    </row>
    <row r="411">
      <c r="B411" s="846"/>
      <c r="C411" s="578"/>
      <c r="D411" s="10"/>
      <c r="F411" s="10"/>
      <c r="H411" s="10"/>
      <c r="I411" s="10"/>
      <c r="J411" s="10"/>
      <c r="K411" s="10"/>
      <c r="L411" s="2"/>
      <c r="M411" s="2"/>
      <c r="N411" s="2"/>
      <c r="O411" s="2"/>
      <c r="P411" s="2"/>
      <c r="Q411" s="2"/>
      <c r="R411" s="861"/>
      <c r="S411" s="111"/>
      <c r="T411" s="2"/>
      <c r="U411" s="2"/>
      <c r="V411" s="2"/>
      <c r="W411" s="2"/>
      <c r="X411" s="2"/>
    </row>
    <row r="412">
      <c r="B412" s="846"/>
      <c r="C412" s="578"/>
      <c r="D412" s="10"/>
      <c r="F412" s="10"/>
      <c r="H412" s="10"/>
      <c r="I412" s="10"/>
      <c r="J412" s="10"/>
      <c r="K412" s="10"/>
      <c r="L412" s="2"/>
      <c r="M412" s="2"/>
      <c r="N412" s="2"/>
      <c r="O412" s="2"/>
      <c r="P412" s="2"/>
      <c r="Q412" s="2"/>
      <c r="R412" s="861"/>
      <c r="S412" s="111"/>
      <c r="T412" s="2"/>
      <c r="U412" s="2"/>
      <c r="V412" s="2"/>
      <c r="W412" s="2"/>
      <c r="X412" s="2"/>
    </row>
    <row r="413">
      <c r="B413" s="846"/>
      <c r="C413" s="578"/>
      <c r="D413" s="10"/>
      <c r="F413" s="10"/>
      <c r="H413" s="10"/>
      <c r="I413" s="10"/>
      <c r="J413" s="10"/>
      <c r="K413" s="10"/>
      <c r="L413" s="2"/>
      <c r="M413" s="2"/>
      <c r="N413" s="2"/>
      <c r="O413" s="2"/>
      <c r="P413" s="2"/>
      <c r="Q413" s="2"/>
      <c r="R413" s="862"/>
      <c r="S413" s="109"/>
      <c r="T413" s="2"/>
      <c r="U413" s="2"/>
      <c r="V413" s="2"/>
      <c r="W413" s="2"/>
      <c r="X413" s="2"/>
    </row>
    <row r="414">
      <c r="B414" s="846"/>
      <c r="C414" s="578"/>
      <c r="D414" s="10"/>
      <c r="F414" s="10"/>
      <c r="H414" s="10"/>
      <c r="I414" s="10"/>
      <c r="J414" s="10"/>
      <c r="K414" s="10"/>
      <c r="L414" s="2"/>
      <c r="M414" s="2"/>
      <c r="N414" s="2"/>
      <c r="O414" s="2"/>
      <c r="P414" s="2"/>
      <c r="Q414" s="2"/>
      <c r="R414" s="861"/>
      <c r="S414" s="111"/>
      <c r="T414" s="2"/>
      <c r="U414" s="2"/>
      <c r="V414" s="2"/>
      <c r="W414" s="2"/>
      <c r="X414" s="2"/>
    </row>
    <row r="415">
      <c r="B415" s="846"/>
      <c r="C415" s="578"/>
      <c r="D415" s="10"/>
      <c r="F415" s="10"/>
      <c r="H415" s="10"/>
      <c r="I415" s="10"/>
      <c r="J415" s="10"/>
      <c r="K415" s="10"/>
      <c r="L415" s="2"/>
      <c r="M415" s="2"/>
      <c r="N415" s="2"/>
      <c r="O415" s="2"/>
      <c r="P415" s="2"/>
      <c r="Q415" s="2"/>
      <c r="R415" s="861"/>
      <c r="S415" s="111"/>
      <c r="T415" s="2"/>
      <c r="U415" s="2"/>
      <c r="V415" s="2"/>
      <c r="W415" s="2"/>
      <c r="X415" s="2"/>
    </row>
    <row r="416">
      <c r="B416" s="846"/>
      <c r="C416" s="578"/>
      <c r="D416" s="10"/>
      <c r="F416" s="10"/>
      <c r="H416" s="10"/>
      <c r="I416" s="10"/>
      <c r="J416" s="10"/>
      <c r="K416" s="10"/>
      <c r="L416" s="2"/>
      <c r="M416" s="2"/>
      <c r="N416" s="2"/>
      <c r="O416" s="2"/>
      <c r="P416" s="2"/>
      <c r="Q416" s="2"/>
      <c r="R416" s="861"/>
      <c r="S416" s="111"/>
      <c r="T416" s="2"/>
      <c r="U416" s="2"/>
      <c r="V416" s="2"/>
      <c r="W416" s="2"/>
      <c r="X416" s="2"/>
    </row>
    <row r="417">
      <c r="B417" s="846"/>
      <c r="C417" s="578"/>
      <c r="D417" s="10"/>
      <c r="F417" s="10"/>
      <c r="H417" s="10"/>
      <c r="I417" s="10"/>
      <c r="J417" s="10"/>
      <c r="K417" s="10"/>
      <c r="L417" s="2"/>
      <c r="M417" s="2"/>
      <c r="N417" s="2"/>
      <c r="O417" s="2"/>
      <c r="P417" s="2"/>
      <c r="Q417" s="2"/>
      <c r="R417" s="861"/>
      <c r="S417" s="111"/>
      <c r="T417" s="2"/>
      <c r="U417" s="2"/>
      <c r="V417" s="2"/>
      <c r="W417" s="2"/>
      <c r="X417" s="2"/>
    </row>
    <row r="418">
      <c r="B418" s="846"/>
      <c r="C418" s="578"/>
      <c r="D418" s="10"/>
      <c r="F418" s="10"/>
      <c r="H418" s="10"/>
      <c r="I418" s="10"/>
      <c r="J418" s="10"/>
      <c r="K418" s="10"/>
      <c r="L418" s="2"/>
      <c r="M418" s="2"/>
      <c r="N418" s="2"/>
      <c r="O418" s="2"/>
      <c r="P418" s="2"/>
      <c r="Q418" s="2"/>
      <c r="R418" s="861"/>
      <c r="S418" s="111"/>
      <c r="T418" s="2"/>
      <c r="U418" s="2"/>
      <c r="V418" s="2"/>
      <c r="W418" s="2"/>
      <c r="X418" s="2"/>
    </row>
    <row r="419">
      <c r="B419" s="846"/>
      <c r="C419" s="578"/>
      <c r="D419" s="10"/>
      <c r="F419" s="10"/>
      <c r="H419" s="10"/>
      <c r="I419" s="10"/>
      <c r="J419" s="10"/>
      <c r="K419" s="10"/>
      <c r="L419" s="2"/>
      <c r="M419" s="2"/>
      <c r="N419" s="2"/>
      <c r="O419" s="2"/>
      <c r="P419" s="2"/>
      <c r="Q419" s="2"/>
      <c r="R419" s="861"/>
      <c r="S419" s="111"/>
      <c r="T419" s="2"/>
      <c r="U419" s="2"/>
      <c r="V419" s="2"/>
      <c r="W419" s="2"/>
      <c r="X419" s="2"/>
    </row>
    <row r="420">
      <c r="B420" s="846"/>
      <c r="C420" s="578"/>
      <c r="D420" s="10"/>
      <c r="F420" s="10"/>
      <c r="H420" s="10"/>
      <c r="I420" s="10"/>
      <c r="J420" s="10"/>
      <c r="K420" s="10"/>
      <c r="L420" s="2"/>
      <c r="M420" s="2"/>
      <c r="N420" s="2"/>
      <c r="O420" s="2"/>
      <c r="P420" s="2"/>
      <c r="Q420" s="2"/>
      <c r="R420" s="861"/>
      <c r="S420" s="111"/>
      <c r="T420" s="2"/>
      <c r="U420" s="2"/>
      <c r="V420" s="2"/>
      <c r="W420" s="2"/>
      <c r="X420" s="2"/>
    </row>
    <row r="421">
      <c r="B421" s="846"/>
      <c r="C421" s="578"/>
      <c r="D421" s="10"/>
      <c r="F421" s="10"/>
      <c r="H421" s="10"/>
      <c r="I421" s="10"/>
      <c r="J421" s="10"/>
      <c r="K421" s="10"/>
      <c r="L421" s="2"/>
      <c r="M421" s="2"/>
      <c r="N421" s="2"/>
      <c r="O421" s="2"/>
      <c r="P421" s="2"/>
      <c r="Q421" s="2"/>
      <c r="R421" s="861"/>
      <c r="S421" s="111"/>
      <c r="T421" s="2"/>
      <c r="U421" s="2"/>
      <c r="V421" s="2"/>
      <c r="W421" s="2"/>
      <c r="X421" s="2"/>
    </row>
    <row r="422">
      <c r="B422" s="846"/>
      <c r="C422" s="578"/>
      <c r="D422" s="10"/>
      <c r="F422" s="10"/>
      <c r="H422" s="10"/>
      <c r="I422" s="10"/>
      <c r="J422" s="10"/>
      <c r="K422" s="10"/>
      <c r="L422" s="2"/>
      <c r="M422" s="2"/>
      <c r="N422" s="2"/>
      <c r="O422" s="2"/>
      <c r="P422" s="2"/>
      <c r="Q422" s="2"/>
      <c r="R422" s="862"/>
      <c r="S422" s="109"/>
      <c r="T422" s="2"/>
      <c r="U422" s="2"/>
      <c r="V422" s="2"/>
      <c r="W422" s="2"/>
      <c r="X422" s="2"/>
    </row>
    <row r="423">
      <c r="B423" s="846"/>
      <c r="C423" s="578"/>
      <c r="D423" s="10"/>
      <c r="F423" s="10"/>
      <c r="H423" s="10"/>
      <c r="I423" s="10"/>
      <c r="J423" s="10"/>
      <c r="K423" s="10"/>
      <c r="L423" s="2"/>
      <c r="M423" s="2"/>
      <c r="N423" s="2"/>
      <c r="O423" s="2"/>
      <c r="P423" s="2"/>
      <c r="Q423" s="2"/>
      <c r="R423" s="862"/>
      <c r="S423" s="109"/>
      <c r="T423" s="54"/>
      <c r="U423" s="54"/>
      <c r="V423" s="54"/>
      <c r="W423" s="54"/>
      <c r="X423" s="54"/>
    </row>
    <row r="424">
      <c r="B424" s="846"/>
      <c r="C424" s="578"/>
      <c r="D424" s="10"/>
      <c r="F424" s="10"/>
      <c r="H424" s="10"/>
      <c r="I424" s="10"/>
      <c r="J424" s="10"/>
      <c r="K424" s="10"/>
      <c r="L424" s="2"/>
      <c r="M424" s="2"/>
      <c r="N424" s="2"/>
      <c r="O424" s="2"/>
      <c r="P424" s="2"/>
      <c r="Q424" s="2"/>
      <c r="R424" s="117"/>
      <c r="S424" s="2"/>
      <c r="T424" s="2"/>
      <c r="U424" s="2"/>
      <c r="V424" s="2"/>
      <c r="W424" s="2"/>
      <c r="X424" s="2"/>
    </row>
    <row r="425">
      <c r="B425" s="846"/>
      <c r="C425" s="578"/>
      <c r="D425" s="10"/>
      <c r="F425" s="10"/>
      <c r="H425" s="10"/>
      <c r="I425" s="10"/>
      <c r="J425" s="10"/>
      <c r="K425" s="10"/>
      <c r="L425" s="2"/>
      <c r="M425" s="2"/>
      <c r="N425" s="2"/>
      <c r="O425" s="2"/>
      <c r="P425" s="2"/>
      <c r="Q425" s="2"/>
      <c r="R425" s="117"/>
      <c r="S425" s="2"/>
      <c r="T425" s="2"/>
      <c r="U425" s="2"/>
      <c r="V425" s="2"/>
      <c r="W425" s="2"/>
      <c r="X425" s="2"/>
    </row>
    <row r="426">
      <c r="B426" s="846"/>
      <c r="C426" s="578"/>
      <c r="D426" s="10"/>
      <c r="F426" s="10"/>
      <c r="H426" s="10"/>
      <c r="I426" s="10"/>
      <c r="J426" s="10"/>
      <c r="K426" s="10"/>
      <c r="L426" s="2"/>
      <c r="M426" s="2"/>
      <c r="N426" s="2"/>
      <c r="O426" s="2"/>
      <c r="P426" s="2"/>
      <c r="Q426" s="2"/>
      <c r="R426" s="847"/>
      <c r="S426" s="847"/>
      <c r="T426" s="116"/>
      <c r="U426" s="116"/>
      <c r="V426" s="116"/>
      <c r="W426" s="116"/>
      <c r="X426" s="116"/>
    </row>
    <row r="427">
      <c r="B427" s="846"/>
      <c r="C427" s="578"/>
      <c r="D427" s="10"/>
      <c r="F427" s="10"/>
      <c r="H427" s="10"/>
      <c r="I427" s="10"/>
      <c r="J427" s="10"/>
      <c r="K427" s="10"/>
      <c r="L427" s="2"/>
      <c r="M427" s="2"/>
      <c r="N427" s="2"/>
      <c r="O427" s="2"/>
      <c r="P427" s="2"/>
      <c r="Q427" s="2"/>
      <c r="R427" s="848"/>
      <c r="S427" s="848"/>
      <c r="T427" s="848"/>
      <c r="U427" s="848"/>
      <c r="V427" s="848"/>
      <c r="W427" s="848"/>
      <c r="X427" s="848"/>
    </row>
    <row r="428">
      <c r="B428" s="846"/>
      <c r="C428" s="578"/>
      <c r="D428" s="10"/>
      <c r="F428" s="10"/>
      <c r="H428" s="10"/>
      <c r="I428" s="10"/>
      <c r="J428" s="10"/>
      <c r="K428" s="10"/>
      <c r="L428" s="2"/>
      <c r="M428" s="2"/>
      <c r="N428" s="2"/>
      <c r="O428" s="2"/>
      <c r="P428" s="2"/>
      <c r="Q428" s="2"/>
      <c r="R428" s="849"/>
      <c r="S428" s="850"/>
      <c r="T428" s="851"/>
      <c r="U428" s="851"/>
      <c r="V428" s="851"/>
      <c r="W428" s="851"/>
      <c r="X428" s="851"/>
    </row>
    <row r="429">
      <c r="B429" s="846"/>
      <c r="C429" s="578"/>
      <c r="D429" s="10"/>
      <c r="F429" s="10"/>
      <c r="H429" s="10"/>
      <c r="I429" s="10"/>
      <c r="J429" s="10"/>
      <c r="K429" s="10"/>
      <c r="L429" s="2"/>
      <c r="M429" s="2"/>
      <c r="N429" s="2"/>
      <c r="O429" s="2"/>
      <c r="P429" s="2"/>
      <c r="Q429" s="2"/>
      <c r="R429" s="852"/>
      <c r="S429" s="853"/>
      <c r="T429" s="854"/>
      <c r="U429" s="854"/>
      <c r="V429" s="854"/>
      <c r="W429" s="854"/>
      <c r="X429" s="854"/>
    </row>
    <row r="430">
      <c r="B430" s="846"/>
      <c r="C430" s="578"/>
      <c r="D430" s="10"/>
      <c r="F430" s="10"/>
      <c r="H430" s="10"/>
      <c r="I430" s="10"/>
      <c r="J430" s="10"/>
      <c r="K430" s="10"/>
      <c r="L430" s="2"/>
      <c r="M430" s="2"/>
      <c r="N430" s="2"/>
      <c r="O430" s="2"/>
      <c r="P430" s="2"/>
      <c r="Q430" s="2"/>
      <c r="R430" s="855"/>
      <c r="S430" s="856"/>
      <c r="T430" s="854"/>
      <c r="U430" s="854"/>
      <c r="V430" s="854"/>
      <c r="W430" s="854"/>
      <c r="X430" s="854"/>
    </row>
    <row r="431">
      <c r="B431" s="846"/>
      <c r="C431" s="578"/>
      <c r="D431" s="10"/>
      <c r="F431" s="10"/>
      <c r="H431" s="10"/>
      <c r="I431" s="10"/>
      <c r="J431" s="10"/>
      <c r="K431" s="10"/>
      <c r="L431" s="2"/>
      <c r="M431" s="2"/>
      <c r="N431" s="2"/>
      <c r="O431" s="2"/>
      <c r="P431" s="2"/>
      <c r="Q431" s="2"/>
      <c r="R431" s="855"/>
      <c r="S431" s="856"/>
      <c r="T431" s="854"/>
      <c r="U431" s="854"/>
      <c r="V431" s="854"/>
      <c r="W431" s="854"/>
      <c r="X431" s="854"/>
    </row>
    <row r="432">
      <c r="B432" s="846"/>
      <c r="C432" s="578"/>
      <c r="D432" s="10"/>
      <c r="F432" s="10"/>
      <c r="H432" s="10"/>
      <c r="I432" s="10"/>
      <c r="J432" s="10"/>
      <c r="K432" s="10"/>
      <c r="L432" s="2"/>
      <c r="M432" s="2"/>
      <c r="N432" s="2"/>
      <c r="O432" s="2"/>
      <c r="P432" s="2"/>
      <c r="Q432" s="2"/>
      <c r="R432" s="852"/>
      <c r="S432" s="853"/>
      <c r="T432" s="854"/>
      <c r="U432" s="854"/>
      <c r="V432" s="854"/>
      <c r="W432" s="854"/>
      <c r="X432" s="854"/>
    </row>
    <row r="433">
      <c r="B433" s="846"/>
      <c r="C433" s="578"/>
      <c r="D433" s="10"/>
      <c r="F433" s="10"/>
      <c r="H433" s="10"/>
      <c r="I433" s="10"/>
      <c r="J433" s="10"/>
      <c r="K433" s="10"/>
      <c r="L433" s="2"/>
      <c r="M433" s="2"/>
      <c r="N433" s="2"/>
      <c r="O433" s="2"/>
      <c r="P433" s="2"/>
      <c r="Q433" s="2"/>
      <c r="R433" s="857"/>
      <c r="S433" s="858"/>
      <c r="T433" s="854"/>
      <c r="U433" s="854"/>
      <c r="V433" s="854"/>
      <c r="W433" s="854"/>
      <c r="X433" s="854"/>
    </row>
    <row r="434">
      <c r="B434" s="846"/>
      <c r="C434" s="578"/>
      <c r="D434" s="10"/>
      <c r="F434" s="10"/>
      <c r="H434" s="10"/>
      <c r="I434" s="10"/>
      <c r="J434" s="10"/>
      <c r="K434" s="10"/>
      <c r="L434" s="2"/>
      <c r="M434" s="2"/>
      <c r="N434" s="2"/>
      <c r="O434" s="2"/>
      <c r="P434" s="2"/>
      <c r="Q434" s="2"/>
      <c r="R434" s="857"/>
      <c r="S434" s="858"/>
      <c r="T434" s="854"/>
      <c r="U434" s="854"/>
      <c r="V434" s="854"/>
      <c r="W434" s="854"/>
      <c r="X434" s="854"/>
    </row>
    <row r="435">
      <c r="B435" s="846"/>
      <c r="C435" s="578"/>
      <c r="D435" s="10"/>
      <c r="F435" s="10"/>
      <c r="H435" s="10"/>
      <c r="I435" s="10"/>
      <c r="J435" s="10"/>
      <c r="K435" s="10"/>
      <c r="L435" s="2"/>
      <c r="M435" s="2"/>
      <c r="N435" s="2"/>
      <c r="O435" s="2"/>
      <c r="P435" s="2"/>
      <c r="Q435" s="2"/>
      <c r="R435" s="857"/>
      <c r="S435" s="858"/>
      <c r="T435" s="854"/>
      <c r="U435" s="854"/>
      <c r="V435" s="854"/>
      <c r="W435" s="854"/>
      <c r="X435" s="854"/>
    </row>
    <row r="436">
      <c r="B436" s="846"/>
      <c r="C436" s="578"/>
      <c r="D436" s="10"/>
      <c r="F436" s="10"/>
      <c r="H436" s="10"/>
      <c r="I436" s="10"/>
      <c r="J436" s="10"/>
      <c r="K436" s="10"/>
      <c r="L436" s="2"/>
      <c r="M436" s="2"/>
      <c r="N436" s="2"/>
      <c r="O436" s="2"/>
      <c r="P436" s="2"/>
      <c r="Q436" s="2"/>
      <c r="R436" s="852"/>
      <c r="S436" s="853"/>
      <c r="T436" s="854"/>
      <c r="U436" s="854"/>
      <c r="V436" s="854"/>
      <c r="W436" s="854"/>
      <c r="X436" s="854"/>
    </row>
    <row r="437">
      <c r="B437" s="846"/>
      <c r="C437" s="578"/>
      <c r="D437" s="10"/>
      <c r="F437" s="10"/>
      <c r="H437" s="10"/>
      <c r="I437" s="10"/>
      <c r="J437" s="10"/>
      <c r="K437" s="10"/>
      <c r="L437" s="2"/>
      <c r="M437" s="2"/>
      <c r="N437" s="2"/>
      <c r="O437" s="2"/>
      <c r="P437" s="2"/>
      <c r="Q437" s="2"/>
      <c r="R437" s="852"/>
      <c r="S437" s="853"/>
      <c r="T437" s="854"/>
      <c r="U437" s="854"/>
      <c r="V437" s="854"/>
      <c r="W437" s="854"/>
      <c r="X437" s="854"/>
    </row>
    <row r="438">
      <c r="B438" s="846"/>
      <c r="C438" s="578"/>
      <c r="D438" s="10"/>
      <c r="F438" s="10"/>
      <c r="H438" s="10"/>
      <c r="I438" s="10"/>
      <c r="J438" s="10"/>
      <c r="K438" s="10"/>
      <c r="L438" s="2"/>
      <c r="M438" s="2"/>
      <c r="N438" s="2"/>
      <c r="O438" s="2"/>
      <c r="P438" s="2"/>
      <c r="Q438" s="2"/>
      <c r="R438" s="852"/>
      <c r="S438" s="853"/>
      <c r="T438" s="854"/>
      <c r="U438" s="854"/>
      <c r="V438" s="854"/>
      <c r="W438" s="854"/>
      <c r="X438" s="854"/>
    </row>
    <row r="439">
      <c r="B439" s="846"/>
      <c r="C439" s="578"/>
      <c r="D439" s="10"/>
      <c r="F439" s="10"/>
      <c r="H439" s="10"/>
      <c r="I439" s="10"/>
      <c r="J439" s="10"/>
      <c r="K439" s="10"/>
      <c r="L439" s="2"/>
      <c r="M439" s="2"/>
      <c r="N439" s="2"/>
      <c r="O439" s="2"/>
      <c r="P439" s="2"/>
      <c r="Q439" s="2"/>
      <c r="R439" s="852"/>
      <c r="S439" s="853"/>
      <c r="T439" s="854"/>
      <c r="U439" s="854"/>
      <c r="V439" s="854"/>
      <c r="W439" s="854"/>
      <c r="X439" s="854"/>
    </row>
    <row r="440">
      <c r="B440" s="846"/>
      <c r="C440" s="578"/>
      <c r="D440" s="10"/>
      <c r="F440" s="10"/>
      <c r="H440" s="10"/>
      <c r="I440" s="10"/>
      <c r="J440" s="10"/>
      <c r="K440" s="10"/>
      <c r="L440" s="2"/>
      <c r="M440" s="2"/>
      <c r="N440" s="2"/>
      <c r="O440" s="2"/>
      <c r="P440" s="2"/>
      <c r="Q440" s="2"/>
      <c r="R440" s="852"/>
      <c r="S440" s="859"/>
      <c r="T440" s="107"/>
      <c r="U440" s="107"/>
      <c r="V440" s="107"/>
      <c r="W440" s="107"/>
      <c r="X440" s="107"/>
    </row>
    <row r="441">
      <c r="B441" s="846"/>
      <c r="C441" s="578"/>
      <c r="D441" s="10"/>
      <c r="F441" s="10"/>
      <c r="H441" s="10"/>
      <c r="I441" s="10"/>
      <c r="J441" s="10"/>
      <c r="K441" s="10"/>
      <c r="L441" s="2"/>
      <c r="M441" s="2"/>
      <c r="N441" s="2"/>
      <c r="O441" s="2"/>
      <c r="P441" s="2"/>
      <c r="Q441" s="2"/>
      <c r="R441" s="852"/>
      <c r="S441" s="859"/>
      <c r="T441" s="107"/>
      <c r="U441" s="107"/>
      <c r="V441" s="107"/>
      <c r="W441" s="107"/>
      <c r="X441" s="107"/>
    </row>
    <row r="442">
      <c r="B442" s="846"/>
      <c r="C442" s="578"/>
      <c r="D442" s="10"/>
      <c r="F442" s="10"/>
      <c r="H442" s="10"/>
      <c r="I442" s="10"/>
      <c r="J442" s="10"/>
      <c r="K442" s="10"/>
      <c r="L442" s="2"/>
      <c r="M442" s="2"/>
      <c r="N442" s="2"/>
      <c r="O442" s="2"/>
      <c r="P442" s="2"/>
      <c r="Q442" s="2"/>
      <c r="R442" s="852"/>
      <c r="S442" s="859"/>
      <c r="T442" s="107"/>
      <c r="U442" s="107"/>
      <c r="V442" s="107"/>
      <c r="W442" s="107"/>
      <c r="X442" s="107"/>
    </row>
    <row r="443">
      <c r="B443" s="846"/>
      <c r="C443" s="578"/>
      <c r="D443" s="10"/>
      <c r="F443" s="10"/>
      <c r="H443" s="10"/>
      <c r="I443" s="10"/>
      <c r="J443" s="10"/>
      <c r="K443" s="10"/>
      <c r="L443" s="2"/>
      <c r="M443" s="2"/>
      <c r="N443" s="2"/>
      <c r="O443" s="2"/>
      <c r="P443" s="2"/>
      <c r="Q443" s="2"/>
      <c r="R443" s="852"/>
      <c r="S443" s="859"/>
      <c r="T443" s="107"/>
      <c r="U443" s="107"/>
      <c r="V443" s="107"/>
      <c r="W443" s="107"/>
      <c r="X443" s="107"/>
    </row>
    <row r="444">
      <c r="B444" s="846"/>
      <c r="C444" s="578"/>
      <c r="D444" s="10"/>
      <c r="F444" s="10"/>
      <c r="H444" s="10"/>
      <c r="I444" s="10"/>
      <c r="J444" s="10"/>
      <c r="K444" s="10"/>
      <c r="L444" s="2"/>
      <c r="M444" s="2"/>
      <c r="N444" s="2"/>
      <c r="O444" s="2"/>
      <c r="P444" s="2"/>
      <c r="Q444" s="2"/>
      <c r="R444" s="852"/>
      <c r="S444" s="859"/>
      <c r="T444" s="107"/>
      <c r="U444" s="107"/>
      <c r="V444" s="107"/>
      <c r="W444" s="107"/>
      <c r="X444" s="107"/>
    </row>
    <row r="445">
      <c r="B445" s="846"/>
      <c r="C445" s="578"/>
      <c r="D445" s="10"/>
      <c r="F445" s="10"/>
      <c r="H445" s="10"/>
      <c r="I445" s="10"/>
      <c r="J445" s="10"/>
      <c r="K445" s="10"/>
      <c r="L445" s="2"/>
      <c r="M445" s="2"/>
      <c r="N445" s="2"/>
      <c r="O445" s="2"/>
      <c r="P445" s="2"/>
      <c r="Q445" s="2"/>
      <c r="R445" s="852"/>
      <c r="S445" s="859"/>
      <c r="T445" s="107"/>
      <c r="U445" s="107"/>
      <c r="V445" s="107"/>
      <c r="W445" s="107"/>
      <c r="X445" s="107"/>
    </row>
    <row r="446">
      <c r="B446" s="846"/>
      <c r="C446" s="578"/>
      <c r="D446" s="10"/>
      <c r="F446" s="10"/>
      <c r="H446" s="10"/>
      <c r="I446" s="10"/>
      <c r="J446" s="10"/>
      <c r="K446" s="10"/>
      <c r="L446" s="2"/>
      <c r="M446" s="2"/>
      <c r="N446" s="2"/>
      <c r="O446" s="2"/>
      <c r="P446" s="2"/>
      <c r="Q446" s="2"/>
      <c r="R446" s="852"/>
      <c r="S446" s="859"/>
      <c r="T446" s="107"/>
      <c r="U446" s="107"/>
      <c r="V446" s="107"/>
      <c r="W446" s="107"/>
      <c r="X446" s="107"/>
    </row>
    <row r="447">
      <c r="B447" s="846"/>
      <c r="C447" s="578"/>
      <c r="D447" s="10"/>
      <c r="F447" s="10"/>
      <c r="H447" s="10"/>
      <c r="I447" s="10"/>
      <c r="J447" s="10"/>
      <c r="K447" s="10"/>
      <c r="L447" s="2"/>
      <c r="M447" s="2"/>
      <c r="N447" s="2"/>
      <c r="O447" s="2"/>
      <c r="P447" s="2"/>
      <c r="Q447" s="2"/>
      <c r="R447" s="852"/>
      <c r="S447" s="859"/>
      <c r="T447" s="107"/>
      <c r="U447" s="107"/>
      <c r="V447" s="107"/>
      <c r="W447" s="107"/>
      <c r="X447" s="107"/>
    </row>
    <row r="448">
      <c r="B448" s="846"/>
      <c r="C448" s="578"/>
      <c r="D448" s="10"/>
      <c r="F448" s="10"/>
      <c r="H448" s="10"/>
      <c r="I448" s="10"/>
      <c r="J448" s="10"/>
      <c r="K448" s="10"/>
      <c r="L448" s="2"/>
      <c r="M448" s="2"/>
      <c r="N448" s="2"/>
      <c r="O448" s="2"/>
      <c r="P448" s="2"/>
      <c r="Q448" s="2"/>
      <c r="R448" s="852"/>
      <c r="S448" s="859"/>
      <c r="T448" s="107"/>
      <c r="U448" s="107"/>
      <c r="V448" s="107"/>
      <c r="W448" s="107"/>
      <c r="X448" s="107"/>
    </row>
    <row r="449">
      <c r="B449" s="846"/>
      <c r="C449" s="578"/>
      <c r="D449" s="10"/>
      <c r="F449" s="10"/>
      <c r="H449" s="10"/>
      <c r="I449" s="10"/>
      <c r="J449" s="10"/>
      <c r="K449" s="10"/>
      <c r="L449" s="2"/>
      <c r="M449" s="2"/>
      <c r="N449" s="2"/>
      <c r="O449" s="2"/>
      <c r="P449" s="2"/>
      <c r="Q449" s="2"/>
      <c r="R449" s="852"/>
      <c r="S449" s="859"/>
      <c r="T449" s="107"/>
      <c r="U449" s="107"/>
      <c r="V449" s="107"/>
      <c r="W449" s="107"/>
      <c r="X449" s="107"/>
    </row>
    <row r="450">
      <c r="B450" s="846"/>
      <c r="C450" s="578"/>
      <c r="D450" s="10"/>
      <c r="F450" s="10"/>
      <c r="H450" s="10"/>
      <c r="I450" s="10"/>
      <c r="J450" s="10"/>
      <c r="K450" s="10"/>
      <c r="L450" s="2"/>
      <c r="M450" s="2"/>
      <c r="N450" s="2"/>
      <c r="O450" s="2"/>
      <c r="P450" s="2"/>
      <c r="Q450" s="2"/>
      <c r="R450" s="857"/>
      <c r="S450" s="860"/>
      <c r="T450" s="107"/>
      <c r="U450" s="107"/>
      <c r="V450" s="107"/>
      <c r="W450" s="107"/>
      <c r="X450" s="107"/>
    </row>
    <row r="451">
      <c r="B451" s="846"/>
      <c r="C451" s="578"/>
      <c r="D451" s="10"/>
      <c r="F451" s="10"/>
      <c r="H451" s="10"/>
      <c r="I451" s="10"/>
      <c r="J451" s="10"/>
      <c r="K451" s="10"/>
      <c r="L451" s="2"/>
      <c r="M451" s="2"/>
      <c r="N451" s="2"/>
      <c r="O451" s="2"/>
      <c r="P451" s="2"/>
      <c r="Q451" s="2"/>
      <c r="R451" s="861"/>
      <c r="S451" s="111"/>
      <c r="T451" s="2"/>
      <c r="U451" s="2"/>
      <c r="V451" s="2"/>
      <c r="W451" s="2"/>
      <c r="X451" s="2"/>
    </row>
    <row r="452">
      <c r="B452" s="846"/>
      <c r="C452" s="578"/>
      <c r="D452" s="10"/>
      <c r="F452" s="10"/>
      <c r="H452" s="10"/>
      <c r="I452" s="10"/>
      <c r="J452" s="10"/>
      <c r="K452" s="10"/>
      <c r="L452" s="2"/>
      <c r="M452" s="2"/>
      <c r="N452" s="2"/>
      <c r="O452" s="2"/>
      <c r="P452" s="2"/>
      <c r="Q452" s="2"/>
      <c r="R452" s="861"/>
      <c r="S452" s="111"/>
      <c r="T452" s="2"/>
      <c r="U452" s="2"/>
      <c r="V452" s="2"/>
      <c r="W452" s="2"/>
      <c r="X452" s="2"/>
    </row>
    <row r="453">
      <c r="B453" s="846"/>
      <c r="C453" s="578"/>
      <c r="D453" s="10"/>
      <c r="F453" s="10"/>
      <c r="H453" s="10"/>
      <c r="I453" s="10"/>
      <c r="J453" s="10"/>
      <c r="K453" s="10"/>
      <c r="L453" s="2"/>
      <c r="M453" s="2"/>
      <c r="N453" s="2"/>
      <c r="O453" s="2"/>
      <c r="P453" s="2"/>
      <c r="Q453" s="2"/>
      <c r="R453" s="861"/>
      <c r="S453" s="111"/>
      <c r="T453" s="2"/>
      <c r="U453" s="2"/>
      <c r="V453" s="2"/>
      <c r="W453" s="2"/>
      <c r="X453" s="2"/>
    </row>
    <row r="454">
      <c r="B454" s="846"/>
      <c r="C454" s="578"/>
      <c r="D454" s="10"/>
      <c r="F454" s="10"/>
      <c r="H454" s="10"/>
      <c r="I454" s="10"/>
      <c r="J454" s="10"/>
      <c r="K454" s="10"/>
      <c r="L454" s="2"/>
      <c r="M454" s="2"/>
      <c r="N454" s="2"/>
      <c r="O454" s="2"/>
      <c r="P454" s="2"/>
      <c r="Q454" s="2"/>
      <c r="R454" s="861"/>
      <c r="S454" s="111"/>
      <c r="T454" s="2"/>
      <c r="U454" s="2"/>
      <c r="V454" s="2"/>
      <c r="W454" s="2"/>
      <c r="X454" s="2"/>
    </row>
    <row r="455">
      <c r="B455" s="846"/>
      <c r="C455" s="578"/>
      <c r="D455" s="10"/>
      <c r="F455" s="10"/>
      <c r="H455" s="10"/>
      <c r="I455" s="10"/>
      <c r="J455" s="10"/>
      <c r="K455" s="10"/>
      <c r="L455" s="2"/>
      <c r="M455" s="2"/>
      <c r="N455" s="2"/>
      <c r="O455" s="2"/>
      <c r="P455" s="2"/>
      <c r="Q455" s="2"/>
      <c r="R455" s="861"/>
      <c r="S455" s="111"/>
      <c r="T455" s="2"/>
      <c r="U455" s="2"/>
      <c r="V455" s="2"/>
      <c r="W455" s="2"/>
      <c r="X455" s="2"/>
    </row>
    <row r="456">
      <c r="B456" s="846"/>
      <c r="C456" s="578"/>
      <c r="D456" s="10"/>
      <c r="F456" s="10"/>
      <c r="H456" s="10"/>
      <c r="I456" s="10"/>
      <c r="J456" s="10"/>
      <c r="K456" s="10"/>
      <c r="L456" s="2"/>
      <c r="M456" s="2"/>
      <c r="N456" s="2"/>
      <c r="O456" s="2"/>
      <c r="P456" s="2"/>
      <c r="Q456" s="2"/>
      <c r="R456" s="862"/>
      <c r="S456" s="109"/>
      <c r="T456" s="2"/>
      <c r="U456" s="2"/>
      <c r="V456" s="2"/>
      <c r="W456" s="2"/>
      <c r="X456" s="2"/>
    </row>
    <row r="457">
      <c r="B457" s="846"/>
      <c r="C457" s="578"/>
      <c r="D457" s="10"/>
      <c r="F457" s="10"/>
      <c r="H457" s="10"/>
      <c r="I457" s="10"/>
      <c r="J457" s="10"/>
      <c r="K457" s="10"/>
      <c r="L457" s="2"/>
      <c r="M457" s="2"/>
      <c r="N457" s="2"/>
      <c r="O457" s="2"/>
      <c r="P457" s="2"/>
      <c r="Q457" s="2"/>
      <c r="R457" s="861"/>
      <c r="S457" s="111"/>
      <c r="T457" s="2"/>
      <c r="U457" s="2"/>
      <c r="V457" s="2"/>
      <c r="W457" s="2"/>
      <c r="X457" s="2"/>
    </row>
    <row r="458">
      <c r="B458" s="846"/>
      <c r="C458" s="578"/>
      <c r="D458" s="10"/>
      <c r="F458" s="10"/>
      <c r="H458" s="10"/>
      <c r="I458" s="10"/>
      <c r="J458" s="10"/>
      <c r="K458" s="10"/>
      <c r="L458" s="2"/>
      <c r="M458" s="2"/>
      <c r="N458" s="2"/>
      <c r="O458" s="2"/>
      <c r="P458" s="2"/>
      <c r="Q458" s="2"/>
      <c r="R458" s="861"/>
      <c r="S458" s="111"/>
      <c r="T458" s="2"/>
      <c r="U458" s="2"/>
      <c r="V458" s="2"/>
      <c r="W458" s="2"/>
      <c r="X458" s="2"/>
    </row>
    <row r="459">
      <c r="B459" s="846"/>
      <c r="C459" s="578"/>
      <c r="D459" s="10"/>
      <c r="F459" s="10"/>
      <c r="H459" s="10"/>
      <c r="I459" s="10"/>
      <c r="J459" s="10"/>
      <c r="K459" s="10"/>
      <c r="L459" s="2"/>
      <c r="M459" s="2"/>
      <c r="N459" s="2"/>
      <c r="O459" s="2"/>
      <c r="P459" s="2"/>
      <c r="Q459" s="2"/>
      <c r="R459" s="861"/>
      <c r="S459" s="111"/>
      <c r="T459" s="2"/>
      <c r="U459" s="2"/>
      <c r="V459" s="2"/>
      <c r="W459" s="2"/>
      <c r="X459" s="2"/>
    </row>
    <row r="460">
      <c r="B460" s="846"/>
      <c r="C460" s="578"/>
      <c r="D460" s="10"/>
      <c r="F460" s="10"/>
      <c r="H460" s="10"/>
      <c r="I460" s="10"/>
      <c r="J460" s="10"/>
      <c r="K460" s="10"/>
      <c r="L460" s="2"/>
      <c r="M460" s="2"/>
      <c r="N460" s="2"/>
      <c r="O460" s="2"/>
      <c r="P460" s="2"/>
      <c r="Q460" s="2"/>
      <c r="R460" s="861"/>
      <c r="S460" s="111"/>
      <c r="T460" s="2"/>
      <c r="U460" s="2"/>
      <c r="V460" s="2"/>
      <c r="W460" s="2"/>
      <c r="X460" s="2"/>
    </row>
    <row r="461">
      <c r="B461" s="846"/>
      <c r="C461" s="578"/>
      <c r="D461" s="10"/>
      <c r="F461" s="10"/>
      <c r="H461" s="10"/>
      <c r="I461" s="10"/>
      <c r="J461" s="10"/>
      <c r="K461" s="10"/>
      <c r="L461" s="2"/>
      <c r="M461" s="2"/>
      <c r="N461" s="2"/>
      <c r="O461" s="2"/>
      <c r="P461" s="2"/>
      <c r="Q461" s="2"/>
      <c r="R461" s="861"/>
      <c r="S461" s="111"/>
      <c r="T461" s="2"/>
      <c r="U461" s="2"/>
      <c r="V461" s="2"/>
      <c r="W461" s="2"/>
      <c r="X461" s="2"/>
    </row>
    <row r="462">
      <c r="B462" s="846"/>
      <c r="C462" s="578"/>
      <c r="D462" s="10"/>
      <c r="F462" s="10"/>
      <c r="H462" s="10"/>
      <c r="I462" s="10"/>
      <c r="J462" s="10"/>
      <c r="K462" s="10"/>
      <c r="L462" s="2"/>
      <c r="M462" s="2"/>
      <c r="N462" s="2"/>
      <c r="O462" s="2"/>
      <c r="P462" s="2"/>
      <c r="Q462" s="2"/>
      <c r="R462" s="861"/>
      <c r="S462" s="111"/>
      <c r="T462" s="2"/>
      <c r="U462" s="2"/>
      <c r="V462" s="2"/>
      <c r="W462" s="2"/>
      <c r="X462" s="2"/>
    </row>
    <row r="463">
      <c r="B463" s="846"/>
      <c r="C463" s="578"/>
      <c r="D463" s="10"/>
      <c r="F463" s="10"/>
      <c r="H463" s="10"/>
      <c r="I463" s="10"/>
      <c r="J463" s="10"/>
      <c r="K463" s="10"/>
      <c r="L463" s="2"/>
      <c r="M463" s="2"/>
      <c r="N463" s="2"/>
      <c r="O463" s="2"/>
      <c r="P463" s="2"/>
      <c r="Q463" s="2"/>
      <c r="R463" s="861"/>
      <c r="S463" s="111"/>
      <c r="T463" s="2"/>
      <c r="U463" s="2"/>
      <c r="V463" s="2"/>
      <c r="W463" s="2"/>
      <c r="X463" s="2"/>
    </row>
    <row r="464">
      <c r="B464" s="846"/>
      <c r="C464" s="578"/>
      <c r="D464" s="10"/>
      <c r="F464" s="10"/>
      <c r="H464" s="10"/>
      <c r="I464" s="10"/>
      <c r="J464" s="10"/>
      <c r="K464" s="10"/>
      <c r="L464" s="2"/>
      <c r="M464" s="2"/>
      <c r="N464" s="2"/>
      <c r="O464" s="2"/>
      <c r="P464" s="2"/>
      <c r="Q464" s="2"/>
      <c r="R464" s="861"/>
      <c r="S464" s="111"/>
      <c r="T464" s="2"/>
      <c r="U464" s="2"/>
      <c r="V464" s="2"/>
      <c r="W464" s="2"/>
      <c r="X464" s="2"/>
    </row>
    <row r="465">
      <c r="B465" s="846"/>
      <c r="C465" s="578"/>
      <c r="D465" s="10"/>
      <c r="F465" s="10"/>
      <c r="H465" s="10"/>
      <c r="I465" s="10"/>
      <c r="J465" s="10"/>
      <c r="K465" s="10"/>
      <c r="L465" s="2"/>
      <c r="M465" s="2"/>
      <c r="N465" s="2"/>
      <c r="O465" s="2"/>
      <c r="P465" s="2"/>
      <c r="Q465" s="2"/>
      <c r="R465" s="862"/>
      <c r="S465" s="109"/>
      <c r="T465" s="2"/>
      <c r="U465" s="2"/>
      <c r="V465" s="2"/>
      <c r="W465" s="2"/>
      <c r="X465" s="2"/>
    </row>
    <row r="466">
      <c r="B466" s="846"/>
      <c r="C466" s="578"/>
      <c r="D466" s="10"/>
      <c r="F466" s="10"/>
      <c r="H466" s="10"/>
      <c r="I466" s="10"/>
      <c r="J466" s="10"/>
      <c r="K466" s="10"/>
      <c r="L466" s="2"/>
      <c r="M466" s="2"/>
      <c r="N466" s="2"/>
      <c r="O466" s="2"/>
      <c r="P466" s="2"/>
      <c r="Q466" s="2"/>
      <c r="R466" s="862"/>
      <c r="S466" s="109"/>
      <c r="T466" s="54"/>
      <c r="U466" s="54"/>
      <c r="V466" s="54"/>
      <c r="W466" s="54"/>
      <c r="X466" s="54"/>
    </row>
    <row r="467">
      <c r="B467" s="846"/>
      <c r="C467" s="578"/>
      <c r="D467" s="10"/>
      <c r="F467" s="10"/>
      <c r="H467" s="10"/>
      <c r="I467" s="10"/>
      <c r="J467" s="10"/>
      <c r="K467" s="10"/>
      <c r="L467" s="2"/>
      <c r="M467" s="2"/>
      <c r="N467" s="2"/>
      <c r="O467" s="2"/>
      <c r="P467" s="2"/>
      <c r="Q467" s="2"/>
      <c r="R467" s="117"/>
      <c r="S467" s="2"/>
      <c r="T467" s="2"/>
      <c r="U467" s="2"/>
      <c r="V467" s="2"/>
      <c r="W467" s="2"/>
      <c r="X467" s="2"/>
    </row>
    <row r="468">
      <c r="B468" s="846"/>
      <c r="C468" s="578"/>
      <c r="D468" s="10"/>
      <c r="F468" s="10"/>
      <c r="H468" s="10"/>
      <c r="I468" s="10"/>
      <c r="J468" s="10"/>
      <c r="K468" s="10"/>
      <c r="L468" s="2"/>
      <c r="M468" s="2"/>
      <c r="N468" s="2"/>
      <c r="O468" s="2"/>
      <c r="P468" s="2"/>
      <c r="Q468" s="2"/>
      <c r="R468" s="117"/>
      <c r="S468" s="2"/>
      <c r="T468" s="2"/>
      <c r="U468" s="2"/>
      <c r="V468" s="2"/>
      <c r="W468" s="2"/>
      <c r="X468" s="2"/>
    </row>
    <row r="469">
      <c r="B469" s="846"/>
      <c r="C469" s="578"/>
      <c r="D469" s="10"/>
      <c r="F469" s="10"/>
      <c r="H469" s="10"/>
      <c r="I469" s="10"/>
      <c r="J469" s="10"/>
      <c r="K469" s="10"/>
      <c r="L469" s="2"/>
      <c r="M469" s="2"/>
      <c r="N469" s="2"/>
      <c r="O469" s="2"/>
      <c r="P469" s="2"/>
      <c r="Q469" s="2"/>
      <c r="R469" s="847"/>
      <c r="S469" s="847"/>
      <c r="T469" s="116"/>
      <c r="U469" s="116"/>
      <c r="V469" s="116"/>
      <c r="W469" s="116"/>
      <c r="X469" s="116"/>
    </row>
    <row r="470">
      <c r="B470" s="846"/>
      <c r="C470" s="578"/>
      <c r="D470" s="10"/>
      <c r="F470" s="10"/>
      <c r="H470" s="10"/>
      <c r="I470" s="10"/>
      <c r="J470" s="10"/>
      <c r="K470" s="10"/>
      <c r="L470" s="2"/>
      <c r="M470" s="2"/>
      <c r="N470" s="2"/>
      <c r="O470" s="2"/>
      <c r="P470" s="2"/>
      <c r="Q470" s="2"/>
      <c r="R470" s="848"/>
      <c r="S470" s="848"/>
      <c r="T470" s="848"/>
      <c r="U470" s="848"/>
      <c r="V470" s="848"/>
      <c r="W470" s="848"/>
      <c r="X470" s="848"/>
    </row>
    <row r="471">
      <c r="B471" s="846"/>
      <c r="C471" s="578"/>
      <c r="D471" s="10"/>
      <c r="F471" s="10"/>
      <c r="H471" s="10"/>
      <c r="I471" s="10"/>
      <c r="J471" s="10"/>
      <c r="K471" s="10"/>
      <c r="L471" s="2"/>
      <c r="M471" s="2"/>
      <c r="N471" s="2"/>
      <c r="O471" s="2"/>
      <c r="P471" s="2"/>
      <c r="Q471" s="2"/>
      <c r="R471" s="849"/>
      <c r="S471" s="850"/>
      <c r="T471" s="851"/>
      <c r="U471" s="851"/>
      <c r="V471" s="851"/>
      <c r="W471" s="851"/>
      <c r="X471" s="851"/>
    </row>
    <row r="472">
      <c r="B472" s="846"/>
      <c r="C472" s="578"/>
      <c r="D472" s="10"/>
      <c r="F472" s="10"/>
      <c r="H472" s="10"/>
      <c r="I472" s="10"/>
      <c r="J472" s="10"/>
      <c r="K472" s="10"/>
      <c r="L472" s="2"/>
      <c r="M472" s="2"/>
      <c r="N472" s="2"/>
      <c r="O472" s="2"/>
      <c r="P472" s="2"/>
      <c r="Q472" s="2"/>
      <c r="R472" s="852"/>
      <c r="S472" s="853"/>
      <c r="T472" s="854"/>
      <c r="U472" s="854"/>
      <c r="V472" s="854"/>
      <c r="W472" s="854"/>
      <c r="X472" s="854"/>
    </row>
    <row r="473">
      <c r="B473" s="846"/>
      <c r="C473" s="578"/>
      <c r="D473" s="10"/>
      <c r="F473" s="10"/>
      <c r="H473" s="10"/>
      <c r="I473" s="10"/>
      <c r="J473" s="10"/>
      <c r="K473" s="10"/>
      <c r="L473" s="2"/>
      <c r="M473" s="2"/>
      <c r="N473" s="2"/>
      <c r="O473" s="2"/>
      <c r="P473" s="2"/>
      <c r="Q473" s="2"/>
      <c r="R473" s="855"/>
      <c r="S473" s="856"/>
      <c r="T473" s="854"/>
      <c r="U473" s="854"/>
      <c r="V473" s="854"/>
      <c r="W473" s="854"/>
      <c r="X473" s="854"/>
    </row>
    <row r="474">
      <c r="B474" s="846"/>
      <c r="C474" s="578"/>
      <c r="D474" s="10"/>
      <c r="F474" s="10"/>
      <c r="H474" s="10"/>
      <c r="I474" s="10"/>
      <c r="J474" s="10"/>
      <c r="K474" s="10"/>
      <c r="L474" s="2"/>
      <c r="M474" s="2"/>
      <c r="N474" s="2"/>
      <c r="O474" s="2"/>
      <c r="P474" s="2"/>
      <c r="Q474" s="2"/>
      <c r="R474" s="855"/>
      <c r="S474" s="856"/>
      <c r="T474" s="854"/>
      <c r="U474" s="854"/>
      <c r="V474" s="854"/>
      <c r="W474" s="854"/>
      <c r="X474" s="854"/>
    </row>
    <row r="475">
      <c r="B475" s="846"/>
      <c r="C475" s="578"/>
      <c r="D475" s="10"/>
      <c r="F475" s="10"/>
      <c r="H475" s="10"/>
      <c r="I475" s="10"/>
      <c r="J475" s="10"/>
      <c r="K475" s="10"/>
      <c r="L475" s="2"/>
      <c r="M475" s="2"/>
      <c r="N475" s="2"/>
      <c r="O475" s="2"/>
      <c r="P475" s="2"/>
      <c r="Q475" s="2"/>
      <c r="R475" s="852"/>
      <c r="S475" s="853"/>
      <c r="T475" s="854"/>
      <c r="U475" s="854"/>
      <c r="V475" s="854"/>
      <c r="W475" s="854"/>
      <c r="X475" s="854"/>
    </row>
    <row r="476">
      <c r="B476" s="846"/>
      <c r="C476" s="578"/>
      <c r="D476" s="10"/>
      <c r="F476" s="10"/>
      <c r="H476" s="10"/>
      <c r="I476" s="10"/>
      <c r="J476" s="10"/>
      <c r="K476" s="10"/>
      <c r="L476" s="2"/>
      <c r="M476" s="2"/>
      <c r="N476" s="2"/>
      <c r="O476" s="2"/>
      <c r="P476" s="2"/>
      <c r="Q476" s="2"/>
      <c r="R476" s="857"/>
      <c r="S476" s="858"/>
      <c r="T476" s="854"/>
      <c r="U476" s="854"/>
      <c r="V476" s="854"/>
      <c r="W476" s="854"/>
      <c r="X476" s="854"/>
    </row>
    <row r="477">
      <c r="B477" s="846"/>
      <c r="C477" s="578"/>
      <c r="D477" s="10"/>
      <c r="F477" s="10"/>
      <c r="H477" s="10"/>
      <c r="I477" s="10"/>
      <c r="J477" s="10"/>
      <c r="K477" s="10"/>
      <c r="L477" s="2"/>
      <c r="M477" s="2"/>
      <c r="N477" s="2"/>
      <c r="O477" s="2"/>
      <c r="P477" s="2"/>
      <c r="Q477" s="2"/>
      <c r="R477" s="857"/>
      <c r="S477" s="858"/>
      <c r="T477" s="854"/>
      <c r="U477" s="854"/>
      <c r="V477" s="854"/>
      <c r="W477" s="854"/>
      <c r="X477" s="854"/>
    </row>
    <row r="478">
      <c r="B478" s="846"/>
      <c r="C478" s="578"/>
      <c r="D478" s="10"/>
      <c r="F478" s="10"/>
      <c r="H478" s="10"/>
      <c r="I478" s="10"/>
      <c r="J478" s="10"/>
      <c r="K478" s="10"/>
      <c r="L478" s="2"/>
      <c r="M478" s="2"/>
      <c r="N478" s="2"/>
      <c r="O478" s="2"/>
      <c r="P478" s="2"/>
      <c r="Q478" s="2"/>
      <c r="R478" s="857"/>
      <c r="S478" s="858"/>
      <c r="T478" s="854"/>
      <c r="U478" s="854"/>
      <c r="V478" s="854"/>
      <c r="W478" s="854"/>
      <c r="X478" s="854"/>
    </row>
    <row r="479">
      <c r="B479" s="846"/>
      <c r="C479" s="578"/>
      <c r="D479" s="10"/>
      <c r="F479" s="10"/>
      <c r="H479" s="10"/>
      <c r="I479" s="10"/>
      <c r="J479" s="10"/>
      <c r="K479" s="10"/>
      <c r="L479" s="2"/>
      <c r="M479" s="2"/>
      <c r="N479" s="2"/>
      <c r="O479" s="2"/>
      <c r="P479" s="2"/>
      <c r="Q479" s="2"/>
      <c r="R479" s="852"/>
      <c r="S479" s="853"/>
      <c r="T479" s="854"/>
      <c r="U479" s="854"/>
      <c r="V479" s="854"/>
      <c r="W479" s="854"/>
      <c r="X479" s="854"/>
    </row>
    <row r="480">
      <c r="B480" s="846"/>
      <c r="C480" s="578"/>
      <c r="D480" s="10"/>
      <c r="F480" s="10"/>
      <c r="H480" s="10"/>
      <c r="I480" s="10"/>
      <c r="J480" s="10"/>
      <c r="K480" s="10"/>
      <c r="L480" s="2"/>
      <c r="M480" s="2"/>
      <c r="N480" s="2"/>
      <c r="O480" s="2"/>
      <c r="P480" s="2"/>
      <c r="Q480" s="2"/>
      <c r="R480" s="852"/>
      <c r="S480" s="853"/>
      <c r="T480" s="854"/>
      <c r="U480" s="854"/>
      <c r="V480" s="854"/>
      <c r="W480" s="854"/>
      <c r="X480" s="854"/>
    </row>
    <row r="481">
      <c r="B481" s="846"/>
      <c r="C481" s="578"/>
      <c r="D481" s="10"/>
      <c r="F481" s="10"/>
      <c r="H481" s="10"/>
      <c r="I481" s="10"/>
      <c r="J481" s="10"/>
      <c r="K481" s="10"/>
      <c r="L481" s="2"/>
      <c r="M481" s="2"/>
      <c r="N481" s="2"/>
      <c r="O481" s="2"/>
      <c r="P481" s="2"/>
      <c r="Q481" s="2"/>
      <c r="R481" s="852"/>
      <c r="S481" s="853"/>
      <c r="T481" s="854"/>
      <c r="U481" s="854"/>
      <c r="V481" s="854"/>
      <c r="W481" s="854"/>
      <c r="X481" s="854"/>
    </row>
    <row r="482">
      <c r="B482" s="846"/>
      <c r="C482" s="578"/>
      <c r="D482" s="10"/>
      <c r="F482" s="10"/>
      <c r="H482" s="10"/>
      <c r="I482" s="10"/>
      <c r="J482" s="10"/>
      <c r="K482" s="10"/>
      <c r="L482" s="2"/>
      <c r="M482" s="2"/>
      <c r="N482" s="2"/>
      <c r="O482" s="2"/>
      <c r="P482" s="2"/>
      <c r="Q482" s="2"/>
      <c r="R482" s="852"/>
      <c r="S482" s="853"/>
      <c r="T482" s="854"/>
      <c r="U482" s="854"/>
      <c r="V482" s="854"/>
      <c r="W482" s="854"/>
      <c r="X482" s="854"/>
    </row>
    <row r="483">
      <c r="B483" s="846"/>
      <c r="C483" s="578"/>
      <c r="D483" s="10"/>
      <c r="F483" s="10"/>
      <c r="H483" s="10"/>
      <c r="I483" s="10"/>
      <c r="J483" s="10"/>
      <c r="K483" s="10"/>
      <c r="L483" s="2"/>
      <c r="M483" s="2"/>
      <c r="N483" s="2"/>
      <c r="O483" s="2"/>
      <c r="P483" s="2"/>
      <c r="Q483" s="2"/>
      <c r="R483" s="852"/>
      <c r="S483" s="859"/>
      <c r="T483" s="107"/>
      <c r="U483" s="107"/>
      <c r="V483" s="107"/>
      <c r="W483" s="107"/>
      <c r="X483" s="107"/>
    </row>
    <row r="484">
      <c r="B484" s="846"/>
      <c r="C484" s="578"/>
      <c r="D484" s="10"/>
      <c r="F484" s="10"/>
      <c r="H484" s="10"/>
      <c r="I484" s="10"/>
      <c r="J484" s="10"/>
      <c r="K484" s="10"/>
      <c r="L484" s="2"/>
      <c r="M484" s="2"/>
      <c r="N484" s="2"/>
      <c r="O484" s="2"/>
      <c r="P484" s="2"/>
      <c r="Q484" s="2"/>
      <c r="R484" s="852"/>
      <c r="S484" s="859"/>
      <c r="T484" s="107"/>
      <c r="U484" s="107"/>
      <c r="V484" s="107"/>
      <c r="W484" s="107"/>
      <c r="X484" s="107"/>
    </row>
    <row r="485">
      <c r="B485" s="846"/>
      <c r="C485" s="578"/>
      <c r="D485" s="10"/>
      <c r="F485" s="10"/>
      <c r="H485" s="10"/>
      <c r="I485" s="10"/>
      <c r="J485" s="10"/>
      <c r="K485" s="10"/>
      <c r="L485" s="2"/>
      <c r="M485" s="2"/>
      <c r="N485" s="2"/>
      <c r="O485" s="2"/>
      <c r="P485" s="2"/>
      <c r="Q485" s="2"/>
      <c r="R485" s="852"/>
      <c r="S485" s="859"/>
      <c r="T485" s="107"/>
      <c r="U485" s="107"/>
      <c r="V485" s="107"/>
      <c r="W485" s="107"/>
      <c r="X485" s="107"/>
    </row>
    <row r="486">
      <c r="B486" s="846"/>
      <c r="C486" s="578"/>
      <c r="D486" s="10"/>
      <c r="F486" s="10"/>
      <c r="H486" s="10"/>
      <c r="I486" s="10"/>
      <c r="J486" s="10"/>
      <c r="K486" s="10"/>
      <c r="L486" s="2"/>
      <c r="M486" s="2"/>
      <c r="N486" s="2"/>
      <c r="O486" s="2"/>
      <c r="P486" s="2"/>
      <c r="Q486" s="2"/>
      <c r="R486" s="852"/>
      <c r="S486" s="859"/>
      <c r="T486" s="107"/>
      <c r="U486" s="107"/>
      <c r="V486" s="107"/>
      <c r="W486" s="107"/>
      <c r="X486" s="107"/>
    </row>
    <row r="487">
      <c r="B487" s="846"/>
      <c r="C487" s="578"/>
      <c r="D487" s="10"/>
      <c r="F487" s="10"/>
      <c r="H487" s="10"/>
      <c r="I487" s="10"/>
      <c r="J487" s="10"/>
      <c r="K487" s="10"/>
      <c r="L487" s="2"/>
      <c r="M487" s="2"/>
      <c r="N487" s="2"/>
      <c r="O487" s="2"/>
      <c r="P487" s="2"/>
      <c r="Q487" s="2"/>
      <c r="R487" s="852"/>
      <c r="S487" s="859"/>
      <c r="T487" s="107"/>
      <c r="U487" s="107"/>
      <c r="V487" s="107"/>
      <c r="W487" s="107"/>
      <c r="X487" s="107"/>
    </row>
    <row r="488">
      <c r="B488" s="846"/>
      <c r="C488" s="578"/>
      <c r="D488" s="10"/>
      <c r="F488" s="10"/>
      <c r="H488" s="10"/>
      <c r="I488" s="10"/>
      <c r="J488" s="10"/>
      <c r="K488" s="10"/>
      <c r="L488" s="2"/>
      <c r="M488" s="2"/>
      <c r="N488" s="2"/>
      <c r="O488" s="2"/>
      <c r="P488" s="2"/>
      <c r="Q488" s="2"/>
      <c r="R488" s="852"/>
      <c r="S488" s="859"/>
      <c r="T488" s="107"/>
      <c r="U488" s="107"/>
      <c r="V488" s="107"/>
      <c r="W488" s="107"/>
      <c r="X488" s="107"/>
    </row>
    <row r="489">
      <c r="B489" s="846"/>
      <c r="C489" s="578"/>
      <c r="D489" s="10"/>
      <c r="F489" s="10"/>
      <c r="H489" s="10"/>
      <c r="I489" s="10"/>
      <c r="J489" s="10"/>
      <c r="K489" s="10"/>
      <c r="L489" s="2"/>
      <c r="M489" s="2"/>
      <c r="N489" s="2"/>
      <c r="O489" s="2"/>
      <c r="P489" s="2"/>
      <c r="Q489" s="2"/>
      <c r="R489" s="852"/>
      <c r="S489" s="859"/>
      <c r="T489" s="107"/>
      <c r="U489" s="107"/>
      <c r="V489" s="107"/>
      <c r="W489" s="107"/>
      <c r="X489" s="107"/>
    </row>
    <row r="490">
      <c r="B490" s="846"/>
      <c r="C490" s="578"/>
      <c r="D490" s="10"/>
      <c r="F490" s="10"/>
      <c r="H490" s="10"/>
      <c r="I490" s="10"/>
      <c r="J490" s="10"/>
      <c r="K490" s="10"/>
      <c r="L490" s="2"/>
      <c r="M490" s="2"/>
      <c r="N490" s="2"/>
      <c r="O490" s="2"/>
      <c r="P490" s="2"/>
      <c r="Q490" s="2"/>
      <c r="R490" s="852"/>
      <c r="S490" s="859"/>
      <c r="T490" s="107"/>
      <c r="U490" s="107"/>
      <c r="V490" s="107"/>
      <c r="W490" s="107"/>
      <c r="X490" s="107"/>
    </row>
    <row r="491">
      <c r="B491" s="846"/>
      <c r="C491" s="578"/>
      <c r="D491" s="10"/>
      <c r="F491" s="10"/>
      <c r="H491" s="10"/>
      <c r="I491" s="10"/>
      <c r="J491" s="10"/>
      <c r="K491" s="10"/>
      <c r="L491" s="2"/>
      <c r="M491" s="2"/>
      <c r="N491" s="2"/>
      <c r="O491" s="2"/>
      <c r="P491" s="2"/>
      <c r="Q491" s="2"/>
      <c r="R491" s="852"/>
      <c r="S491" s="859"/>
      <c r="T491" s="107"/>
      <c r="U491" s="107"/>
      <c r="V491" s="107"/>
      <c r="W491" s="107"/>
      <c r="X491" s="107"/>
    </row>
    <row r="492">
      <c r="B492" s="846"/>
      <c r="C492" s="578"/>
      <c r="D492" s="10"/>
      <c r="F492" s="10"/>
      <c r="H492" s="10"/>
      <c r="I492" s="10"/>
      <c r="J492" s="10"/>
      <c r="K492" s="10"/>
      <c r="L492" s="2"/>
      <c r="M492" s="2"/>
      <c r="N492" s="2"/>
      <c r="O492" s="2"/>
      <c r="P492" s="2"/>
      <c r="Q492" s="2"/>
      <c r="R492" s="852"/>
      <c r="S492" s="859"/>
      <c r="T492" s="107"/>
      <c r="U492" s="107"/>
      <c r="V492" s="107"/>
      <c r="W492" s="107"/>
      <c r="X492" s="107"/>
    </row>
    <row r="493">
      <c r="B493" s="846"/>
      <c r="C493" s="578"/>
      <c r="D493" s="10"/>
      <c r="F493" s="10"/>
      <c r="H493" s="10"/>
      <c r="I493" s="10"/>
      <c r="J493" s="10"/>
      <c r="K493" s="10"/>
      <c r="L493" s="2"/>
      <c r="M493" s="2"/>
      <c r="N493" s="2"/>
      <c r="O493" s="2"/>
      <c r="P493" s="2"/>
      <c r="Q493" s="2"/>
      <c r="R493" s="857"/>
      <c r="S493" s="860"/>
      <c r="T493" s="107"/>
      <c r="U493" s="107"/>
      <c r="V493" s="107"/>
      <c r="W493" s="107"/>
      <c r="X493" s="107"/>
    </row>
    <row r="494">
      <c r="B494" s="846"/>
      <c r="C494" s="578"/>
      <c r="D494" s="10"/>
      <c r="F494" s="10"/>
      <c r="H494" s="10"/>
      <c r="I494" s="10"/>
      <c r="J494" s="10"/>
      <c r="K494" s="10"/>
      <c r="L494" s="2"/>
      <c r="M494" s="2"/>
      <c r="N494" s="2"/>
      <c r="O494" s="2"/>
      <c r="P494" s="2"/>
      <c r="Q494" s="2"/>
      <c r="R494" s="861"/>
      <c r="S494" s="111"/>
      <c r="T494" s="2"/>
      <c r="U494" s="2"/>
      <c r="V494" s="2"/>
      <c r="W494" s="2"/>
      <c r="X494" s="2"/>
    </row>
    <row r="495">
      <c r="B495" s="846"/>
      <c r="C495" s="578"/>
      <c r="D495" s="10"/>
      <c r="F495" s="10"/>
      <c r="H495" s="10"/>
      <c r="I495" s="10"/>
      <c r="J495" s="10"/>
      <c r="K495" s="10"/>
      <c r="L495" s="2"/>
      <c r="M495" s="2"/>
      <c r="N495" s="2"/>
      <c r="O495" s="2"/>
      <c r="P495" s="2"/>
      <c r="Q495" s="2"/>
      <c r="R495" s="861"/>
      <c r="S495" s="111"/>
      <c r="T495" s="2"/>
      <c r="U495" s="2"/>
      <c r="V495" s="2"/>
      <c r="W495" s="2"/>
      <c r="X495" s="2"/>
    </row>
    <row r="496">
      <c r="B496" s="846"/>
      <c r="C496" s="578"/>
      <c r="D496" s="10"/>
      <c r="F496" s="10"/>
      <c r="H496" s="10"/>
      <c r="I496" s="10"/>
      <c r="J496" s="10"/>
      <c r="K496" s="10"/>
      <c r="L496" s="2"/>
      <c r="M496" s="2"/>
      <c r="N496" s="2"/>
      <c r="O496" s="2"/>
      <c r="P496" s="2"/>
      <c r="Q496" s="2"/>
      <c r="R496" s="861"/>
      <c r="S496" s="111"/>
      <c r="T496" s="2"/>
      <c r="U496" s="2"/>
      <c r="V496" s="2"/>
      <c r="W496" s="2"/>
      <c r="X496" s="2"/>
    </row>
    <row r="497">
      <c r="B497" s="846"/>
      <c r="C497" s="578"/>
      <c r="D497" s="10"/>
      <c r="F497" s="10"/>
      <c r="H497" s="10"/>
      <c r="I497" s="10"/>
      <c r="J497" s="10"/>
      <c r="K497" s="10"/>
      <c r="L497" s="2"/>
      <c r="M497" s="2"/>
      <c r="N497" s="2"/>
      <c r="O497" s="2"/>
      <c r="P497" s="2"/>
      <c r="Q497" s="2"/>
      <c r="R497" s="861"/>
      <c r="S497" s="111"/>
      <c r="T497" s="2"/>
      <c r="U497" s="2"/>
      <c r="V497" s="2"/>
      <c r="W497" s="2"/>
      <c r="X497" s="2"/>
    </row>
    <row r="498">
      <c r="B498" s="846"/>
      <c r="C498" s="578"/>
      <c r="D498" s="10"/>
      <c r="F498" s="10"/>
      <c r="H498" s="10"/>
      <c r="I498" s="10"/>
      <c r="J498" s="10"/>
      <c r="K498" s="10"/>
      <c r="L498" s="2"/>
      <c r="M498" s="2"/>
      <c r="N498" s="2"/>
      <c r="O498" s="2"/>
      <c r="P498" s="2"/>
      <c r="Q498" s="2"/>
      <c r="R498" s="861"/>
      <c r="S498" s="111"/>
      <c r="T498" s="2"/>
      <c r="U498" s="2"/>
      <c r="V498" s="2"/>
      <c r="W498" s="2"/>
      <c r="X498" s="2"/>
    </row>
    <row r="499">
      <c r="B499" s="846"/>
      <c r="C499" s="578"/>
      <c r="D499" s="10"/>
      <c r="F499" s="10"/>
      <c r="H499" s="10"/>
      <c r="I499" s="10"/>
      <c r="J499" s="10"/>
      <c r="K499" s="10"/>
      <c r="L499" s="2"/>
      <c r="M499" s="2"/>
      <c r="N499" s="2"/>
      <c r="O499" s="2"/>
      <c r="P499" s="2"/>
      <c r="Q499" s="2"/>
      <c r="R499" s="862"/>
      <c r="S499" s="109"/>
      <c r="T499" s="2"/>
      <c r="U499" s="2"/>
      <c r="V499" s="2"/>
      <c r="W499" s="2"/>
      <c r="X499" s="2"/>
    </row>
    <row r="500">
      <c r="B500" s="846"/>
      <c r="C500" s="578"/>
      <c r="D500" s="10"/>
      <c r="F500" s="10"/>
      <c r="H500" s="10"/>
      <c r="I500" s="10"/>
      <c r="J500" s="10"/>
      <c r="K500" s="10"/>
      <c r="L500" s="2"/>
      <c r="M500" s="2"/>
      <c r="N500" s="2"/>
      <c r="O500" s="2"/>
      <c r="P500" s="2"/>
      <c r="Q500" s="2"/>
      <c r="R500" s="861"/>
      <c r="S500" s="111"/>
      <c r="T500" s="2"/>
      <c r="U500" s="2"/>
      <c r="V500" s="2"/>
      <c r="W500" s="2"/>
      <c r="X500" s="2"/>
    </row>
    <row r="501">
      <c r="B501" s="846"/>
      <c r="C501" s="578"/>
      <c r="D501" s="10"/>
      <c r="F501" s="10"/>
      <c r="H501" s="10"/>
      <c r="I501" s="10"/>
      <c r="J501" s="10"/>
      <c r="K501" s="10"/>
      <c r="L501" s="2"/>
      <c r="M501" s="2"/>
      <c r="N501" s="2"/>
      <c r="O501" s="2"/>
      <c r="P501" s="2"/>
      <c r="Q501" s="2"/>
      <c r="R501" s="861"/>
      <c r="S501" s="111"/>
      <c r="T501" s="2"/>
      <c r="U501" s="2"/>
      <c r="V501" s="2"/>
      <c r="W501" s="2"/>
      <c r="X501" s="2"/>
    </row>
    <row r="502">
      <c r="B502" s="846"/>
      <c r="C502" s="578"/>
      <c r="D502" s="10"/>
      <c r="F502" s="10"/>
      <c r="H502" s="10"/>
      <c r="I502" s="10"/>
      <c r="J502" s="10"/>
      <c r="K502" s="10"/>
      <c r="L502" s="2"/>
      <c r="M502" s="2"/>
      <c r="N502" s="2"/>
      <c r="O502" s="2"/>
      <c r="P502" s="2"/>
      <c r="Q502" s="2"/>
      <c r="R502" s="861"/>
      <c r="S502" s="111"/>
      <c r="T502" s="2"/>
      <c r="U502" s="2"/>
      <c r="V502" s="2"/>
      <c r="W502" s="2"/>
      <c r="X502" s="2"/>
    </row>
    <row r="503">
      <c r="B503" s="846"/>
      <c r="C503" s="578"/>
      <c r="D503" s="10"/>
      <c r="F503" s="10"/>
      <c r="H503" s="10"/>
      <c r="I503" s="10"/>
      <c r="J503" s="10"/>
      <c r="K503" s="10"/>
      <c r="L503" s="2"/>
      <c r="M503" s="2"/>
      <c r="N503" s="2"/>
      <c r="O503" s="2"/>
      <c r="P503" s="2"/>
      <c r="Q503" s="2"/>
      <c r="R503" s="861"/>
      <c r="S503" s="111"/>
      <c r="T503" s="2"/>
      <c r="U503" s="2"/>
      <c r="V503" s="2"/>
      <c r="W503" s="2"/>
      <c r="X503" s="2"/>
    </row>
    <row r="504">
      <c r="B504" s="846"/>
      <c r="C504" s="578"/>
      <c r="D504" s="10"/>
      <c r="F504" s="10"/>
      <c r="H504" s="10"/>
      <c r="I504" s="10"/>
      <c r="J504" s="10"/>
      <c r="K504" s="10"/>
      <c r="L504" s="2"/>
      <c r="M504" s="2"/>
      <c r="N504" s="2"/>
      <c r="O504" s="2"/>
      <c r="P504" s="2"/>
      <c r="Q504" s="2"/>
      <c r="R504" s="861"/>
      <c r="S504" s="111"/>
      <c r="T504" s="2"/>
      <c r="U504" s="2"/>
      <c r="V504" s="2"/>
      <c r="W504" s="2"/>
      <c r="X504" s="2"/>
    </row>
    <row r="505">
      <c r="B505" s="846"/>
      <c r="C505" s="578"/>
      <c r="D505" s="10"/>
      <c r="F505" s="10"/>
      <c r="H505" s="10"/>
      <c r="I505" s="10"/>
      <c r="J505" s="10"/>
      <c r="K505" s="10"/>
      <c r="L505" s="2"/>
      <c r="M505" s="2"/>
      <c r="N505" s="2"/>
      <c r="O505" s="2"/>
      <c r="P505" s="2"/>
      <c r="Q505" s="2"/>
      <c r="R505" s="861"/>
      <c r="S505" s="111"/>
      <c r="T505" s="2"/>
      <c r="U505" s="2"/>
      <c r="V505" s="2"/>
      <c r="W505" s="2"/>
      <c r="X505" s="2"/>
    </row>
    <row r="506">
      <c r="B506" s="846"/>
      <c r="C506" s="578"/>
      <c r="D506" s="10"/>
      <c r="F506" s="10"/>
      <c r="H506" s="10"/>
      <c r="I506" s="10"/>
      <c r="J506" s="10"/>
      <c r="K506" s="10"/>
      <c r="L506" s="2"/>
      <c r="M506" s="2"/>
      <c r="N506" s="2"/>
      <c r="O506" s="2"/>
      <c r="P506" s="2"/>
      <c r="Q506" s="2"/>
      <c r="R506" s="861"/>
      <c r="S506" s="111"/>
      <c r="T506" s="2"/>
      <c r="U506" s="2"/>
      <c r="V506" s="2"/>
      <c r="W506" s="2"/>
      <c r="X506" s="2"/>
    </row>
    <row r="507">
      <c r="B507" s="846"/>
      <c r="C507" s="578"/>
      <c r="D507" s="10"/>
      <c r="F507" s="10"/>
      <c r="H507" s="10"/>
      <c r="I507" s="10"/>
      <c r="J507" s="10"/>
      <c r="K507" s="10"/>
      <c r="L507" s="2"/>
      <c r="M507" s="2"/>
      <c r="N507" s="2"/>
      <c r="O507" s="2"/>
      <c r="P507" s="2"/>
      <c r="Q507" s="2"/>
      <c r="R507" s="861"/>
      <c r="S507" s="111"/>
      <c r="T507" s="2"/>
      <c r="U507" s="2"/>
      <c r="V507" s="2"/>
      <c r="W507" s="2"/>
      <c r="X507" s="2"/>
    </row>
    <row r="508">
      <c r="B508" s="846"/>
      <c r="C508" s="578"/>
      <c r="D508" s="10"/>
      <c r="F508" s="10"/>
      <c r="H508" s="10"/>
      <c r="I508" s="10"/>
      <c r="J508" s="10"/>
      <c r="K508" s="10"/>
      <c r="L508" s="2"/>
      <c r="M508" s="2"/>
      <c r="N508" s="2"/>
      <c r="O508" s="2"/>
      <c r="P508" s="2"/>
      <c r="Q508" s="2"/>
      <c r="R508" s="862"/>
      <c r="S508" s="109"/>
      <c r="T508" s="2"/>
      <c r="U508" s="2"/>
      <c r="V508" s="2"/>
      <c r="W508" s="2"/>
      <c r="X508" s="2"/>
    </row>
    <row r="509">
      <c r="B509" s="846"/>
      <c r="C509" s="578"/>
      <c r="D509" s="10"/>
      <c r="F509" s="10"/>
      <c r="H509" s="10"/>
      <c r="I509" s="10"/>
      <c r="J509" s="10"/>
      <c r="K509" s="10"/>
      <c r="L509" s="2"/>
      <c r="M509" s="2"/>
      <c r="N509" s="2"/>
      <c r="O509" s="2"/>
      <c r="P509" s="2"/>
      <c r="Q509" s="2"/>
      <c r="R509" s="862"/>
      <c r="S509" s="109"/>
      <c r="T509" s="54"/>
      <c r="U509" s="54"/>
      <c r="V509" s="54"/>
      <c r="W509" s="54"/>
      <c r="X509" s="54"/>
    </row>
    <row r="510">
      <c r="B510" s="846"/>
      <c r="C510" s="578"/>
      <c r="D510" s="10"/>
      <c r="F510" s="10"/>
      <c r="H510" s="10"/>
      <c r="I510" s="10"/>
      <c r="J510" s="10"/>
      <c r="K510" s="10"/>
      <c r="L510" s="2"/>
      <c r="M510" s="2"/>
      <c r="N510" s="2"/>
      <c r="O510" s="2"/>
      <c r="P510" s="2"/>
      <c r="Q510" s="2"/>
      <c r="R510" s="117"/>
      <c r="S510" s="2"/>
      <c r="T510" s="2"/>
      <c r="U510" s="2"/>
      <c r="V510" s="2"/>
      <c r="W510" s="2"/>
      <c r="X510" s="2"/>
    </row>
    <row r="511">
      <c r="B511" s="846"/>
      <c r="C511" s="578"/>
      <c r="D511" s="10"/>
      <c r="F511" s="10"/>
      <c r="H511" s="10"/>
      <c r="I511" s="10"/>
      <c r="J511" s="10"/>
      <c r="K511" s="10"/>
      <c r="L511" s="2"/>
      <c r="M511" s="2"/>
      <c r="N511" s="2"/>
      <c r="O511" s="2"/>
      <c r="P511" s="2"/>
      <c r="Q511" s="2"/>
      <c r="R511" s="117"/>
      <c r="S511" s="2"/>
      <c r="T511" s="2"/>
      <c r="U511" s="2"/>
      <c r="V511" s="2"/>
      <c r="W511" s="2"/>
      <c r="X511" s="2"/>
    </row>
    <row r="512">
      <c r="B512" s="846"/>
      <c r="C512" s="578"/>
      <c r="D512" s="10"/>
      <c r="F512" s="10"/>
      <c r="H512" s="10"/>
      <c r="I512" s="10"/>
      <c r="J512" s="10"/>
      <c r="K512" s="10"/>
      <c r="L512" s="2"/>
      <c r="M512" s="2"/>
      <c r="N512" s="2"/>
      <c r="O512" s="2"/>
      <c r="P512" s="2"/>
      <c r="Q512" s="2"/>
      <c r="R512" s="847"/>
      <c r="S512" s="847"/>
      <c r="T512" s="116"/>
      <c r="U512" s="116"/>
      <c r="V512" s="116"/>
      <c r="W512" s="116"/>
      <c r="X512" s="116"/>
    </row>
    <row r="513">
      <c r="B513" s="846"/>
      <c r="C513" s="578"/>
      <c r="D513" s="10"/>
      <c r="F513" s="10"/>
      <c r="H513" s="10"/>
      <c r="I513" s="10"/>
      <c r="J513" s="10"/>
      <c r="K513" s="10"/>
      <c r="L513" s="2"/>
      <c r="M513" s="2"/>
      <c r="N513" s="2"/>
      <c r="O513" s="2"/>
      <c r="P513" s="2"/>
      <c r="Q513" s="2"/>
      <c r="R513" s="848"/>
      <c r="S513" s="848"/>
      <c r="T513" s="848"/>
      <c r="U513" s="848"/>
      <c r="V513" s="848"/>
      <c r="W513" s="848"/>
      <c r="X513" s="848"/>
    </row>
    <row r="514">
      <c r="B514" s="846"/>
      <c r="C514" s="578"/>
      <c r="D514" s="10"/>
      <c r="F514" s="10"/>
      <c r="H514" s="10"/>
      <c r="I514" s="10"/>
      <c r="J514" s="10"/>
      <c r="K514" s="10"/>
      <c r="L514" s="2"/>
      <c r="M514" s="2"/>
      <c r="N514" s="2"/>
      <c r="O514" s="2"/>
      <c r="P514" s="2"/>
      <c r="Q514" s="2"/>
      <c r="R514" s="849"/>
      <c r="S514" s="850"/>
      <c r="T514" s="851"/>
      <c r="U514" s="851"/>
      <c r="V514" s="851"/>
      <c r="W514" s="851"/>
      <c r="X514" s="851"/>
    </row>
    <row r="515">
      <c r="B515" s="846"/>
      <c r="C515" s="578"/>
      <c r="D515" s="10"/>
      <c r="F515" s="10"/>
      <c r="H515" s="10"/>
      <c r="I515" s="10"/>
      <c r="J515" s="10"/>
      <c r="K515" s="10"/>
      <c r="L515" s="2"/>
      <c r="M515" s="2"/>
      <c r="N515" s="2"/>
      <c r="O515" s="2"/>
      <c r="P515" s="2"/>
      <c r="Q515" s="2"/>
      <c r="R515" s="852"/>
      <c r="S515" s="853"/>
      <c r="T515" s="854"/>
      <c r="U515" s="854"/>
      <c r="V515" s="854"/>
      <c r="W515" s="854"/>
      <c r="X515" s="854"/>
    </row>
    <row r="516">
      <c r="B516" s="846"/>
      <c r="C516" s="578"/>
      <c r="D516" s="10"/>
      <c r="F516" s="10"/>
      <c r="H516" s="10"/>
      <c r="I516" s="10"/>
      <c r="J516" s="10"/>
      <c r="K516" s="10"/>
      <c r="L516" s="2"/>
      <c r="M516" s="2"/>
      <c r="N516" s="2"/>
      <c r="O516" s="2"/>
      <c r="P516" s="2"/>
      <c r="Q516" s="2"/>
      <c r="R516" s="855"/>
      <c r="S516" s="856"/>
      <c r="T516" s="854"/>
      <c r="U516" s="854"/>
      <c r="V516" s="854"/>
      <c r="W516" s="854"/>
      <c r="X516" s="854"/>
    </row>
    <row r="517">
      <c r="B517" s="846"/>
      <c r="C517" s="578"/>
      <c r="D517" s="10"/>
      <c r="F517" s="10"/>
      <c r="H517" s="10"/>
      <c r="I517" s="10"/>
      <c r="J517" s="10"/>
      <c r="K517" s="10"/>
      <c r="L517" s="2"/>
      <c r="M517" s="2"/>
      <c r="N517" s="2"/>
      <c r="O517" s="2"/>
      <c r="P517" s="2"/>
      <c r="Q517" s="2"/>
      <c r="R517" s="855"/>
      <c r="S517" s="856"/>
      <c r="T517" s="854"/>
      <c r="U517" s="854"/>
      <c r="V517" s="854"/>
      <c r="W517" s="854"/>
      <c r="X517" s="854"/>
    </row>
    <row r="518">
      <c r="B518" s="846"/>
      <c r="C518" s="578"/>
      <c r="D518" s="10"/>
      <c r="F518" s="10"/>
      <c r="H518" s="10"/>
      <c r="I518" s="10"/>
      <c r="J518" s="10"/>
      <c r="K518" s="10"/>
      <c r="L518" s="2"/>
      <c r="M518" s="2"/>
      <c r="N518" s="2"/>
      <c r="O518" s="2"/>
      <c r="P518" s="2"/>
      <c r="Q518" s="2"/>
      <c r="R518" s="852"/>
      <c r="S518" s="853"/>
      <c r="T518" s="854"/>
      <c r="U518" s="854"/>
      <c r="V518" s="854"/>
      <c r="W518" s="854"/>
      <c r="X518" s="854"/>
    </row>
    <row r="519">
      <c r="B519" s="846"/>
      <c r="C519" s="578"/>
      <c r="D519" s="10"/>
      <c r="F519" s="10"/>
      <c r="H519" s="10"/>
      <c r="I519" s="10"/>
      <c r="J519" s="10"/>
      <c r="K519" s="10"/>
      <c r="L519" s="2"/>
      <c r="M519" s="2"/>
      <c r="N519" s="2"/>
      <c r="O519" s="2"/>
      <c r="P519" s="2"/>
      <c r="Q519" s="2"/>
      <c r="R519" s="857"/>
      <c r="S519" s="858"/>
      <c r="T519" s="854"/>
      <c r="U519" s="854"/>
      <c r="V519" s="854"/>
      <c r="W519" s="854"/>
      <c r="X519" s="854"/>
    </row>
    <row r="520">
      <c r="B520" s="846"/>
      <c r="C520" s="578"/>
      <c r="D520" s="10"/>
      <c r="F520" s="10"/>
      <c r="H520" s="10"/>
      <c r="I520" s="10"/>
      <c r="J520" s="10"/>
      <c r="K520" s="10"/>
      <c r="L520" s="2"/>
      <c r="M520" s="2"/>
      <c r="N520" s="2"/>
      <c r="O520" s="2"/>
      <c r="P520" s="2"/>
      <c r="Q520" s="2"/>
      <c r="R520" s="857"/>
      <c r="S520" s="858"/>
      <c r="T520" s="854"/>
      <c r="U520" s="854"/>
      <c r="V520" s="854"/>
      <c r="W520" s="854"/>
      <c r="X520" s="854"/>
    </row>
    <row r="521">
      <c r="B521" s="846"/>
      <c r="C521" s="578"/>
      <c r="D521" s="10"/>
      <c r="F521" s="10"/>
      <c r="H521" s="10"/>
      <c r="I521" s="10"/>
      <c r="J521" s="10"/>
      <c r="K521" s="10"/>
      <c r="L521" s="2"/>
      <c r="M521" s="2"/>
      <c r="N521" s="2"/>
      <c r="O521" s="2"/>
      <c r="P521" s="2"/>
      <c r="Q521" s="2"/>
      <c r="R521" s="857"/>
      <c r="S521" s="858"/>
      <c r="T521" s="854"/>
      <c r="U521" s="854"/>
      <c r="V521" s="854"/>
      <c r="W521" s="854"/>
      <c r="X521" s="854"/>
    </row>
    <row r="522">
      <c r="B522" s="846"/>
      <c r="C522" s="578"/>
      <c r="D522" s="10"/>
      <c r="F522" s="10"/>
      <c r="H522" s="10"/>
      <c r="I522" s="10"/>
      <c r="J522" s="10"/>
      <c r="K522" s="10"/>
      <c r="L522" s="2"/>
      <c r="M522" s="2"/>
      <c r="N522" s="2"/>
      <c r="O522" s="2"/>
      <c r="P522" s="2"/>
      <c r="Q522" s="2"/>
      <c r="R522" s="852"/>
      <c r="S522" s="853"/>
      <c r="T522" s="854"/>
      <c r="U522" s="854"/>
      <c r="V522" s="854"/>
      <c r="W522" s="854"/>
      <c r="X522" s="854"/>
    </row>
    <row r="523">
      <c r="B523" s="846"/>
      <c r="C523" s="578"/>
      <c r="D523" s="10"/>
      <c r="F523" s="10"/>
      <c r="H523" s="10"/>
      <c r="I523" s="10"/>
      <c r="J523" s="10"/>
      <c r="K523" s="10"/>
      <c r="L523" s="2"/>
      <c r="M523" s="2"/>
      <c r="N523" s="2"/>
      <c r="O523" s="2"/>
      <c r="P523" s="2"/>
      <c r="Q523" s="2"/>
      <c r="R523" s="852"/>
      <c r="S523" s="853"/>
      <c r="T523" s="854"/>
      <c r="U523" s="854"/>
      <c r="V523" s="854"/>
      <c r="W523" s="854"/>
      <c r="X523" s="854"/>
    </row>
    <row r="524">
      <c r="B524" s="846"/>
      <c r="C524" s="578"/>
      <c r="D524" s="10"/>
      <c r="F524" s="10"/>
      <c r="H524" s="10"/>
      <c r="I524" s="10"/>
      <c r="J524" s="10"/>
      <c r="K524" s="10"/>
      <c r="L524" s="2"/>
      <c r="M524" s="2"/>
      <c r="N524" s="2"/>
      <c r="O524" s="2"/>
      <c r="P524" s="2"/>
      <c r="Q524" s="2"/>
      <c r="R524" s="852"/>
      <c r="S524" s="853"/>
      <c r="T524" s="854"/>
      <c r="U524" s="854"/>
      <c r="V524" s="854"/>
      <c r="W524" s="854"/>
      <c r="X524" s="854"/>
    </row>
    <row r="525">
      <c r="B525" s="846"/>
      <c r="C525" s="578"/>
      <c r="D525" s="10"/>
      <c r="F525" s="10"/>
      <c r="H525" s="10"/>
      <c r="I525" s="10"/>
      <c r="J525" s="10"/>
      <c r="K525" s="10"/>
      <c r="L525" s="2"/>
      <c r="M525" s="2"/>
      <c r="N525" s="2"/>
      <c r="O525" s="2"/>
      <c r="P525" s="2"/>
      <c r="Q525" s="2"/>
      <c r="R525" s="852"/>
      <c r="S525" s="853"/>
      <c r="T525" s="854"/>
      <c r="U525" s="854"/>
      <c r="V525" s="854"/>
      <c r="W525" s="854"/>
      <c r="X525" s="854"/>
    </row>
    <row r="526">
      <c r="B526" s="846"/>
      <c r="C526" s="578"/>
      <c r="D526" s="10"/>
      <c r="F526" s="10"/>
      <c r="H526" s="10"/>
      <c r="I526" s="10"/>
      <c r="J526" s="10"/>
      <c r="K526" s="10"/>
      <c r="L526" s="2"/>
      <c r="M526" s="2"/>
      <c r="N526" s="2"/>
      <c r="O526" s="2"/>
      <c r="P526" s="2"/>
      <c r="Q526" s="2"/>
      <c r="R526" s="852"/>
      <c r="S526" s="859"/>
      <c r="T526" s="107"/>
      <c r="U526" s="107"/>
      <c r="V526" s="107"/>
      <c r="W526" s="107"/>
      <c r="X526" s="107"/>
    </row>
    <row r="527">
      <c r="B527" s="846"/>
      <c r="C527" s="578"/>
      <c r="D527" s="10"/>
      <c r="F527" s="10"/>
      <c r="H527" s="10"/>
      <c r="I527" s="10"/>
      <c r="J527" s="10"/>
      <c r="K527" s="10"/>
      <c r="L527" s="2"/>
      <c r="M527" s="2"/>
      <c r="N527" s="2"/>
      <c r="O527" s="2"/>
      <c r="P527" s="2"/>
      <c r="Q527" s="2"/>
      <c r="R527" s="852"/>
      <c r="S527" s="859"/>
      <c r="T527" s="107"/>
      <c r="U527" s="107"/>
      <c r="V527" s="107"/>
      <c r="W527" s="107"/>
      <c r="X527" s="107"/>
    </row>
    <row r="528">
      <c r="B528" s="846"/>
      <c r="C528" s="578"/>
      <c r="D528" s="10"/>
      <c r="F528" s="10"/>
      <c r="H528" s="10"/>
      <c r="I528" s="10"/>
      <c r="J528" s="10"/>
      <c r="K528" s="10"/>
      <c r="L528" s="2"/>
      <c r="M528" s="2"/>
      <c r="N528" s="2"/>
      <c r="O528" s="2"/>
      <c r="P528" s="2"/>
      <c r="Q528" s="2"/>
      <c r="R528" s="852"/>
      <c r="S528" s="859"/>
      <c r="T528" s="107"/>
      <c r="U528" s="107"/>
      <c r="V528" s="107"/>
      <c r="W528" s="107"/>
      <c r="X528" s="107"/>
    </row>
    <row r="529">
      <c r="B529" s="846"/>
      <c r="C529" s="578"/>
      <c r="D529" s="10"/>
      <c r="F529" s="10"/>
      <c r="H529" s="10"/>
      <c r="I529" s="10"/>
      <c r="J529" s="10"/>
      <c r="K529" s="10"/>
      <c r="L529" s="2"/>
      <c r="M529" s="2"/>
      <c r="N529" s="2"/>
      <c r="O529" s="2"/>
      <c r="P529" s="2"/>
      <c r="Q529" s="2"/>
      <c r="R529" s="852"/>
      <c r="S529" s="859"/>
      <c r="T529" s="107"/>
      <c r="U529" s="107"/>
      <c r="V529" s="107"/>
      <c r="W529" s="107"/>
      <c r="X529" s="107"/>
    </row>
    <row r="530">
      <c r="B530" s="846"/>
      <c r="C530" s="578"/>
      <c r="D530" s="10"/>
      <c r="F530" s="10"/>
      <c r="H530" s="10"/>
      <c r="I530" s="10"/>
      <c r="J530" s="10"/>
      <c r="K530" s="10"/>
      <c r="L530" s="2"/>
      <c r="M530" s="2"/>
      <c r="N530" s="2"/>
      <c r="O530" s="2"/>
      <c r="P530" s="2"/>
      <c r="Q530" s="2"/>
      <c r="R530" s="852"/>
      <c r="S530" s="859"/>
      <c r="T530" s="107"/>
      <c r="U530" s="107"/>
      <c r="V530" s="107"/>
      <c r="W530" s="107"/>
      <c r="X530" s="107"/>
    </row>
    <row r="531">
      <c r="B531" s="846"/>
      <c r="C531" s="578"/>
      <c r="D531" s="10"/>
      <c r="F531" s="10"/>
      <c r="H531" s="10"/>
      <c r="I531" s="10"/>
      <c r="J531" s="10"/>
      <c r="K531" s="10"/>
      <c r="L531" s="2"/>
      <c r="M531" s="2"/>
      <c r="N531" s="2"/>
      <c r="O531" s="2"/>
      <c r="P531" s="2"/>
      <c r="Q531" s="2"/>
      <c r="R531" s="852"/>
      <c r="S531" s="859"/>
      <c r="T531" s="107"/>
      <c r="U531" s="107"/>
      <c r="V531" s="107"/>
      <c r="W531" s="107"/>
      <c r="X531" s="107"/>
    </row>
    <row r="532">
      <c r="B532" s="846"/>
      <c r="C532" s="578"/>
      <c r="D532" s="10"/>
      <c r="F532" s="10"/>
      <c r="H532" s="10"/>
      <c r="I532" s="10"/>
      <c r="J532" s="10"/>
      <c r="K532" s="10"/>
      <c r="L532" s="2"/>
      <c r="M532" s="2"/>
      <c r="N532" s="2"/>
      <c r="O532" s="2"/>
      <c r="P532" s="2"/>
      <c r="Q532" s="2"/>
      <c r="R532" s="852"/>
      <c r="S532" s="859"/>
      <c r="T532" s="107"/>
      <c r="U532" s="107"/>
      <c r="V532" s="107"/>
      <c r="W532" s="107"/>
      <c r="X532" s="107"/>
    </row>
    <row r="533">
      <c r="B533" s="846"/>
      <c r="C533" s="578"/>
      <c r="D533" s="10"/>
      <c r="F533" s="10"/>
      <c r="H533" s="10"/>
      <c r="I533" s="10"/>
      <c r="J533" s="10"/>
      <c r="K533" s="10"/>
      <c r="L533" s="2"/>
      <c r="M533" s="2"/>
      <c r="N533" s="2"/>
      <c r="O533" s="2"/>
      <c r="P533" s="2"/>
      <c r="Q533" s="2"/>
      <c r="R533" s="852"/>
      <c r="S533" s="859"/>
      <c r="T533" s="107"/>
      <c r="U533" s="107"/>
      <c r="V533" s="107"/>
      <c r="W533" s="107"/>
      <c r="X533" s="107"/>
    </row>
    <row r="534">
      <c r="B534" s="846"/>
      <c r="C534" s="578"/>
      <c r="D534" s="10"/>
      <c r="F534" s="10"/>
      <c r="H534" s="10"/>
      <c r="I534" s="10"/>
      <c r="J534" s="10"/>
      <c r="K534" s="10"/>
      <c r="L534" s="2"/>
      <c r="M534" s="2"/>
      <c r="N534" s="2"/>
      <c r="O534" s="2"/>
      <c r="P534" s="2"/>
      <c r="Q534" s="2"/>
      <c r="R534" s="852"/>
      <c r="S534" s="859"/>
      <c r="T534" s="107"/>
      <c r="U534" s="107"/>
      <c r="V534" s="107"/>
      <c r="W534" s="107"/>
      <c r="X534" s="107"/>
    </row>
    <row r="535">
      <c r="B535" s="846"/>
      <c r="C535" s="578"/>
      <c r="D535" s="10"/>
      <c r="F535" s="10"/>
      <c r="H535" s="10"/>
      <c r="I535" s="10"/>
      <c r="J535" s="10"/>
      <c r="K535" s="10"/>
      <c r="L535" s="2"/>
      <c r="M535" s="2"/>
      <c r="N535" s="2"/>
      <c r="O535" s="2"/>
      <c r="P535" s="2"/>
      <c r="Q535" s="2"/>
      <c r="R535" s="852"/>
      <c r="S535" s="859"/>
      <c r="T535" s="107"/>
      <c r="U535" s="107"/>
      <c r="V535" s="107"/>
      <c r="W535" s="107"/>
      <c r="X535" s="107"/>
    </row>
    <row r="536">
      <c r="B536" s="846"/>
      <c r="C536" s="578"/>
      <c r="D536" s="10"/>
      <c r="F536" s="10"/>
      <c r="H536" s="10"/>
      <c r="I536" s="10"/>
      <c r="J536" s="10"/>
      <c r="K536" s="10"/>
      <c r="L536" s="2"/>
      <c r="M536" s="2"/>
      <c r="N536" s="2"/>
      <c r="O536" s="2"/>
      <c r="P536" s="2"/>
      <c r="Q536" s="2"/>
      <c r="R536" s="857"/>
      <c r="S536" s="860"/>
      <c r="T536" s="107"/>
      <c r="U536" s="107"/>
      <c r="V536" s="107"/>
      <c r="W536" s="107"/>
      <c r="X536" s="107"/>
    </row>
    <row r="537">
      <c r="B537" s="846"/>
      <c r="C537" s="578"/>
      <c r="D537" s="10"/>
      <c r="F537" s="10"/>
      <c r="H537" s="10"/>
      <c r="I537" s="10"/>
      <c r="J537" s="10"/>
      <c r="K537" s="10"/>
      <c r="L537" s="2"/>
      <c r="M537" s="2"/>
      <c r="N537" s="2"/>
      <c r="O537" s="2"/>
      <c r="P537" s="2"/>
      <c r="Q537" s="2"/>
      <c r="R537" s="861"/>
      <c r="S537" s="111"/>
      <c r="T537" s="2"/>
      <c r="U537" s="2"/>
      <c r="V537" s="2"/>
      <c r="W537" s="2"/>
      <c r="X537" s="2"/>
    </row>
    <row r="538">
      <c r="B538" s="846"/>
      <c r="C538" s="578"/>
      <c r="D538" s="10"/>
      <c r="F538" s="10"/>
      <c r="H538" s="10"/>
      <c r="I538" s="10"/>
      <c r="J538" s="10"/>
      <c r="K538" s="10"/>
      <c r="L538" s="2"/>
      <c r="M538" s="2"/>
      <c r="N538" s="2"/>
      <c r="O538" s="2"/>
      <c r="P538" s="2"/>
      <c r="Q538" s="2"/>
      <c r="R538" s="861"/>
      <c r="S538" s="111"/>
      <c r="T538" s="2"/>
      <c r="U538" s="2"/>
      <c r="V538" s="2"/>
      <c r="W538" s="2"/>
      <c r="X538" s="2"/>
    </row>
    <row r="539">
      <c r="B539" s="846"/>
      <c r="C539" s="578"/>
      <c r="D539" s="10"/>
      <c r="F539" s="10"/>
      <c r="H539" s="10"/>
      <c r="I539" s="10"/>
      <c r="J539" s="10"/>
      <c r="K539" s="10"/>
      <c r="L539" s="2"/>
      <c r="M539" s="2"/>
      <c r="N539" s="2"/>
      <c r="O539" s="2"/>
      <c r="P539" s="2"/>
      <c r="Q539" s="2"/>
      <c r="R539" s="861"/>
      <c r="S539" s="111"/>
      <c r="T539" s="2"/>
      <c r="U539" s="2"/>
      <c r="V539" s="2"/>
      <c r="W539" s="2"/>
      <c r="X539" s="2"/>
    </row>
    <row r="540">
      <c r="B540" s="846"/>
      <c r="C540" s="578"/>
      <c r="D540" s="10"/>
      <c r="F540" s="10"/>
      <c r="H540" s="10"/>
      <c r="I540" s="10"/>
      <c r="J540" s="10"/>
      <c r="K540" s="10"/>
      <c r="L540" s="2"/>
      <c r="M540" s="2"/>
      <c r="N540" s="2"/>
      <c r="O540" s="2"/>
      <c r="P540" s="2"/>
      <c r="Q540" s="2"/>
      <c r="R540" s="861"/>
      <c r="S540" s="111"/>
      <c r="T540" s="2"/>
      <c r="U540" s="2"/>
      <c r="V540" s="2"/>
      <c r="W540" s="2"/>
      <c r="X540" s="2"/>
    </row>
    <row r="541">
      <c r="B541" s="846"/>
      <c r="C541" s="578"/>
      <c r="D541" s="10"/>
      <c r="F541" s="10"/>
      <c r="H541" s="10"/>
      <c r="I541" s="10"/>
      <c r="J541" s="10"/>
      <c r="K541" s="10"/>
      <c r="L541" s="2"/>
      <c r="M541" s="2"/>
      <c r="N541" s="2"/>
      <c r="O541" s="2"/>
      <c r="P541" s="2"/>
      <c r="Q541" s="2"/>
      <c r="R541" s="861"/>
      <c r="S541" s="111"/>
      <c r="T541" s="2"/>
      <c r="U541" s="2"/>
      <c r="V541" s="2"/>
      <c r="W541" s="2"/>
      <c r="X541" s="2"/>
    </row>
    <row r="542">
      <c r="B542" s="846"/>
      <c r="C542" s="578"/>
      <c r="D542" s="10"/>
      <c r="F542" s="10"/>
      <c r="H542" s="10"/>
      <c r="I542" s="10"/>
      <c r="J542" s="10"/>
      <c r="K542" s="10"/>
      <c r="L542" s="2"/>
      <c r="M542" s="2"/>
      <c r="N542" s="2"/>
      <c r="O542" s="2"/>
      <c r="P542" s="2"/>
      <c r="Q542" s="2"/>
      <c r="R542" s="862"/>
      <c r="S542" s="109"/>
      <c r="T542" s="2"/>
      <c r="U542" s="2"/>
      <c r="V542" s="2"/>
      <c r="W542" s="2"/>
      <c r="X542" s="2"/>
    </row>
    <row r="543">
      <c r="B543" s="846"/>
      <c r="C543" s="578"/>
      <c r="D543" s="10"/>
      <c r="F543" s="10"/>
      <c r="H543" s="10"/>
      <c r="I543" s="10"/>
      <c r="J543" s="10"/>
      <c r="K543" s="10"/>
      <c r="L543" s="2"/>
      <c r="M543" s="2"/>
      <c r="N543" s="2"/>
      <c r="O543" s="2"/>
      <c r="P543" s="2"/>
      <c r="Q543" s="2"/>
      <c r="R543" s="861"/>
      <c r="S543" s="111"/>
      <c r="T543" s="2"/>
      <c r="U543" s="2"/>
      <c r="V543" s="2"/>
      <c r="W543" s="2"/>
      <c r="X543" s="2"/>
    </row>
    <row r="544">
      <c r="B544" s="846"/>
      <c r="C544" s="578"/>
      <c r="D544" s="10"/>
      <c r="F544" s="10"/>
      <c r="H544" s="10"/>
      <c r="I544" s="10"/>
      <c r="J544" s="10"/>
      <c r="K544" s="10"/>
      <c r="L544" s="2"/>
      <c r="M544" s="2"/>
      <c r="N544" s="2"/>
      <c r="O544" s="2"/>
      <c r="P544" s="2"/>
      <c r="Q544" s="2"/>
      <c r="R544" s="861"/>
      <c r="S544" s="111"/>
      <c r="T544" s="2"/>
      <c r="U544" s="2"/>
      <c r="V544" s="2"/>
      <c r="W544" s="2"/>
      <c r="X544" s="2"/>
    </row>
    <row r="545">
      <c r="B545" s="846"/>
      <c r="C545" s="578"/>
      <c r="D545" s="10"/>
      <c r="F545" s="10"/>
      <c r="H545" s="10"/>
      <c r="I545" s="10"/>
      <c r="J545" s="10"/>
      <c r="K545" s="10"/>
      <c r="L545" s="2"/>
      <c r="M545" s="2"/>
      <c r="N545" s="2"/>
      <c r="O545" s="2"/>
      <c r="P545" s="2"/>
      <c r="Q545" s="2"/>
      <c r="R545" s="861"/>
      <c r="S545" s="111"/>
      <c r="T545" s="2"/>
      <c r="U545" s="2"/>
      <c r="V545" s="2"/>
      <c r="W545" s="2"/>
      <c r="X545" s="2"/>
    </row>
    <row r="546">
      <c r="B546" s="846"/>
      <c r="C546" s="578"/>
      <c r="D546" s="10"/>
      <c r="F546" s="10"/>
      <c r="H546" s="10"/>
      <c r="I546" s="10"/>
      <c r="J546" s="10"/>
      <c r="K546" s="10"/>
      <c r="L546" s="2"/>
      <c r="M546" s="2"/>
      <c r="N546" s="2"/>
      <c r="O546" s="2"/>
      <c r="P546" s="2"/>
      <c r="Q546" s="2"/>
      <c r="R546" s="861"/>
      <c r="S546" s="111"/>
      <c r="T546" s="2"/>
      <c r="U546" s="2"/>
      <c r="V546" s="2"/>
      <c r="W546" s="2"/>
      <c r="X546" s="2"/>
    </row>
    <row r="547">
      <c r="B547" s="846"/>
      <c r="C547" s="578"/>
      <c r="D547" s="10"/>
      <c r="F547" s="10"/>
      <c r="H547" s="10"/>
      <c r="I547" s="10"/>
      <c r="J547" s="10"/>
      <c r="K547" s="10"/>
      <c r="L547" s="2"/>
      <c r="M547" s="2"/>
      <c r="N547" s="2"/>
      <c r="O547" s="2"/>
      <c r="P547" s="2"/>
      <c r="Q547" s="2"/>
      <c r="R547" s="861"/>
      <c r="S547" s="111"/>
      <c r="T547" s="2"/>
      <c r="U547" s="2"/>
      <c r="V547" s="2"/>
      <c r="W547" s="2"/>
      <c r="X547" s="2"/>
    </row>
    <row r="548">
      <c r="B548" s="846"/>
      <c r="C548" s="578"/>
      <c r="D548" s="10"/>
      <c r="F548" s="10"/>
      <c r="H548" s="10"/>
      <c r="I548" s="10"/>
      <c r="J548" s="10"/>
      <c r="K548" s="10"/>
      <c r="L548" s="2"/>
      <c r="M548" s="2"/>
      <c r="N548" s="2"/>
      <c r="O548" s="2"/>
      <c r="P548" s="2"/>
      <c r="Q548" s="2"/>
      <c r="R548" s="861"/>
      <c r="S548" s="111"/>
      <c r="T548" s="2"/>
      <c r="U548" s="2"/>
      <c r="V548" s="2"/>
      <c r="W548" s="2"/>
      <c r="X548" s="2"/>
    </row>
    <row r="549">
      <c r="B549" s="846"/>
      <c r="C549" s="578"/>
      <c r="D549" s="10"/>
      <c r="F549" s="10"/>
      <c r="H549" s="10"/>
      <c r="I549" s="10"/>
      <c r="J549" s="10"/>
      <c r="K549" s="10"/>
      <c r="L549" s="2"/>
      <c r="M549" s="2"/>
      <c r="N549" s="2"/>
      <c r="O549" s="2"/>
      <c r="P549" s="2"/>
      <c r="Q549" s="2"/>
      <c r="R549" s="861"/>
      <c r="S549" s="111"/>
      <c r="T549" s="2"/>
      <c r="U549" s="2"/>
      <c r="V549" s="2"/>
      <c r="W549" s="2"/>
      <c r="X549" s="2"/>
    </row>
    <row r="550">
      <c r="B550" s="846"/>
      <c r="C550" s="578"/>
      <c r="D550" s="10"/>
      <c r="F550" s="10"/>
      <c r="H550" s="10"/>
      <c r="I550" s="10"/>
      <c r="J550" s="10"/>
      <c r="K550" s="10"/>
      <c r="L550" s="2"/>
      <c r="M550" s="2"/>
      <c r="N550" s="2"/>
      <c r="O550" s="2"/>
      <c r="P550" s="2"/>
      <c r="Q550" s="2"/>
      <c r="R550" s="861"/>
      <c r="S550" s="111"/>
      <c r="T550" s="2"/>
      <c r="U550" s="2"/>
      <c r="V550" s="2"/>
      <c r="W550" s="2"/>
      <c r="X550" s="2"/>
    </row>
    <row r="551">
      <c r="B551" s="846"/>
      <c r="C551" s="578"/>
      <c r="D551" s="10"/>
      <c r="F551" s="10"/>
      <c r="H551" s="10"/>
      <c r="I551" s="10"/>
      <c r="J551" s="10"/>
      <c r="K551" s="10"/>
      <c r="L551" s="2"/>
      <c r="M551" s="2"/>
      <c r="N551" s="2"/>
      <c r="O551" s="2"/>
      <c r="P551" s="2"/>
      <c r="Q551" s="2"/>
      <c r="R551" s="862"/>
      <c r="S551" s="109"/>
      <c r="T551" s="2"/>
      <c r="U551" s="2"/>
      <c r="V551" s="2"/>
      <c r="W551" s="2"/>
      <c r="X551" s="2"/>
    </row>
    <row r="552">
      <c r="B552" s="846"/>
      <c r="C552" s="578"/>
      <c r="D552" s="10"/>
      <c r="F552" s="10"/>
      <c r="H552" s="10"/>
      <c r="I552" s="10"/>
      <c r="J552" s="10"/>
      <c r="K552" s="10"/>
      <c r="L552" s="2"/>
      <c r="M552" s="2"/>
      <c r="N552" s="2"/>
      <c r="O552" s="2"/>
      <c r="P552" s="2"/>
      <c r="Q552" s="2"/>
      <c r="R552" s="862"/>
      <c r="S552" s="109"/>
      <c r="T552" s="54"/>
      <c r="U552" s="54"/>
      <c r="V552" s="54"/>
      <c r="W552" s="54"/>
      <c r="X552" s="54"/>
    </row>
    <row r="553">
      <c r="B553" s="846"/>
      <c r="C553" s="578"/>
      <c r="D553" s="10"/>
      <c r="F553" s="10"/>
      <c r="H553" s="10"/>
      <c r="I553" s="10"/>
      <c r="J553" s="10"/>
      <c r="K553" s="10"/>
      <c r="L553" s="2"/>
      <c r="M553" s="2"/>
      <c r="N553" s="2"/>
      <c r="O553" s="2"/>
      <c r="P553" s="2"/>
      <c r="Q553" s="2"/>
      <c r="R553" s="117"/>
      <c r="S553" s="2"/>
      <c r="T553" s="2"/>
      <c r="U553" s="2"/>
      <c r="V553" s="2"/>
      <c r="W553" s="2"/>
      <c r="X553" s="2"/>
    </row>
    <row r="554">
      <c r="B554" s="846"/>
      <c r="C554" s="578"/>
      <c r="D554" s="10"/>
      <c r="F554" s="10"/>
      <c r="H554" s="10"/>
      <c r="I554" s="10"/>
      <c r="J554" s="10"/>
      <c r="K554" s="10"/>
      <c r="L554" s="2"/>
      <c r="M554" s="2"/>
      <c r="N554" s="2"/>
      <c r="O554" s="2"/>
      <c r="P554" s="2"/>
      <c r="Q554" s="2"/>
      <c r="R554" s="117"/>
      <c r="S554" s="2"/>
      <c r="T554" s="2"/>
      <c r="U554" s="2"/>
      <c r="V554" s="2"/>
      <c r="W554" s="2"/>
      <c r="X554" s="2"/>
    </row>
    <row r="555">
      <c r="B555" s="846"/>
      <c r="C555" s="578"/>
      <c r="D555" s="10"/>
      <c r="F555" s="10"/>
      <c r="H555" s="10"/>
      <c r="I555" s="10"/>
      <c r="J555" s="10"/>
      <c r="K555" s="10"/>
      <c r="L555" s="2"/>
      <c r="M555" s="2"/>
      <c r="N555" s="2"/>
      <c r="O555" s="2"/>
      <c r="P555" s="2"/>
      <c r="Q555" s="2"/>
      <c r="R555" s="847"/>
      <c r="S555" s="847"/>
      <c r="T555" s="116"/>
      <c r="U555" s="116"/>
      <c r="V555" s="116"/>
      <c r="W555" s="116"/>
      <c r="X555" s="116"/>
    </row>
    <row r="556">
      <c r="B556" s="846"/>
      <c r="C556" s="578"/>
      <c r="D556" s="10"/>
      <c r="F556" s="10"/>
      <c r="H556" s="10"/>
      <c r="I556" s="10"/>
      <c r="J556" s="10"/>
      <c r="K556" s="10"/>
      <c r="L556" s="2"/>
      <c r="M556" s="2"/>
      <c r="N556" s="2"/>
      <c r="O556" s="2"/>
      <c r="P556" s="2"/>
      <c r="Q556" s="2"/>
      <c r="R556" s="848"/>
      <c r="S556" s="848"/>
      <c r="T556" s="848"/>
      <c r="U556" s="848"/>
      <c r="V556" s="848"/>
      <c r="W556" s="848"/>
      <c r="X556" s="848"/>
    </row>
    <row r="557">
      <c r="B557" s="846"/>
      <c r="C557" s="578"/>
      <c r="D557" s="10"/>
      <c r="F557" s="10"/>
      <c r="H557" s="10"/>
      <c r="I557" s="10"/>
      <c r="J557" s="10"/>
      <c r="K557" s="10"/>
      <c r="L557" s="2"/>
      <c r="M557" s="2"/>
      <c r="N557" s="2"/>
      <c r="O557" s="2"/>
      <c r="P557" s="2"/>
      <c r="Q557" s="2"/>
      <c r="R557" s="849"/>
      <c r="S557" s="850"/>
      <c r="T557" s="851"/>
      <c r="U557" s="851"/>
      <c r="V557" s="851"/>
      <c r="W557" s="851"/>
      <c r="X557" s="851"/>
    </row>
    <row r="558">
      <c r="B558" s="846"/>
      <c r="C558" s="578"/>
      <c r="D558" s="10"/>
      <c r="F558" s="10"/>
      <c r="H558" s="10"/>
      <c r="I558" s="10"/>
      <c r="J558" s="10"/>
      <c r="K558" s="10"/>
      <c r="L558" s="2"/>
      <c r="M558" s="2"/>
      <c r="N558" s="2"/>
      <c r="O558" s="2"/>
      <c r="P558" s="2"/>
      <c r="Q558" s="2"/>
      <c r="R558" s="852"/>
      <c r="S558" s="853"/>
      <c r="T558" s="854"/>
      <c r="U558" s="854"/>
      <c r="V558" s="854"/>
      <c r="W558" s="854"/>
      <c r="X558" s="854"/>
    </row>
    <row r="559">
      <c r="B559" s="846"/>
      <c r="C559" s="578"/>
      <c r="D559" s="10"/>
      <c r="F559" s="10"/>
      <c r="H559" s="10"/>
      <c r="I559" s="10"/>
      <c r="J559" s="10"/>
      <c r="K559" s="10"/>
      <c r="L559" s="2"/>
      <c r="M559" s="2"/>
      <c r="N559" s="2"/>
      <c r="O559" s="2"/>
      <c r="P559" s="2"/>
      <c r="Q559" s="2"/>
      <c r="R559" s="855"/>
      <c r="S559" s="856"/>
      <c r="T559" s="854"/>
      <c r="U559" s="854"/>
      <c r="V559" s="854"/>
      <c r="W559" s="854"/>
      <c r="X559" s="854"/>
    </row>
    <row r="560">
      <c r="B560" s="846"/>
      <c r="C560" s="578"/>
      <c r="D560" s="10"/>
      <c r="F560" s="10"/>
      <c r="H560" s="10"/>
      <c r="I560" s="10"/>
      <c r="J560" s="10"/>
      <c r="K560" s="10"/>
      <c r="L560" s="2"/>
      <c r="M560" s="2"/>
      <c r="N560" s="2"/>
      <c r="O560" s="2"/>
      <c r="P560" s="2"/>
      <c r="Q560" s="2"/>
      <c r="R560" s="855"/>
      <c r="S560" s="856"/>
      <c r="T560" s="854"/>
      <c r="U560" s="854"/>
      <c r="V560" s="854"/>
      <c r="W560" s="854"/>
      <c r="X560" s="854"/>
    </row>
    <row r="561">
      <c r="B561" s="846"/>
      <c r="C561" s="578"/>
      <c r="D561" s="10"/>
      <c r="F561" s="10"/>
      <c r="H561" s="10"/>
      <c r="I561" s="10"/>
      <c r="J561" s="10"/>
      <c r="K561" s="10"/>
      <c r="L561" s="2"/>
      <c r="M561" s="2"/>
      <c r="N561" s="2"/>
      <c r="O561" s="2"/>
      <c r="P561" s="2"/>
      <c r="Q561" s="2"/>
      <c r="R561" s="852"/>
      <c r="S561" s="853"/>
      <c r="T561" s="854"/>
      <c r="U561" s="854"/>
      <c r="V561" s="854"/>
      <c r="W561" s="854"/>
      <c r="X561" s="854"/>
    </row>
    <row r="562">
      <c r="B562" s="846"/>
      <c r="C562" s="578"/>
      <c r="D562" s="10"/>
      <c r="F562" s="10"/>
      <c r="H562" s="10"/>
      <c r="I562" s="10"/>
      <c r="J562" s="10"/>
      <c r="K562" s="10"/>
      <c r="L562" s="2"/>
      <c r="M562" s="2"/>
      <c r="N562" s="2"/>
      <c r="O562" s="2"/>
      <c r="P562" s="2"/>
      <c r="Q562" s="2"/>
      <c r="R562" s="857"/>
      <c r="S562" s="858"/>
      <c r="T562" s="854"/>
      <c r="U562" s="854"/>
      <c r="V562" s="854"/>
      <c r="W562" s="854"/>
      <c r="X562" s="854"/>
    </row>
    <row r="563">
      <c r="B563" s="846"/>
      <c r="C563" s="578"/>
      <c r="D563" s="10"/>
      <c r="F563" s="10"/>
      <c r="H563" s="10"/>
      <c r="I563" s="10"/>
      <c r="J563" s="10"/>
      <c r="K563" s="10"/>
      <c r="L563" s="2"/>
      <c r="M563" s="2"/>
      <c r="N563" s="2"/>
      <c r="O563" s="2"/>
      <c r="P563" s="2"/>
      <c r="Q563" s="2"/>
      <c r="R563" s="857"/>
      <c r="S563" s="858"/>
      <c r="T563" s="854"/>
      <c r="U563" s="854"/>
      <c r="V563" s="854"/>
      <c r="W563" s="854"/>
      <c r="X563" s="854"/>
    </row>
    <row r="564">
      <c r="B564" s="846"/>
      <c r="C564" s="578"/>
      <c r="D564" s="10"/>
      <c r="F564" s="10"/>
      <c r="H564" s="10"/>
      <c r="I564" s="10"/>
      <c r="J564" s="10"/>
      <c r="K564" s="10"/>
      <c r="L564" s="2"/>
      <c r="M564" s="2"/>
      <c r="N564" s="2"/>
      <c r="O564" s="2"/>
      <c r="P564" s="2"/>
      <c r="Q564" s="2"/>
      <c r="R564" s="857"/>
      <c r="S564" s="858"/>
      <c r="T564" s="854"/>
      <c r="U564" s="854"/>
      <c r="V564" s="854"/>
      <c r="W564" s="854"/>
      <c r="X564" s="854"/>
    </row>
    <row r="565">
      <c r="B565" s="846"/>
      <c r="C565" s="578"/>
      <c r="D565" s="10"/>
      <c r="F565" s="10"/>
      <c r="H565" s="10"/>
      <c r="I565" s="10"/>
      <c r="J565" s="10"/>
      <c r="K565" s="10"/>
      <c r="L565" s="2"/>
      <c r="M565" s="2"/>
      <c r="N565" s="2"/>
      <c r="O565" s="2"/>
      <c r="P565" s="2"/>
      <c r="Q565" s="2"/>
      <c r="R565" s="852"/>
      <c r="S565" s="853"/>
      <c r="T565" s="854"/>
      <c r="U565" s="854"/>
      <c r="V565" s="854"/>
      <c r="W565" s="854"/>
      <c r="X565" s="854"/>
    </row>
    <row r="566">
      <c r="B566" s="846"/>
      <c r="C566" s="578"/>
      <c r="D566" s="10"/>
      <c r="F566" s="10"/>
      <c r="H566" s="10"/>
      <c r="I566" s="10"/>
      <c r="J566" s="10"/>
      <c r="K566" s="10"/>
      <c r="L566" s="2"/>
      <c r="M566" s="2"/>
      <c r="N566" s="2"/>
      <c r="O566" s="2"/>
      <c r="P566" s="2"/>
      <c r="Q566" s="2"/>
      <c r="R566" s="852"/>
      <c r="S566" s="853"/>
      <c r="T566" s="854"/>
      <c r="U566" s="854"/>
      <c r="V566" s="854"/>
      <c r="W566" s="854"/>
      <c r="X566" s="854"/>
    </row>
    <row r="567">
      <c r="B567" s="846"/>
      <c r="C567" s="578"/>
      <c r="D567" s="10"/>
      <c r="F567" s="10"/>
      <c r="H567" s="10"/>
      <c r="I567" s="10"/>
      <c r="J567" s="10"/>
      <c r="K567" s="10"/>
      <c r="L567" s="2"/>
      <c r="M567" s="2"/>
      <c r="N567" s="2"/>
      <c r="O567" s="2"/>
      <c r="P567" s="2"/>
      <c r="Q567" s="2"/>
      <c r="R567" s="852"/>
      <c r="S567" s="853"/>
      <c r="T567" s="854"/>
      <c r="U567" s="854"/>
      <c r="V567" s="854"/>
      <c r="W567" s="854"/>
      <c r="X567" s="854"/>
    </row>
    <row r="568">
      <c r="B568" s="846"/>
      <c r="C568" s="578"/>
      <c r="D568" s="10"/>
      <c r="F568" s="10"/>
      <c r="H568" s="10"/>
      <c r="I568" s="10"/>
      <c r="J568" s="10"/>
      <c r="K568" s="10"/>
      <c r="L568" s="2"/>
      <c r="M568" s="2"/>
      <c r="N568" s="2"/>
      <c r="O568" s="2"/>
      <c r="P568" s="2"/>
      <c r="Q568" s="2"/>
      <c r="R568" s="852"/>
      <c r="S568" s="853"/>
      <c r="T568" s="854"/>
      <c r="U568" s="854"/>
      <c r="V568" s="854"/>
      <c r="W568" s="854"/>
      <c r="X568" s="854"/>
    </row>
    <row r="569">
      <c r="B569" s="846"/>
      <c r="C569" s="578"/>
      <c r="D569" s="10"/>
      <c r="F569" s="10"/>
      <c r="H569" s="10"/>
      <c r="I569" s="10"/>
      <c r="J569" s="10"/>
      <c r="K569" s="10"/>
      <c r="L569" s="2"/>
      <c r="M569" s="2"/>
      <c r="N569" s="2"/>
      <c r="O569" s="2"/>
      <c r="P569" s="2"/>
      <c r="Q569" s="2"/>
      <c r="R569" s="852"/>
      <c r="S569" s="859"/>
      <c r="T569" s="107"/>
      <c r="U569" s="107"/>
      <c r="V569" s="107"/>
      <c r="W569" s="107"/>
      <c r="X569" s="107"/>
    </row>
    <row r="570">
      <c r="B570" s="846"/>
      <c r="C570" s="578"/>
      <c r="D570" s="10"/>
      <c r="F570" s="10"/>
      <c r="H570" s="10"/>
      <c r="I570" s="10"/>
      <c r="J570" s="10"/>
      <c r="K570" s="10"/>
      <c r="L570" s="2"/>
      <c r="M570" s="2"/>
      <c r="N570" s="2"/>
      <c r="O570" s="2"/>
      <c r="P570" s="2"/>
      <c r="Q570" s="2"/>
      <c r="R570" s="852"/>
      <c r="S570" s="859"/>
      <c r="T570" s="107"/>
      <c r="U570" s="107"/>
      <c r="V570" s="107"/>
      <c r="W570" s="107"/>
      <c r="X570" s="107"/>
    </row>
    <row r="571">
      <c r="B571" s="846"/>
      <c r="C571" s="578"/>
      <c r="D571" s="10"/>
      <c r="F571" s="10"/>
      <c r="H571" s="10"/>
      <c r="I571" s="10"/>
      <c r="J571" s="10"/>
      <c r="K571" s="10"/>
      <c r="L571" s="2"/>
      <c r="M571" s="2"/>
      <c r="N571" s="2"/>
      <c r="O571" s="2"/>
      <c r="P571" s="2"/>
      <c r="Q571" s="2"/>
      <c r="R571" s="852"/>
      <c r="S571" s="859"/>
      <c r="T571" s="107"/>
      <c r="U571" s="107"/>
      <c r="V571" s="107"/>
      <c r="W571" s="107"/>
      <c r="X571" s="107"/>
    </row>
    <row r="572">
      <c r="B572" s="846"/>
      <c r="C572" s="578"/>
      <c r="D572" s="10"/>
      <c r="F572" s="10"/>
      <c r="H572" s="10"/>
      <c r="I572" s="10"/>
      <c r="J572" s="10"/>
      <c r="K572" s="10"/>
      <c r="L572" s="2"/>
      <c r="M572" s="2"/>
      <c r="N572" s="2"/>
      <c r="O572" s="2"/>
      <c r="P572" s="2"/>
      <c r="Q572" s="2"/>
      <c r="R572" s="852"/>
      <c r="S572" s="859"/>
      <c r="T572" s="107"/>
      <c r="U572" s="107"/>
      <c r="V572" s="107"/>
      <c r="W572" s="107"/>
      <c r="X572" s="107"/>
    </row>
    <row r="573">
      <c r="B573" s="846"/>
      <c r="C573" s="578"/>
      <c r="D573" s="10"/>
      <c r="F573" s="10"/>
      <c r="H573" s="10"/>
      <c r="I573" s="10"/>
      <c r="J573" s="10"/>
      <c r="K573" s="10"/>
      <c r="L573" s="2"/>
      <c r="M573" s="2"/>
      <c r="N573" s="2"/>
      <c r="O573" s="2"/>
      <c r="P573" s="2"/>
      <c r="Q573" s="2"/>
      <c r="R573" s="852"/>
      <c r="S573" s="859"/>
      <c r="T573" s="107"/>
      <c r="U573" s="107"/>
      <c r="V573" s="107"/>
      <c r="W573" s="107"/>
      <c r="X573" s="107"/>
    </row>
    <row r="574">
      <c r="B574" s="846"/>
      <c r="C574" s="578"/>
      <c r="D574" s="10"/>
      <c r="F574" s="10"/>
      <c r="H574" s="10"/>
      <c r="I574" s="10"/>
      <c r="J574" s="10"/>
      <c r="K574" s="10"/>
      <c r="L574" s="2"/>
      <c r="M574" s="2"/>
      <c r="N574" s="2"/>
      <c r="O574" s="2"/>
      <c r="P574" s="2"/>
      <c r="Q574" s="2"/>
      <c r="R574" s="852"/>
      <c r="S574" s="859"/>
      <c r="T574" s="107"/>
      <c r="U574" s="107"/>
      <c r="V574" s="107"/>
      <c r="W574" s="107"/>
      <c r="X574" s="107"/>
    </row>
    <row r="575">
      <c r="B575" s="846"/>
      <c r="C575" s="578"/>
      <c r="D575" s="10"/>
      <c r="F575" s="10"/>
      <c r="H575" s="10"/>
      <c r="I575" s="10"/>
      <c r="J575" s="10"/>
      <c r="K575" s="10"/>
      <c r="L575" s="2"/>
      <c r="M575" s="2"/>
      <c r="N575" s="2"/>
      <c r="O575" s="2"/>
      <c r="P575" s="2"/>
      <c r="Q575" s="2"/>
      <c r="R575" s="852"/>
      <c r="S575" s="859"/>
      <c r="T575" s="107"/>
      <c r="U575" s="107"/>
      <c r="V575" s="107"/>
      <c r="W575" s="107"/>
      <c r="X575" s="107"/>
    </row>
    <row r="576">
      <c r="B576" s="846"/>
      <c r="C576" s="578"/>
      <c r="D576" s="10"/>
      <c r="F576" s="10"/>
      <c r="H576" s="10"/>
      <c r="I576" s="10"/>
      <c r="J576" s="10"/>
      <c r="K576" s="10"/>
      <c r="L576" s="2"/>
      <c r="M576" s="2"/>
      <c r="N576" s="2"/>
      <c r="O576" s="2"/>
      <c r="P576" s="2"/>
      <c r="Q576" s="2"/>
      <c r="R576" s="852"/>
      <c r="S576" s="859"/>
      <c r="T576" s="107"/>
      <c r="U576" s="107"/>
      <c r="V576" s="107"/>
      <c r="W576" s="107"/>
      <c r="X576" s="107"/>
    </row>
    <row r="577">
      <c r="B577" s="846"/>
      <c r="C577" s="578"/>
      <c r="D577" s="10"/>
      <c r="F577" s="10"/>
      <c r="H577" s="10"/>
      <c r="I577" s="10"/>
      <c r="J577" s="10"/>
      <c r="K577" s="10"/>
      <c r="L577" s="2"/>
      <c r="M577" s="2"/>
      <c r="N577" s="2"/>
      <c r="O577" s="2"/>
      <c r="P577" s="2"/>
      <c r="Q577" s="2"/>
      <c r="R577" s="852"/>
      <c r="S577" s="859"/>
      <c r="T577" s="107"/>
      <c r="U577" s="107"/>
      <c r="V577" s="107"/>
      <c r="W577" s="107"/>
      <c r="X577" s="107"/>
    </row>
    <row r="578">
      <c r="B578" s="846"/>
      <c r="C578" s="578"/>
      <c r="D578" s="10"/>
      <c r="F578" s="10"/>
      <c r="H578" s="10"/>
      <c r="I578" s="10"/>
      <c r="J578" s="10"/>
      <c r="K578" s="10"/>
      <c r="L578" s="2"/>
      <c r="M578" s="2"/>
      <c r="N578" s="2"/>
      <c r="O578" s="2"/>
      <c r="P578" s="2"/>
      <c r="Q578" s="2"/>
      <c r="R578" s="852"/>
      <c r="S578" s="859"/>
      <c r="T578" s="107"/>
      <c r="U578" s="107"/>
      <c r="V578" s="107"/>
      <c r="W578" s="107"/>
      <c r="X578" s="107"/>
    </row>
    <row r="579">
      <c r="B579" s="846"/>
      <c r="C579" s="578"/>
      <c r="D579" s="10"/>
      <c r="F579" s="10"/>
      <c r="H579" s="10"/>
      <c r="I579" s="10"/>
      <c r="J579" s="10"/>
      <c r="K579" s="10"/>
      <c r="L579" s="2"/>
      <c r="M579" s="2"/>
      <c r="N579" s="2"/>
      <c r="O579" s="2"/>
      <c r="P579" s="2"/>
      <c r="Q579" s="2"/>
      <c r="R579" s="857"/>
      <c r="S579" s="860"/>
      <c r="T579" s="107"/>
      <c r="U579" s="107"/>
      <c r="V579" s="107"/>
      <c r="W579" s="107"/>
      <c r="X579" s="107"/>
    </row>
    <row r="580">
      <c r="B580" s="846"/>
      <c r="C580" s="578"/>
      <c r="D580" s="10"/>
      <c r="F580" s="10"/>
      <c r="H580" s="10"/>
      <c r="I580" s="10"/>
      <c r="J580" s="10"/>
      <c r="K580" s="10"/>
      <c r="L580" s="2"/>
      <c r="M580" s="2"/>
      <c r="N580" s="2"/>
      <c r="O580" s="2"/>
      <c r="P580" s="2"/>
      <c r="Q580" s="2"/>
      <c r="R580" s="861"/>
      <c r="S580" s="111"/>
      <c r="T580" s="2"/>
      <c r="U580" s="2"/>
      <c r="V580" s="2"/>
      <c r="W580" s="2"/>
      <c r="X580" s="2"/>
    </row>
    <row r="581">
      <c r="B581" s="846"/>
      <c r="C581" s="578"/>
      <c r="D581" s="10"/>
      <c r="F581" s="10"/>
      <c r="H581" s="10"/>
      <c r="I581" s="10"/>
      <c r="J581" s="10"/>
      <c r="K581" s="10"/>
      <c r="L581" s="2"/>
      <c r="M581" s="2"/>
      <c r="N581" s="2"/>
      <c r="O581" s="2"/>
      <c r="P581" s="2"/>
      <c r="Q581" s="2"/>
      <c r="R581" s="861"/>
      <c r="S581" s="111"/>
      <c r="T581" s="2"/>
      <c r="U581" s="2"/>
      <c r="V581" s="2"/>
      <c r="W581" s="2"/>
      <c r="X581" s="2"/>
    </row>
    <row r="582">
      <c r="B582" s="846"/>
      <c r="C582" s="578"/>
      <c r="D582" s="10"/>
      <c r="F582" s="10"/>
      <c r="H582" s="10"/>
      <c r="I582" s="10"/>
      <c r="J582" s="10"/>
      <c r="K582" s="10"/>
      <c r="L582" s="2"/>
      <c r="M582" s="2"/>
      <c r="N582" s="2"/>
      <c r="O582" s="2"/>
      <c r="P582" s="2"/>
      <c r="Q582" s="2"/>
      <c r="R582" s="861"/>
      <c r="S582" s="111"/>
      <c r="T582" s="2"/>
      <c r="U582" s="2"/>
      <c r="V582" s="2"/>
      <c r="W582" s="2"/>
      <c r="X582" s="2"/>
    </row>
    <row r="583">
      <c r="B583" s="846"/>
      <c r="C583" s="578"/>
      <c r="D583" s="10"/>
      <c r="F583" s="10"/>
      <c r="H583" s="10"/>
      <c r="I583" s="10"/>
      <c r="J583" s="10"/>
      <c r="K583" s="10"/>
      <c r="L583" s="2"/>
      <c r="M583" s="2"/>
      <c r="N583" s="2"/>
      <c r="O583" s="2"/>
      <c r="P583" s="2"/>
      <c r="Q583" s="2"/>
      <c r="R583" s="861"/>
      <c r="S583" s="111"/>
      <c r="T583" s="2"/>
      <c r="U583" s="2"/>
      <c r="V583" s="2"/>
      <c r="W583" s="2"/>
      <c r="X583" s="2"/>
    </row>
    <row r="584">
      <c r="B584" s="846"/>
      <c r="C584" s="578"/>
      <c r="D584" s="10"/>
      <c r="F584" s="10"/>
      <c r="H584" s="10"/>
      <c r="I584" s="10"/>
      <c r="J584" s="10"/>
      <c r="K584" s="10"/>
      <c r="L584" s="2"/>
      <c r="M584" s="2"/>
      <c r="N584" s="2"/>
      <c r="O584" s="2"/>
      <c r="P584" s="2"/>
      <c r="Q584" s="2"/>
      <c r="R584" s="861"/>
      <c r="S584" s="111"/>
      <c r="T584" s="2"/>
      <c r="U584" s="2"/>
      <c r="V584" s="2"/>
      <c r="W584" s="2"/>
      <c r="X584" s="2"/>
    </row>
    <row r="585">
      <c r="B585" s="846"/>
      <c r="C585" s="578"/>
      <c r="D585" s="10"/>
      <c r="F585" s="10"/>
      <c r="H585" s="10"/>
      <c r="I585" s="10"/>
      <c r="J585" s="10"/>
      <c r="K585" s="10"/>
      <c r="L585" s="2"/>
      <c r="M585" s="2"/>
      <c r="N585" s="2"/>
      <c r="O585" s="2"/>
      <c r="P585" s="2"/>
      <c r="Q585" s="2"/>
      <c r="R585" s="862"/>
      <c r="S585" s="109"/>
      <c r="T585" s="2"/>
      <c r="U585" s="2"/>
      <c r="V585" s="2"/>
      <c r="W585" s="2"/>
      <c r="X585" s="2"/>
    </row>
    <row r="586">
      <c r="B586" s="846"/>
      <c r="C586" s="578"/>
      <c r="D586" s="10"/>
      <c r="F586" s="10"/>
      <c r="H586" s="10"/>
      <c r="I586" s="10"/>
      <c r="J586" s="10"/>
      <c r="K586" s="10"/>
      <c r="L586" s="2"/>
      <c r="M586" s="2"/>
      <c r="N586" s="2"/>
      <c r="O586" s="2"/>
      <c r="P586" s="2"/>
      <c r="Q586" s="2"/>
      <c r="R586" s="861"/>
      <c r="S586" s="111"/>
      <c r="T586" s="2"/>
      <c r="U586" s="2"/>
      <c r="V586" s="2"/>
      <c r="W586" s="2"/>
      <c r="X586" s="2"/>
    </row>
    <row r="587">
      <c r="B587" s="846"/>
      <c r="C587" s="578"/>
      <c r="D587" s="10"/>
      <c r="F587" s="10"/>
      <c r="H587" s="10"/>
      <c r="I587" s="10"/>
      <c r="J587" s="10"/>
      <c r="K587" s="10"/>
      <c r="L587" s="2"/>
      <c r="M587" s="2"/>
      <c r="N587" s="2"/>
      <c r="O587" s="2"/>
      <c r="P587" s="2"/>
      <c r="Q587" s="2"/>
      <c r="R587" s="861"/>
      <c r="S587" s="111"/>
      <c r="T587" s="2"/>
      <c r="U587" s="2"/>
      <c r="V587" s="2"/>
      <c r="W587" s="2"/>
      <c r="X587" s="2"/>
    </row>
    <row r="588">
      <c r="B588" s="846"/>
      <c r="C588" s="578"/>
      <c r="D588" s="10"/>
      <c r="F588" s="10"/>
      <c r="H588" s="10"/>
      <c r="I588" s="10"/>
      <c r="J588" s="10"/>
      <c r="K588" s="10"/>
      <c r="L588" s="2"/>
      <c r="M588" s="2"/>
      <c r="N588" s="2"/>
      <c r="O588" s="2"/>
      <c r="P588" s="2"/>
      <c r="Q588" s="2"/>
      <c r="R588" s="861"/>
      <c r="S588" s="111"/>
      <c r="T588" s="2"/>
      <c r="U588" s="2"/>
      <c r="V588" s="2"/>
      <c r="W588" s="2"/>
      <c r="X588" s="2"/>
    </row>
    <row r="589">
      <c r="B589" s="846"/>
      <c r="C589" s="578"/>
      <c r="D589" s="10"/>
      <c r="F589" s="10"/>
      <c r="H589" s="10"/>
      <c r="I589" s="10"/>
      <c r="J589" s="10"/>
      <c r="K589" s="10"/>
      <c r="L589" s="2"/>
      <c r="M589" s="2"/>
      <c r="N589" s="2"/>
      <c r="O589" s="2"/>
      <c r="P589" s="2"/>
      <c r="Q589" s="2"/>
      <c r="R589" s="861"/>
      <c r="S589" s="111"/>
      <c r="T589" s="2"/>
      <c r="U589" s="2"/>
      <c r="V589" s="2"/>
      <c r="W589" s="2"/>
      <c r="X589" s="2"/>
    </row>
    <row r="590">
      <c r="B590" s="846"/>
      <c r="C590" s="578"/>
      <c r="D590" s="10"/>
      <c r="F590" s="10"/>
      <c r="H590" s="10"/>
      <c r="I590" s="10"/>
      <c r="J590" s="10"/>
      <c r="K590" s="10"/>
      <c r="L590" s="2"/>
      <c r="M590" s="2"/>
      <c r="N590" s="2"/>
      <c r="O590" s="2"/>
      <c r="P590" s="2"/>
      <c r="Q590" s="2"/>
      <c r="R590" s="861"/>
      <c r="S590" s="111"/>
      <c r="T590" s="2"/>
      <c r="U590" s="2"/>
      <c r="V590" s="2"/>
      <c r="W590" s="2"/>
      <c r="X590" s="2"/>
    </row>
    <row r="591">
      <c r="B591" s="846"/>
      <c r="C591" s="578"/>
      <c r="D591" s="10"/>
      <c r="F591" s="10"/>
      <c r="H591" s="10"/>
      <c r="I591" s="10"/>
      <c r="J591" s="10"/>
      <c r="K591" s="10"/>
      <c r="L591" s="2"/>
      <c r="M591" s="2"/>
      <c r="N591" s="2"/>
      <c r="O591" s="2"/>
      <c r="P591" s="2"/>
      <c r="Q591" s="2"/>
      <c r="R591" s="861"/>
      <c r="S591" s="111"/>
      <c r="T591" s="2"/>
      <c r="U591" s="2"/>
      <c r="V591" s="2"/>
      <c r="W591" s="2"/>
      <c r="X591" s="2"/>
    </row>
    <row r="592">
      <c r="B592" s="846"/>
      <c r="C592" s="578"/>
      <c r="D592" s="10"/>
      <c r="F592" s="10"/>
      <c r="H592" s="10"/>
      <c r="I592" s="10"/>
      <c r="J592" s="10"/>
      <c r="K592" s="10"/>
      <c r="L592" s="2"/>
      <c r="M592" s="2"/>
      <c r="N592" s="2"/>
      <c r="O592" s="2"/>
      <c r="P592" s="2"/>
      <c r="Q592" s="2"/>
      <c r="R592" s="861"/>
      <c r="S592" s="111"/>
      <c r="T592" s="2"/>
      <c r="U592" s="2"/>
      <c r="V592" s="2"/>
      <c r="W592" s="2"/>
      <c r="X592" s="2"/>
    </row>
    <row r="593">
      <c r="B593" s="846"/>
      <c r="C593" s="578"/>
      <c r="D593" s="10"/>
      <c r="F593" s="10"/>
      <c r="H593" s="10"/>
      <c r="I593" s="10"/>
      <c r="J593" s="10"/>
      <c r="K593" s="10"/>
      <c r="L593" s="2"/>
      <c r="M593" s="2"/>
      <c r="N593" s="2"/>
      <c r="O593" s="2"/>
      <c r="P593" s="2"/>
      <c r="Q593" s="2"/>
      <c r="R593" s="861"/>
      <c r="S593" s="111"/>
      <c r="T593" s="2"/>
      <c r="U593" s="2"/>
      <c r="V593" s="2"/>
      <c r="W593" s="2"/>
      <c r="X593" s="2"/>
    </row>
    <row r="594">
      <c r="B594" s="846"/>
      <c r="C594" s="578"/>
      <c r="D594" s="10"/>
      <c r="F594" s="10"/>
      <c r="H594" s="10"/>
      <c r="I594" s="10"/>
      <c r="J594" s="10"/>
      <c r="K594" s="10"/>
      <c r="L594" s="2"/>
      <c r="M594" s="2"/>
      <c r="N594" s="2"/>
      <c r="O594" s="2"/>
      <c r="P594" s="2"/>
      <c r="Q594" s="2"/>
      <c r="R594" s="862"/>
      <c r="S594" s="109"/>
      <c r="T594" s="2"/>
      <c r="U594" s="2"/>
      <c r="V594" s="2"/>
      <c r="W594" s="2"/>
      <c r="X594" s="2"/>
    </row>
    <row r="595">
      <c r="B595" s="846"/>
      <c r="C595" s="578"/>
      <c r="D595" s="10"/>
      <c r="F595" s="10"/>
      <c r="H595" s="10"/>
      <c r="I595" s="10"/>
      <c r="J595" s="10"/>
      <c r="K595" s="10"/>
      <c r="L595" s="2"/>
      <c r="M595" s="2"/>
      <c r="N595" s="2"/>
      <c r="O595" s="2"/>
      <c r="P595" s="2"/>
      <c r="Q595" s="2"/>
      <c r="R595" s="862"/>
      <c r="S595" s="109"/>
      <c r="T595" s="54"/>
      <c r="U595" s="54"/>
      <c r="V595" s="54"/>
      <c r="W595" s="54"/>
      <c r="X595" s="54"/>
    </row>
    <row r="596">
      <c r="B596" s="846"/>
      <c r="C596" s="578"/>
      <c r="D596" s="10"/>
      <c r="F596" s="10"/>
      <c r="H596" s="10"/>
      <c r="I596" s="10"/>
      <c r="J596" s="10"/>
      <c r="K596" s="10"/>
      <c r="L596" s="2"/>
      <c r="M596" s="2"/>
      <c r="N596" s="2"/>
      <c r="O596" s="2"/>
      <c r="P596" s="2"/>
      <c r="Q596" s="2"/>
      <c r="R596" s="117"/>
      <c r="S596" s="2"/>
      <c r="T596" s="2"/>
      <c r="U596" s="2"/>
      <c r="V596" s="2"/>
      <c r="W596" s="2"/>
      <c r="X596" s="2"/>
    </row>
    <row r="597">
      <c r="B597" s="846"/>
      <c r="C597" s="578"/>
      <c r="D597" s="10"/>
      <c r="F597" s="10"/>
      <c r="H597" s="10"/>
      <c r="I597" s="10"/>
      <c r="J597" s="10"/>
      <c r="K597" s="10"/>
      <c r="L597" s="2"/>
      <c r="M597" s="2"/>
      <c r="N597" s="2"/>
      <c r="O597" s="2"/>
      <c r="P597" s="2"/>
      <c r="Q597" s="2"/>
      <c r="R597" s="117"/>
      <c r="S597" s="2"/>
      <c r="T597" s="2"/>
      <c r="U597" s="2"/>
      <c r="V597" s="2"/>
      <c r="W597" s="2"/>
      <c r="X597" s="2"/>
    </row>
    <row r="598">
      <c r="B598" s="846"/>
      <c r="C598" s="578"/>
      <c r="D598" s="10"/>
      <c r="F598" s="10"/>
      <c r="H598" s="10"/>
      <c r="I598" s="10"/>
      <c r="J598" s="10"/>
      <c r="K598" s="10"/>
      <c r="L598" s="2"/>
      <c r="M598" s="2"/>
      <c r="N598" s="2"/>
      <c r="O598" s="2"/>
      <c r="P598" s="2"/>
      <c r="Q598" s="2"/>
      <c r="R598" s="847"/>
      <c r="S598" s="847"/>
      <c r="T598" s="116"/>
      <c r="U598" s="116"/>
      <c r="V598" s="116"/>
      <c r="W598" s="116"/>
      <c r="X598" s="116"/>
    </row>
    <row r="599">
      <c r="B599" s="846"/>
      <c r="C599" s="578"/>
      <c r="D599" s="10"/>
      <c r="F599" s="10"/>
      <c r="H599" s="10"/>
      <c r="I599" s="10"/>
      <c r="J599" s="10"/>
      <c r="K599" s="10"/>
      <c r="L599" s="2"/>
      <c r="M599" s="2"/>
      <c r="N599" s="2"/>
      <c r="O599" s="2"/>
      <c r="P599" s="2"/>
      <c r="Q599" s="2"/>
      <c r="R599" s="848"/>
      <c r="S599" s="848"/>
      <c r="T599" s="848"/>
      <c r="U599" s="848"/>
      <c r="V599" s="848"/>
      <c r="W599" s="848"/>
      <c r="X599" s="848"/>
    </row>
    <row r="600">
      <c r="B600" s="846"/>
      <c r="C600" s="578"/>
      <c r="D600" s="10"/>
      <c r="F600" s="10"/>
      <c r="H600" s="10"/>
      <c r="I600" s="10"/>
      <c r="J600" s="10"/>
      <c r="K600" s="10"/>
      <c r="L600" s="2"/>
      <c r="M600" s="2"/>
      <c r="N600" s="2"/>
      <c r="O600" s="2"/>
      <c r="P600" s="2"/>
      <c r="Q600" s="2"/>
      <c r="R600" s="849"/>
      <c r="S600" s="850"/>
      <c r="T600" s="851"/>
      <c r="U600" s="851"/>
      <c r="V600" s="851"/>
      <c r="W600" s="851"/>
      <c r="X600" s="851"/>
    </row>
    <row r="601">
      <c r="B601" s="846"/>
      <c r="C601" s="578"/>
      <c r="D601" s="10"/>
      <c r="F601" s="10"/>
      <c r="H601" s="10"/>
      <c r="I601" s="10"/>
      <c r="J601" s="10"/>
      <c r="K601" s="10"/>
      <c r="L601" s="2"/>
      <c r="M601" s="2"/>
      <c r="N601" s="2"/>
      <c r="O601" s="2"/>
      <c r="P601" s="2"/>
      <c r="Q601" s="2"/>
      <c r="R601" s="852"/>
      <c r="S601" s="853"/>
      <c r="T601" s="854"/>
      <c r="U601" s="854"/>
      <c r="V601" s="854"/>
      <c r="W601" s="854"/>
      <c r="X601" s="854"/>
    </row>
    <row r="602">
      <c r="B602" s="846"/>
      <c r="C602" s="578"/>
      <c r="D602" s="10"/>
      <c r="F602" s="10"/>
      <c r="H602" s="10"/>
      <c r="I602" s="10"/>
      <c r="J602" s="10"/>
      <c r="K602" s="10"/>
      <c r="L602" s="2"/>
      <c r="M602" s="2"/>
      <c r="N602" s="2"/>
      <c r="O602" s="2"/>
      <c r="P602" s="2"/>
      <c r="Q602" s="2"/>
      <c r="R602" s="855"/>
      <c r="S602" s="856"/>
      <c r="T602" s="854"/>
      <c r="U602" s="854"/>
      <c r="V602" s="854"/>
      <c r="W602" s="854"/>
      <c r="X602" s="854"/>
    </row>
    <row r="603">
      <c r="B603" s="846"/>
      <c r="C603" s="578"/>
      <c r="D603" s="10"/>
      <c r="F603" s="10"/>
      <c r="H603" s="10"/>
      <c r="I603" s="10"/>
      <c r="J603" s="10"/>
      <c r="K603" s="10"/>
      <c r="L603" s="2"/>
      <c r="M603" s="2"/>
      <c r="N603" s="2"/>
      <c r="O603" s="2"/>
      <c r="P603" s="2"/>
      <c r="Q603" s="2"/>
      <c r="R603" s="855"/>
      <c r="S603" s="856"/>
      <c r="T603" s="854"/>
      <c r="U603" s="854"/>
      <c r="V603" s="854"/>
      <c r="W603" s="854"/>
      <c r="X603" s="854"/>
    </row>
    <row r="604">
      <c r="B604" s="846"/>
      <c r="C604" s="578"/>
      <c r="D604" s="10"/>
      <c r="F604" s="10"/>
      <c r="H604" s="10"/>
      <c r="I604" s="10"/>
      <c r="J604" s="10"/>
      <c r="K604" s="10"/>
      <c r="L604" s="2"/>
      <c r="M604" s="2"/>
      <c r="N604" s="2"/>
      <c r="O604" s="2"/>
      <c r="P604" s="2"/>
      <c r="Q604" s="2"/>
      <c r="R604" s="852"/>
      <c r="S604" s="853"/>
      <c r="T604" s="854"/>
      <c r="U604" s="854"/>
      <c r="V604" s="854"/>
      <c r="W604" s="854"/>
      <c r="X604" s="854"/>
    </row>
    <row r="605">
      <c r="B605" s="846"/>
      <c r="C605" s="578"/>
      <c r="D605" s="10"/>
      <c r="F605" s="10"/>
      <c r="H605" s="10"/>
      <c r="I605" s="10"/>
      <c r="J605" s="10"/>
      <c r="K605" s="10"/>
      <c r="L605" s="2"/>
      <c r="M605" s="2"/>
      <c r="N605" s="2"/>
      <c r="O605" s="2"/>
      <c r="P605" s="2"/>
      <c r="Q605" s="2"/>
      <c r="R605" s="857"/>
      <c r="S605" s="858"/>
      <c r="T605" s="854"/>
      <c r="U605" s="854"/>
      <c r="V605" s="854"/>
      <c r="W605" s="854"/>
      <c r="X605" s="854"/>
    </row>
    <row r="606">
      <c r="B606" s="846"/>
      <c r="C606" s="578"/>
      <c r="D606" s="10"/>
      <c r="F606" s="10"/>
      <c r="H606" s="10"/>
      <c r="I606" s="10"/>
      <c r="J606" s="10"/>
      <c r="K606" s="10"/>
      <c r="L606" s="2"/>
      <c r="M606" s="2"/>
      <c r="N606" s="2"/>
      <c r="O606" s="2"/>
      <c r="P606" s="2"/>
      <c r="Q606" s="2"/>
      <c r="R606" s="857"/>
      <c r="S606" s="858"/>
      <c r="T606" s="854"/>
      <c r="U606" s="854"/>
      <c r="V606" s="854"/>
      <c r="W606" s="854"/>
      <c r="X606" s="854"/>
    </row>
    <row r="607">
      <c r="B607" s="846"/>
      <c r="C607" s="578"/>
      <c r="D607" s="10"/>
      <c r="F607" s="10"/>
      <c r="H607" s="10"/>
      <c r="I607" s="10"/>
      <c r="J607" s="10"/>
      <c r="K607" s="10"/>
      <c r="L607" s="2"/>
      <c r="M607" s="2"/>
      <c r="N607" s="2"/>
      <c r="O607" s="2"/>
      <c r="P607" s="2"/>
      <c r="Q607" s="2"/>
      <c r="R607" s="857"/>
      <c r="S607" s="858"/>
      <c r="T607" s="854"/>
      <c r="U607" s="854"/>
      <c r="V607" s="854"/>
      <c r="W607" s="854"/>
      <c r="X607" s="854"/>
    </row>
    <row r="608">
      <c r="B608" s="846"/>
      <c r="C608" s="578"/>
      <c r="D608" s="10"/>
      <c r="F608" s="10"/>
      <c r="H608" s="10"/>
      <c r="I608" s="10"/>
      <c r="J608" s="10"/>
      <c r="K608" s="10"/>
      <c r="L608" s="2"/>
      <c r="M608" s="2"/>
      <c r="N608" s="2"/>
      <c r="O608" s="2"/>
      <c r="P608" s="2"/>
      <c r="Q608" s="2"/>
      <c r="R608" s="852"/>
      <c r="S608" s="853"/>
      <c r="T608" s="854"/>
      <c r="U608" s="854"/>
      <c r="V608" s="854"/>
      <c r="W608" s="854"/>
      <c r="X608" s="854"/>
    </row>
    <row r="609">
      <c r="B609" s="846"/>
      <c r="C609" s="578"/>
      <c r="D609" s="10"/>
      <c r="F609" s="10"/>
      <c r="H609" s="10"/>
      <c r="I609" s="10"/>
      <c r="J609" s="10"/>
      <c r="K609" s="10"/>
      <c r="L609" s="2"/>
      <c r="M609" s="2"/>
      <c r="N609" s="2"/>
      <c r="O609" s="2"/>
      <c r="P609" s="2"/>
      <c r="Q609" s="2"/>
      <c r="R609" s="852"/>
      <c r="S609" s="853"/>
      <c r="T609" s="854"/>
      <c r="U609" s="854"/>
      <c r="V609" s="854"/>
      <c r="W609" s="854"/>
      <c r="X609" s="854"/>
    </row>
    <row r="610">
      <c r="B610" s="846"/>
      <c r="C610" s="578"/>
      <c r="D610" s="10"/>
      <c r="F610" s="10"/>
      <c r="H610" s="10"/>
      <c r="I610" s="10"/>
      <c r="J610" s="10"/>
      <c r="K610" s="10"/>
      <c r="L610" s="2"/>
      <c r="M610" s="2"/>
      <c r="N610" s="2"/>
      <c r="O610" s="2"/>
      <c r="P610" s="2"/>
      <c r="Q610" s="2"/>
      <c r="R610" s="852"/>
      <c r="S610" s="853"/>
      <c r="T610" s="854"/>
      <c r="U610" s="854"/>
      <c r="V610" s="854"/>
      <c r="W610" s="854"/>
      <c r="X610" s="854"/>
    </row>
    <row r="611">
      <c r="B611" s="846"/>
      <c r="C611" s="578"/>
      <c r="D611" s="10"/>
      <c r="F611" s="10"/>
      <c r="H611" s="10"/>
      <c r="I611" s="10"/>
      <c r="J611" s="10"/>
      <c r="K611" s="10"/>
      <c r="L611" s="2"/>
      <c r="M611" s="2"/>
      <c r="N611" s="2"/>
      <c r="O611" s="2"/>
      <c r="P611" s="2"/>
      <c r="Q611" s="2"/>
      <c r="R611" s="852"/>
      <c r="S611" s="853"/>
      <c r="T611" s="854"/>
      <c r="U611" s="854"/>
      <c r="V611" s="854"/>
      <c r="W611" s="854"/>
      <c r="X611" s="854"/>
    </row>
    <row r="612">
      <c r="B612" s="846"/>
      <c r="C612" s="578"/>
      <c r="D612" s="10"/>
      <c r="F612" s="10"/>
      <c r="H612" s="10"/>
      <c r="I612" s="10"/>
      <c r="J612" s="10"/>
      <c r="K612" s="10"/>
      <c r="L612" s="2"/>
      <c r="M612" s="2"/>
      <c r="N612" s="2"/>
      <c r="O612" s="2"/>
      <c r="P612" s="2"/>
      <c r="Q612" s="2"/>
      <c r="R612" s="852"/>
      <c r="S612" s="859"/>
      <c r="T612" s="107"/>
      <c r="U612" s="107"/>
      <c r="V612" s="107"/>
      <c r="W612" s="107"/>
      <c r="X612" s="107"/>
    </row>
    <row r="613">
      <c r="B613" s="846"/>
      <c r="C613" s="578"/>
      <c r="D613" s="10"/>
      <c r="F613" s="10"/>
      <c r="H613" s="10"/>
      <c r="I613" s="10"/>
      <c r="J613" s="10"/>
      <c r="K613" s="10"/>
      <c r="L613" s="2"/>
      <c r="M613" s="2"/>
      <c r="N613" s="2"/>
      <c r="O613" s="2"/>
      <c r="P613" s="2"/>
      <c r="Q613" s="2"/>
      <c r="R613" s="852"/>
      <c r="S613" s="859"/>
      <c r="T613" s="107"/>
      <c r="U613" s="107"/>
      <c r="V613" s="107"/>
      <c r="W613" s="107"/>
      <c r="X613" s="107"/>
    </row>
    <row r="614">
      <c r="B614" s="846"/>
      <c r="C614" s="578"/>
      <c r="D614" s="10"/>
      <c r="F614" s="10"/>
      <c r="H614" s="10"/>
      <c r="I614" s="10"/>
      <c r="J614" s="10"/>
      <c r="K614" s="10"/>
      <c r="L614" s="2"/>
      <c r="M614" s="2"/>
      <c r="N614" s="2"/>
      <c r="O614" s="2"/>
      <c r="P614" s="2"/>
      <c r="Q614" s="2"/>
      <c r="R614" s="852"/>
      <c r="S614" s="859"/>
      <c r="T614" s="107"/>
      <c r="U614" s="107"/>
      <c r="V614" s="107"/>
      <c r="W614" s="107"/>
      <c r="X614" s="107"/>
    </row>
    <row r="615">
      <c r="B615" s="846"/>
      <c r="C615" s="578"/>
      <c r="D615" s="10"/>
      <c r="F615" s="10"/>
      <c r="H615" s="10"/>
      <c r="I615" s="10"/>
      <c r="J615" s="10"/>
      <c r="K615" s="10"/>
      <c r="L615" s="2"/>
      <c r="M615" s="2"/>
      <c r="N615" s="2"/>
      <c r="O615" s="2"/>
      <c r="P615" s="2"/>
      <c r="Q615" s="2"/>
      <c r="R615" s="852"/>
      <c r="S615" s="859"/>
      <c r="T615" s="107"/>
      <c r="U615" s="107"/>
      <c r="V615" s="107"/>
      <c r="W615" s="107"/>
      <c r="X615" s="107"/>
    </row>
    <row r="616">
      <c r="B616" s="846"/>
      <c r="C616" s="578"/>
      <c r="D616" s="10"/>
      <c r="F616" s="10"/>
      <c r="H616" s="10"/>
      <c r="I616" s="10"/>
      <c r="J616" s="10"/>
      <c r="K616" s="10"/>
      <c r="L616" s="2"/>
      <c r="M616" s="2"/>
      <c r="N616" s="2"/>
      <c r="O616" s="2"/>
      <c r="P616" s="2"/>
      <c r="Q616" s="2"/>
      <c r="R616" s="852"/>
      <c r="S616" s="859"/>
      <c r="T616" s="107"/>
      <c r="U616" s="107"/>
      <c r="V616" s="107"/>
      <c r="W616" s="107"/>
      <c r="X616" s="107"/>
    </row>
    <row r="617">
      <c r="B617" s="846"/>
      <c r="C617" s="578"/>
      <c r="D617" s="10"/>
      <c r="F617" s="10"/>
      <c r="H617" s="10"/>
      <c r="I617" s="10"/>
      <c r="J617" s="10"/>
      <c r="K617" s="10"/>
      <c r="L617" s="2"/>
      <c r="M617" s="2"/>
      <c r="N617" s="2"/>
      <c r="O617" s="2"/>
      <c r="P617" s="2"/>
      <c r="Q617" s="2"/>
      <c r="R617" s="852"/>
      <c r="S617" s="859"/>
      <c r="T617" s="107"/>
      <c r="U617" s="107"/>
      <c r="V617" s="107"/>
      <c r="W617" s="107"/>
      <c r="X617" s="107"/>
    </row>
    <row r="618">
      <c r="B618" s="846"/>
      <c r="C618" s="578"/>
      <c r="D618" s="10"/>
      <c r="F618" s="10"/>
      <c r="H618" s="10"/>
      <c r="I618" s="10"/>
      <c r="J618" s="10"/>
      <c r="K618" s="10"/>
      <c r="L618" s="2"/>
      <c r="M618" s="2"/>
      <c r="N618" s="2"/>
      <c r="O618" s="2"/>
      <c r="P618" s="2"/>
      <c r="Q618" s="2"/>
      <c r="R618" s="852"/>
      <c r="S618" s="859"/>
      <c r="T618" s="107"/>
      <c r="U618" s="107"/>
      <c r="V618" s="107"/>
      <c r="W618" s="107"/>
      <c r="X618" s="107"/>
    </row>
    <row r="619">
      <c r="B619" s="846"/>
      <c r="C619" s="578"/>
      <c r="D619" s="10"/>
      <c r="F619" s="10"/>
      <c r="H619" s="10"/>
      <c r="I619" s="10"/>
      <c r="J619" s="10"/>
      <c r="K619" s="10"/>
      <c r="L619" s="2"/>
      <c r="M619" s="2"/>
      <c r="N619" s="2"/>
      <c r="O619" s="2"/>
      <c r="P619" s="2"/>
      <c r="Q619" s="2"/>
      <c r="R619" s="852"/>
      <c r="S619" s="859"/>
      <c r="T619" s="107"/>
      <c r="U619" s="107"/>
      <c r="V619" s="107"/>
      <c r="W619" s="107"/>
      <c r="X619" s="107"/>
    </row>
    <row r="620">
      <c r="B620" s="846"/>
      <c r="C620" s="578"/>
      <c r="D620" s="10"/>
      <c r="F620" s="10"/>
      <c r="H620" s="10"/>
      <c r="I620" s="10"/>
      <c r="J620" s="10"/>
      <c r="K620" s="10"/>
      <c r="L620" s="2"/>
      <c r="M620" s="2"/>
      <c r="N620" s="2"/>
      <c r="O620" s="2"/>
      <c r="P620" s="2"/>
      <c r="Q620" s="2"/>
      <c r="R620" s="852"/>
      <c r="S620" s="859"/>
      <c r="T620" s="107"/>
      <c r="U620" s="107"/>
      <c r="V620" s="107"/>
      <c r="W620" s="107"/>
      <c r="X620" s="107"/>
    </row>
    <row r="621">
      <c r="B621" s="846"/>
      <c r="C621" s="578"/>
      <c r="D621" s="10"/>
      <c r="F621" s="10"/>
      <c r="H621" s="10"/>
      <c r="I621" s="10"/>
      <c r="J621" s="10"/>
      <c r="K621" s="10"/>
      <c r="L621" s="2"/>
      <c r="M621" s="2"/>
      <c r="N621" s="2"/>
      <c r="O621" s="2"/>
      <c r="P621" s="2"/>
      <c r="Q621" s="2"/>
      <c r="R621" s="852"/>
      <c r="S621" s="859"/>
      <c r="T621" s="107"/>
      <c r="U621" s="107"/>
      <c r="V621" s="107"/>
      <c r="W621" s="107"/>
      <c r="X621" s="107"/>
    </row>
    <row r="622">
      <c r="B622" s="846"/>
      <c r="C622" s="578"/>
      <c r="D622" s="10"/>
      <c r="F622" s="10"/>
      <c r="H622" s="10"/>
      <c r="I622" s="10"/>
      <c r="J622" s="10"/>
      <c r="K622" s="10"/>
      <c r="L622" s="2"/>
      <c r="M622" s="2"/>
      <c r="N622" s="2"/>
      <c r="O622" s="2"/>
      <c r="P622" s="2"/>
      <c r="Q622" s="2"/>
      <c r="R622" s="857"/>
      <c r="S622" s="860"/>
      <c r="T622" s="107"/>
      <c r="U622" s="107"/>
      <c r="V622" s="107"/>
      <c r="W622" s="107"/>
      <c r="X622" s="107"/>
    </row>
    <row r="623">
      <c r="B623" s="846"/>
      <c r="C623" s="578"/>
      <c r="D623" s="10"/>
      <c r="F623" s="10"/>
      <c r="H623" s="10"/>
      <c r="I623" s="10"/>
      <c r="J623" s="10"/>
      <c r="K623" s="10"/>
      <c r="L623" s="2"/>
      <c r="M623" s="2"/>
      <c r="N623" s="2"/>
      <c r="O623" s="2"/>
      <c r="P623" s="2"/>
      <c r="Q623" s="2"/>
      <c r="R623" s="861"/>
      <c r="S623" s="111"/>
      <c r="T623" s="2"/>
      <c r="U623" s="2"/>
      <c r="V623" s="2"/>
      <c r="W623" s="2"/>
      <c r="X623" s="2"/>
    </row>
    <row r="624">
      <c r="B624" s="846"/>
      <c r="C624" s="578"/>
      <c r="D624" s="10"/>
      <c r="F624" s="10"/>
      <c r="H624" s="10"/>
      <c r="I624" s="10"/>
      <c r="J624" s="10"/>
      <c r="K624" s="10"/>
      <c r="L624" s="2"/>
      <c r="M624" s="2"/>
      <c r="N624" s="2"/>
      <c r="O624" s="2"/>
      <c r="P624" s="2"/>
      <c r="Q624" s="2"/>
      <c r="R624" s="861"/>
      <c r="S624" s="111"/>
      <c r="T624" s="2"/>
      <c r="U624" s="2"/>
      <c r="V624" s="2"/>
      <c r="W624" s="2"/>
      <c r="X624" s="2"/>
    </row>
    <row r="625">
      <c r="B625" s="846"/>
      <c r="C625" s="578"/>
      <c r="D625" s="10"/>
      <c r="F625" s="10"/>
      <c r="H625" s="10"/>
      <c r="I625" s="10"/>
      <c r="J625" s="10"/>
      <c r="K625" s="10"/>
      <c r="L625" s="2"/>
      <c r="M625" s="2"/>
      <c r="N625" s="2"/>
      <c r="O625" s="2"/>
      <c r="P625" s="2"/>
      <c r="Q625" s="2"/>
      <c r="R625" s="861"/>
      <c r="S625" s="111"/>
      <c r="T625" s="2"/>
      <c r="U625" s="2"/>
      <c r="V625" s="2"/>
      <c r="W625" s="2"/>
      <c r="X625" s="2"/>
    </row>
    <row r="626">
      <c r="B626" s="846"/>
      <c r="C626" s="578"/>
      <c r="D626" s="10"/>
      <c r="F626" s="10"/>
      <c r="H626" s="10"/>
      <c r="I626" s="10"/>
      <c r="J626" s="10"/>
      <c r="K626" s="10"/>
      <c r="L626" s="2"/>
      <c r="M626" s="2"/>
      <c r="N626" s="2"/>
      <c r="O626" s="2"/>
      <c r="P626" s="2"/>
      <c r="Q626" s="2"/>
      <c r="R626" s="861"/>
      <c r="S626" s="111"/>
      <c r="T626" s="2"/>
      <c r="U626" s="2"/>
      <c r="V626" s="2"/>
      <c r="W626" s="2"/>
      <c r="X626" s="2"/>
    </row>
    <row r="627">
      <c r="B627" s="846"/>
      <c r="C627" s="578"/>
      <c r="D627" s="10"/>
      <c r="F627" s="10"/>
      <c r="H627" s="10"/>
      <c r="I627" s="10"/>
      <c r="J627" s="10"/>
      <c r="K627" s="10"/>
      <c r="L627" s="2"/>
      <c r="M627" s="2"/>
      <c r="N627" s="2"/>
      <c r="O627" s="2"/>
      <c r="P627" s="2"/>
      <c r="Q627" s="2"/>
      <c r="R627" s="861"/>
      <c r="S627" s="111"/>
      <c r="T627" s="2"/>
      <c r="U627" s="2"/>
      <c r="V627" s="2"/>
      <c r="W627" s="2"/>
      <c r="X627" s="2"/>
    </row>
    <row r="628">
      <c r="B628" s="846"/>
      <c r="C628" s="578"/>
      <c r="D628" s="10"/>
      <c r="F628" s="10"/>
      <c r="H628" s="10"/>
      <c r="I628" s="10"/>
      <c r="J628" s="10"/>
      <c r="K628" s="10"/>
      <c r="L628" s="2"/>
      <c r="M628" s="2"/>
      <c r="N628" s="2"/>
      <c r="O628" s="2"/>
      <c r="P628" s="2"/>
      <c r="Q628" s="2"/>
      <c r="R628" s="862"/>
      <c r="S628" s="109"/>
      <c r="T628" s="2"/>
      <c r="U628" s="2"/>
      <c r="V628" s="2"/>
      <c r="W628" s="2"/>
      <c r="X628" s="2"/>
    </row>
    <row r="629">
      <c r="B629" s="846"/>
      <c r="C629" s="578"/>
      <c r="D629" s="10"/>
      <c r="F629" s="10"/>
      <c r="H629" s="10"/>
      <c r="I629" s="10"/>
      <c r="J629" s="10"/>
      <c r="K629" s="10"/>
      <c r="L629" s="2"/>
      <c r="M629" s="2"/>
      <c r="N629" s="2"/>
      <c r="O629" s="2"/>
      <c r="P629" s="2"/>
      <c r="Q629" s="2"/>
      <c r="R629" s="861"/>
      <c r="S629" s="111"/>
      <c r="T629" s="2"/>
      <c r="U629" s="2"/>
      <c r="V629" s="2"/>
      <c r="W629" s="2"/>
      <c r="X629" s="2"/>
    </row>
    <row r="630">
      <c r="B630" s="846"/>
      <c r="C630" s="578"/>
      <c r="D630" s="10"/>
      <c r="F630" s="10"/>
      <c r="H630" s="10"/>
      <c r="I630" s="10"/>
      <c r="J630" s="10"/>
      <c r="K630" s="10"/>
      <c r="L630" s="2"/>
      <c r="M630" s="2"/>
      <c r="N630" s="2"/>
      <c r="O630" s="2"/>
      <c r="P630" s="2"/>
      <c r="Q630" s="2"/>
      <c r="R630" s="861"/>
      <c r="S630" s="111"/>
      <c r="T630" s="2"/>
      <c r="U630" s="2"/>
      <c r="V630" s="2"/>
      <c r="W630" s="2"/>
      <c r="X630" s="2"/>
    </row>
    <row r="631">
      <c r="B631" s="846"/>
      <c r="C631" s="578"/>
      <c r="D631" s="10"/>
      <c r="F631" s="10"/>
      <c r="H631" s="10"/>
      <c r="I631" s="10"/>
      <c r="J631" s="10"/>
      <c r="K631" s="10"/>
      <c r="L631" s="2"/>
      <c r="M631" s="2"/>
      <c r="N631" s="2"/>
      <c r="O631" s="2"/>
      <c r="P631" s="2"/>
      <c r="Q631" s="2"/>
      <c r="R631" s="861"/>
      <c r="S631" s="111"/>
      <c r="T631" s="2"/>
      <c r="U631" s="2"/>
      <c r="V631" s="2"/>
      <c r="W631" s="2"/>
      <c r="X631" s="2"/>
    </row>
    <row r="632">
      <c r="B632" s="846"/>
      <c r="C632" s="578"/>
      <c r="D632" s="10"/>
      <c r="F632" s="10"/>
      <c r="H632" s="10"/>
      <c r="I632" s="10"/>
      <c r="J632" s="10"/>
      <c r="K632" s="10"/>
      <c r="L632" s="2"/>
      <c r="M632" s="2"/>
      <c r="N632" s="2"/>
      <c r="O632" s="2"/>
      <c r="P632" s="2"/>
      <c r="Q632" s="2"/>
      <c r="R632" s="861"/>
      <c r="S632" s="111"/>
      <c r="T632" s="2"/>
      <c r="U632" s="2"/>
      <c r="V632" s="2"/>
      <c r="W632" s="2"/>
      <c r="X632" s="2"/>
    </row>
    <row r="633">
      <c r="B633" s="846"/>
      <c r="C633" s="578"/>
      <c r="D633" s="10"/>
      <c r="F633" s="10"/>
      <c r="H633" s="10"/>
      <c r="I633" s="10"/>
      <c r="J633" s="10"/>
      <c r="K633" s="10"/>
      <c r="L633" s="2"/>
      <c r="M633" s="2"/>
      <c r="N633" s="2"/>
      <c r="O633" s="2"/>
      <c r="P633" s="2"/>
      <c r="Q633" s="2"/>
      <c r="R633" s="861"/>
      <c r="S633" s="111"/>
      <c r="T633" s="2"/>
      <c r="U633" s="2"/>
      <c r="V633" s="2"/>
      <c r="W633" s="2"/>
      <c r="X633" s="2"/>
    </row>
    <row r="634">
      <c r="B634" s="846"/>
      <c r="C634" s="578"/>
      <c r="D634" s="10"/>
      <c r="F634" s="10"/>
      <c r="H634" s="10"/>
      <c r="I634" s="10"/>
      <c r="J634" s="10"/>
      <c r="K634" s="10"/>
      <c r="L634" s="2"/>
      <c r="M634" s="2"/>
      <c r="N634" s="2"/>
      <c r="O634" s="2"/>
      <c r="P634" s="2"/>
      <c r="Q634" s="2"/>
      <c r="R634" s="861"/>
      <c r="S634" s="111"/>
      <c r="T634" s="2"/>
      <c r="U634" s="2"/>
      <c r="V634" s="2"/>
      <c r="W634" s="2"/>
      <c r="X634" s="2"/>
    </row>
    <row r="635">
      <c r="B635" s="846"/>
      <c r="C635" s="578"/>
      <c r="D635" s="10"/>
      <c r="F635" s="10"/>
      <c r="H635" s="10"/>
      <c r="I635" s="10"/>
      <c r="J635" s="10"/>
      <c r="K635" s="10"/>
      <c r="L635" s="2"/>
      <c r="M635" s="2"/>
      <c r="N635" s="2"/>
      <c r="O635" s="2"/>
      <c r="P635" s="2"/>
      <c r="Q635" s="2"/>
      <c r="R635" s="861"/>
      <c r="S635" s="111"/>
      <c r="T635" s="2"/>
      <c r="U635" s="2"/>
      <c r="V635" s="2"/>
      <c r="W635" s="2"/>
      <c r="X635" s="2"/>
    </row>
    <row r="636">
      <c r="B636" s="846"/>
      <c r="C636" s="578"/>
      <c r="D636" s="10"/>
      <c r="F636" s="10"/>
      <c r="H636" s="10"/>
      <c r="I636" s="10"/>
      <c r="J636" s="10"/>
      <c r="K636" s="10"/>
      <c r="L636" s="2"/>
      <c r="M636" s="2"/>
      <c r="N636" s="2"/>
      <c r="O636" s="2"/>
      <c r="P636" s="2"/>
      <c r="Q636" s="2"/>
      <c r="R636" s="861"/>
      <c r="S636" s="111"/>
      <c r="T636" s="2"/>
      <c r="U636" s="2"/>
      <c r="V636" s="2"/>
      <c r="W636" s="2"/>
      <c r="X636" s="2"/>
    </row>
    <row r="637">
      <c r="B637" s="846"/>
      <c r="C637" s="578"/>
      <c r="D637" s="10"/>
      <c r="F637" s="10"/>
      <c r="H637" s="10"/>
      <c r="I637" s="10"/>
      <c r="J637" s="10"/>
      <c r="K637" s="10"/>
      <c r="L637" s="2"/>
      <c r="M637" s="2"/>
      <c r="N637" s="2"/>
      <c r="O637" s="2"/>
      <c r="P637" s="2"/>
      <c r="Q637" s="2"/>
      <c r="R637" s="862"/>
      <c r="S637" s="109"/>
      <c r="T637" s="2"/>
      <c r="U637" s="2"/>
      <c r="V637" s="2"/>
      <c r="W637" s="2"/>
      <c r="X637" s="2"/>
    </row>
    <row r="638">
      <c r="B638" s="846"/>
      <c r="C638" s="578"/>
      <c r="D638" s="10"/>
      <c r="F638" s="10"/>
      <c r="H638" s="10"/>
      <c r="I638" s="10"/>
      <c r="J638" s="10"/>
      <c r="K638" s="10"/>
      <c r="L638" s="2"/>
      <c r="M638" s="2"/>
      <c r="N638" s="2"/>
      <c r="O638" s="2"/>
      <c r="P638" s="2"/>
      <c r="Q638" s="2"/>
      <c r="R638" s="862"/>
      <c r="S638" s="109"/>
      <c r="T638" s="54"/>
      <c r="U638" s="54"/>
      <c r="V638" s="54"/>
      <c r="W638" s="54"/>
      <c r="X638" s="54"/>
    </row>
    <row r="639">
      <c r="B639" s="846"/>
      <c r="C639" s="578"/>
      <c r="D639" s="10"/>
      <c r="F639" s="10"/>
      <c r="H639" s="10"/>
      <c r="I639" s="10"/>
      <c r="J639" s="10"/>
      <c r="K639" s="10"/>
      <c r="L639" s="2"/>
      <c r="M639" s="2"/>
      <c r="N639" s="2"/>
      <c r="O639" s="2"/>
      <c r="P639" s="2"/>
      <c r="Q639" s="2"/>
      <c r="R639" s="117"/>
      <c r="S639" s="2"/>
      <c r="T639" s="2"/>
      <c r="U639" s="2"/>
      <c r="V639" s="2"/>
      <c r="W639" s="2"/>
      <c r="X639" s="2"/>
    </row>
    <row r="640">
      <c r="B640" s="846"/>
      <c r="C640" s="578"/>
      <c r="D640" s="10"/>
      <c r="F640" s="10"/>
      <c r="H640" s="10"/>
      <c r="I640" s="10"/>
      <c r="J640" s="10"/>
      <c r="K640" s="10"/>
      <c r="L640" s="2"/>
      <c r="M640" s="2"/>
      <c r="N640" s="2"/>
      <c r="O640" s="2"/>
      <c r="P640" s="2"/>
      <c r="Q640" s="2"/>
      <c r="R640" s="117"/>
      <c r="S640" s="2"/>
      <c r="T640" s="2"/>
      <c r="U640" s="2"/>
      <c r="V640" s="2"/>
      <c r="W640" s="2"/>
      <c r="X640" s="2"/>
    </row>
    <row r="641">
      <c r="B641" s="846"/>
      <c r="C641" s="578"/>
      <c r="D641" s="10"/>
      <c r="F641" s="10"/>
      <c r="H641" s="10"/>
      <c r="I641" s="10"/>
      <c r="J641" s="10"/>
      <c r="K641" s="10"/>
      <c r="L641" s="2"/>
      <c r="M641" s="2"/>
      <c r="N641" s="2"/>
      <c r="O641" s="2"/>
      <c r="P641" s="2"/>
      <c r="Q641" s="2"/>
      <c r="R641" s="847"/>
      <c r="S641" s="847"/>
      <c r="T641" s="116"/>
      <c r="U641" s="116"/>
      <c r="V641" s="116"/>
      <c r="W641" s="116"/>
      <c r="X641" s="116"/>
    </row>
    <row r="642">
      <c r="B642" s="846"/>
      <c r="C642" s="578"/>
      <c r="D642" s="10"/>
      <c r="F642" s="10"/>
      <c r="H642" s="10"/>
      <c r="I642" s="10"/>
      <c r="J642" s="10"/>
      <c r="K642" s="10"/>
      <c r="L642" s="2"/>
      <c r="M642" s="2"/>
      <c r="N642" s="2"/>
      <c r="O642" s="2"/>
      <c r="P642" s="2"/>
      <c r="Q642" s="2"/>
      <c r="R642" s="848"/>
      <c r="S642" s="848"/>
      <c r="T642" s="848"/>
      <c r="U642" s="848"/>
      <c r="V642" s="848"/>
      <c r="W642" s="848"/>
      <c r="X642" s="848"/>
    </row>
    <row r="643">
      <c r="B643" s="846"/>
      <c r="C643" s="578"/>
      <c r="D643" s="10"/>
      <c r="F643" s="10"/>
      <c r="H643" s="10"/>
      <c r="I643" s="10"/>
      <c r="J643" s="10"/>
      <c r="K643" s="10"/>
      <c r="L643" s="2"/>
      <c r="M643" s="2"/>
      <c r="N643" s="2"/>
      <c r="O643" s="2"/>
      <c r="P643" s="2"/>
      <c r="Q643" s="2"/>
      <c r="R643" s="849"/>
      <c r="S643" s="850"/>
      <c r="T643" s="851"/>
      <c r="U643" s="851"/>
      <c r="V643" s="851"/>
      <c r="W643" s="851"/>
      <c r="X643" s="851"/>
    </row>
    <row r="644">
      <c r="B644" s="846"/>
      <c r="C644" s="578"/>
      <c r="D644" s="10"/>
      <c r="F644" s="10"/>
      <c r="H644" s="10"/>
      <c r="I644" s="10"/>
      <c r="J644" s="10"/>
      <c r="K644" s="10"/>
      <c r="L644" s="2"/>
      <c r="M644" s="2"/>
      <c r="N644" s="2"/>
      <c r="O644" s="2"/>
      <c r="P644" s="2"/>
      <c r="Q644" s="2"/>
      <c r="R644" s="852"/>
      <c r="S644" s="853"/>
      <c r="T644" s="854"/>
      <c r="U644" s="854"/>
      <c r="V644" s="854"/>
      <c r="W644" s="854"/>
      <c r="X644" s="854"/>
    </row>
    <row r="645">
      <c r="B645" s="846"/>
      <c r="C645" s="578"/>
      <c r="D645" s="10"/>
      <c r="F645" s="10"/>
      <c r="H645" s="10"/>
      <c r="I645" s="10"/>
      <c r="J645" s="10"/>
      <c r="K645" s="10"/>
      <c r="L645" s="2"/>
      <c r="M645" s="2"/>
      <c r="N645" s="2"/>
      <c r="O645" s="2"/>
      <c r="P645" s="2"/>
      <c r="Q645" s="2"/>
      <c r="R645" s="855"/>
      <c r="S645" s="856"/>
      <c r="T645" s="854"/>
      <c r="U645" s="854"/>
      <c r="V645" s="854"/>
      <c r="W645" s="854"/>
      <c r="X645" s="854"/>
    </row>
    <row r="646">
      <c r="B646" s="846"/>
      <c r="C646" s="578"/>
      <c r="D646" s="10"/>
      <c r="F646" s="10"/>
      <c r="H646" s="10"/>
      <c r="I646" s="10"/>
      <c r="J646" s="10"/>
      <c r="K646" s="10"/>
      <c r="L646" s="2"/>
      <c r="M646" s="2"/>
      <c r="N646" s="2"/>
      <c r="O646" s="2"/>
      <c r="P646" s="2"/>
      <c r="Q646" s="2"/>
      <c r="R646" s="855"/>
      <c r="S646" s="856"/>
      <c r="T646" s="854"/>
      <c r="U646" s="854"/>
      <c r="V646" s="854"/>
      <c r="W646" s="854"/>
      <c r="X646" s="854"/>
    </row>
    <row r="647">
      <c r="B647" s="846"/>
      <c r="C647" s="578"/>
      <c r="D647" s="10"/>
      <c r="F647" s="10"/>
      <c r="H647" s="10"/>
      <c r="I647" s="10"/>
      <c r="J647" s="10"/>
      <c r="K647" s="10"/>
      <c r="L647" s="2"/>
      <c r="M647" s="2"/>
      <c r="N647" s="2"/>
      <c r="O647" s="2"/>
      <c r="P647" s="2"/>
      <c r="Q647" s="2"/>
      <c r="R647" s="852"/>
      <c r="S647" s="853"/>
      <c r="T647" s="854"/>
      <c r="U647" s="854"/>
      <c r="V647" s="854"/>
      <c r="W647" s="854"/>
      <c r="X647" s="854"/>
    </row>
    <row r="648">
      <c r="B648" s="846"/>
      <c r="C648" s="578"/>
      <c r="D648" s="10"/>
      <c r="F648" s="10"/>
      <c r="H648" s="10"/>
      <c r="I648" s="10"/>
      <c r="J648" s="10"/>
      <c r="K648" s="10"/>
      <c r="L648" s="2"/>
      <c r="M648" s="2"/>
      <c r="N648" s="2"/>
      <c r="O648" s="2"/>
      <c r="P648" s="2"/>
      <c r="Q648" s="2"/>
      <c r="R648" s="857"/>
      <c r="S648" s="858"/>
      <c r="T648" s="854"/>
      <c r="U648" s="854"/>
      <c r="V648" s="854"/>
      <c r="W648" s="854"/>
      <c r="X648" s="854"/>
    </row>
    <row r="649">
      <c r="B649" s="846"/>
      <c r="C649" s="578"/>
      <c r="D649" s="10"/>
      <c r="F649" s="10"/>
      <c r="H649" s="10"/>
      <c r="I649" s="10"/>
      <c r="J649" s="10"/>
      <c r="K649" s="10"/>
      <c r="L649" s="2"/>
      <c r="M649" s="2"/>
      <c r="N649" s="2"/>
      <c r="O649" s="2"/>
      <c r="P649" s="2"/>
      <c r="Q649" s="2"/>
      <c r="R649" s="857"/>
      <c r="S649" s="858"/>
      <c r="T649" s="854"/>
      <c r="U649" s="854"/>
      <c r="V649" s="854"/>
      <c r="W649" s="854"/>
      <c r="X649" s="854"/>
    </row>
    <row r="650">
      <c r="B650" s="846"/>
      <c r="C650" s="578"/>
      <c r="D650" s="10"/>
      <c r="F650" s="10"/>
      <c r="H650" s="10"/>
      <c r="I650" s="10"/>
      <c r="J650" s="10"/>
      <c r="K650" s="10"/>
      <c r="L650" s="2"/>
      <c r="M650" s="2"/>
      <c r="N650" s="2"/>
      <c r="O650" s="2"/>
      <c r="P650" s="2"/>
      <c r="Q650" s="2"/>
      <c r="R650" s="857"/>
      <c r="S650" s="858"/>
      <c r="T650" s="854"/>
      <c r="U650" s="854"/>
      <c r="V650" s="854"/>
      <c r="W650" s="854"/>
      <c r="X650" s="854"/>
    </row>
    <row r="651">
      <c r="B651" s="846"/>
      <c r="C651" s="578"/>
      <c r="D651" s="10"/>
      <c r="F651" s="10"/>
      <c r="H651" s="10"/>
      <c r="I651" s="10"/>
      <c r="J651" s="10"/>
      <c r="K651" s="10"/>
      <c r="L651" s="2"/>
      <c r="M651" s="2"/>
      <c r="N651" s="2"/>
      <c r="O651" s="2"/>
      <c r="P651" s="2"/>
      <c r="Q651" s="2"/>
      <c r="R651" s="852"/>
      <c r="S651" s="853"/>
      <c r="T651" s="854"/>
      <c r="U651" s="854"/>
      <c r="V651" s="854"/>
      <c r="W651" s="854"/>
      <c r="X651" s="854"/>
    </row>
    <row r="652">
      <c r="B652" s="846"/>
      <c r="C652" s="578"/>
      <c r="D652" s="10"/>
      <c r="F652" s="10"/>
      <c r="H652" s="10"/>
      <c r="I652" s="10"/>
      <c r="J652" s="10"/>
      <c r="K652" s="10"/>
      <c r="L652" s="2"/>
      <c r="M652" s="2"/>
      <c r="N652" s="2"/>
      <c r="O652" s="2"/>
      <c r="P652" s="2"/>
      <c r="Q652" s="2"/>
      <c r="R652" s="852"/>
      <c r="S652" s="853"/>
      <c r="T652" s="854"/>
      <c r="U652" s="854"/>
      <c r="V652" s="854"/>
      <c r="W652" s="854"/>
      <c r="X652" s="854"/>
    </row>
    <row r="653">
      <c r="B653" s="846"/>
      <c r="C653" s="578"/>
      <c r="D653" s="10"/>
      <c r="F653" s="10"/>
      <c r="H653" s="10"/>
      <c r="I653" s="10"/>
      <c r="J653" s="10"/>
      <c r="K653" s="10"/>
      <c r="L653" s="2"/>
      <c r="M653" s="2"/>
      <c r="N653" s="2"/>
      <c r="O653" s="2"/>
      <c r="P653" s="2"/>
      <c r="Q653" s="2"/>
      <c r="R653" s="852"/>
      <c r="S653" s="853"/>
      <c r="T653" s="854"/>
      <c r="U653" s="854"/>
      <c r="V653" s="854"/>
      <c r="W653" s="854"/>
      <c r="X653" s="854"/>
    </row>
    <row r="654">
      <c r="B654" s="846"/>
      <c r="C654" s="578"/>
      <c r="D654" s="10"/>
      <c r="F654" s="10"/>
      <c r="H654" s="10"/>
      <c r="I654" s="10"/>
      <c r="J654" s="10"/>
      <c r="K654" s="10"/>
      <c r="L654" s="2"/>
      <c r="M654" s="2"/>
      <c r="N654" s="2"/>
      <c r="O654" s="2"/>
      <c r="P654" s="2"/>
      <c r="Q654" s="2"/>
      <c r="R654" s="852"/>
      <c r="S654" s="853"/>
      <c r="T654" s="854"/>
      <c r="U654" s="854"/>
      <c r="V654" s="854"/>
      <c r="W654" s="854"/>
      <c r="X654" s="854"/>
    </row>
    <row r="655">
      <c r="B655" s="846"/>
      <c r="C655" s="578"/>
      <c r="D655" s="10"/>
      <c r="F655" s="10"/>
      <c r="H655" s="10"/>
      <c r="I655" s="10"/>
      <c r="J655" s="10"/>
      <c r="K655" s="10"/>
      <c r="L655" s="2"/>
      <c r="M655" s="2"/>
      <c r="N655" s="2"/>
      <c r="O655" s="2"/>
      <c r="P655" s="2"/>
      <c r="Q655" s="2"/>
      <c r="R655" s="852"/>
      <c r="S655" s="859"/>
      <c r="T655" s="107"/>
      <c r="U655" s="107"/>
      <c r="V655" s="107"/>
      <c r="W655" s="107"/>
      <c r="X655" s="107"/>
    </row>
    <row r="656">
      <c r="B656" s="846"/>
      <c r="C656" s="578"/>
      <c r="D656" s="10"/>
      <c r="F656" s="10"/>
      <c r="H656" s="10"/>
      <c r="I656" s="10"/>
      <c r="J656" s="10"/>
      <c r="K656" s="10"/>
      <c r="L656" s="2"/>
      <c r="M656" s="2"/>
      <c r="N656" s="2"/>
      <c r="O656" s="2"/>
      <c r="P656" s="2"/>
      <c r="Q656" s="2"/>
      <c r="R656" s="852"/>
      <c r="S656" s="859"/>
      <c r="T656" s="107"/>
      <c r="U656" s="107"/>
      <c r="V656" s="107"/>
      <c r="W656" s="107"/>
      <c r="X656" s="107"/>
    </row>
    <row r="657">
      <c r="B657" s="846"/>
      <c r="C657" s="578"/>
      <c r="D657" s="10"/>
      <c r="F657" s="10"/>
      <c r="H657" s="10"/>
      <c r="I657" s="10"/>
      <c r="J657" s="10"/>
      <c r="K657" s="10"/>
      <c r="L657" s="2"/>
      <c r="M657" s="2"/>
      <c r="N657" s="2"/>
      <c r="O657" s="2"/>
      <c r="P657" s="2"/>
      <c r="Q657" s="2"/>
      <c r="R657" s="852"/>
      <c r="S657" s="859"/>
      <c r="T657" s="107"/>
      <c r="U657" s="107"/>
      <c r="V657" s="107"/>
      <c r="W657" s="107"/>
      <c r="X657" s="107"/>
    </row>
    <row r="658">
      <c r="B658" s="846"/>
      <c r="C658" s="578"/>
      <c r="D658" s="10"/>
      <c r="F658" s="10"/>
      <c r="H658" s="10"/>
      <c r="I658" s="10"/>
      <c r="J658" s="10"/>
      <c r="K658" s="10"/>
      <c r="L658" s="2"/>
      <c r="M658" s="2"/>
      <c r="N658" s="2"/>
      <c r="O658" s="2"/>
      <c r="P658" s="2"/>
      <c r="Q658" s="2"/>
      <c r="R658" s="852"/>
      <c r="S658" s="859"/>
      <c r="T658" s="107"/>
      <c r="U658" s="107"/>
      <c r="V658" s="107"/>
      <c r="W658" s="107"/>
      <c r="X658" s="107"/>
    </row>
    <row r="659">
      <c r="B659" s="846"/>
      <c r="C659" s="578"/>
      <c r="D659" s="10"/>
      <c r="F659" s="10"/>
      <c r="H659" s="10"/>
      <c r="I659" s="10"/>
      <c r="J659" s="10"/>
      <c r="K659" s="10"/>
      <c r="L659" s="2"/>
      <c r="M659" s="2"/>
      <c r="N659" s="2"/>
      <c r="O659" s="2"/>
      <c r="P659" s="2"/>
      <c r="Q659" s="2"/>
      <c r="R659" s="852"/>
      <c r="S659" s="859"/>
      <c r="T659" s="107"/>
      <c r="U659" s="107"/>
      <c r="V659" s="107"/>
      <c r="W659" s="107"/>
      <c r="X659" s="107"/>
    </row>
    <row r="660">
      <c r="B660" s="846"/>
      <c r="C660" s="578"/>
      <c r="D660" s="10"/>
      <c r="F660" s="10"/>
      <c r="H660" s="10"/>
      <c r="I660" s="10"/>
      <c r="J660" s="10"/>
      <c r="K660" s="10"/>
      <c r="L660" s="2"/>
      <c r="M660" s="2"/>
      <c r="N660" s="2"/>
      <c r="O660" s="2"/>
      <c r="P660" s="2"/>
      <c r="Q660" s="2"/>
      <c r="R660" s="852"/>
      <c r="S660" s="859"/>
      <c r="T660" s="107"/>
      <c r="U660" s="107"/>
      <c r="V660" s="107"/>
      <c r="W660" s="107"/>
      <c r="X660" s="107"/>
    </row>
    <row r="661">
      <c r="B661" s="846"/>
      <c r="C661" s="578"/>
      <c r="D661" s="10"/>
      <c r="F661" s="10"/>
      <c r="H661" s="10"/>
      <c r="I661" s="10"/>
      <c r="J661" s="10"/>
      <c r="K661" s="10"/>
      <c r="L661" s="2"/>
      <c r="M661" s="2"/>
      <c r="N661" s="2"/>
      <c r="O661" s="2"/>
      <c r="P661" s="2"/>
      <c r="Q661" s="2"/>
      <c r="R661" s="852"/>
      <c r="S661" s="859"/>
      <c r="T661" s="107"/>
      <c r="U661" s="107"/>
      <c r="V661" s="107"/>
      <c r="W661" s="107"/>
      <c r="X661" s="107"/>
    </row>
    <row r="662">
      <c r="B662" s="846"/>
      <c r="C662" s="578"/>
      <c r="D662" s="10"/>
      <c r="F662" s="10"/>
      <c r="H662" s="10"/>
      <c r="I662" s="10"/>
      <c r="J662" s="10"/>
      <c r="K662" s="10"/>
      <c r="L662" s="2"/>
      <c r="M662" s="2"/>
      <c r="N662" s="2"/>
      <c r="O662" s="2"/>
      <c r="P662" s="2"/>
      <c r="Q662" s="2"/>
      <c r="R662" s="852"/>
      <c r="S662" s="859"/>
      <c r="T662" s="107"/>
      <c r="U662" s="107"/>
      <c r="V662" s="107"/>
      <c r="W662" s="107"/>
      <c r="X662" s="107"/>
    </row>
    <row r="663">
      <c r="B663" s="846"/>
      <c r="C663" s="578"/>
      <c r="D663" s="10"/>
      <c r="F663" s="10"/>
      <c r="H663" s="10"/>
      <c r="I663" s="10"/>
      <c r="J663" s="10"/>
      <c r="K663" s="10"/>
      <c r="L663" s="2"/>
      <c r="M663" s="2"/>
      <c r="N663" s="2"/>
      <c r="O663" s="2"/>
      <c r="P663" s="2"/>
      <c r="Q663" s="2"/>
      <c r="R663" s="852"/>
      <c r="S663" s="859"/>
      <c r="T663" s="107"/>
      <c r="U663" s="107"/>
      <c r="V663" s="107"/>
      <c r="W663" s="107"/>
      <c r="X663" s="107"/>
    </row>
    <row r="664">
      <c r="B664" s="846"/>
      <c r="C664" s="578"/>
      <c r="D664" s="10"/>
      <c r="F664" s="10"/>
      <c r="H664" s="10"/>
      <c r="I664" s="10"/>
      <c r="J664" s="10"/>
      <c r="K664" s="10"/>
      <c r="L664" s="2"/>
      <c r="M664" s="2"/>
      <c r="N664" s="2"/>
      <c r="O664" s="2"/>
      <c r="P664" s="2"/>
      <c r="Q664" s="2"/>
      <c r="R664" s="852"/>
      <c r="S664" s="859"/>
      <c r="T664" s="107"/>
      <c r="U664" s="107"/>
      <c r="V664" s="107"/>
      <c r="W664" s="107"/>
      <c r="X664" s="107"/>
    </row>
    <row r="665">
      <c r="B665" s="846"/>
      <c r="C665" s="578"/>
      <c r="D665" s="10"/>
      <c r="F665" s="10"/>
      <c r="H665" s="10"/>
      <c r="I665" s="10"/>
      <c r="J665" s="10"/>
      <c r="K665" s="10"/>
      <c r="L665" s="2"/>
      <c r="M665" s="2"/>
      <c r="N665" s="2"/>
      <c r="O665" s="2"/>
      <c r="P665" s="2"/>
      <c r="Q665" s="2"/>
      <c r="R665" s="857"/>
      <c r="S665" s="860"/>
      <c r="T665" s="107"/>
      <c r="U665" s="107"/>
      <c r="V665" s="107"/>
      <c r="W665" s="107"/>
      <c r="X665" s="107"/>
    </row>
    <row r="666">
      <c r="B666" s="846"/>
      <c r="C666" s="578"/>
      <c r="D666" s="10"/>
      <c r="F666" s="10"/>
      <c r="H666" s="10"/>
      <c r="I666" s="10"/>
      <c r="J666" s="10"/>
      <c r="K666" s="10"/>
      <c r="L666" s="2"/>
      <c r="M666" s="2"/>
      <c r="N666" s="2"/>
      <c r="O666" s="2"/>
      <c r="P666" s="2"/>
      <c r="Q666" s="2"/>
      <c r="R666" s="861"/>
      <c r="S666" s="111"/>
      <c r="T666" s="2"/>
      <c r="U666" s="2"/>
      <c r="V666" s="2"/>
      <c r="W666" s="2"/>
      <c r="X666" s="2"/>
    </row>
    <row r="667">
      <c r="B667" s="846"/>
      <c r="C667" s="578"/>
      <c r="D667" s="10"/>
      <c r="F667" s="10"/>
      <c r="H667" s="10"/>
      <c r="I667" s="10"/>
      <c r="J667" s="10"/>
      <c r="K667" s="10"/>
      <c r="L667" s="2"/>
      <c r="M667" s="2"/>
      <c r="N667" s="2"/>
      <c r="O667" s="2"/>
      <c r="P667" s="2"/>
      <c r="Q667" s="2"/>
      <c r="R667" s="861"/>
      <c r="S667" s="111"/>
      <c r="T667" s="2"/>
      <c r="U667" s="2"/>
      <c r="V667" s="2"/>
      <c r="W667" s="2"/>
      <c r="X667" s="2"/>
    </row>
    <row r="668">
      <c r="B668" s="846"/>
      <c r="C668" s="578"/>
      <c r="D668" s="10"/>
      <c r="F668" s="10"/>
      <c r="H668" s="10"/>
      <c r="I668" s="10"/>
      <c r="J668" s="10"/>
      <c r="K668" s="10"/>
      <c r="L668" s="2"/>
      <c r="M668" s="2"/>
      <c r="N668" s="2"/>
      <c r="O668" s="2"/>
      <c r="P668" s="2"/>
      <c r="Q668" s="2"/>
      <c r="R668" s="861"/>
      <c r="S668" s="111"/>
      <c r="T668" s="2"/>
      <c r="U668" s="2"/>
      <c r="V668" s="2"/>
      <c r="W668" s="2"/>
      <c r="X668" s="2"/>
    </row>
    <row r="669">
      <c r="B669" s="846"/>
      <c r="C669" s="578"/>
      <c r="D669" s="10"/>
      <c r="F669" s="10"/>
      <c r="H669" s="10"/>
      <c r="I669" s="10"/>
      <c r="J669" s="10"/>
      <c r="K669" s="10"/>
      <c r="L669" s="2"/>
      <c r="M669" s="2"/>
      <c r="N669" s="2"/>
      <c r="O669" s="2"/>
      <c r="P669" s="2"/>
      <c r="Q669" s="2"/>
      <c r="R669" s="861"/>
      <c r="S669" s="111"/>
      <c r="T669" s="2"/>
      <c r="U669" s="2"/>
      <c r="V669" s="2"/>
      <c r="W669" s="2"/>
      <c r="X669" s="2"/>
    </row>
    <row r="670">
      <c r="B670" s="846"/>
      <c r="C670" s="578"/>
      <c r="D670" s="10"/>
      <c r="F670" s="10"/>
      <c r="H670" s="10"/>
      <c r="I670" s="10"/>
      <c r="J670" s="10"/>
      <c r="K670" s="10"/>
      <c r="L670" s="2"/>
      <c r="M670" s="2"/>
      <c r="N670" s="2"/>
      <c r="O670" s="2"/>
      <c r="P670" s="2"/>
      <c r="Q670" s="2"/>
      <c r="R670" s="861"/>
      <c r="S670" s="111"/>
      <c r="T670" s="2"/>
      <c r="U670" s="2"/>
      <c r="V670" s="2"/>
      <c r="W670" s="2"/>
      <c r="X670" s="2"/>
    </row>
    <row r="671">
      <c r="B671" s="846"/>
      <c r="C671" s="578"/>
      <c r="D671" s="10"/>
      <c r="F671" s="10"/>
      <c r="H671" s="10"/>
      <c r="I671" s="10"/>
      <c r="J671" s="10"/>
      <c r="K671" s="10"/>
      <c r="L671" s="2"/>
      <c r="M671" s="2"/>
      <c r="N671" s="2"/>
      <c r="O671" s="2"/>
      <c r="P671" s="2"/>
      <c r="Q671" s="2"/>
      <c r="R671" s="862"/>
      <c r="S671" s="109"/>
      <c r="T671" s="2"/>
      <c r="U671" s="2"/>
      <c r="V671" s="2"/>
      <c r="W671" s="2"/>
      <c r="X671" s="2"/>
    </row>
    <row r="672">
      <c r="B672" s="846"/>
      <c r="C672" s="578"/>
      <c r="D672" s="10"/>
      <c r="F672" s="10"/>
      <c r="H672" s="10"/>
      <c r="I672" s="10"/>
      <c r="J672" s="10"/>
      <c r="K672" s="10"/>
      <c r="L672" s="2"/>
      <c r="M672" s="2"/>
      <c r="N672" s="2"/>
      <c r="O672" s="2"/>
      <c r="P672" s="2"/>
      <c r="Q672" s="2"/>
      <c r="R672" s="861"/>
      <c r="S672" s="111"/>
      <c r="T672" s="2"/>
      <c r="U672" s="2"/>
      <c r="V672" s="2"/>
      <c r="W672" s="2"/>
      <c r="X672" s="2"/>
    </row>
    <row r="673">
      <c r="B673" s="846"/>
      <c r="C673" s="578"/>
      <c r="D673" s="10"/>
      <c r="F673" s="10"/>
      <c r="H673" s="10"/>
      <c r="I673" s="10"/>
      <c r="J673" s="10"/>
      <c r="K673" s="10"/>
      <c r="L673" s="2"/>
      <c r="M673" s="2"/>
      <c r="N673" s="2"/>
      <c r="O673" s="2"/>
      <c r="P673" s="2"/>
      <c r="Q673" s="2"/>
      <c r="R673" s="861"/>
      <c r="S673" s="111"/>
      <c r="T673" s="2"/>
      <c r="U673" s="2"/>
      <c r="V673" s="2"/>
      <c r="W673" s="2"/>
      <c r="X673" s="2"/>
    </row>
    <row r="674">
      <c r="B674" s="846"/>
      <c r="C674" s="578"/>
      <c r="D674" s="10"/>
      <c r="F674" s="10"/>
      <c r="H674" s="10"/>
      <c r="I674" s="10"/>
      <c r="J674" s="10"/>
      <c r="K674" s="10"/>
      <c r="L674" s="2"/>
      <c r="M674" s="2"/>
      <c r="N674" s="2"/>
      <c r="O674" s="2"/>
      <c r="P674" s="2"/>
      <c r="Q674" s="2"/>
      <c r="R674" s="861"/>
      <c r="S674" s="111"/>
      <c r="T674" s="2"/>
      <c r="U674" s="2"/>
      <c r="V674" s="2"/>
      <c r="W674" s="2"/>
      <c r="X674" s="2"/>
    </row>
    <row r="675">
      <c r="B675" s="846"/>
      <c r="C675" s="578"/>
      <c r="D675" s="10"/>
      <c r="F675" s="10"/>
      <c r="H675" s="10"/>
      <c r="I675" s="10"/>
      <c r="J675" s="10"/>
      <c r="K675" s="10"/>
      <c r="L675" s="2"/>
      <c r="M675" s="2"/>
      <c r="N675" s="2"/>
      <c r="O675" s="2"/>
      <c r="P675" s="2"/>
      <c r="Q675" s="2"/>
      <c r="R675" s="861"/>
      <c r="S675" s="111"/>
      <c r="T675" s="2"/>
      <c r="U675" s="2"/>
      <c r="V675" s="2"/>
      <c r="W675" s="2"/>
      <c r="X675" s="2"/>
    </row>
    <row r="676">
      <c r="B676" s="846"/>
      <c r="C676" s="578"/>
      <c r="D676" s="10"/>
      <c r="F676" s="10"/>
      <c r="H676" s="10"/>
      <c r="I676" s="10"/>
      <c r="J676" s="10"/>
      <c r="K676" s="10"/>
      <c r="L676" s="2"/>
      <c r="M676" s="2"/>
      <c r="N676" s="2"/>
      <c r="O676" s="2"/>
      <c r="P676" s="2"/>
      <c r="Q676" s="2"/>
      <c r="R676" s="861"/>
      <c r="S676" s="111"/>
      <c r="T676" s="2"/>
      <c r="U676" s="2"/>
      <c r="V676" s="2"/>
      <c r="W676" s="2"/>
      <c r="X676" s="2"/>
    </row>
    <row r="677">
      <c r="B677" s="846"/>
      <c r="C677" s="578"/>
      <c r="D677" s="10"/>
      <c r="F677" s="10"/>
      <c r="H677" s="10"/>
      <c r="I677" s="10"/>
      <c r="J677" s="10"/>
      <c r="K677" s="10"/>
      <c r="L677" s="2"/>
      <c r="M677" s="2"/>
      <c r="N677" s="2"/>
      <c r="O677" s="2"/>
      <c r="P677" s="2"/>
      <c r="Q677" s="2"/>
      <c r="R677" s="861"/>
      <c r="S677" s="111"/>
      <c r="T677" s="2"/>
      <c r="U677" s="2"/>
      <c r="V677" s="2"/>
      <c r="W677" s="2"/>
      <c r="X677" s="2"/>
    </row>
    <row r="678">
      <c r="B678" s="846"/>
      <c r="C678" s="578"/>
      <c r="D678" s="10"/>
      <c r="F678" s="10"/>
      <c r="H678" s="10"/>
      <c r="I678" s="10"/>
      <c r="J678" s="10"/>
      <c r="K678" s="10"/>
      <c r="L678" s="2"/>
      <c r="M678" s="2"/>
      <c r="N678" s="2"/>
      <c r="O678" s="2"/>
      <c r="P678" s="2"/>
      <c r="Q678" s="2"/>
      <c r="R678" s="861"/>
      <c r="S678" s="111"/>
      <c r="T678" s="2"/>
      <c r="U678" s="2"/>
      <c r="V678" s="2"/>
      <c r="W678" s="2"/>
      <c r="X678" s="2"/>
    </row>
    <row r="679">
      <c r="B679" s="846"/>
      <c r="C679" s="578"/>
      <c r="D679" s="10"/>
      <c r="F679" s="10"/>
      <c r="H679" s="10"/>
      <c r="I679" s="10"/>
      <c r="J679" s="10"/>
      <c r="K679" s="10"/>
      <c r="L679" s="2"/>
      <c r="M679" s="2"/>
      <c r="N679" s="2"/>
      <c r="O679" s="2"/>
      <c r="P679" s="2"/>
      <c r="Q679" s="2"/>
      <c r="R679" s="861"/>
      <c r="S679" s="111"/>
      <c r="T679" s="2"/>
      <c r="U679" s="2"/>
      <c r="V679" s="2"/>
      <c r="W679" s="2"/>
      <c r="X679" s="2"/>
    </row>
    <row r="680">
      <c r="B680" s="846"/>
      <c r="C680" s="578"/>
      <c r="D680" s="10"/>
      <c r="F680" s="10"/>
      <c r="H680" s="10"/>
      <c r="I680" s="10"/>
      <c r="J680" s="10"/>
      <c r="K680" s="10"/>
      <c r="L680" s="2"/>
      <c r="M680" s="2"/>
      <c r="N680" s="2"/>
      <c r="O680" s="2"/>
      <c r="P680" s="2"/>
      <c r="Q680" s="2"/>
      <c r="R680" s="862"/>
      <c r="S680" s="109"/>
      <c r="T680" s="2"/>
      <c r="U680" s="2"/>
      <c r="V680" s="2"/>
      <c r="W680" s="2"/>
      <c r="X680" s="2"/>
    </row>
    <row r="681">
      <c r="B681" s="846"/>
      <c r="C681" s="578"/>
      <c r="D681" s="10"/>
      <c r="F681" s="10"/>
      <c r="H681" s="10"/>
      <c r="I681" s="10"/>
      <c r="J681" s="10"/>
      <c r="K681" s="10"/>
      <c r="L681" s="2"/>
      <c r="M681" s="2"/>
      <c r="N681" s="2"/>
      <c r="O681" s="2"/>
      <c r="P681" s="2"/>
      <c r="Q681" s="2"/>
      <c r="R681" s="862"/>
      <c r="S681" s="109"/>
      <c r="T681" s="54"/>
      <c r="U681" s="54"/>
      <c r="V681" s="54"/>
      <c r="W681" s="54"/>
      <c r="X681" s="54"/>
    </row>
    <row r="682">
      <c r="B682" s="846"/>
      <c r="C682" s="578"/>
      <c r="D682" s="10"/>
      <c r="F682" s="10"/>
      <c r="H682" s="10"/>
      <c r="I682" s="10"/>
      <c r="J682" s="10"/>
      <c r="K682" s="10"/>
      <c r="L682" s="2"/>
      <c r="M682" s="2"/>
      <c r="N682" s="2"/>
      <c r="O682" s="2"/>
      <c r="P682" s="2"/>
      <c r="Q682" s="2"/>
      <c r="R682" s="117"/>
      <c r="S682" s="2"/>
      <c r="T682" s="2"/>
      <c r="U682" s="2"/>
      <c r="V682" s="2"/>
      <c r="W682" s="2"/>
      <c r="X682" s="2"/>
    </row>
    <row r="683">
      <c r="B683" s="846"/>
      <c r="C683" s="578"/>
      <c r="D683" s="10"/>
      <c r="F683" s="10"/>
      <c r="H683" s="10"/>
      <c r="I683" s="10"/>
      <c r="J683" s="10"/>
      <c r="K683" s="10"/>
      <c r="L683" s="2"/>
      <c r="M683" s="2"/>
      <c r="N683" s="2"/>
      <c r="O683" s="2"/>
      <c r="P683" s="2"/>
      <c r="Q683" s="2"/>
      <c r="R683" s="117"/>
      <c r="S683" s="2"/>
      <c r="T683" s="2"/>
      <c r="U683" s="2"/>
      <c r="V683" s="2"/>
      <c r="W683" s="2"/>
      <c r="X683" s="2"/>
    </row>
    <row r="684">
      <c r="B684" s="846"/>
      <c r="C684" s="578"/>
      <c r="D684" s="10"/>
      <c r="F684" s="10"/>
      <c r="H684" s="10"/>
      <c r="I684" s="10"/>
      <c r="J684" s="10"/>
      <c r="K684" s="10"/>
      <c r="L684" s="2"/>
      <c r="M684" s="2"/>
      <c r="N684" s="2"/>
      <c r="O684" s="2"/>
      <c r="P684" s="2"/>
      <c r="Q684" s="2"/>
      <c r="R684" s="847"/>
      <c r="S684" s="847"/>
      <c r="T684" s="116"/>
      <c r="U684" s="116"/>
      <c r="V684" s="116"/>
      <c r="W684" s="116"/>
      <c r="X684" s="116"/>
    </row>
    <row r="685">
      <c r="B685" s="846"/>
      <c r="C685" s="578"/>
      <c r="D685" s="10"/>
      <c r="F685" s="10"/>
      <c r="H685" s="10"/>
      <c r="I685" s="10"/>
      <c r="J685" s="10"/>
      <c r="K685" s="10"/>
      <c r="L685" s="2"/>
      <c r="M685" s="2"/>
      <c r="N685" s="2"/>
      <c r="O685" s="2"/>
      <c r="P685" s="2"/>
      <c r="Q685" s="2"/>
      <c r="R685" s="848"/>
      <c r="S685" s="848"/>
      <c r="T685" s="848"/>
      <c r="U685" s="848"/>
      <c r="V685" s="848"/>
      <c r="W685" s="848"/>
      <c r="X685" s="848"/>
    </row>
    <row r="686">
      <c r="B686" s="846"/>
      <c r="C686" s="578"/>
      <c r="D686" s="10"/>
      <c r="F686" s="10"/>
      <c r="H686" s="10"/>
      <c r="I686" s="10"/>
      <c r="J686" s="10"/>
      <c r="K686" s="10"/>
      <c r="L686" s="2"/>
      <c r="M686" s="2"/>
      <c r="N686" s="2"/>
      <c r="O686" s="2"/>
      <c r="P686" s="2"/>
      <c r="Q686" s="2"/>
      <c r="R686" s="849"/>
      <c r="S686" s="850"/>
      <c r="T686" s="851"/>
      <c r="U686" s="851"/>
      <c r="V686" s="851"/>
      <c r="W686" s="851"/>
      <c r="X686" s="851"/>
    </row>
    <row r="687">
      <c r="B687" s="846"/>
      <c r="C687" s="578"/>
      <c r="D687" s="10"/>
      <c r="F687" s="10"/>
      <c r="H687" s="10"/>
      <c r="I687" s="10"/>
      <c r="J687" s="10"/>
      <c r="K687" s="10"/>
      <c r="L687" s="2"/>
      <c r="M687" s="2"/>
      <c r="N687" s="2"/>
      <c r="O687" s="2"/>
      <c r="P687" s="2"/>
      <c r="Q687" s="2"/>
      <c r="R687" s="852"/>
      <c r="S687" s="853"/>
      <c r="T687" s="854"/>
      <c r="U687" s="854"/>
      <c r="V687" s="854"/>
      <c r="W687" s="854"/>
      <c r="X687" s="854"/>
    </row>
    <row r="688">
      <c r="B688" s="846"/>
      <c r="C688" s="578"/>
      <c r="D688" s="10"/>
      <c r="F688" s="10"/>
      <c r="H688" s="10"/>
      <c r="I688" s="10"/>
      <c r="J688" s="10"/>
      <c r="K688" s="10"/>
      <c r="L688" s="2"/>
      <c r="M688" s="2"/>
      <c r="N688" s="2"/>
      <c r="O688" s="2"/>
      <c r="P688" s="2"/>
      <c r="Q688" s="2"/>
      <c r="R688" s="855"/>
      <c r="S688" s="856"/>
      <c r="T688" s="854"/>
      <c r="U688" s="854"/>
      <c r="V688" s="854"/>
      <c r="W688" s="854"/>
      <c r="X688" s="854"/>
    </row>
    <row r="689">
      <c r="B689" s="846"/>
      <c r="C689" s="578"/>
      <c r="D689" s="10"/>
      <c r="F689" s="10"/>
      <c r="H689" s="10"/>
      <c r="I689" s="10"/>
      <c r="J689" s="10"/>
      <c r="K689" s="10"/>
      <c r="L689" s="2"/>
      <c r="M689" s="2"/>
      <c r="N689" s="2"/>
      <c r="O689" s="2"/>
      <c r="P689" s="2"/>
      <c r="Q689" s="2"/>
      <c r="R689" s="855"/>
      <c r="S689" s="856"/>
      <c r="T689" s="854"/>
      <c r="U689" s="854"/>
      <c r="V689" s="854"/>
      <c r="W689" s="854"/>
      <c r="X689" s="854"/>
    </row>
    <row r="690">
      <c r="B690" s="846"/>
      <c r="C690" s="578"/>
      <c r="D690" s="10"/>
      <c r="F690" s="10"/>
      <c r="H690" s="10"/>
      <c r="I690" s="10"/>
      <c r="J690" s="10"/>
      <c r="K690" s="10"/>
      <c r="L690" s="2"/>
      <c r="M690" s="2"/>
      <c r="N690" s="2"/>
      <c r="O690" s="2"/>
      <c r="P690" s="2"/>
      <c r="Q690" s="2"/>
      <c r="R690" s="852"/>
      <c r="S690" s="853"/>
      <c r="T690" s="854"/>
      <c r="U690" s="854"/>
      <c r="V690" s="854"/>
      <c r="W690" s="854"/>
      <c r="X690" s="854"/>
    </row>
    <row r="691">
      <c r="B691" s="846"/>
      <c r="C691" s="578"/>
      <c r="D691" s="10"/>
      <c r="F691" s="10"/>
      <c r="H691" s="10"/>
      <c r="I691" s="10"/>
      <c r="J691" s="10"/>
      <c r="K691" s="10"/>
      <c r="L691" s="2"/>
      <c r="M691" s="2"/>
      <c r="N691" s="2"/>
      <c r="O691" s="2"/>
      <c r="P691" s="2"/>
      <c r="Q691" s="2"/>
      <c r="R691" s="857"/>
      <c r="S691" s="858"/>
      <c r="T691" s="854"/>
      <c r="U691" s="854"/>
      <c r="V691" s="854"/>
      <c r="W691" s="854"/>
      <c r="X691" s="854"/>
    </row>
    <row r="692">
      <c r="B692" s="846"/>
      <c r="C692" s="578"/>
      <c r="D692" s="10"/>
      <c r="F692" s="10"/>
      <c r="H692" s="10"/>
      <c r="I692" s="10"/>
      <c r="J692" s="10"/>
      <c r="K692" s="10"/>
      <c r="L692" s="2"/>
      <c r="M692" s="2"/>
      <c r="N692" s="2"/>
      <c r="O692" s="2"/>
      <c r="P692" s="2"/>
      <c r="Q692" s="2"/>
      <c r="R692" s="857"/>
      <c r="S692" s="858"/>
      <c r="T692" s="854"/>
      <c r="U692" s="854"/>
      <c r="V692" s="854"/>
      <c r="W692" s="854"/>
      <c r="X692" s="854"/>
    </row>
    <row r="693">
      <c r="B693" s="846"/>
      <c r="C693" s="578"/>
      <c r="D693" s="10"/>
      <c r="F693" s="10"/>
      <c r="H693" s="10"/>
      <c r="I693" s="10"/>
      <c r="J693" s="10"/>
      <c r="K693" s="10"/>
      <c r="L693" s="2"/>
      <c r="M693" s="2"/>
      <c r="N693" s="2"/>
      <c r="O693" s="2"/>
      <c r="P693" s="2"/>
      <c r="Q693" s="2"/>
      <c r="R693" s="857"/>
      <c r="S693" s="858"/>
      <c r="T693" s="854"/>
      <c r="U693" s="854"/>
      <c r="V693" s="854"/>
      <c r="W693" s="854"/>
      <c r="X693" s="854"/>
    </row>
    <row r="694">
      <c r="B694" s="846"/>
      <c r="C694" s="578"/>
      <c r="D694" s="10"/>
      <c r="F694" s="10"/>
      <c r="H694" s="10"/>
      <c r="I694" s="10"/>
      <c r="J694" s="10"/>
      <c r="K694" s="10"/>
      <c r="L694" s="2"/>
      <c r="M694" s="2"/>
      <c r="N694" s="2"/>
      <c r="O694" s="2"/>
      <c r="P694" s="2"/>
      <c r="Q694" s="2"/>
      <c r="R694" s="852"/>
      <c r="S694" s="853"/>
      <c r="T694" s="854"/>
      <c r="U694" s="854"/>
      <c r="V694" s="854"/>
      <c r="W694" s="854"/>
      <c r="X694" s="854"/>
    </row>
    <row r="695">
      <c r="B695" s="846"/>
      <c r="C695" s="578"/>
      <c r="D695" s="10"/>
      <c r="F695" s="10"/>
      <c r="H695" s="10"/>
      <c r="I695" s="10"/>
      <c r="J695" s="10"/>
      <c r="K695" s="10"/>
      <c r="L695" s="2"/>
      <c r="M695" s="2"/>
      <c r="N695" s="2"/>
      <c r="O695" s="2"/>
      <c r="P695" s="2"/>
      <c r="Q695" s="2"/>
      <c r="R695" s="852"/>
      <c r="S695" s="853"/>
      <c r="T695" s="854"/>
      <c r="U695" s="854"/>
      <c r="V695" s="854"/>
      <c r="W695" s="854"/>
      <c r="X695" s="854"/>
    </row>
    <row r="696">
      <c r="B696" s="846"/>
      <c r="C696" s="578"/>
      <c r="D696" s="10"/>
      <c r="F696" s="10"/>
      <c r="H696" s="10"/>
      <c r="I696" s="10"/>
      <c r="J696" s="10"/>
      <c r="K696" s="10"/>
      <c r="L696" s="2"/>
      <c r="M696" s="2"/>
      <c r="N696" s="2"/>
      <c r="O696" s="2"/>
      <c r="P696" s="2"/>
      <c r="Q696" s="2"/>
      <c r="R696" s="852"/>
      <c r="S696" s="853"/>
      <c r="T696" s="854"/>
      <c r="U696" s="854"/>
      <c r="V696" s="854"/>
      <c r="W696" s="854"/>
      <c r="X696" s="854"/>
    </row>
    <row r="697">
      <c r="B697" s="846"/>
      <c r="C697" s="578"/>
      <c r="D697" s="10"/>
      <c r="F697" s="10"/>
      <c r="H697" s="10"/>
      <c r="I697" s="10"/>
      <c r="J697" s="10"/>
      <c r="K697" s="10"/>
      <c r="L697" s="2"/>
      <c r="M697" s="2"/>
      <c r="N697" s="2"/>
      <c r="O697" s="2"/>
      <c r="P697" s="2"/>
      <c r="Q697" s="2"/>
      <c r="R697" s="852"/>
      <c r="S697" s="853"/>
      <c r="T697" s="854"/>
      <c r="U697" s="854"/>
      <c r="V697" s="854"/>
      <c r="W697" s="854"/>
      <c r="X697" s="854"/>
    </row>
    <row r="698">
      <c r="B698" s="846"/>
      <c r="C698" s="578"/>
      <c r="D698" s="10"/>
      <c r="F698" s="10"/>
      <c r="H698" s="10"/>
      <c r="I698" s="10"/>
      <c r="J698" s="10"/>
      <c r="K698" s="10"/>
      <c r="L698" s="2"/>
      <c r="M698" s="2"/>
      <c r="N698" s="2"/>
      <c r="O698" s="2"/>
      <c r="P698" s="2"/>
      <c r="Q698" s="2"/>
      <c r="R698" s="852"/>
      <c r="S698" s="859"/>
      <c r="T698" s="107"/>
      <c r="U698" s="107"/>
      <c r="V698" s="107"/>
      <c r="W698" s="107"/>
      <c r="X698" s="107"/>
    </row>
    <row r="699">
      <c r="B699" s="846"/>
      <c r="C699" s="578"/>
      <c r="D699" s="10"/>
      <c r="F699" s="10"/>
      <c r="H699" s="10"/>
      <c r="I699" s="10"/>
      <c r="J699" s="10"/>
      <c r="K699" s="10"/>
      <c r="L699" s="2"/>
      <c r="M699" s="2"/>
      <c r="N699" s="2"/>
      <c r="O699" s="2"/>
      <c r="P699" s="2"/>
      <c r="Q699" s="2"/>
      <c r="R699" s="852"/>
      <c r="S699" s="859"/>
      <c r="T699" s="107"/>
      <c r="U699" s="107"/>
      <c r="V699" s="107"/>
      <c r="W699" s="107"/>
      <c r="X699" s="107"/>
    </row>
    <row r="700">
      <c r="B700" s="846"/>
      <c r="C700" s="578"/>
      <c r="D700" s="10"/>
      <c r="F700" s="10"/>
      <c r="H700" s="10"/>
      <c r="I700" s="10"/>
      <c r="J700" s="10"/>
      <c r="K700" s="10"/>
      <c r="L700" s="2"/>
      <c r="M700" s="2"/>
      <c r="N700" s="2"/>
      <c r="O700" s="2"/>
      <c r="P700" s="2"/>
      <c r="Q700" s="2"/>
      <c r="R700" s="852"/>
      <c r="S700" s="859"/>
      <c r="T700" s="107"/>
      <c r="U700" s="107"/>
      <c r="V700" s="107"/>
      <c r="W700" s="107"/>
      <c r="X700" s="107"/>
    </row>
    <row r="701">
      <c r="B701" s="846"/>
      <c r="C701" s="578"/>
      <c r="D701" s="10"/>
      <c r="F701" s="10"/>
      <c r="H701" s="10"/>
      <c r="I701" s="10"/>
      <c r="J701" s="10"/>
      <c r="K701" s="10"/>
      <c r="L701" s="2"/>
      <c r="M701" s="2"/>
      <c r="N701" s="2"/>
      <c r="O701" s="2"/>
      <c r="P701" s="2"/>
      <c r="Q701" s="2"/>
      <c r="R701" s="852"/>
      <c r="S701" s="859"/>
      <c r="T701" s="107"/>
      <c r="U701" s="107"/>
      <c r="V701" s="107"/>
      <c r="W701" s="107"/>
      <c r="X701" s="107"/>
    </row>
    <row r="702">
      <c r="B702" s="846"/>
      <c r="C702" s="578"/>
      <c r="D702" s="10"/>
      <c r="F702" s="10"/>
      <c r="H702" s="10"/>
      <c r="I702" s="10"/>
      <c r="J702" s="10"/>
      <c r="K702" s="10"/>
      <c r="L702" s="2"/>
      <c r="M702" s="2"/>
      <c r="N702" s="2"/>
      <c r="O702" s="2"/>
      <c r="P702" s="2"/>
      <c r="Q702" s="2"/>
      <c r="R702" s="852"/>
      <c r="S702" s="859"/>
      <c r="T702" s="107"/>
      <c r="U702" s="107"/>
      <c r="V702" s="107"/>
      <c r="W702" s="107"/>
      <c r="X702" s="107"/>
    </row>
    <row r="703">
      <c r="B703" s="846"/>
      <c r="C703" s="578"/>
      <c r="D703" s="10"/>
      <c r="F703" s="10"/>
      <c r="H703" s="10"/>
      <c r="I703" s="10"/>
      <c r="J703" s="10"/>
      <c r="K703" s="10"/>
      <c r="L703" s="2"/>
      <c r="M703" s="2"/>
      <c r="N703" s="2"/>
      <c r="O703" s="2"/>
      <c r="P703" s="2"/>
      <c r="Q703" s="2"/>
      <c r="R703" s="852"/>
      <c r="S703" s="859"/>
      <c r="T703" s="107"/>
      <c r="U703" s="107"/>
      <c r="V703" s="107"/>
      <c r="W703" s="107"/>
      <c r="X703" s="107"/>
    </row>
    <row r="704">
      <c r="B704" s="846"/>
      <c r="C704" s="578"/>
      <c r="D704" s="10"/>
      <c r="F704" s="10"/>
      <c r="H704" s="10"/>
      <c r="I704" s="10"/>
      <c r="J704" s="10"/>
      <c r="K704" s="10"/>
      <c r="L704" s="2"/>
      <c r="M704" s="2"/>
      <c r="N704" s="2"/>
      <c r="O704" s="2"/>
      <c r="P704" s="2"/>
      <c r="Q704" s="2"/>
      <c r="R704" s="852"/>
      <c r="S704" s="859"/>
      <c r="T704" s="107"/>
      <c r="U704" s="107"/>
      <c r="V704" s="107"/>
      <c r="W704" s="107"/>
      <c r="X704" s="107"/>
    </row>
    <row r="705">
      <c r="B705" s="846"/>
      <c r="C705" s="578"/>
      <c r="D705" s="10"/>
      <c r="F705" s="10"/>
      <c r="H705" s="10"/>
      <c r="I705" s="10"/>
      <c r="J705" s="10"/>
      <c r="K705" s="10"/>
      <c r="L705" s="2"/>
      <c r="M705" s="2"/>
      <c r="N705" s="2"/>
      <c r="O705" s="2"/>
      <c r="P705" s="2"/>
      <c r="Q705" s="2"/>
      <c r="R705" s="852"/>
      <c r="S705" s="859"/>
      <c r="T705" s="107"/>
      <c r="U705" s="107"/>
      <c r="V705" s="107"/>
      <c r="W705" s="107"/>
      <c r="X705" s="107"/>
    </row>
    <row r="706">
      <c r="B706" s="846"/>
      <c r="C706" s="578"/>
      <c r="D706" s="10"/>
      <c r="F706" s="10"/>
      <c r="H706" s="10"/>
      <c r="I706" s="10"/>
      <c r="J706" s="10"/>
      <c r="K706" s="10"/>
      <c r="L706" s="2"/>
      <c r="M706" s="2"/>
      <c r="N706" s="2"/>
      <c r="O706" s="2"/>
      <c r="P706" s="2"/>
      <c r="Q706" s="2"/>
      <c r="R706" s="852"/>
      <c r="S706" s="859"/>
      <c r="T706" s="107"/>
      <c r="U706" s="107"/>
      <c r="V706" s="107"/>
      <c r="W706" s="107"/>
      <c r="X706" s="107"/>
    </row>
    <row r="707">
      <c r="B707" s="846"/>
      <c r="C707" s="578"/>
      <c r="D707" s="10"/>
      <c r="F707" s="10"/>
      <c r="H707" s="10"/>
      <c r="I707" s="10"/>
      <c r="J707" s="10"/>
      <c r="K707" s="10"/>
      <c r="L707" s="2"/>
      <c r="M707" s="2"/>
      <c r="N707" s="2"/>
      <c r="O707" s="2"/>
      <c r="P707" s="2"/>
      <c r="Q707" s="2"/>
      <c r="R707" s="852"/>
      <c r="S707" s="859"/>
      <c r="T707" s="107"/>
      <c r="U707" s="107"/>
      <c r="V707" s="107"/>
      <c r="W707" s="107"/>
      <c r="X707" s="107"/>
    </row>
    <row r="708">
      <c r="B708" s="846"/>
      <c r="C708" s="578"/>
      <c r="D708" s="10"/>
      <c r="F708" s="10"/>
      <c r="H708" s="10"/>
      <c r="I708" s="10"/>
      <c r="J708" s="10"/>
      <c r="K708" s="10"/>
      <c r="L708" s="2"/>
      <c r="M708" s="2"/>
      <c r="N708" s="2"/>
      <c r="O708" s="2"/>
      <c r="P708" s="2"/>
      <c r="Q708" s="2"/>
      <c r="R708" s="857"/>
      <c r="S708" s="860"/>
      <c r="T708" s="107"/>
      <c r="U708" s="107"/>
      <c r="V708" s="107"/>
      <c r="W708" s="107"/>
      <c r="X708" s="107"/>
    </row>
    <row r="709">
      <c r="B709" s="846"/>
      <c r="C709" s="578"/>
      <c r="D709" s="10"/>
      <c r="F709" s="10"/>
      <c r="H709" s="10"/>
      <c r="I709" s="10"/>
      <c r="J709" s="10"/>
      <c r="K709" s="10"/>
      <c r="L709" s="2"/>
      <c r="M709" s="2"/>
      <c r="N709" s="2"/>
      <c r="O709" s="2"/>
      <c r="P709" s="2"/>
      <c r="Q709" s="2"/>
      <c r="R709" s="861"/>
      <c r="S709" s="111"/>
      <c r="T709" s="2"/>
      <c r="U709" s="2"/>
      <c r="V709" s="2"/>
      <c r="W709" s="2"/>
      <c r="X709" s="2"/>
    </row>
    <row r="710">
      <c r="B710" s="846"/>
      <c r="C710" s="578"/>
      <c r="D710" s="10"/>
      <c r="F710" s="10"/>
      <c r="H710" s="10"/>
      <c r="I710" s="10"/>
      <c r="J710" s="10"/>
      <c r="K710" s="10"/>
      <c r="L710" s="2"/>
      <c r="M710" s="2"/>
      <c r="N710" s="2"/>
      <c r="O710" s="2"/>
      <c r="P710" s="2"/>
      <c r="Q710" s="2"/>
      <c r="R710" s="861"/>
      <c r="S710" s="111"/>
      <c r="T710" s="2"/>
      <c r="U710" s="2"/>
      <c r="V710" s="2"/>
      <c r="W710" s="2"/>
      <c r="X710" s="2"/>
    </row>
    <row r="711">
      <c r="B711" s="846"/>
      <c r="C711" s="578"/>
      <c r="D711" s="10"/>
      <c r="F711" s="10"/>
      <c r="H711" s="10"/>
      <c r="I711" s="10"/>
      <c r="J711" s="10"/>
      <c r="K711" s="10"/>
      <c r="L711" s="2"/>
      <c r="M711" s="2"/>
      <c r="N711" s="2"/>
      <c r="O711" s="2"/>
      <c r="P711" s="2"/>
      <c r="Q711" s="2"/>
      <c r="R711" s="861"/>
      <c r="S711" s="111"/>
      <c r="T711" s="2"/>
      <c r="U711" s="2"/>
      <c r="V711" s="2"/>
      <c r="W711" s="2"/>
      <c r="X711" s="2"/>
    </row>
    <row r="712">
      <c r="B712" s="846"/>
      <c r="C712" s="578"/>
      <c r="D712" s="10"/>
      <c r="F712" s="10"/>
      <c r="H712" s="10"/>
      <c r="I712" s="10"/>
      <c r="J712" s="10"/>
      <c r="K712" s="10"/>
      <c r="L712" s="2"/>
      <c r="M712" s="2"/>
      <c r="N712" s="2"/>
      <c r="O712" s="2"/>
      <c r="P712" s="2"/>
      <c r="Q712" s="2"/>
      <c r="R712" s="861"/>
      <c r="S712" s="111"/>
      <c r="T712" s="2"/>
      <c r="U712" s="2"/>
      <c r="V712" s="2"/>
      <c r="W712" s="2"/>
      <c r="X712" s="2"/>
    </row>
    <row r="713">
      <c r="B713" s="846"/>
      <c r="C713" s="578"/>
      <c r="D713" s="10"/>
      <c r="F713" s="10"/>
      <c r="H713" s="10"/>
      <c r="I713" s="10"/>
      <c r="J713" s="10"/>
      <c r="K713" s="10"/>
      <c r="L713" s="2"/>
      <c r="M713" s="2"/>
      <c r="N713" s="2"/>
      <c r="O713" s="2"/>
      <c r="P713" s="2"/>
      <c r="Q713" s="2"/>
      <c r="R713" s="861"/>
      <c r="S713" s="111"/>
      <c r="T713" s="2"/>
      <c r="U713" s="2"/>
      <c r="V713" s="2"/>
      <c r="W713" s="2"/>
      <c r="X713" s="2"/>
    </row>
    <row r="714">
      <c r="B714" s="846"/>
      <c r="C714" s="578"/>
      <c r="D714" s="10"/>
      <c r="F714" s="10"/>
      <c r="H714" s="10"/>
      <c r="I714" s="10"/>
      <c r="J714" s="10"/>
      <c r="K714" s="10"/>
      <c r="L714" s="2"/>
      <c r="M714" s="2"/>
      <c r="N714" s="2"/>
      <c r="O714" s="2"/>
      <c r="P714" s="2"/>
      <c r="Q714" s="2"/>
      <c r="R714" s="862"/>
      <c r="S714" s="109"/>
      <c r="T714" s="2"/>
      <c r="U714" s="2"/>
      <c r="V714" s="2"/>
      <c r="W714" s="2"/>
      <c r="X714" s="2"/>
    </row>
    <row r="715">
      <c r="B715" s="846"/>
      <c r="C715" s="578"/>
      <c r="D715" s="10"/>
      <c r="F715" s="10"/>
      <c r="H715" s="10"/>
      <c r="I715" s="10"/>
      <c r="J715" s="10"/>
      <c r="K715" s="10"/>
      <c r="L715" s="2"/>
      <c r="M715" s="2"/>
      <c r="N715" s="2"/>
      <c r="O715" s="2"/>
      <c r="P715" s="2"/>
      <c r="Q715" s="2"/>
      <c r="R715" s="861"/>
      <c r="S715" s="111"/>
      <c r="T715" s="2"/>
      <c r="U715" s="2"/>
      <c r="V715" s="2"/>
      <c r="W715" s="2"/>
      <c r="X715" s="2"/>
    </row>
    <row r="716">
      <c r="B716" s="846"/>
      <c r="C716" s="578"/>
      <c r="D716" s="10"/>
      <c r="F716" s="10"/>
      <c r="H716" s="10"/>
      <c r="I716" s="10"/>
      <c r="J716" s="10"/>
      <c r="K716" s="10"/>
      <c r="L716" s="2"/>
      <c r="M716" s="2"/>
      <c r="N716" s="2"/>
      <c r="O716" s="2"/>
      <c r="P716" s="2"/>
      <c r="Q716" s="2"/>
      <c r="R716" s="861"/>
      <c r="S716" s="111"/>
      <c r="T716" s="2"/>
      <c r="U716" s="2"/>
      <c r="V716" s="2"/>
      <c r="W716" s="2"/>
      <c r="X716" s="2"/>
    </row>
    <row r="717">
      <c r="B717" s="846"/>
      <c r="C717" s="578"/>
      <c r="D717" s="10"/>
      <c r="F717" s="10"/>
      <c r="H717" s="10"/>
      <c r="I717" s="10"/>
      <c r="J717" s="10"/>
      <c r="K717" s="10"/>
      <c r="L717" s="2"/>
      <c r="M717" s="2"/>
      <c r="N717" s="2"/>
      <c r="O717" s="2"/>
      <c r="P717" s="2"/>
      <c r="Q717" s="2"/>
      <c r="R717" s="861"/>
      <c r="S717" s="111"/>
      <c r="T717" s="2"/>
      <c r="U717" s="2"/>
      <c r="V717" s="2"/>
      <c r="W717" s="2"/>
      <c r="X717" s="2"/>
    </row>
    <row r="718">
      <c r="B718" s="846"/>
      <c r="C718" s="578"/>
      <c r="D718" s="10"/>
      <c r="F718" s="10"/>
      <c r="H718" s="10"/>
      <c r="I718" s="10"/>
      <c r="J718" s="10"/>
      <c r="K718" s="10"/>
      <c r="L718" s="2"/>
      <c r="M718" s="2"/>
      <c r="N718" s="2"/>
      <c r="O718" s="2"/>
      <c r="P718" s="2"/>
      <c r="Q718" s="2"/>
      <c r="R718" s="861"/>
      <c r="S718" s="111"/>
      <c r="T718" s="2"/>
      <c r="U718" s="2"/>
      <c r="V718" s="2"/>
      <c r="W718" s="2"/>
      <c r="X718" s="2"/>
    </row>
    <row r="719">
      <c r="B719" s="846"/>
      <c r="C719" s="578"/>
      <c r="D719" s="10"/>
      <c r="F719" s="10"/>
      <c r="H719" s="10"/>
      <c r="I719" s="10"/>
      <c r="J719" s="10"/>
      <c r="K719" s="10"/>
      <c r="L719" s="2"/>
      <c r="M719" s="2"/>
      <c r="N719" s="2"/>
      <c r="O719" s="2"/>
      <c r="P719" s="2"/>
      <c r="Q719" s="2"/>
      <c r="R719" s="861"/>
      <c r="S719" s="111"/>
      <c r="T719" s="2"/>
      <c r="U719" s="2"/>
      <c r="V719" s="2"/>
      <c r="W719" s="2"/>
      <c r="X719" s="2"/>
    </row>
    <row r="720">
      <c r="B720" s="846"/>
      <c r="C720" s="578"/>
      <c r="D720" s="10"/>
      <c r="F720" s="10"/>
      <c r="H720" s="10"/>
      <c r="I720" s="10"/>
      <c r="J720" s="10"/>
      <c r="K720" s="10"/>
      <c r="L720" s="2"/>
      <c r="M720" s="2"/>
      <c r="N720" s="2"/>
      <c r="O720" s="2"/>
      <c r="P720" s="2"/>
      <c r="Q720" s="2"/>
      <c r="R720" s="861"/>
      <c r="S720" s="111"/>
      <c r="T720" s="2"/>
      <c r="U720" s="2"/>
      <c r="V720" s="2"/>
      <c r="W720" s="2"/>
      <c r="X720" s="2"/>
    </row>
    <row r="721">
      <c r="B721" s="846"/>
      <c r="C721" s="578"/>
      <c r="D721" s="10"/>
      <c r="F721" s="10"/>
      <c r="H721" s="10"/>
      <c r="I721" s="10"/>
      <c r="J721" s="10"/>
      <c r="K721" s="10"/>
      <c r="L721" s="2"/>
      <c r="M721" s="2"/>
      <c r="N721" s="2"/>
      <c r="O721" s="2"/>
      <c r="P721" s="2"/>
      <c r="Q721" s="2"/>
      <c r="R721" s="861"/>
      <c r="S721" s="111"/>
      <c r="T721" s="2"/>
      <c r="U721" s="2"/>
      <c r="V721" s="2"/>
      <c r="W721" s="2"/>
      <c r="X721" s="2"/>
    </row>
    <row r="722">
      <c r="B722" s="846"/>
      <c r="C722" s="578"/>
      <c r="D722" s="10"/>
      <c r="F722" s="10"/>
      <c r="H722" s="10"/>
      <c r="I722" s="10"/>
      <c r="J722" s="10"/>
      <c r="K722" s="10"/>
      <c r="L722" s="2"/>
      <c r="M722" s="2"/>
      <c r="N722" s="2"/>
      <c r="O722" s="2"/>
      <c r="P722" s="2"/>
      <c r="Q722" s="2"/>
      <c r="R722" s="861"/>
      <c r="S722" s="111"/>
      <c r="T722" s="2"/>
      <c r="U722" s="2"/>
      <c r="V722" s="2"/>
      <c r="W722" s="2"/>
      <c r="X722" s="2"/>
    </row>
    <row r="723">
      <c r="B723" s="846"/>
      <c r="C723" s="578"/>
      <c r="D723" s="10"/>
      <c r="F723" s="10"/>
      <c r="H723" s="10"/>
      <c r="I723" s="10"/>
      <c r="J723" s="10"/>
      <c r="K723" s="10"/>
      <c r="L723" s="2"/>
      <c r="M723" s="2"/>
      <c r="N723" s="2"/>
      <c r="O723" s="2"/>
      <c r="P723" s="2"/>
      <c r="Q723" s="2"/>
      <c r="R723" s="862"/>
      <c r="S723" s="109"/>
      <c r="T723" s="2"/>
      <c r="U723" s="2"/>
      <c r="V723" s="2"/>
      <c r="W723" s="2"/>
      <c r="X723" s="2"/>
    </row>
    <row r="724">
      <c r="B724" s="846"/>
      <c r="C724" s="578"/>
      <c r="D724" s="10"/>
      <c r="F724" s="10"/>
      <c r="H724" s="10"/>
      <c r="I724" s="10"/>
      <c r="J724" s="10"/>
      <c r="K724" s="10"/>
      <c r="L724" s="2"/>
      <c r="M724" s="2"/>
      <c r="N724" s="2"/>
      <c r="O724" s="2"/>
      <c r="P724" s="2"/>
      <c r="Q724" s="2"/>
      <c r="R724" s="862"/>
      <c r="S724" s="109"/>
      <c r="T724" s="54"/>
      <c r="U724" s="54"/>
      <c r="V724" s="54"/>
      <c r="W724" s="54"/>
      <c r="X724" s="54"/>
    </row>
    <row r="725">
      <c r="B725" s="846"/>
      <c r="C725" s="578"/>
      <c r="D725" s="10"/>
      <c r="F725" s="10"/>
      <c r="H725" s="10"/>
      <c r="I725" s="10"/>
      <c r="J725" s="10"/>
      <c r="K725" s="10"/>
      <c r="L725" s="2"/>
      <c r="M725" s="2"/>
      <c r="N725" s="2"/>
      <c r="O725" s="2"/>
      <c r="P725" s="2"/>
      <c r="Q725" s="2"/>
      <c r="R725" s="117"/>
      <c r="S725" s="2"/>
      <c r="T725" s="2"/>
      <c r="U725" s="2"/>
      <c r="V725" s="2"/>
      <c r="W725" s="2"/>
      <c r="X725" s="2"/>
    </row>
    <row r="726">
      <c r="B726" s="846"/>
      <c r="C726" s="578"/>
      <c r="D726" s="10"/>
      <c r="F726" s="10"/>
      <c r="H726" s="10"/>
      <c r="I726" s="10"/>
      <c r="J726" s="10"/>
      <c r="K726" s="10"/>
      <c r="L726" s="2"/>
      <c r="M726" s="2"/>
      <c r="N726" s="2"/>
      <c r="O726" s="2"/>
      <c r="P726" s="2"/>
      <c r="Q726" s="2"/>
      <c r="R726" s="117"/>
      <c r="S726" s="2"/>
      <c r="T726" s="2"/>
      <c r="U726" s="2"/>
      <c r="V726" s="2"/>
      <c r="W726" s="2"/>
      <c r="X726" s="2"/>
    </row>
    <row r="727">
      <c r="B727" s="846"/>
      <c r="C727" s="578"/>
      <c r="D727" s="10"/>
      <c r="F727" s="10"/>
      <c r="H727" s="10"/>
      <c r="I727" s="10"/>
      <c r="J727" s="10"/>
      <c r="K727" s="10"/>
      <c r="L727" s="2"/>
      <c r="M727" s="2"/>
      <c r="N727" s="2"/>
      <c r="O727" s="2"/>
      <c r="P727" s="2"/>
      <c r="Q727" s="2"/>
      <c r="R727" s="847"/>
      <c r="S727" s="847"/>
      <c r="T727" s="116"/>
      <c r="U727" s="116"/>
      <c r="V727" s="116"/>
      <c r="W727" s="116"/>
      <c r="X727" s="116"/>
    </row>
    <row r="728">
      <c r="B728" s="846"/>
      <c r="C728" s="578"/>
      <c r="D728" s="10"/>
      <c r="F728" s="10"/>
      <c r="H728" s="10"/>
      <c r="I728" s="10"/>
      <c r="J728" s="10"/>
      <c r="K728" s="10"/>
      <c r="L728" s="2"/>
      <c r="M728" s="2"/>
      <c r="N728" s="2"/>
      <c r="O728" s="2"/>
      <c r="P728" s="2"/>
      <c r="Q728" s="2"/>
      <c r="R728" s="848"/>
      <c r="S728" s="848"/>
      <c r="T728" s="848"/>
      <c r="U728" s="848"/>
      <c r="V728" s="848"/>
      <c r="W728" s="848"/>
      <c r="X728" s="848"/>
    </row>
    <row r="729">
      <c r="B729" s="846"/>
      <c r="C729" s="578"/>
      <c r="D729" s="10"/>
      <c r="F729" s="10"/>
      <c r="H729" s="10"/>
      <c r="I729" s="10"/>
      <c r="J729" s="10"/>
      <c r="K729" s="10"/>
      <c r="L729" s="2"/>
      <c r="M729" s="2"/>
      <c r="N729" s="2"/>
      <c r="O729" s="2"/>
      <c r="P729" s="2"/>
      <c r="Q729" s="2"/>
      <c r="R729" s="849"/>
      <c r="S729" s="850"/>
      <c r="T729" s="851"/>
      <c r="U729" s="851"/>
      <c r="V729" s="851"/>
      <c r="W729" s="851"/>
      <c r="X729" s="851"/>
    </row>
    <row r="730">
      <c r="B730" s="846"/>
      <c r="C730" s="578"/>
      <c r="D730" s="10"/>
      <c r="F730" s="10"/>
      <c r="H730" s="10"/>
      <c r="I730" s="10"/>
      <c r="J730" s="10"/>
      <c r="K730" s="10"/>
      <c r="L730" s="2"/>
      <c r="M730" s="2"/>
      <c r="N730" s="2"/>
      <c r="O730" s="2"/>
      <c r="P730" s="2"/>
      <c r="Q730" s="2"/>
      <c r="R730" s="852"/>
      <c r="S730" s="853"/>
      <c r="T730" s="854"/>
      <c r="U730" s="854"/>
      <c r="V730" s="854"/>
      <c r="W730" s="854"/>
      <c r="X730" s="854"/>
    </row>
    <row r="731">
      <c r="B731" s="846"/>
      <c r="C731" s="578"/>
      <c r="D731" s="10"/>
      <c r="F731" s="10"/>
      <c r="H731" s="10"/>
      <c r="I731" s="10"/>
      <c r="J731" s="10"/>
      <c r="K731" s="10"/>
      <c r="L731" s="2"/>
      <c r="M731" s="2"/>
      <c r="N731" s="2"/>
      <c r="O731" s="2"/>
      <c r="P731" s="2"/>
      <c r="Q731" s="2"/>
      <c r="R731" s="855"/>
      <c r="S731" s="856"/>
      <c r="T731" s="854"/>
      <c r="U731" s="854"/>
      <c r="V731" s="854"/>
      <c r="W731" s="854"/>
      <c r="X731" s="854"/>
    </row>
    <row r="732">
      <c r="B732" s="846"/>
      <c r="C732" s="578"/>
      <c r="D732" s="10"/>
      <c r="F732" s="10"/>
      <c r="H732" s="10"/>
      <c r="I732" s="10"/>
      <c r="J732" s="10"/>
      <c r="K732" s="10"/>
      <c r="L732" s="2"/>
      <c r="M732" s="2"/>
      <c r="N732" s="2"/>
      <c r="O732" s="2"/>
      <c r="P732" s="2"/>
      <c r="Q732" s="2"/>
      <c r="R732" s="855"/>
      <c r="S732" s="856"/>
      <c r="T732" s="854"/>
      <c r="U732" s="854"/>
      <c r="V732" s="854"/>
      <c r="W732" s="854"/>
      <c r="X732" s="854"/>
    </row>
    <row r="733">
      <c r="B733" s="846"/>
      <c r="C733" s="578"/>
      <c r="D733" s="10"/>
      <c r="F733" s="10"/>
      <c r="H733" s="10"/>
      <c r="I733" s="10"/>
      <c r="J733" s="10"/>
      <c r="K733" s="10"/>
      <c r="L733" s="2"/>
      <c r="M733" s="2"/>
      <c r="N733" s="2"/>
      <c r="O733" s="2"/>
      <c r="P733" s="2"/>
      <c r="Q733" s="2"/>
      <c r="R733" s="852"/>
      <c r="S733" s="853"/>
      <c r="T733" s="854"/>
      <c r="U733" s="854"/>
      <c r="V733" s="854"/>
      <c r="W733" s="854"/>
      <c r="X733" s="854"/>
    </row>
    <row r="734">
      <c r="B734" s="846"/>
      <c r="C734" s="578"/>
      <c r="D734" s="10"/>
      <c r="F734" s="10"/>
      <c r="H734" s="10"/>
      <c r="I734" s="10"/>
      <c r="J734" s="10"/>
      <c r="K734" s="10"/>
      <c r="L734" s="2"/>
      <c r="M734" s="2"/>
      <c r="N734" s="2"/>
      <c r="O734" s="2"/>
      <c r="P734" s="2"/>
      <c r="Q734" s="2"/>
      <c r="R734" s="857"/>
      <c r="S734" s="858"/>
      <c r="T734" s="854"/>
      <c r="U734" s="854"/>
      <c r="V734" s="854"/>
      <c r="W734" s="854"/>
      <c r="X734" s="854"/>
    </row>
    <row r="735">
      <c r="B735" s="846"/>
      <c r="C735" s="578"/>
      <c r="D735" s="10"/>
      <c r="F735" s="10"/>
      <c r="H735" s="10"/>
      <c r="I735" s="10"/>
      <c r="J735" s="10"/>
      <c r="K735" s="10"/>
      <c r="L735" s="2"/>
      <c r="M735" s="2"/>
      <c r="N735" s="2"/>
      <c r="O735" s="2"/>
      <c r="P735" s="2"/>
      <c r="Q735" s="2"/>
      <c r="R735" s="857"/>
      <c r="S735" s="858"/>
      <c r="T735" s="854"/>
      <c r="U735" s="854"/>
      <c r="V735" s="854"/>
      <c r="W735" s="854"/>
      <c r="X735" s="854"/>
    </row>
    <row r="736">
      <c r="B736" s="846"/>
      <c r="C736" s="578"/>
      <c r="D736" s="10"/>
      <c r="F736" s="10"/>
      <c r="H736" s="10"/>
      <c r="I736" s="10"/>
      <c r="J736" s="10"/>
      <c r="K736" s="10"/>
      <c r="L736" s="2"/>
      <c r="M736" s="2"/>
      <c r="N736" s="2"/>
      <c r="O736" s="2"/>
      <c r="P736" s="2"/>
      <c r="Q736" s="2"/>
      <c r="R736" s="857"/>
      <c r="S736" s="858"/>
      <c r="T736" s="854"/>
      <c r="U736" s="854"/>
      <c r="V736" s="854"/>
      <c r="W736" s="854"/>
      <c r="X736" s="854"/>
    </row>
    <row r="737">
      <c r="B737" s="846"/>
      <c r="C737" s="578"/>
      <c r="D737" s="10"/>
      <c r="F737" s="10"/>
      <c r="H737" s="10"/>
      <c r="I737" s="10"/>
      <c r="J737" s="10"/>
      <c r="K737" s="10"/>
      <c r="L737" s="2"/>
      <c r="M737" s="2"/>
      <c r="N737" s="2"/>
      <c r="O737" s="2"/>
      <c r="P737" s="2"/>
      <c r="Q737" s="2"/>
      <c r="R737" s="852"/>
      <c r="S737" s="853"/>
      <c r="T737" s="854"/>
      <c r="U737" s="854"/>
      <c r="V737" s="854"/>
      <c r="W737" s="854"/>
      <c r="X737" s="854"/>
    </row>
    <row r="738">
      <c r="B738" s="846"/>
      <c r="C738" s="578"/>
      <c r="D738" s="10"/>
      <c r="F738" s="10"/>
      <c r="H738" s="10"/>
      <c r="I738" s="10"/>
      <c r="J738" s="10"/>
      <c r="K738" s="10"/>
      <c r="L738" s="2"/>
      <c r="M738" s="2"/>
      <c r="N738" s="2"/>
      <c r="O738" s="2"/>
      <c r="P738" s="2"/>
      <c r="Q738" s="2"/>
      <c r="R738" s="852"/>
      <c r="S738" s="853"/>
      <c r="T738" s="854"/>
      <c r="U738" s="854"/>
      <c r="V738" s="854"/>
      <c r="W738" s="854"/>
      <c r="X738" s="854"/>
    </row>
    <row r="739">
      <c r="B739" s="846"/>
      <c r="C739" s="578"/>
      <c r="D739" s="10"/>
      <c r="F739" s="10"/>
      <c r="H739" s="10"/>
      <c r="I739" s="10"/>
      <c r="J739" s="10"/>
      <c r="K739" s="10"/>
      <c r="L739" s="2"/>
      <c r="M739" s="2"/>
      <c r="N739" s="2"/>
      <c r="O739" s="2"/>
      <c r="P739" s="2"/>
      <c r="Q739" s="2"/>
      <c r="R739" s="852"/>
      <c r="S739" s="853"/>
      <c r="T739" s="854"/>
      <c r="U739" s="854"/>
      <c r="V739" s="854"/>
      <c r="W739" s="854"/>
      <c r="X739" s="854"/>
    </row>
    <row r="740">
      <c r="B740" s="846"/>
      <c r="C740" s="578"/>
      <c r="D740" s="10"/>
      <c r="F740" s="10"/>
      <c r="H740" s="10"/>
      <c r="I740" s="10"/>
      <c r="J740" s="10"/>
      <c r="K740" s="10"/>
      <c r="L740" s="2"/>
      <c r="M740" s="2"/>
      <c r="N740" s="2"/>
      <c r="O740" s="2"/>
      <c r="P740" s="2"/>
      <c r="Q740" s="2"/>
      <c r="R740" s="852"/>
      <c r="S740" s="853"/>
      <c r="T740" s="854"/>
      <c r="U740" s="854"/>
      <c r="V740" s="854"/>
      <c r="W740" s="854"/>
      <c r="X740" s="854"/>
    </row>
    <row r="741">
      <c r="B741" s="846"/>
      <c r="C741" s="578"/>
      <c r="D741" s="10"/>
      <c r="F741" s="10"/>
      <c r="H741" s="10"/>
      <c r="I741" s="10"/>
      <c r="J741" s="10"/>
      <c r="K741" s="10"/>
      <c r="L741" s="2"/>
      <c r="M741" s="2"/>
      <c r="N741" s="2"/>
      <c r="O741" s="2"/>
      <c r="P741" s="2"/>
      <c r="Q741" s="2"/>
      <c r="R741" s="852"/>
      <c r="S741" s="859"/>
      <c r="T741" s="107"/>
      <c r="U741" s="107"/>
      <c r="V741" s="107"/>
      <c r="W741" s="107"/>
      <c r="X741" s="107"/>
    </row>
    <row r="742">
      <c r="B742" s="846"/>
      <c r="C742" s="578"/>
      <c r="D742" s="10"/>
      <c r="F742" s="10"/>
      <c r="H742" s="10"/>
      <c r="I742" s="10"/>
      <c r="J742" s="10"/>
      <c r="K742" s="10"/>
      <c r="L742" s="2"/>
      <c r="M742" s="2"/>
      <c r="N742" s="2"/>
      <c r="O742" s="2"/>
      <c r="P742" s="2"/>
      <c r="Q742" s="2"/>
      <c r="R742" s="852"/>
      <c r="S742" s="859"/>
      <c r="T742" s="107"/>
      <c r="U742" s="107"/>
      <c r="V742" s="107"/>
      <c r="W742" s="107"/>
      <c r="X742" s="107"/>
    </row>
    <row r="743">
      <c r="B743" s="846"/>
      <c r="C743" s="578"/>
      <c r="D743" s="10"/>
      <c r="F743" s="10"/>
      <c r="H743" s="10"/>
      <c r="I743" s="10"/>
      <c r="J743" s="10"/>
      <c r="K743" s="10"/>
      <c r="L743" s="2"/>
      <c r="M743" s="2"/>
      <c r="N743" s="2"/>
      <c r="O743" s="2"/>
      <c r="P743" s="2"/>
      <c r="Q743" s="2"/>
      <c r="R743" s="852"/>
      <c r="S743" s="859"/>
      <c r="T743" s="107"/>
      <c r="U743" s="107"/>
      <c r="V743" s="107"/>
      <c r="W743" s="107"/>
      <c r="X743" s="107"/>
    </row>
    <row r="744">
      <c r="B744" s="846"/>
      <c r="C744" s="578"/>
      <c r="D744" s="10"/>
      <c r="F744" s="10"/>
      <c r="H744" s="10"/>
      <c r="I744" s="10"/>
      <c r="J744" s="10"/>
      <c r="K744" s="10"/>
      <c r="L744" s="2"/>
      <c r="M744" s="2"/>
      <c r="N744" s="2"/>
      <c r="O744" s="2"/>
      <c r="P744" s="2"/>
      <c r="Q744" s="2"/>
      <c r="R744" s="852"/>
      <c r="S744" s="859"/>
      <c r="T744" s="107"/>
      <c r="U744" s="107"/>
      <c r="V744" s="107"/>
      <c r="W744" s="107"/>
      <c r="X744" s="107"/>
    </row>
    <row r="745">
      <c r="B745" s="846"/>
      <c r="C745" s="578"/>
      <c r="D745" s="10"/>
      <c r="F745" s="10"/>
      <c r="H745" s="10"/>
      <c r="I745" s="10"/>
      <c r="J745" s="10"/>
      <c r="K745" s="10"/>
      <c r="L745" s="2"/>
      <c r="M745" s="2"/>
      <c r="N745" s="2"/>
      <c r="O745" s="2"/>
      <c r="P745" s="2"/>
      <c r="Q745" s="2"/>
      <c r="R745" s="852"/>
      <c r="S745" s="859"/>
      <c r="T745" s="107"/>
      <c r="U745" s="107"/>
      <c r="V745" s="107"/>
      <c r="W745" s="107"/>
      <c r="X745" s="107"/>
    </row>
    <row r="746">
      <c r="B746" s="846"/>
      <c r="C746" s="578"/>
      <c r="D746" s="10"/>
      <c r="F746" s="10"/>
      <c r="H746" s="10"/>
      <c r="I746" s="10"/>
      <c r="J746" s="10"/>
      <c r="K746" s="10"/>
      <c r="L746" s="2"/>
      <c r="M746" s="2"/>
      <c r="N746" s="2"/>
      <c r="O746" s="2"/>
      <c r="P746" s="2"/>
      <c r="Q746" s="2"/>
      <c r="R746" s="852"/>
      <c r="S746" s="859"/>
      <c r="T746" s="107"/>
      <c r="U746" s="107"/>
      <c r="V746" s="107"/>
      <c r="W746" s="107"/>
      <c r="X746" s="107"/>
    </row>
    <row r="747">
      <c r="B747" s="846"/>
      <c r="C747" s="578"/>
      <c r="D747" s="10"/>
      <c r="F747" s="10"/>
      <c r="H747" s="10"/>
      <c r="I747" s="10"/>
      <c r="J747" s="10"/>
      <c r="K747" s="10"/>
      <c r="L747" s="2"/>
      <c r="M747" s="2"/>
      <c r="N747" s="2"/>
      <c r="O747" s="2"/>
      <c r="P747" s="2"/>
      <c r="Q747" s="2"/>
      <c r="R747" s="852"/>
      <c r="S747" s="859"/>
      <c r="T747" s="107"/>
      <c r="U747" s="107"/>
      <c r="V747" s="107"/>
      <c r="W747" s="107"/>
      <c r="X747" s="107"/>
    </row>
    <row r="748">
      <c r="B748" s="846"/>
      <c r="C748" s="578"/>
      <c r="D748" s="10"/>
      <c r="F748" s="10"/>
      <c r="H748" s="10"/>
      <c r="I748" s="10"/>
      <c r="J748" s="10"/>
      <c r="K748" s="10"/>
      <c r="L748" s="2"/>
      <c r="M748" s="2"/>
      <c r="N748" s="2"/>
      <c r="O748" s="2"/>
      <c r="P748" s="2"/>
      <c r="Q748" s="2"/>
      <c r="R748" s="852"/>
      <c r="S748" s="859"/>
      <c r="T748" s="107"/>
      <c r="U748" s="107"/>
      <c r="V748" s="107"/>
      <c r="W748" s="107"/>
      <c r="X748" s="107"/>
    </row>
    <row r="749">
      <c r="B749" s="846"/>
      <c r="C749" s="578"/>
      <c r="D749" s="10"/>
      <c r="F749" s="10"/>
      <c r="H749" s="10"/>
      <c r="I749" s="10"/>
      <c r="J749" s="10"/>
      <c r="K749" s="10"/>
      <c r="L749" s="2"/>
      <c r="M749" s="2"/>
      <c r="N749" s="2"/>
      <c r="O749" s="2"/>
      <c r="P749" s="2"/>
      <c r="Q749" s="2"/>
      <c r="R749" s="852"/>
      <c r="S749" s="859"/>
      <c r="T749" s="107"/>
      <c r="U749" s="107"/>
      <c r="V749" s="107"/>
      <c r="W749" s="107"/>
      <c r="X749" s="107"/>
    </row>
    <row r="750">
      <c r="B750" s="846"/>
      <c r="C750" s="578"/>
      <c r="D750" s="10"/>
      <c r="F750" s="10"/>
      <c r="H750" s="10"/>
      <c r="I750" s="10"/>
      <c r="J750" s="10"/>
      <c r="K750" s="10"/>
      <c r="L750" s="2"/>
      <c r="M750" s="2"/>
      <c r="N750" s="2"/>
      <c r="O750" s="2"/>
      <c r="P750" s="2"/>
      <c r="Q750" s="2"/>
      <c r="R750" s="852"/>
      <c r="S750" s="859"/>
      <c r="T750" s="107"/>
      <c r="U750" s="107"/>
      <c r="V750" s="107"/>
      <c r="W750" s="107"/>
      <c r="X750" s="107"/>
    </row>
    <row r="751">
      <c r="B751" s="846"/>
      <c r="C751" s="578"/>
      <c r="D751" s="10"/>
      <c r="F751" s="10"/>
      <c r="H751" s="10"/>
      <c r="I751" s="10"/>
      <c r="J751" s="10"/>
      <c r="K751" s="10"/>
      <c r="L751" s="2"/>
      <c r="M751" s="2"/>
      <c r="N751" s="2"/>
      <c r="O751" s="2"/>
      <c r="P751" s="2"/>
      <c r="Q751" s="2"/>
      <c r="R751" s="857"/>
      <c r="S751" s="860"/>
      <c r="T751" s="107"/>
      <c r="U751" s="107"/>
      <c r="V751" s="107"/>
      <c r="W751" s="107"/>
      <c r="X751" s="107"/>
    </row>
    <row r="752">
      <c r="B752" s="846"/>
      <c r="C752" s="578"/>
      <c r="D752" s="10"/>
      <c r="F752" s="10"/>
      <c r="H752" s="10"/>
      <c r="I752" s="10"/>
      <c r="J752" s="10"/>
      <c r="K752" s="10"/>
      <c r="L752" s="2"/>
      <c r="M752" s="2"/>
      <c r="N752" s="2"/>
      <c r="O752" s="2"/>
      <c r="P752" s="2"/>
      <c r="Q752" s="2"/>
      <c r="R752" s="861"/>
      <c r="S752" s="111"/>
      <c r="T752" s="2"/>
      <c r="U752" s="2"/>
      <c r="V752" s="2"/>
      <c r="W752" s="2"/>
      <c r="X752" s="2"/>
    </row>
    <row r="753">
      <c r="B753" s="846"/>
      <c r="C753" s="578"/>
      <c r="D753" s="10"/>
      <c r="F753" s="10"/>
      <c r="H753" s="10"/>
      <c r="I753" s="10"/>
      <c r="J753" s="10"/>
      <c r="K753" s="10"/>
      <c r="L753" s="2"/>
      <c r="M753" s="2"/>
      <c r="N753" s="2"/>
      <c r="O753" s="2"/>
      <c r="P753" s="2"/>
      <c r="Q753" s="2"/>
      <c r="R753" s="861"/>
      <c r="S753" s="111"/>
      <c r="T753" s="2"/>
      <c r="U753" s="2"/>
      <c r="V753" s="2"/>
      <c r="W753" s="2"/>
      <c r="X753" s="2"/>
    </row>
    <row r="754">
      <c r="B754" s="846"/>
      <c r="C754" s="578"/>
      <c r="D754" s="10"/>
      <c r="F754" s="10"/>
      <c r="H754" s="10"/>
      <c r="I754" s="10"/>
      <c r="J754" s="10"/>
      <c r="K754" s="10"/>
      <c r="L754" s="2"/>
      <c r="M754" s="2"/>
      <c r="N754" s="2"/>
      <c r="O754" s="2"/>
      <c r="P754" s="2"/>
      <c r="Q754" s="2"/>
      <c r="R754" s="861"/>
      <c r="S754" s="111"/>
      <c r="T754" s="2"/>
      <c r="U754" s="2"/>
      <c r="V754" s="2"/>
      <c r="W754" s="2"/>
      <c r="X754" s="2"/>
    </row>
    <row r="755">
      <c r="B755" s="846"/>
      <c r="C755" s="578"/>
      <c r="D755" s="10"/>
      <c r="F755" s="10"/>
      <c r="H755" s="10"/>
      <c r="I755" s="10"/>
      <c r="J755" s="10"/>
      <c r="K755" s="10"/>
      <c r="L755" s="2"/>
      <c r="M755" s="2"/>
      <c r="N755" s="2"/>
      <c r="O755" s="2"/>
      <c r="P755" s="2"/>
      <c r="Q755" s="2"/>
      <c r="R755" s="861"/>
      <c r="S755" s="111"/>
      <c r="T755" s="2"/>
      <c r="U755" s="2"/>
      <c r="V755" s="2"/>
      <c r="W755" s="2"/>
      <c r="X755" s="2"/>
    </row>
    <row r="756">
      <c r="B756" s="846"/>
      <c r="C756" s="578"/>
      <c r="D756" s="10"/>
      <c r="F756" s="10"/>
      <c r="H756" s="10"/>
      <c r="I756" s="10"/>
      <c r="J756" s="10"/>
      <c r="K756" s="10"/>
      <c r="L756" s="2"/>
      <c r="M756" s="2"/>
      <c r="N756" s="2"/>
      <c r="O756" s="2"/>
      <c r="P756" s="2"/>
      <c r="Q756" s="2"/>
      <c r="R756" s="861"/>
      <c r="S756" s="111"/>
      <c r="T756" s="2"/>
      <c r="U756" s="2"/>
      <c r="V756" s="2"/>
      <c r="W756" s="2"/>
      <c r="X756" s="2"/>
    </row>
    <row r="757">
      <c r="B757" s="846"/>
      <c r="C757" s="578"/>
      <c r="D757" s="10"/>
      <c r="F757" s="10"/>
      <c r="H757" s="10"/>
      <c r="I757" s="10"/>
      <c r="J757" s="10"/>
      <c r="K757" s="10"/>
      <c r="L757" s="2"/>
      <c r="M757" s="2"/>
      <c r="N757" s="2"/>
      <c r="O757" s="2"/>
      <c r="P757" s="2"/>
      <c r="Q757" s="2"/>
      <c r="R757" s="862"/>
      <c r="S757" s="109"/>
      <c r="T757" s="2"/>
      <c r="U757" s="2"/>
      <c r="V757" s="2"/>
      <c r="W757" s="2"/>
      <c r="X757" s="2"/>
    </row>
    <row r="758">
      <c r="B758" s="846"/>
      <c r="C758" s="578"/>
      <c r="D758" s="10"/>
      <c r="F758" s="10"/>
      <c r="H758" s="10"/>
      <c r="I758" s="10"/>
      <c r="J758" s="10"/>
      <c r="K758" s="10"/>
      <c r="L758" s="2"/>
      <c r="M758" s="2"/>
      <c r="N758" s="2"/>
      <c r="O758" s="2"/>
      <c r="P758" s="2"/>
      <c r="Q758" s="2"/>
      <c r="R758" s="861"/>
      <c r="S758" s="111"/>
      <c r="T758" s="2"/>
      <c r="U758" s="2"/>
      <c r="V758" s="2"/>
      <c r="W758" s="2"/>
      <c r="X758" s="2"/>
    </row>
    <row r="759">
      <c r="B759" s="846"/>
      <c r="C759" s="578"/>
      <c r="D759" s="10"/>
      <c r="F759" s="10"/>
      <c r="H759" s="10"/>
      <c r="I759" s="10"/>
      <c r="J759" s="10"/>
      <c r="K759" s="10"/>
      <c r="L759" s="2"/>
      <c r="M759" s="2"/>
      <c r="N759" s="2"/>
      <c r="O759" s="2"/>
      <c r="P759" s="2"/>
      <c r="Q759" s="2"/>
      <c r="R759" s="861"/>
      <c r="S759" s="111"/>
      <c r="T759" s="2"/>
      <c r="U759" s="2"/>
      <c r="V759" s="2"/>
      <c r="W759" s="2"/>
      <c r="X759" s="2"/>
    </row>
    <row r="760">
      <c r="B760" s="846"/>
      <c r="C760" s="578"/>
      <c r="D760" s="10"/>
      <c r="F760" s="10"/>
      <c r="H760" s="10"/>
      <c r="I760" s="10"/>
      <c r="J760" s="10"/>
      <c r="K760" s="10"/>
      <c r="L760" s="2"/>
      <c r="M760" s="2"/>
      <c r="N760" s="2"/>
      <c r="O760" s="2"/>
      <c r="P760" s="2"/>
      <c r="Q760" s="2"/>
      <c r="R760" s="861"/>
      <c r="S760" s="111"/>
      <c r="T760" s="2"/>
      <c r="U760" s="2"/>
      <c r="V760" s="2"/>
      <c r="W760" s="2"/>
      <c r="X760" s="2"/>
    </row>
    <row r="761">
      <c r="B761" s="846"/>
      <c r="C761" s="578"/>
      <c r="D761" s="10"/>
      <c r="F761" s="10"/>
      <c r="H761" s="10"/>
      <c r="I761" s="10"/>
      <c r="J761" s="10"/>
      <c r="K761" s="10"/>
      <c r="L761" s="2"/>
      <c r="M761" s="2"/>
      <c r="N761" s="2"/>
      <c r="O761" s="2"/>
      <c r="P761" s="2"/>
      <c r="Q761" s="2"/>
      <c r="R761" s="861"/>
      <c r="S761" s="111"/>
      <c r="T761" s="2"/>
      <c r="U761" s="2"/>
      <c r="V761" s="2"/>
      <c r="W761" s="2"/>
      <c r="X761" s="2"/>
    </row>
    <row r="762">
      <c r="B762" s="846"/>
      <c r="C762" s="578"/>
      <c r="D762" s="10"/>
      <c r="F762" s="10"/>
      <c r="H762" s="10"/>
      <c r="I762" s="10"/>
      <c r="J762" s="10"/>
      <c r="K762" s="10"/>
      <c r="L762" s="2"/>
      <c r="M762" s="2"/>
      <c r="N762" s="2"/>
      <c r="O762" s="2"/>
      <c r="P762" s="2"/>
      <c r="Q762" s="2"/>
      <c r="R762" s="861"/>
      <c r="S762" s="111"/>
      <c r="T762" s="2"/>
      <c r="U762" s="2"/>
      <c r="V762" s="2"/>
      <c r="W762" s="2"/>
      <c r="X762" s="2"/>
    </row>
    <row r="763">
      <c r="B763" s="846"/>
      <c r="C763" s="578"/>
      <c r="D763" s="10"/>
      <c r="F763" s="10"/>
      <c r="H763" s="10"/>
      <c r="I763" s="10"/>
      <c r="J763" s="10"/>
      <c r="K763" s="10"/>
      <c r="L763" s="2"/>
      <c r="M763" s="2"/>
      <c r="N763" s="2"/>
      <c r="O763" s="2"/>
      <c r="P763" s="2"/>
      <c r="Q763" s="2"/>
      <c r="R763" s="861"/>
      <c r="S763" s="111"/>
      <c r="T763" s="2"/>
      <c r="U763" s="2"/>
      <c r="V763" s="2"/>
      <c r="W763" s="2"/>
      <c r="X763" s="2"/>
    </row>
    <row r="764">
      <c r="B764" s="846"/>
      <c r="C764" s="578"/>
      <c r="D764" s="10"/>
      <c r="F764" s="10"/>
      <c r="H764" s="10"/>
      <c r="I764" s="10"/>
      <c r="J764" s="10"/>
      <c r="K764" s="10"/>
      <c r="L764" s="2"/>
      <c r="M764" s="2"/>
      <c r="N764" s="2"/>
      <c r="O764" s="2"/>
      <c r="P764" s="2"/>
      <c r="Q764" s="2"/>
      <c r="R764" s="861"/>
      <c r="S764" s="111"/>
      <c r="T764" s="2"/>
      <c r="U764" s="2"/>
      <c r="V764" s="2"/>
      <c r="W764" s="2"/>
      <c r="X764" s="2"/>
    </row>
    <row r="765">
      <c r="B765" s="846"/>
      <c r="C765" s="578"/>
      <c r="D765" s="10"/>
      <c r="F765" s="10"/>
      <c r="H765" s="10"/>
      <c r="I765" s="10"/>
      <c r="J765" s="10"/>
      <c r="K765" s="10"/>
      <c r="L765" s="2"/>
      <c r="M765" s="2"/>
      <c r="N765" s="2"/>
      <c r="O765" s="2"/>
      <c r="P765" s="2"/>
      <c r="Q765" s="2"/>
      <c r="R765" s="861"/>
      <c r="S765" s="111"/>
      <c r="T765" s="2"/>
      <c r="U765" s="2"/>
      <c r="V765" s="2"/>
      <c r="W765" s="2"/>
      <c r="X765" s="2"/>
    </row>
    <row r="766">
      <c r="B766" s="846"/>
      <c r="C766" s="578"/>
      <c r="D766" s="10"/>
      <c r="F766" s="10"/>
      <c r="H766" s="10"/>
      <c r="I766" s="10"/>
      <c r="J766" s="10"/>
      <c r="K766" s="10"/>
      <c r="L766" s="2"/>
      <c r="M766" s="2"/>
      <c r="N766" s="2"/>
      <c r="O766" s="2"/>
      <c r="P766" s="2"/>
      <c r="Q766" s="2"/>
      <c r="R766" s="862"/>
      <c r="S766" s="109"/>
      <c r="T766" s="2"/>
      <c r="U766" s="2"/>
      <c r="V766" s="2"/>
      <c r="W766" s="2"/>
      <c r="X766" s="2"/>
    </row>
    <row r="767">
      <c r="B767" s="846"/>
      <c r="C767" s="578"/>
      <c r="D767" s="10"/>
      <c r="F767" s="10"/>
      <c r="H767" s="10"/>
      <c r="I767" s="10"/>
      <c r="J767" s="10"/>
      <c r="K767" s="10"/>
      <c r="L767" s="2"/>
      <c r="M767" s="2"/>
      <c r="N767" s="2"/>
      <c r="O767" s="2"/>
      <c r="P767" s="2"/>
      <c r="Q767" s="2"/>
      <c r="R767" s="862"/>
      <c r="S767" s="109"/>
      <c r="T767" s="54"/>
      <c r="U767" s="54"/>
      <c r="V767" s="54"/>
      <c r="W767" s="54"/>
      <c r="X767" s="54"/>
    </row>
    <row r="768">
      <c r="B768" s="846"/>
      <c r="C768" s="578"/>
      <c r="D768" s="10"/>
      <c r="F768" s="10"/>
      <c r="H768" s="10"/>
      <c r="I768" s="10"/>
      <c r="J768" s="10"/>
      <c r="K768" s="10"/>
      <c r="L768" s="2"/>
      <c r="M768" s="2"/>
      <c r="N768" s="2"/>
      <c r="O768" s="2"/>
      <c r="P768" s="2"/>
      <c r="Q768" s="2"/>
      <c r="R768" s="117"/>
      <c r="S768" s="2"/>
      <c r="T768" s="2"/>
      <c r="U768" s="2"/>
      <c r="V768" s="2"/>
      <c r="W768" s="2"/>
      <c r="X768" s="2"/>
    </row>
    <row r="769">
      <c r="B769" s="846"/>
      <c r="C769" s="578"/>
      <c r="D769" s="10"/>
      <c r="F769" s="10"/>
      <c r="H769" s="10"/>
      <c r="I769" s="10"/>
      <c r="J769" s="10"/>
      <c r="K769" s="10"/>
      <c r="L769" s="2"/>
      <c r="M769" s="2"/>
      <c r="N769" s="2"/>
      <c r="O769" s="2"/>
      <c r="P769" s="2"/>
      <c r="Q769" s="2"/>
      <c r="R769" s="117"/>
      <c r="S769" s="2"/>
      <c r="T769" s="2"/>
      <c r="U769" s="2"/>
      <c r="V769" s="2"/>
      <c r="W769" s="2"/>
      <c r="X769" s="2"/>
    </row>
    <row r="770">
      <c r="B770" s="846"/>
      <c r="C770" s="578"/>
      <c r="D770" s="10"/>
      <c r="F770" s="10"/>
      <c r="H770" s="10"/>
      <c r="I770" s="10"/>
      <c r="J770" s="10"/>
      <c r="K770" s="10"/>
      <c r="L770" s="2"/>
      <c r="M770" s="2"/>
      <c r="N770" s="2"/>
      <c r="O770" s="2"/>
      <c r="P770" s="2"/>
      <c r="Q770" s="2"/>
      <c r="R770" s="847"/>
      <c r="S770" s="847"/>
      <c r="T770" s="116"/>
      <c r="U770" s="116"/>
      <c r="V770" s="116"/>
      <c r="W770" s="116"/>
      <c r="X770" s="116"/>
    </row>
    <row r="771">
      <c r="B771" s="846"/>
      <c r="C771" s="578"/>
      <c r="D771" s="10"/>
      <c r="F771" s="10"/>
      <c r="H771" s="10"/>
      <c r="I771" s="10"/>
      <c r="J771" s="10"/>
      <c r="K771" s="10"/>
      <c r="L771" s="2"/>
      <c r="M771" s="2"/>
      <c r="N771" s="2"/>
      <c r="O771" s="2"/>
      <c r="P771" s="2"/>
      <c r="Q771" s="2"/>
      <c r="R771" s="848"/>
      <c r="S771" s="848"/>
      <c r="T771" s="848"/>
      <c r="U771" s="848"/>
      <c r="V771" s="848"/>
      <c r="W771" s="848"/>
      <c r="X771" s="848"/>
    </row>
    <row r="772">
      <c r="B772" s="846"/>
      <c r="C772" s="578"/>
      <c r="D772" s="10"/>
      <c r="F772" s="10"/>
      <c r="H772" s="10"/>
      <c r="I772" s="10"/>
      <c r="J772" s="10"/>
      <c r="K772" s="10"/>
      <c r="L772" s="2"/>
      <c r="M772" s="2"/>
      <c r="N772" s="2"/>
      <c r="O772" s="2"/>
      <c r="P772" s="2"/>
      <c r="Q772" s="2"/>
      <c r="R772" s="849"/>
      <c r="S772" s="850"/>
      <c r="T772" s="851"/>
      <c r="U772" s="851"/>
      <c r="V772" s="851"/>
      <c r="W772" s="851"/>
      <c r="X772" s="851"/>
    </row>
    <row r="773">
      <c r="B773" s="846"/>
      <c r="C773" s="578"/>
      <c r="D773" s="10"/>
      <c r="F773" s="10"/>
      <c r="H773" s="10"/>
      <c r="I773" s="10"/>
      <c r="J773" s="10"/>
      <c r="K773" s="10"/>
      <c r="L773" s="2"/>
      <c r="M773" s="2"/>
      <c r="N773" s="2"/>
      <c r="O773" s="2"/>
      <c r="P773" s="2"/>
      <c r="Q773" s="2"/>
      <c r="R773" s="852"/>
      <c r="S773" s="853"/>
      <c r="T773" s="854"/>
      <c r="U773" s="854"/>
      <c r="V773" s="854"/>
      <c r="W773" s="854"/>
      <c r="X773" s="854"/>
    </row>
    <row r="774">
      <c r="B774" s="846"/>
      <c r="C774" s="578"/>
      <c r="D774" s="10"/>
      <c r="F774" s="10"/>
      <c r="H774" s="10"/>
      <c r="I774" s="10"/>
      <c r="J774" s="10"/>
      <c r="K774" s="10"/>
      <c r="L774" s="2"/>
      <c r="M774" s="2"/>
      <c r="N774" s="2"/>
      <c r="O774" s="2"/>
      <c r="P774" s="2"/>
      <c r="Q774" s="2"/>
      <c r="R774" s="855"/>
      <c r="S774" s="856"/>
      <c r="T774" s="854"/>
      <c r="U774" s="854"/>
      <c r="V774" s="854"/>
      <c r="W774" s="854"/>
      <c r="X774" s="854"/>
    </row>
    <row r="775">
      <c r="B775" s="846"/>
      <c r="C775" s="578"/>
      <c r="D775" s="10"/>
      <c r="F775" s="10"/>
      <c r="H775" s="10"/>
      <c r="I775" s="10"/>
      <c r="J775" s="10"/>
      <c r="K775" s="10"/>
      <c r="L775" s="2"/>
      <c r="M775" s="2"/>
      <c r="N775" s="2"/>
      <c r="O775" s="2"/>
      <c r="P775" s="2"/>
      <c r="Q775" s="2"/>
      <c r="R775" s="855"/>
      <c r="S775" s="856"/>
      <c r="T775" s="854"/>
      <c r="U775" s="854"/>
      <c r="V775" s="854"/>
      <c r="W775" s="854"/>
      <c r="X775" s="854"/>
    </row>
    <row r="776">
      <c r="B776" s="846"/>
      <c r="C776" s="578"/>
      <c r="D776" s="10"/>
      <c r="F776" s="10"/>
      <c r="H776" s="10"/>
      <c r="I776" s="10"/>
      <c r="J776" s="10"/>
      <c r="K776" s="10"/>
      <c r="L776" s="2"/>
      <c r="M776" s="2"/>
      <c r="N776" s="2"/>
      <c r="O776" s="2"/>
      <c r="P776" s="2"/>
      <c r="Q776" s="2"/>
      <c r="R776" s="852"/>
      <c r="S776" s="853"/>
      <c r="T776" s="854"/>
      <c r="U776" s="854"/>
      <c r="V776" s="854"/>
      <c r="W776" s="854"/>
      <c r="X776" s="854"/>
    </row>
    <row r="777">
      <c r="B777" s="846"/>
      <c r="C777" s="578"/>
      <c r="D777" s="10"/>
      <c r="F777" s="10"/>
      <c r="H777" s="10"/>
      <c r="I777" s="10"/>
      <c r="J777" s="10"/>
      <c r="K777" s="10"/>
      <c r="L777" s="2"/>
      <c r="M777" s="2"/>
      <c r="N777" s="2"/>
      <c r="O777" s="2"/>
      <c r="P777" s="2"/>
      <c r="Q777" s="2"/>
      <c r="R777" s="857"/>
      <c r="S777" s="858"/>
      <c r="T777" s="854"/>
      <c r="U777" s="854"/>
      <c r="V777" s="854"/>
      <c r="W777" s="854"/>
      <c r="X777" s="854"/>
    </row>
    <row r="778">
      <c r="B778" s="846"/>
      <c r="C778" s="578"/>
      <c r="D778" s="10"/>
      <c r="F778" s="10"/>
      <c r="H778" s="10"/>
      <c r="I778" s="10"/>
      <c r="J778" s="10"/>
      <c r="K778" s="10"/>
      <c r="L778" s="2"/>
      <c r="M778" s="2"/>
      <c r="N778" s="2"/>
      <c r="O778" s="2"/>
      <c r="P778" s="2"/>
      <c r="Q778" s="2"/>
      <c r="R778" s="857"/>
      <c r="S778" s="858"/>
      <c r="T778" s="854"/>
      <c r="U778" s="854"/>
      <c r="V778" s="854"/>
      <c r="W778" s="854"/>
      <c r="X778" s="854"/>
    </row>
    <row r="779">
      <c r="B779" s="846"/>
      <c r="C779" s="578"/>
      <c r="D779" s="10"/>
      <c r="F779" s="10"/>
      <c r="H779" s="10"/>
      <c r="I779" s="10"/>
      <c r="J779" s="10"/>
      <c r="K779" s="10"/>
      <c r="L779" s="2"/>
      <c r="M779" s="2"/>
      <c r="N779" s="2"/>
      <c r="O779" s="2"/>
      <c r="P779" s="2"/>
      <c r="Q779" s="2"/>
      <c r="R779" s="857"/>
      <c r="S779" s="858"/>
      <c r="T779" s="854"/>
      <c r="U779" s="854"/>
      <c r="V779" s="854"/>
      <c r="W779" s="854"/>
      <c r="X779" s="854"/>
    </row>
    <row r="780">
      <c r="B780" s="846"/>
      <c r="C780" s="578"/>
      <c r="D780" s="10"/>
      <c r="F780" s="10"/>
      <c r="H780" s="10"/>
      <c r="I780" s="10"/>
      <c r="J780" s="10"/>
      <c r="K780" s="10"/>
      <c r="L780" s="2"/>
      <c r="M780" s="2"/>
      <c r="N780" s="2"/>
      <c r="O780" s="2"/>
      <c r="P780" s="2"/>
      <c r="Q780" s="2"/>
      <c r="R780" s="852"/>
      <c r="S780" s="853"/>
      <c r="T780" s="854"/>
      <c r="U780" s="854"/>
      <c r="V780" s="854"/>
      <c r="W780" s="854"/>
      <c r="X780" s="854"/>
    </row>
    <row r="781">
      <c r="B781" s="846"/>
      <c r="C781" s="578"/>
      <c r="D781" s="10"/>
      <c r="F781" s="10"/>
      <c r="H781" s="10"/>
      <c r="I781" s="10"/>
      <c r="J781" s="10"/>
      <c r="K781" s="10"/>
      <c r="L781" s="2"/>
      <c r="M781" s="2"/>
      <c r="N781" s="2"/>
      <c r="O781" s="2"/>
      <c r="P781" s="2"/>
      <c r="Q781" s="2"/>
      <c r="R781" s="852"/>
      <c r="S781" s="853"/>
      <c r="T781" s="854"/>
      <c r="U781" s="854"/>
      <c r="V781" s="854"/>
      <c r="W781" s="854"/>
      <c r="X781" s="854"/>
    </row>
    <row r="782">
      <c r="B782" s="846"/>
      <c r="C782" s="578"/>
      <c r="D782" s="10"/>
      <c r="F782" s="10"/>
      <c r="H782" s="10"/>
      <c r="I782" s="10"/>
      <c r="J782" s="10"/>
      <c r="K782" s="10"/>
      <c r="L782" s="2"/>
      <c r="M782" s="2"/>
      <c r="N782" s="2"/>
      <c r="O782" s="2"/>
      <c r="P782" s="2"/>
      <c r="Q782" s="2"/>
      <c r="R782" s="852"/>
      <c r="S782" s="853"/>
      <c r="T782" s="854"/>
      <c r="U782" s="854"/>
      <c r="V782" s="854"/>
      <c r="W782" s="854"/>
      <c r="X782" s="854"/>
    </row>
    <row r="783">
      <c r="B783" s="846"/>
      <c r="C783" s="578"/>
      <c r="D783" s="10"/>
      <c r="F783" s="10"/>
      <c r="H783" s="10"/>
      <c r="I783" s="10"/>
      <c r="J783" s="10"/>
      <c r="K783" s="10"/>
      <c r="L783" s="2"/>
      <c r="M783" s="2"/>
      <c r="N783" s="2"/>
      <c r="O783" s="2"/>
      <c r="P783" s="2"/>
      <c r="Q783" s="2"/>
      <c r="R783" s="852"/>
      <c r="S783" s="853"/>
      <c r="T783" s="854"/>
      <c r="U783" s="854"/>
      <c r="V783" s="854"/>
      <c r="W783" s="854"/>
      <c r="X783" s="854"/>
    </row>
    <row r="784">
      <c r="B784" s="846"/>
      <c r="C784" s="578"/>
      <c r="D784" s="10"/>
      <c r="F784" s="10"/>
      <c r="H784" s="10"/>
      <c r="I784" s="10"/>
      <c r="J784" s="10"/>
      <c r="K784" s="10"/>
      <c r="L784" s="2"/>
      <c r="M784" s="2"/>
      <c r="N784" s="2"/>
      <c r="O784" s="2"/>
      <c r="P784" s="2"/>
      <c r="Q784" s="2"/>
      <c r="R784" s="852"/>
      <c r="S784" s="859"/>
      <c r="T784" s="107"/>
      <c r="U784" s="107"/>
      <c r="V784" s="107"/>
      <c r="W784" s="107"/>
      <c r="X784" s="107"/>
    </row>
    <row r="785">
      <c r="B785" s="846"/>
      <c r="C785" s="578"/>
      <c r="D785" s="10"/>
      <c r="F785" s="10"/>
      <c r="H785" s="10"/>
      <c r="I785" s="10"/>
      <c r="J785" s="10"/>
      <c r="K785" s="10"/>
      <c r="L785" s="2"/>
      <c r="M785" s="2"/>
      <c r="N785" s="2"/>
      <c r="O785" s="2"/>
      <c r="P785" s="2"/>
      <c r="Q785" s="2"/>
      <c r="R785" s="852"/>
      <c r="S785" s="859"/>
      <c r="T785" s="107"/>
      <c r="U785" s="107"/>
      <c r="V785" s="107"/>
      <c r="W785" s="107"/>
      <c r="X785" s="107"/>
    </row>
    <row r="786">
      <c r="B786" s="846"/>
      <c r="C786" s="578"/>
      <c r="D786" s="10"/>
      <c r="F786" s="10"/>
      <c r="H786" s="10"/>
      <c r="I786" s="10"/>
      <c r="J786" s="10"/>
      <c r="K786" s="10"/>
      <c r="L786" s="2"/>
      <c r="M786" s="2"/>
      <c r="N786" s="2"/>
      <c r="O786" s="2"/>
      <c r="P786" s="2"/>
      <c r="Q786" s="2"/>
      <c r="R786" s="852"/>
      <c r="S786" s="859"/>
      <c r="T786" s="107"/>
      <c r="U786" s="107"/>
      <c r="V786" s="107"/>
      <c r="W786" s="107"/>
      <c r="X786" s="107"/>
    </row>
    <row r="787">
      <c r="B787" s="846"/>
      <c r="C787" s="578"/>
      <c r="D787" s="10"/>
      <c r="F787" s="10"/>
      <c r="H787" s="10"/>
      <c r="I787" s="10"/>
      <c r="J787" s="10"/>
      <c r="K787" s="10"/>
      <c r="L787" s="2"/>
      <c r="M787" s="2"/>
      <c r="N787" s="2"/>
      <c r="O787" s="2"/>
      <c r="P787" s="2"/>
      <c r="Q787" s="2"/>
      <c r="R787" s="852"/>
      <c r="S787" s="859"/>
      <c r="T787" s="107"/>
      <c r="U787" s="107"/>
      <c r="V787" s="107"/>
      <c r="W787" s="107"/>
      <c r="X787" s="107"/>
    </row>
    <row r="788">
      <c r="B788" s="846"/>
      <c r="C788" s="578"/>
      <c r="D788" s="10"/>
      <c r="F788" s="10"/>
      <c r="H788" s="10"/>
      <c r="I788" s="10"/>
      <c r="J788" s="10"/>
      <c r="K788" s="10"/>
      <c r="L788" s="2"/>
      <c r="M788" s="2"/>
      <c r="N788" s="2"/>
      <c r="O788" s="2"/>
      <c r="P788" s="2"/>
      <c r="Q788" s="2"/>
      <c r="R788" s="852"/>
      <c r="S788" s="859"/>
      <c r="T788" s="107"/>
      <c r="U788" s="107"/>
      <c r="V788" s="107"/>
      <c r="W788" s="107"/>
      <c r="X788" s="107"/>
    </row>
    <row r="789">
      <c r="B789" s="846"/>
      <c r="C789" s="578"/>
      <c r="D789" s="10"/>
      <c r="F789" s="10"/>
      <c r="H789" s="10"/>
      <c r="I789" s="10"/>
      <c r="J789" s="10"/>
      <c r="K789" s="10"/>
      <c r="L789" s="2"/>
      <c r="M789" s="2"/>
      <c r="N789" s="2"/>
      <c r="O789" s="2"/>
      <c r="P789" s="2"/>
      <c r="Q789" s="2"/>
      <c r="R789" s="852"/>
      <c r="S789" s="859"/>
      <c r="T789" s="107"/>
      <c r="U789" s="107"/>
      <c r="V789" s="107"/>
      <c r="W789" s="107"/>
      <c r="X789" s="107"/>
    </row>
    <row r="790">
      <c r="B790" s="846"/>
      <c r="C790" s="578"/>
      <c r="D790" s="10"/>
      <c r="F790" s="10"/>
      <c r="H790" s="10"/>
      <c r="I790" s="10"/>
      <c r="J790" s="10"/>
      <c r="K790" s="10"/>
      <c r="L790" s="2"/>
      <c r="M790" s="2"/>
      <c r="N790" s="2"/>
      <c r="O790" s="2"/>
      <c r="P790" s="2"/>
      <c r="Q790" s="2"/>
      <c r="R790" s="852"/>
      <c r="S790" s="859"/>
      <c r="T790" s="107"/>
      <c r="U790" s="107"/>
      <c r="V790" s="107"/>
      <c r="W790" s="107"/>
      <c r="X790" s="107"/>
    </row>
    <row r="791">
      <c r="B791" s="846"/>
      <c r="C791" s="578"/>
      <c r="D791" s="10"/>
      <c r="F791" s="10"/>
      <c r="H791" s="10"/>
      <c r="I791" s="10"/>
      <c r="J791" s="10"/>
      <c r="K791" s="10"/>
      <c r="L791" s="2"/>
      <c r="M791" s="2"/>
      <c r="N791" s="2"/>
      <c r="O791" s="2"/>
      <c r="P791" s="2"/>
      <c r="Q791" s="2"/>
      <c r="R791" s="852"/>
      <c r="S791" s="859"/>
      <c r="T791" s="107"/>
      <c r="U791" s="107"/>
      <c r="V791" s="107"/>
      <c r="W791" s="107"/>
      <c r="X791" s="107"/>
    </row>
    <row r="792">
      <c r="B792" s="846"/>
      <c r="C792" s="578"/>
      <c r="D792" s="10"/>
      <c r="F792" s="10"/>
      <c r="H792" s="10"/>
      <c r="I792" s="10"/>
      <c r="J792" s="10"/>
      <c r="K792" s="10"/>
      <c r="L792" s="2"/>
      <c r="M792" s="2"/>
      <c r="N792" s="2"/>
      <c r="O792" s="2"/>
      <c r="P792" s="2"/>
      <c r="Q792" s="2"/>
      <c r="R792" s="852"/>
      <c r="S792" s="859"/>
      <c r="T792" s="107"/>
      <c r="U792" s="107"/>
      <c r="V792" s="107"/>
      <c r="W792" s="107"/>
      <c r="X792" s="107"/>
    </row>
    <row r="793">
      <c r="B793" s="846"/>
      <c r="C793" s="578"/>
      <c r="D793" s="10"/>
      <c r="F793" s="10"/>
      <c r="H793" s="10"/>
      <c r="I793" s="10"/>
      <c r="J793" s="10"/>
      <c r="K793" s="10"/>
      <c r="L793" s="2"/>
      <c r="M793" s="2"/>
      <c r="N793" s="2"/>
      <c r="O793" s="2"/>
      <c r="P793" s="2"/>
      <c r="Q793" s="2"/>
      <c r="R793" s="852"/>
      <c r="S793" s="859"/>
      <c r="T793" s="107"/>
      <c r="U793" s="107"/>
      <c r="V793" s="107"/>
      <c r="W793" s="107"/>
      <c r="X793" s="107"/>
    </row>
    <row r="794">
      <c r="B794" s="846"/>
      <c r="C794" s="578"/>
      <c r="D794" s="10"/>
      <c r="F794" s="10"/>
      <c r="H794" s="10"/>
      <c r="I794" s="10"/>
      <c r="J794" s="10"/>
      <c r="K794" s="10"/>
      <c r="L794" s="2"/>
      <c r="M794" s="2"/>
      <c r="N794" s="2"/>
      <c r="O794" s="2"/>
      <c r="P794" s="2"/>
      <c r="Q794" s="2"/>
      <c r="R794" s="857"/>
      <c r="S794" s="860"/>
      <c r="T794" s="107"/>
      <c r="U794" s="107"/>
      <c r="V794" s="107"/>
      <c r="W794" s="107"/>
      <c r="X794" s="107"/>
    </row>
    <row r="795">
      <c r="B795" s="846"/>
      <c r="C795" s="578"/>
      <c r="D795" s="10"/>
      <c r="F795" s="10"/>
      <c r="H795" s="10"/>
      <c r="I795" s="10"/>
      <c r="J795" s="10"/>
      <c r="K795" s="10"/>
      <c r="L795" s="2"/>
      <c r="M795" s="2"/>
      <c r="N795" s="2"/>
      <c r="O795" s="2"/>
      <c r="P795" s="2"/>
      <c r="Q795" s="2"/>
      <c r="R795" s="861"/>
      <c r="S795" s="111"/>
      <c r="T795" s="2"/>
      <c r="U795" s="2"/>
      <c r="V795" s="2"/>
      <c r="W795" s="2"/>
      <c r="X795" s="2"/>
    </row>
    <row r="796">
      <c r="B796" s="846"/>
      <c r="C796" s="578"/>
      <c r="D796" s="10"/>
      <c r="F796" s="10"/>
      <c r="H796" s="10"/>
      <c r="I796" s="10"/>
      <c r="J796" s="10"/>
      <c r="K796" s="10"/>
      <c r="L796" s="2"/>
      <c r="M796" s="2"/>
      <c r="N796" s="2"/>
      <c r="O796" s="2"/>
      <c r="P796" s="2"/>
      <c r="Q796" s="2"/>
      <c r="R796" s="861"/>
      <c r="S796" s="111"/>
      <c r="T796" s="2"/>
      <c r="U796" s="2"/>
      <c r="V796" s="2"/>
      <c r="W796" s="2"/>
      <c r="X796" s="2"/>
    </row>
    <row r="797">
      <c r="B797" s="846"/>
      <c r="C797" s="578"/>
      <c r="D797" s="10"/>
      <c r="F797" s="10"/>
      <c r="H797" s="10"/>
      <c r="I797" s="10"/>
      <c r="J797" s="10"/>
      <c r="K797" s="10"/>
      <c r="L797" s="2"/>
      <c r="M797" s="2"/>
      <c r="N797" s="2"/>
      <c r="O797" s="2"/>
      <c r="P797" s="2"/>
      <c r="Q797" s="2"/>
      <c r="R797" s="861"/>
      <c r="S797" s="111"/>
      <c r="T797" s="2"/>
      <c r="U797" s="2"/>
      <c r="V797" s="2"/>
      <c r="W797" s="2"/>
      <c r="X797" s="2"/>
    </row>
    <row r="798">
      <c r="B798" s="846"/>
      <c r="C798" s="578"/>
      <c r="D798" s="10"/>
      <c r="F798" s="10"/>
      <c r="H798" s="10"/>
      <c r="I798" s="10"/>
      <c r="J798" s="10"/>
      <c r="K798" s="10"/>
      <c r="L798" s="2"/>
      <c r="M798" s="2"/>
      <c r="N798" s="2"/>
      <c r="O798" s="2"/>
      <c r="P798" s="2"/>
      <c r="Q798" s="2"/>
      <c r="R798" s="861"/>
      <c r="S798" s="111"/>
      <c r="T798" s="2"/>
      <c r="U798" s="2"/>
      <c r="V798" s="2"/>
      <c r="W798" s="2"/>
      <c r="X798" s="2"/>
    </row>
    <row r="799">
      <c r="B799" s="846"/>
      <c r="C799" s="578"/>
      <c r="D799" s="10"/>
      <c r="F799" s="10"/>
      <c r="H799" s="10"/>
      <c r="I799" s="10"/>
      <c r="J799" s="10"/>
      <c r="K799" s="10"/>
      <c r="L799" s="2"/>
      <c r="M799" s="2"/>
      <c r="N799" s="2"/>
      <c r="O799" s="2"/>
      <c r="P799" s="2"/>
      <c r="Q799" s="2"/>
      <c r="R799" s="861"/>
      <c r="S799" s="111"/>
      <c r="T799" s="2"/>
      <c r="U799" s="2"/>
      <c r="V799" s="2"/>
      <c r="W799" s="2"/>
      <c r="X799" s="2"/>
    </row>
    <row r="800">
      <c r="B800" s="846"/>
      <c r="C800" s="578"/>
      <c r="D800" s="10"/>
      <c r="F800" s="10"/>
      <c r="H800" s="10"/>
      <c r="I800" s="10"/>
      <c r="J800" s="10"/>
      <c r="K800" s="10"/>
      <c r="L800" s="2"/>
      <c r="M800" s="2"/>
      <c r="N800" s="2"/>
      <c r="O800" s="2"/>
      <c r="P800" s="2"/>
      <c r="Q800" s="2"/>
      <c r="R800" s="862"/>
      <c r="S800" s="109"/>
      <c r="T800" s="2"/>
      <c r="U800" s="2"/>
      <c r="V800" s="2"/>
      <c r="W800" s="2"/>
      <c r="X800" s="2"/>
    </row>
    <row r="801">
      <c r="B801" s="846"/>
      <c r="C801" s="578"/>
      <c r="D801" s="10"/>
      <c r="F801" s="10"/>
      <c r="H801" s="10"/>
      <c r="I801" s="10"/>
      <c r="J801" s="10"/>
      <c r="K801" s="10"/>
      <c r="L801" s="2"/>
      <c r="M801" s="2"/>
      <c r="N801" s="2"/>
      <c r="O801" s="2"/>
      <c r="P801" s="2"/>
      <c r="Q801" s="2"/>
      <c r="R801" s="861"/>
      <c r="S801" s="111"/>
      <c r="T801" s="2"/>
      <c r="U801" s="2"/>
      <c r="V801" s="2"/>
      <c r="W801" s="2"/>
      <c r="X801" s="2"/>
    </row>
    <row r="802">
      <c r="B802" s="846"/>
      <c r="C802" s="578"/>
      <c r="D802" s="10"/>
      <c r="F802" s="10"/>
      <c r="H802" s="10"/>
      <c r="I802" s="10"/>
      <c r="J802" s="10"/>
      <c r="K802" s="10"/>
      <c r="L802" s="2"/>
      <c r="M802" s="2"/>
      <c r="N802" s="2"/>
      <c r="O802" s="2"/>
      <c r="P802" s="2"/>
      <c r="Q802" s="2"/>
      <c r="R802" s="861"/>
      <c r="S802" s="111"/>
      <c r="T802" s="2"/>
      <c r="U802" s="2"/>
      <c r="V802" s="2"/>
      <c r="W802" s="2"/>
      <c r="X802" s="2"/>
    </row>
    <row r="803">
      <c r="B803" s="846"/>
      <c r="C803" s="578"/>
      <c r="D803" s="10"/>
      <c r="F803" s="10"/>
      <c r="H803" s="10"/>
      <c r="I803" s="10"/>
      <c r="J803" s="10"/>
      <c r="K803" s="10"/>
      <c r="L803" s="2"/>
      <c r="M803" s="2"/>
      <c r="N803" s="2"/>
      <c r="O803" s="2"/>
      <c r="P803" s="2"/>
      <c r="Q803" s="2"/>
      <c r="R803" s="861"/>
      <c r="S803" s="111"/>
      <c r="T803" s="2"/>
      <c r="U803" s="2"/>
      <c r="V803" s="2"/>
      <c r="W803" s="2"/>
      <c r="X803" s="2"/>
    </row>
    <row r="804">
      <c r="B804" s="846"/>
      <c r="C804" s="578"/>
      <c r="D804" s="10"/>
      <c r="F804" s="10"/>
      <c r="H804" s="10"/>
      <c r="I804" s="10"/>
      <c r="J804" s="10"/>
      <c r="K804" s="10"/>
      <c r="L804" s="2"/>
      <c r="M804" s="2"/>
      <c r="N804" s="2"/>
      <c r="O804" s="2"/>
      <c r="P804" s="2"/>
      <c r="Q804" s="2"/>
      <c r="R804" s="861"/>
      <c r="S804" s="111"/>
      <c r="T804" s="2"/>
      <c r="U804" s="2"/>
      <c r="V804" s="2"/>
      <c r="W804" s="2"/>
      <c r="X804" s="2"/>
    </row>
    <row r="805">
      <c r="B805" s="846"/>
      <c r="C805" s="578"/>
      <c r="D805" s="10"/>
      <c r="F805" s="10"/>
      <c r="H805" s="10"/>
      <c r="I805" s="10"/>
      <c r="J805" s="10"/>
      <c r="K805" s="10"/>
      <c r="L805" s="2"/>
      <c r="M805" s="2"/>
      <c r="N805" s="2"/>
      <c r="O805" s="2"/>
      <c r="P805" s="2"/>
      <c r="Q805" s="2"/>
      <c r="R805" s="861"/>
      <c r="S805" s="111"/>
      <c r="T805" s="2"/>
      <c r="U805" s="2"/>
      <c r="V805" s="2"/>
      <c r="W805" s="2"/>
      <c r="X805" s="2"/>
    </row>
    <row r="806">
      <c r="B806" s="846"/>
      <c r="C806" s="578"/>
      <c r="D806" s="10"/>
      <c r="F806" s="10"/>
      <c r="H806" s="10"/>
      <c r="I806" s="10"/>
      <c r="J806" s="10"/>
      <c r="K806" s="10"/>
      <c r="L806" s="2"/>
      <c r="M806" s="2"/>
      <c r="N806" s="2"/>
      <c r="O806" s="2"/>
      <c r="P806" s="2"/>
      <c r="Q806" s="2"/>
      <c r="R806" s="861"/>
      <c r="S806" s="111"/>
      <c r="T806" s="2"/>
      <c r="U806" s="2"/>
      <c r="V806" s="2"/>
      <c r="W806" s="2"/>
      <c r="X806" s="2"/>
    </row>
    <row r="807">
      <c r="B807" s="846"/>
      <c r="C807" s="578"/>
      <c r="D807" s="10"/>
      <c r="F807" s="10"/>
      <c r="H807" s="10"/>
      <c r="I807" s="10"/>
      <c r="J807" s="10"/>
      <c r="K807" s="10"/>
      <c r="L807" s="2"/>
      <c r="M807" s="2"/>
      <c r="N807" s="2"/>
      <c r="O807" s="2"/>
      <c r="P807" s="2"/>
      <c r="Q807" s="2"/>
      <c r="R807" s="861"/>
      <c r="S807" s="111"/>
      <c r="T807" s="2"/>
      <c r="U807" s="2"/>
      <c r="V807" s="2"/>
      <c r="W807" s="2"/>
      <c r="X807" s="2"/>
    </row>
    <row r="808">
      <c r="B808" s="846"/>
      <c r="C808" s="578"/>
      <c r="D808" s="10"/>
      <c r="F808" s="10"/>
      <c r="H808" s="10"/>
      <c r="I808" s="10"/>
      <c r="J808" s="10"/>
      <c r="K808" s="10"/>
      <c r="L808" s="2"/>
      <c r="M808" s="2"/>
      <c r="N808" s="2"/>
      <c r="O808" s="2"/>
      <c r="P808" s="2"/>
      <c r="Q808" s="2"/>
      <c r="R808" s="861"/>
      <c r="S808" s="111"/>
      <c r="T808" s="2"/>
      <c r="U808" s="2"/>
      <c r="V808" s="2"/>
      <c r="W808" s="2"/>
      <c r="X808" s="2"/>
    </row>
    <row r="809">
      <c r="B809" s="846"/>
      <c r="C809" s="578"/>
      <c r="D809" s="10"/>
      <c r="F809" s="10"/>
      <c r="H809" s="10"/>
      <c r="I809" s="10"/>
      <c r="J809" s="10"/>
      <c r="K809" s="10"/>
      <c r="L809" s="2"/>
      <c r="M809" s="2"/>
      <c r="N809" s="2"/>
      <c r="O809" s="2"/>
      <c r="P809" s="2"/>
      <c r="Q809" s="2"/>
      <c r="R809" s="862"/>
      <c r="S809" s="109"/>
      <c r="T809" s="2"/>
      <c r="U809" s="2"/>
      <c r="V809" s="2"/>
      <c r="W809" s="2"/>
      <c r="X809" s="2"/>
    </row>
    <row r="810">
      <c r="B810" s="846"/>
      <c r="C810" s="578"/>
      <c r="D810" s="10"/>
      <c r="F810" s="10"/>
      <c r="H810" s="10"/>
      <c r="I810" s="10"/>
      <c r="J810" s="10"/>
      <c r="K810" s="10"/>
      <c r="L810" s="2"/>
      <c r="M810" s="2"/>
      <c r="N810" s="2"/>
      <c r="O810" s="2"/>
      <c r="P810" s="2"/>
      <c r="Q810" s="2"/>
      <c r="R810" s="862"/>
      <c r="S810" s="109"/>
      <c r="T810" s="54"/>
      <c r="U810" s="54"/>
      <c r="V810" s="54"/>
      <c r="W810" s="54"/>
      <c r="X810" s="54"/>
    </row>
    <row r="811">
      <c r="B811" s="846"/>
      <c r="C811" s="578"/>
      <c r="D811" s="10"/>
      <c r="F811" s="10"/>
      <c r="H811" s="10"/>
      <c r="I811" s="10"/>
      <c r="J811" s="10"/>
      <c r="K811" s="10"/>
      <c r="L811" s="2"/>
      <c r="M811" s="2"/>
      <c r="N811" s="2"/>
      <c r="O811" s="2"/>
      <c r="P811" s="2"/>
      <c r="Q811" s="2"/>
      <c r="R811" s="117"/>
      <c r="S811" s="2"/>
      <c r="T811" s="2"/>
      <c r="U811" s="2"/>
      <c r="V811" s="2"/>
      <c r="W811" s="2"/>
      <c r="X811" s="2"/>
    </row>
    <row r="812">
      <c r="B812" s="846"/>
      <c r="C812" s="578"/>
      <c r="D812" s="10"/>
      <c r="F812" s="10"/>
      <c r="H812" s="10"/>
      <c r="I812" s="10"/>
      <c r="J812" s="10"/>
      <c r="K812" s="10"/>
      <c r="L812" s="2"/>
      <c r="M812" s="2"/>
      <c r="N812" s="2"/>
      <c r="O812" s="2"/>
      <c r="P812" s="2"/>
      <c r="Q812" s="2"/>
      <c r="R812" s="117"/>
      <c r="S812" s="2"/>
      <c r="T812" s="2"/>
      <c r="U812" s="2"/>
      <c r="V812" s="2"/>
      <c r="W812" s="2"/>
      <c r="X812" s="2"/>
    </row>
    <row r="813">
      <c r="B813" s="846"/>
      <c r="C813" s="578"/>
      <c r="D813" s="10"/>
      <c r="F813" s="10"/>
      <c r="H813" s="10"/>
      <c r="I813" s="10"/>
      <c r="J813" s="10"/>
      <c r="K813" s="10"/>
      <c r="L813" s="2"/>
      <c r="M813" s="2"/>
      <c r="N813" s="2"/>
      <c r="O813" s="2"/>
      <c r="P813" s="2"/>
      <c r="Q813" s="2"/>
      <c r="R813" s="847"/>
      <c r="S813" s="847"/>
      <c r="T813" s="116"/>
      <c r="U813" s="116"/>
      <c r="V813" s="116"/>
      <c r="W813" s="116"/>
      <c r="X813" s="116"/>
    </row>
    <row r="814">
      <c r="B814" s="846"/>
      <c r="C814" s="578"/>
      <c r="D814" s="10"/>
      <c r="F814" s="10"/>
      <c r="H814" s="10"/>
      <c r="I814" s="10"/>
      <c r="J814" s="10"/>
      <c r="K814" s="10"/>
      <c r="L814" s="2"/>
      <c r="M814" s="2"/>
      <c r="N814" s="2"/>
      <c r="O814" s="2"/>
      <c r="P814" s="2"/>
      <c r="Q814" s="2"/>
      <c r="R814" s="848"/>
      <c r="S814" s="848"/>
      <c r="T814" s="848"/>
      <c r="U814" s="848"/>
      <c r="V814" s="848"/>
      <c r="W814" s="848"/>
      <c r="X814" s="848"/>
    </row>
    <row r="815">
      <c r="B815" s="846"/>
      <c r="C815" s="578"/>
      <c r="D815" s="10"/>
      <c r="F815" s="10"/>
      <c r="H815" s="10"/>
      <c r="I815" s="10"/>
      <c r="J815" s="10"/>
      <c r="K815" s="10"/>
      <c r="L815" s="2"/>
      <c r="M815" s="2"/>
      <c r="N815" s="2"/>
      <c r="O815" s="2"/>
      <c r="P815" s="2"/>
      <c r="Q815" s="2"/>
      <c r="R815" s="849"/>
      <c r="S815" s="850"/>
      <c r="T815" s="851"/>
      <c r="U815" s="851"/>
      <c r="V815" s="851"/>
      <c r="W815" s="851"/>
      <c r="X815" s="851"/>
    </row>
    <row r="816">
      <c r="B816" s="846"/>
      <c r="C816" s="578"/>
      <c r="D816" s="10"/>
      <c r="F816" s="10"/>
      <c r="H816" s="10"/>
      <c r="I816" s="10"/>
      <c r="J816" s="10"/>
      <c r="K816" s="10"/>
      <c r="L816" s="2"/>
      <c r="M816" s="2"/>
      <c r="N816" s="2"/>
      <c r="O816" s="2"/>
      <c r="P816" s="2"/>
      <c r="Q816" s="2"/>
      <c r="R816" s="852"/>
      <c r="S816" s="853"/>
      <c r="T816" s="854"/>
      <c r="U816" s="854"/>
      <c r="V816" s="854"/>
      <c r="W816" s="854"/>
      <c r="X816" s="854"/>
    </row>
    <row r="817">
      <c r="B817" s="846"/>
      <c r="C817" s="578"/>
      <c r="D817" s="10"/>
      <c r="F817" s="10"/>
      <c r="H817" s="10"/>
      <c r="I817" s="10"/>
      <c r="J817" s="10"/>
      <c r="K817" s="10"/>
      <c r="L817" s="2"/>
      <c r="M817" s="2"/>
      <c r="N817" s="2"/>
      <c r="O817" s="2"/>
      <c r="P817" s="2"/>
      <c r="Q817" s="2"/>
      <c r="R817" s="855"/>
      <c r="S817" s="856"/>
      <c r="T817" s="854"/>
      <c r="U817" s="854"/>
      <c r="V817" s="854"/>
      <c r="W817" s="854"/>
      <c r="X817" s="854"/>
    </row>
    <row r="818">
      <c r="B818" s="846"/>
      <c r="C818" s="578"/>
      <c r="D818" s="10"/>
      <c r="F818" s="10"/>
      <c r="H818" s="10"/>
      <c r="I818" s="10"/>
      <c r="J818" s="10"/>
      <c r="K818" s="10"/>
      <c r="L818" s="2"/>
      <c r="M818" s="2"/>
      <c r="N818" s="2"/>
      <c r="O818" s="2"/>
      <c r="P818" s="2"/>
      <c r="Q818" s="2"/>
      <c r="R818" s="855"/>
      <c r="S818" s="856"/>
      <c r="T818" s="854"/>
      <c r="U818" s="854"/>
      <c r="V818" s="854"/>
      <c r="W818" s="854"/>
      <c r="X818" s="854"/>
    </row>
    <row r="819">
      <c r="B819" s="846"/>
      <c r="C819" s="578"/>
      <c r="D819" s="10"/>
      <c r="F819" s="10"/>
      <c r="H819" s="10"/>
      <c r="I819" s="10"/>
      <c r="J819" s="10"/>
      <c r="K819" s="10"/>
      <c r="L819" s="2"/>
      <c r="M819" s="2"/>
      <c r="N819" s="2"/>
      <c r="O819" s="2"/>
      <c r="P819" s="2"/>
      <c r="Q819" s="2"/>
      <c r="R819" s="852"/>
      <c r="S819" s="853"/>
      <c r="T819" s="854"/>
      <c r="U819" s="854"/>
      <c r="V819" s="854"/>
      <c r="W819" s="854"/>
      <c r="X819" s="854"/>
    </row>
    <row r="820">
      <c r="B820" s="846"/>
      <c r="C820" s="578"/>
      <c r="D820" s="10"/>
      <c r="F820" s="10"/>
      <c r="H820" s="10"/>
      <c r="I820" s="10"/>
      <c r="J820" s="10"/>
      <c r="K820" s="10"/>
      <c r="L820" s="2"/>
      <c r="M820" s="2"/>
      <c r="N820" s="2"/>
      <c r="O820" s="2"/>
      <c r="P820" s="2"/>
      <c r="Q820" s="2"/>
      <c r="R820" s="857"/>
      <c r="S820" s="858"/>
      <c r="T820" s="854"/>
      <c r="U820" s="854"/>
      <c r="V820" s="854"/>
      <c r="W820" s="854"/>
      <c r="X820" s="854"/>
    </row>
    <row r="821">
      <c r="B821" s="846"/>
      <c r="C821" s="578"/>
      <c r="D821" s="10"/>
      <c r="F821" s="10"/>
      <c r="H821" s="10"/>
      <c r="I821" s="10"/>
      <c r="J821" s="10"/>
      <c r="K821" s="10"/>
      <c r="L821" s="2"/>
      <c r="M821" s="2"/>
      <c r="N821" s="2"/>
      <c r="O821" s="2"/>
      <c r="P821" s="2"/>
      <c r="Q821" s="2"/>
      <c r="R821" s="857"/>
      <c r="S821" s="858"/>
      <c r="T821" s="854"/>
      <c r="U821" s="854"/>
      <c r="V821" s="854"/>
      <c r="W821" s="854"/>
      <c r="X821" s="854"/>
    </row>
    <row r="822">
      <c r="B822" s="846"/>
      <c r="C822" s="578"/>
      <c r="D822" s="10"/>
      <c r="F822" s="10"/>
      <c r="H822" s="10"/>
      <c r="I822" s="10"/>
      <c r="J822" s="10"/>
      <c r="K822" s="10"/>
      <c r="L822" s="2"/>
      <c r="M822" s="2"/>
      <c r="N822" s="2"/>
      <c r="O822" s="2"/>
      <c r="P822" s="2"/>
      <c r="Q822" s="2"/>
      <c r="R822" s="857"/>
      <c r="S822" s="858"/>
      <c r="T822" s="854"/>
      <c r="U822" s="854"/>
      <c r="V822" s="854"/>
      <c r="W822" s="854"/>
      <c r="X822" s="854"/>
    </row>
    <row r="823">
      <c r="B823" s="846"/>
      <c r="C823" s="578"/>
      <c r="D823" s="10"/>
      <c r="F823" s="10"/>
      <c r="H823" s="10"/>
      <c r="I823" s="10"/>
      <c r="J823" s="10"/>
      <c r="K823" s="10"/>
      <c r="L823" s="2"/>
      <c r="M823" s="2"/>
      <c r="N823" s="2"/>
      <c r="O823" s="2"/>
      <c r="P823" s="2"/>
      <c r="Q823" s="2"/>
      <c r="R823" s="852"/>
      <c r="S823" s="853"/>
      <c r="T823" s="854"/>
      <c r="U823" s="854"/>
      <c r="V823" s="854"/>
      <c r="W823" s="854"/>
      <c r="X823" s="854"/>
    </row>
    <row r="824">
      <c r="B824" s="846"/>
      <c r="C824" s="578"/>
      <c r="D824" s="10"/>
      <c r="F824" s="10"/>
      <c r="H824" s="10"/>
      <c r="I824" s="10"/>
      <c r="J824" s="10"/>
      <c r="K824" s="10"/>
      <c r="L824" s="2"/>
      <c r="M824" s="2"/>
      <c r="N824" s="2"/>
      <c r="O824" s="2"/>
      <c r="P824" s="2"/>
      <c r="Q824" s="2"/>
      <c r="R824" s="852"/>
      <c r="S824" s="853"/>
      <c r="T824" s="854"/>
      <c r="U824" s="854"/>
      <c r="V824" s="854"/>
      <c r="W824" s="854"/>
      <c r="X824" s="854"/>
    </row>
    <row r="825">
      <c r="B825" s="846"/>
      <c r="C825" s="578"/>
      <c r="D825" s="10"/>
      <c r="F825" s="10"/>
      <c r="H825" s="10"/>
      <c r="I825" s="10"/>
      <c r="J825" s="10"/>
      <c r="K825" s="10"/>
      <c r="L825" s="2"/>
      <c r="M825" s="2"/>
      <c r="N825" s="2"/>
      <c r="O825" s="2"/>
      <c r="P825" s="2"/>
      <c r="Q825" s="2"/>
      <c r="R825" s="852"/>
      <c r="S825" s="853"/>
      <c r="T825" s="854"/>
      <c r="U825" s="854"/>
      <c r="V825" s="854"/>
      <c r="W825" s="854"/>
      <c r="X825" s="854"/>
    </row>
    <row r="826">
      <c r="B826" s="846"/>
      <c r="C826" s="578"/>
      <c r="D826" s="10"/>
      <c r="F826" s="10"/>
      <c r="H826" s="10"/>
      <c r="I826" s="10"/>
      <c r="J826" s="10"/>
      <c r="K826" s="10"/>
      <c r="L826" s="2"/>
      <c r="M826" s="2"/>
      <c r="N826" s="2"/>
      <c r="O826" s="2"/>
      <c r="P826" s="2"/>
      <c r="Q826" s="2"/>
      <c r="R826" s="852"/>
      <c r="S826" s="853"/>
      <c r="T826" s="854"/>
      <c r="U826" s="854"/>
      <c r="V826" s="854"/>
      <c r="W826" s="854"/>
      <c r="X826" s="854"/>
    </row>
    <row r="827">
      <c r="B827" s="846"/>
      <c r="C827" s="578"/>
      <c r="D827" s="10"/>
      <c r="F827" s="10"/>
      <c r="H827" s="10"/>
      <c r="I827" s="10"/>
      <c r="J827" s="10"/>
      <c r="K827" s="10"/>
      <c r="L827" s="2"/>
      <c r="M827" s="2"/>
      <c r="N827" s="2"/>
      <c r="O827" s="2"/>
      <c r="P827" s="2"/>
      <c r="Q827" s="2"/>
      <c r="R827" s="852"/>
      <c r="S827" s="859"/>
      <c r="T827" s="107"/>
      <c r="U827" s="107"/>
      <c r="V827" s="107"/>
      <c r="W827" s="107"/>
      <c r="X827" s="107"/>
    </row>
    <row r="828">
      <c r="B828" s="846"/>
      <c r="C828" s="578"/>
      <c r="D828" s="10"/>
      <c r="F828" s="10"/>
      <c r="H828" s="10"/>
      <c r="I828" s="10"/>
      <c r="J828" s="10"/>
      <c r="K828" s="10"/>
      <c r="L828" s="2"/>
      <c r="M828" s="2"/>
      <c r="N828" s="2"/>
      <c r="O828" s="2"/>
      <c r="P828" s="2"/>
      <c r="Q828" s="2"/>
      <c r="R828" s="852"/>
      <c r="S828" s="859"/>
      <c r="T828" s="107"/>
      <c r="U828" s="107"/>
      <c r="V828" s="107"/>
      <c r="W828" s="107"/>
      <c r="X828" s="107"/>
    </row>
    <row r="829">
      <c r="B829" s="846"/>
      <c r="C829" s="578"/>
      <c r="D829" s="10"/>
      <c r="F829" s="10"/>
      <c r="H829" s="10"/>
      <c r="I829" s="10"/>
      <c r="J829" s="10"/>
      <c r="K829" s="10"/>
      <c r="L829" s="2"/>
      <c r="M829" s="2"/>
      <c r="N829" s="2"/>
      <c r="O829" s="2"/>
      <c r="P829" s="2"/>
      <c r="Q829" s="2"/>
      <c r="R829" s="852"/>
      <c r="S829" s="859"/>
      <c r="T829" s="107"/>
      <c r="U829" s="107"/>
      <c r="V829" s="107"/>
      <c r="W829" s="107"/>
      <c r="X829" s="107"/>
    </row>
    <row r="830">
      <c r="B830" s="846"/>
      <c r="C830" s="578"/>
      <c r="D830" s="10"/>
      <c r="F830" s="10"/>
      <c r="H830" s="10"/>
      <c r="I830" s="10"/>
      <c r="J830" s="10"/>
      <c r="K830" s="10"/>
      <c r="L830" s="2"/>
      <c r="M830" s="2"/>
      <c r="N830" s="2"/>
      <c r="O830" s="2"/>
      <c r="P830" s="2"/>
      <c r="Q830" s="2"/>
      <c r="R830" s="852"/>
      <c r="S830" s="859"/>
      <c r="T830" s="107"/>
      <c r="U830" s="107"/>
      <c r="V830" s="107"/>
      <c r="W830" s="107"/>
      <c r="X830" s="107"/>
    </row>
    <row r="831">
      <c r="B831" s="846"/>
      <c r="C831" s="578"/>
      <c r="D831" s="10"/>
      <c r="F831" s="10"/>
      <c r="H831" s="10"/>
      <c r="I831" s="10"/>
      <c r="J831" s="10"/>
      <c r="K831" s="10"/>
      <c r="L831" s="2"/>
      <c r="M831" s="2"/>
      <c r="N831" s="2"/>
      <c r="O831" s="2"/>
      <c r="P831" s="2"/>
      <c r="Q831" s="2"/>
      <c r="R831" s="852"/>
      <c r="S831" s="859"/>
      <c r="T831" s="107"/>
      <c r="U831" s="107"/>
      <c r="V831" s="107"/>
      <c r="W831" s="107"/>
      <c r="X831" s="107"/>
    </row>
    <row r="832">
      <c r="B832" s="846"/>
      <c r="C832" s="578"/>
      <c r="D832" s="10"/>
      <c r="F832" s="10"/>
      <c r="H832" s="10"/>
      <c r="I832" s="10"/>
      <c r="J832" s="10"/>
      <c r="K832" s="10"/>
      <c r="L832" s="2"/>
      <c r="M832" s="2"/>
      <c r="N832" s="2"/>
      <c r="O832" s="2"/>
      <c r="P832" s="2"/>
      <c r="Q832" s="2"/>
      <c r="R832" s="852"/>
      <c r="S832" s="859"/>
      <c r="T832" s="107"/>
      <c r="U832" s="107"/>
      <c r="V832" s="107"/>
      <c r="W832" s="107"/>
      <c r="X832" s="107"/>
    </row>
    <row r="833">
      <c r="B833" s="846"/>
      <c r="C833" s="578"/>
      <c r="D833" s="10"/>
      <c r="F833" s="10"/>
      <c r="H833" s="10"/>
      <c r="I833" s="10"/>
      <c r="J833" s="10"/>
      <c r="K833" s="10"/>
      <c r="L833" s="2"/>
      <c r="M833" s="2"/>
      <c r="N833" s="2"/>
      <c r="O833" s="2"/>
      <c r="P833" s="2"/>
      <c r="Q833" s="2"/>
      <c r="R833" s="852"/>
      <c r="S833" s="859"/>
      <c r="T833" s="107"/>
      <c r="U833" s="107"/>
      <c r="V833" s="107"/>
      <c r="W833" s="107"/>
      <c r="X833" s="107"/>
    </row>
    <row r="834">
      <c r="B834" s="846"/>
      <c r="C834" s="578"/>
      <c r="D834" s="10"/>
      <c r="F834" s="10"/>
      <c r="H834" s="10"/>
      <c r="I834" s="10"/>
      <c r="J834" s="10"/>
      <c r="K834" s="10"/>
      <c r="L834" s="2"/>
      <c r="M834" s="2"/>
      <c r="N834" s="2"/>
      <c r="O834" s="2"/>
      <c r="P834" s="2"/>
      <c r="Q834" s="2"/>
      <c r="R834" s="852"/>
      <c r="S834" s="859"/>
      <c r="T834" s="107"/>
      <c r="U834" s="107"/>
      <c r="V834" s="107"/>
      <c r="W834" s="107"/>
      <c r="X834" s="107"/>
    </row>
    <row r="835">
      <c r="B835" s="846"/>
      <c r="C835" s="578"/>
      <c r="D835" s="10"/>
      <c r="F835" s="10"/>
      <c r="H835" s="10"/>
      <c r="I835" s="10"/>
      <c r="J835" s="10"/>
      <c r="K835" s="10"/>
      <c r="L835" s="2"/>
      <c r="M835" s="2"/>
      <c r="N835" s="2"/>
      <c r="O835" s="2"/>
      <c r="P835" s="2"/>
      <c r="Q835" s="2"/>
      <c r="R835" s="852"/>
      <c r="S835" s="859"/>
      <c r="T835" s="107"/>
      <c r="U835" s="107"/>
      <c r="V835" s="107"/>
      <c r="W835" s="107"/>
      <c r="X835" s="107"/>
    </row>
    <row r="836">
      <c r="B836" s="846"/>
      <c r="C836" s="578"/>
      <c r="D836" s="10"/>
      <c r="F836" s="10"/>
      <c r="H836" s="10"/>
      <c r="I836" s="10"/>
      <c r="J836" s="10"/>
      <c r="K836" s="10"/>
      <c r="L836" s="2"/>
      <c r="M836" s="2"/>
      <c r="N836" s="2"/>
      <c r="O836" s="2"/>
      <c r="P836" s="2"/>
      <c r="Q836" s="2"/>
      <c r="R836" s="852"/>
      <c r="S836" s="859"/>
      <c r="T836" s="107"/>
      <c r="U836" s="107"/>
      <c r="V836" s="107"/>
      <c r="W836" s="107"/>
      <c r="X836" s="107"/>
    </row>
    <row r="837">
      <c r="B837" s="846"/>
      <c r="C837" s="578"/>
      <c r="D837" s="10"/>
      <c r="F837" s="10"/>
      <c r="H837" s="10"/>
      <c r="I837" s="10"/>
      <c r="J837" s="10"/>
      <c r="K837" s="10"/>
      <c r="L837" s="2"/>
      <c r="M837" s="2"/>
      <c r="N837" s="2"/>
      <c r="O837" s="2"/>
      <c r="P837" s="2"/>
      <c r="Q837" s="2"/>
      <c r="R837" s="857"/>
      <c r="S837" s="860"/>
      <c r="T837" s="107"/>
      <c r="U837" s="107"/>
      <c r="V837" s="107"/>
      <c r="W837" s="107"/>
      <c r="X837" s="107"/>
    </row>
    <row r="838">
      <c r="B838" s="846"/>
      <c r="C838" s="578"/>
      <c r="D838" s="10"/>
      <c r="F838" s="10"/>
      <c r="H838" s="10"/>
      <c r="I838" s="10"/>
      <c r="J838" s="10"/>
      <c r="K838" s="10"/>
      <c r="L838" s="2"/>
      <c r="M838" s="2"/>
      <c r="N838" s="2"/>
      <c r="O838" s="2"/>
      <c r="P838" s="2"/>
      <c r="Q838" s="2"/>
      <c r="R838" s="861"/>
      <c r="S838" s="111"/>
      <c r="T838" s="2"/>
      <c r="U838" s="2"/>
      <c r="V838" s="2"/>
      <c r="W838" s="2"/>
      <c r="X838" s="2"/>
    </row>
    <row r="839">
      <c r="B839" s="846"/>
      <c r="C839" s="578"/>
      <c r="D839" s="10"/>
      <c r="F839" s="10"/>
      <c r="H839" s="10"/>
      <c r="I839" s="10"/>
      <c r="J839" s="10"/>
      <c r="K839" s="10"/>
      <c r="L839" s="2"/>
      <c r="M839" s="2"/>
      <c r="N839" s="2"/>
      <c r="O839" s="2"/>
      <c r="P839" s="2"/>
      <c r="Q839" s="2"/>
      <c r="R839" s="861"/>
      <c r="S839" s="111"/>
      <c r="T839" s="2"/>
      <c r="U839" s="2"/>
      <c r="V839" s="2"/>
      <c r="W839" s="2"/>
      <c r="X839" s="2"/>
    </row>
    <row r="840">
      <c r="B840" s="846"/>
      <c r="C840" s="578"/>
      <c r="D840" s="10"/>
      <c r="F840" s="10"/>
      <c r="H840" s="10"/>
      <c r="I840" s="10"/>
      <c r="J840" s="10"/>
      <c r="K840" s="10"/>
      <c r="L840" s="2"/>
      <c r="M840" s="2"/>
      <c r="N840" s="2"/>
      <c r="O840" s="2"/>
      <c r="P840" s="2"/>
      <c r="Q840" s="2"/>
      <c r="R840" s="861"/>
      <c r="S840" s="111"/>
      <c r="T840" s="2"/>
      <c r="U840" s="2"/>
      <c r="V840" s="2"/>
      <c r="W840" s="2"/>
      <c r="X840" s="2"/>
    </row>
    <row r="841">
      <c r="B841" s="846"/>
      <c r="C841" s="578"/>
      <c r="D841" s="10"/>
      <c r="F841" s="10"/>
      <c r="H841" s="10"/>
      <c r="I841" s="10"/>
      <c r="J841" s="10"/>
      <c r="K841" s="10"/>
      <c r="L841" s="2"/>
      <c r="M841" s="2"/>
      <c r="N841" s="2"/>
      <c r="O841" s="2"/>
      <c r="P841" s="2"/>
      <c r="Q841" s="2"/>
      <c r="R841" s="861"/>
      <c r="S841" s="111"/>
      <c r="T841" s="2"/>
      <c r="U841" s="2"/>
      <c r="V841" s="2"/>
      <c r="W841" s="2"/>
      <c r="X841" s="2"/>
    </row>
    <row r="842">
      <c r="B842" s="846"/>
      <c r="C842" s="578"/>
      <c r="D842" s="10"/>
      <c r="F842" s="10"/>
      <c r="H842" s="10"/>
      <c r="I842" s="10"/>
      <c r="J842" s="10"/>
      <c r="K842" s="10"/>
      <c r="L842" s="2"/>
      <c r="M842" s="2"/>
      <c r="N842" s="2"/>
      <c r="O842" s="2"/>
      <c r="P842" s="2"/>
      <c r="Q842" s="2"/>
      <c r="R842" s="861"/>
      <c r="S842" s="111"/>
      <c r="T842" s="2"/>
      <c r="U842" s="2"/>
      <c r="V842" s="2"/>
      <c r="W842" s="2"/>
      <c r="X842" s="2"/>
    </row>
    <row r="843">
      <c r="B843" s="846"/>
      <c r="C843" s="578"/>
      <c r="D843" s="10"/>
      <c r="F843" s="10"/>
      <c r="H843" s="10"/>
      <c r="I843" s="10"/>
      <c r="J843" s="10"/>
      <c r="K843" s="10"/>
      <c r="L843" s="2"/>
      <c r="M843" s="2"/>
      <c r="N843" s="2"/>
      <c r="O843" s="2"/>
      <c r="P843" s="2"/>
      <c r="Q843" s="2"/>
      <c r="R843" s="862"/>
      <c r="S843" s="109"/>
      <c r="T843" s="2"/>
      <c r="U843" s="2"/>
      <c r="V843" s="2"/>
      <c r="W843" s="2"/>
      <c r="X843" s="2"/>
    </row>
    <row r="844">
      <c r="B844" s="846"/>
      <c r="C844" s="578"/>
      <c r="D844" s="10"/>
      <c r="F844" s="10"/>
      <c r="H844" s="10"/>
      <c r="I844" s="10"/>
      <c r="J844" s="10"/>
      <c r="K844" s="10"/>
      <c r="L844" s="2"/>
      <c r="M844" s="2"/>
      <c r="N844" s="2"/>
      <c r="O844" s="2"/>
      <c r="P844" s="2"/>
      <c r="Q844" s="2"/>
      <c r="R844" s="861"/>
      <c r="S844" s="111"/>
      <c r="T844" s="2"/>
      <c r="U844" s="2"/>
      <c r="V844" s="2"/>
      <c r="W844" s="2"/>
      <c r="X844" s="2"/>
    </row>
    <row r="845">
      <c r="B845" s="846"/>
      <c r="C845" s="578"/>
      <c r="D845" s="10"/>
      <c r="F845" s="10"/>
      <c r="H845" s="10"/>
      <c r="I845" s="10"/>
      <c r="J845" s="10"/>
      <c r="K845" s="10"/>
      <c r="L845" s="2"/>
      <c r="M845" s="2"/>
      <c r="N845" s="2"/>
      <c r="O845" s="2"/>
      <c r="P845" s="2"/>
      <c r="Q845" s="2"/>
      <c r="R845" s="861"/>
      <c r="S845" s="111"/>
      <c r="T845" s="2"/>
      <c r="U845" s="2"/>
      <c r="V845" s="2"/>
      <c r="W845" s="2"/>
      <c r="X845" s="2"/>
    </row>
    <row r="846">
      <c r="B846" s="846"/>
      <c r="C846" s="578"/>
      <c r="D846" s="10"/>
      <c r="F846" s="10"/>
      <c r="H846" s="10"/>
      <c r="I846" s="10"/>
      <c r="J846" s="10"/>
      <c r="K846" s="10"/>
      <c r="L846" s="2"/>
      <c r="M846" s="2"/>
      <c r="N846" s="2"/>
      <c r="O846" s="2"/>
      <c r="P846" s="2"/>
      <c r="Q846" s="2"/>
      <c r="R846" s="861"/>
      <c r="S846" s="111"/>
      <c r="T846" s="2"/>
      <c r="U846" s="2"/>
      <c r="V846" s="2"/>
      <c r="W846" s="2"/>
      <c r="X846" s="2"/>
    </row>
    <row r="847">
      <c r="B847" s="846"/>
      <c r="C847" s="578"/>
      <c r="D847" s="10"/>
      <c r="F847" s="10"/>
      <c r="H847" s="10"/>
      <c r="I847" s="10"/>
      <c r="J847" s="10"/>
      <c r="K847" s="10"/>
      <c r="L847" s="2"/>
      <c r="M847" s="2"/>
      <c r="N847" s="2"/>
      <c r="O847" s="2"/>
      <c r="P847" s="2"/>
      <c r="Q847" s="2"/>
      <c r="R847" s="861"/>
      <c r="S847" s="111"/>
      <c r="T847" s="2"/>
      <c r="U847" s="2"/>
      <c r="V847" s="2"/>
      <c r="W847" s="2"/>
      <c r="X847" s="2"/>
    </row>
    <row r="848">
      <c r="B848" s="846"/>
      <c r="C848" s="578"/>
      <c r="D848" s="10"/>
      <c r="F848" s="10"/>
      <c r="H848" s="10"/>
      <c r="I848" s="10"/>
      <c r="J848" s="10"/>
      <c r="K848" s="10"/>
      <c r="L848" s="2"/>
      <c r="M848" s="2"/>
      <c r="N848" s="2"/>
      <c r="O848" s="2"/>
      <c r="P848" s="2"/>
      <c r="Q848" s="2"/>
      <c r="R848" s="861"/>
      <c r="S848" s="111"/>
      <c r="T848" s="2"/>
      <c r="U848" s="2"/>
      <c r="V848" s="2"/>
      <c r="W848" s="2"/>
      <c r="X848" s="2"/>
    </row>
    <row r="849">
      <c r="B849" s="846"/>
      <c r="C849" s="578"/>
      <c r="D849" s="10"/>
      <c r="F849" s="10"/>
      <c r="H849" s="10"/>
      <c r="I849" s="10"/>
      <c r="J849" s="10"/>
      <c r="K849" s="10"/>
      <c r="L849" s="2"/>
      <c r="M849" s="2"/>
      <c r="N849" s="2"/>
      <c r="O849" s="2"/>
      <c r="P849" s="2"/>
      <c r="Q849" s="2"/>
      <c r="R849" s="861"/>
      <c r="S849" s="111"/>
      <c r="T849" s="2"/>
      <c r="U849" s="2"/>
      <c r="V849" s="2"/>
      <c r="W849" s="2"/>
      <c r="X849" s="2"/>
    </row>
    <row r="850">
      <c r="B850" s="846"/>
      <c r="C850" s="578"/>
      <c r="D850" s="10"/>
      <c r="F850" s="10"/>
      <c r="H850" s="10"/>
      <c r="I850" s="10"/>
      <c r="J850" s="10"/>
      <c r="K850" s="10"/>
      <c r="L850" s="2"/>
      <c r="M850" s="2"/>
      <c r="N850" s="2"/>
      <c r="O850" s="2"/>
      <c r="P850" s="2"/>
      <c r="Q850" s="2"/>
      <c r="R850" s="861"/>
      <c r="S850" s="111"/>
      <c r="T850" s="2"/>
      <c r="U850" s="2"/>
      <c r="V850" s="2"/>
      <c r="W850" s="2"/>
      <c r="X850" s="2"/>
    </row>
    <row r="851">
      <c r="B851" s="846"/>
      <c r="C851" s="578"/>
      <c r="D851" s="10"/>
      <c r="F851" s="10"/>
      <c r="H851" s="10"/>
      <c r="I851" s="10"/>
      <c r="J851" s="10"/>
      <c r="K851" s="10"/>
      <c r="L851" s="2"/>
      <c r="M851" s="2"/>
      <c r="N851" s="2"/>
      <c r="O851" s="2"/>
      <c r="P851" s="2"/>
      <c r="Q851" s="2"/>
      <c r="R851" s="861"/>
      <c r="S851" s="111"/>
      <c r="T851" s="2"/>
      <c r="U851" s="2"/>
      <c r="V851" s="2"/>
      <c r="W851" s="2"/>
      <c r="X851" s="2"/>
    </row>
    <row r="852">
      <c r="B852" s="846"/>
      <c r="C852" s="578"/>
      <c r="D852" s="10"/>
      <c r="F852" s="10"/>
      <c r="H852" s="10"/>
      <c r="I852" s="10"/>
      <c r="J852" s="10"/>
      <c r="K852" s="10"/>
      <c r="L852" s="2"/>
      <c r="M852" s="2"/>
      <c r="N852" s="2"/>
      <c r="O852" s="2"/>
      <c r="P852" s="2"/>
      <c r="Q852" s="2"/>
      <c r="R852" s="862"/>
      <c r="S852" s="109"/>
      <c r="T852" s="2"/>
      <c r="U852" s="2"/>
      <c r="V852" s="2"/>
      <c r="W852" s="2"/>
      <c r="X852" s="2"/>
    </row>
    <row r="853">
      <c r="B853" s="846"/>
      <c r="C853" s="578"/>
      <c r="D853" s="10"/>
      <c r="F853" s="10"/>
      <c r="H853" s="10"/>
      <c r="I853" s="10"/>
      <c r="J853" s="10"/>
      <c r="K853" s="10"/>
      <c r="L853" s="2"/>
      <c r="M853" s="2"/>
      <c r="N853" s="2"/>
      <c r="O853" s="2"/>
      <c r="P853" s="2"/>
      <c r="Q853" s="2"/>
      <c r="R853" s="862"/>
      <c r="S853" s="109"/>
      <c r="T853" s="54"/>
      <c r="U853" s="54"/>
      <c r="V853" s="54"/>
      <c r="W853" s="54"/>
      <c r="X853" s="54"/>
    </row>
    <row r="854">
      <c r="B854" s="846"/>
      <c r="C854" s="578"/>
      <c r="D854" s="10"/>
      <c r="F854" s="10"/>
      <c r="H854" s="10"/>
      <c r="I854" s="10"/>
      <c r="J854" s="10"/>
      <c r="K854" s="10"/>
      <c r="L854" s="2"/>
      <c r="M854" s="2"/>
      <c r="N854" s="2"/>
      <c r="O854" s="2"/>
      <c r="P854" s="2"/>
      <c r="Q854" s="2"/>
      <c r="R854" s="117"/>
      <c r="S854" s="2"/>
      <c r="T854" s="2"/>
      <c r="U854" s="2"/>
      <c r="V854" s="2"/>
      <c r="W854" s="2"/>
      <c r="X854" s="2"/>
    </row>
    <row r="855">
      <c r="B855" s="846"/>
      <c r="C855" s="578"/>
      <c r="D855" s="10"/>
      <c r="F855" s="10"/>
      <c r="H855" s="10"/>
      <c r="I855" s="10"/>
      <c r="J855" s="10"/>
      <c r="K855" s="10"/>
      <c r="L855" s="2"/>
      <c r="M855" s="2"/>
      <c r="N855" s="2"/>
      <c r="O855" s="2"/>
      <c r="P855" s="2"/>
      <c r="Q855" s="2"/>
      <c r="R855" s="117"/>
      <c r="S855" s="2"/>
      <c r="T855" s="2"/>
      <c r="U855" s="2"/>
      <c r="V855" s="2"/>
      <c r="W855" s="2"/>
      <c r="X855" s="2"/>
    </row>
    <row r="856">
      <c r="B856" s="846"/>
      <c r="C856" s="578"/>
      <c r="D856" s="10"/>
      <c r="F856" s="10"/>
      <c r="H856" s="10"/>
      <c r="I856" s="10"/>
      <c r="J856" s="10"/>
      <c r="K856" s="10"/>
      <c r="L856" s="2"/>
      <c r="M856" s="2"/>
      <c r="N856" s="2"/>
      <c r="O856" s="2"/>
      <c r="P856" s="2"/>
      <c r="Q856" s="2"/>
      <c r="R856" s="847"/>
      <c r="S856" s="847"/>
      <c r="T856" s="116"/>
      <c r="U856" s="116"/>
      <c r="V856" s="116"/>
      <c r="W856" s="116"/>
      <c r="X856" s="116"/>
    </row>
    <row r="857">
      <c r="B857" s="846"/>
      <c r="C857" s="578"/>
      <c r="D857" s="10"/>
      <c r="F857" s="10"/>
      <c r="H857" s="10"/>
      <c r="I857" s="10"/>
      <c r="J857" s="10"/>
      <c r="K857" s="10"/>
      <c r="L857" s="2"/>
      <c r="M857" s="2"/>
      <c r="N857" s="2"/>
      <c r="O857" s="2"/>
      <c r="P857" s="2"/>
      <c r="Q857" s="2"/>
      <c r="R857" s="848"/>
      <c r="S857" s="848"/>
      <c r="T857" s="848"/>
      <c r="U857" s="848"/>
      <c r="V857" s="848"/>
      <c r="W857" s="848"/>
      <c r="X857" s="848"/>
    </row>
    <row r="858">
      <c r="B858" s="846"/>
      <c r="C858" s="578"/>
      <c r="D858" s="10"/>
      <c r="F858" s="10"/>
      <c r="H858" s="10"/>
      <c r="I858" s="10"/>
      <c r="J858" s="10"/>
      <c r="K858" s="10"/>
      <c r="L858" s="2"/>
      <c r="M858" s="2"/>
      <c r="N858" s="2"/>
      <c r="O858" s="2"/>
      <c r="P858" s="2"/>
      <c r="Q858" s="2"/>
      <c r="R858" s="849"/>
      <c r="S858" s="850"/>
      <c r="T858" s="851"/>
      <c r="U858" s="851"/>
      <c r="V858" s="851"/>
      <c r="W858" s="851"/>
      <c r="X858" s="851"/>
    </row>
    <row r="859">
      <c r="B859" s="846"/>
      <c r="C859" s="578"/>
      <c r="D859" s="10"/>
      <c r="F859" s="10"/>
      <c r="H859" s="10"/>
      <c r="I859" s="10"/>
      <c r="J859" s="10"/>
      <c r="K859" s="10"/>
      <c r="L859" s="2"/>
      <c r="M859" s="2"/>
      <c r="N859" s="2"/>
      <c r="O859" s="2"/>
      <c r="P859" s="2"/>
      <c r="Q859" s="2"/>
      <c r="R859" s="852"/>
      <c r="S859" s="853"/>
      <c r="T859" s="854"/>
      <c r="U859" s="854"/>
      <c r="V859" s="854"/>
      <c r="W859" s="854"/>
      <c r="X859" s="854"/>
    </row>
    <row r="860">
      <c r="B860" s="846"/>
      <c r="C860" s="578"/>
      <c r="D860" s="10"/>
      <c r="F860" s="10"/>
      <c r="H860" s="10"/>
      <c r="I860" s="10"/>
      <c r="J860" s="10"/>
      <c r="K860" s="10"/>
      <c r="L860" s="2"/>
      <c r="M860" s="2"/>
      <c r="N860" s="2"/>
      <c r="O860" s="2"/>
      <c r="P860" s="2"/>
      <c r="Q860" s="2"/>
      <c r="R860" s="855"/>
      <c r="S860" s="856"/>
      <c r="T860" s="854"/>
      <c r="U860" s="854"/>
      <c r="V860" s="854"/>
      <c r="W860" s="854"/>
      <c r="X860" s="854"/>
    </row>
    <row r="861">
      <c r="B861" s="846"/>
      <c r="C861" s="578"/>
      <c r="D861" s="10"/>
      <c r="F861" s="10"/>
      <c r="H861" s="10"/>
      <c r="I861" s="10"/>
      <c r="J861" s="10"/>
      <c r="K861" s="10"/>
      <c r="L861" s="2"/>
      <c r="M861" s="2"/>
      <c r="N861" s="2"/>
      <c r="O861" s="2"/>
      <c r="P861" s="2"/>
      <c r="Q861" s="2"/>
      <c r="R861" s="855"/>
      <c r="S861" s="856"/>
      <c r="T861" s="854"/>
      <c r="U861" s="854"/>
      <c r="V861" s="854"/>
      <c r="W861" s="854"/>
      <c r="X861" s="854"/>
    </row>
    <row r="862">
      <c r="B862" s="846"/>
      <c r="C862" s="578"/>
      <c r="D862" s="10"/>
      <c r="F862" s="10"/>
      <c r="H862" s="10"/>
      <c r="I862" s="10"/>
      <c r="J862" s="10"/>
      <c r="K862" s="10"/>
      <c r="L862" s="2"/>
      <c r="M862" s="2"/>
      <c r="N862" s="2"/>
      <c r="O862" s="2"/>
      <c r="P862" s="2"/>
      <c r="Q862" s="2"/>
      <c r="R862" s="852"/>
      <c r="S862" s="853"/>
      <c r="T862" s="854"/>
      <c r="U862" s="854"/>
      <c r="V862" s="854"/>
      <c r="W862" s="854"/>
      <c r="X862" s="854"/>
    </row>
    <row r="863">
      <c r="B863" s="846"/>
      <c r="C863" s="578"/>
      <c r="D863" s="10"/>
      <c r="F863" s="10"/>
      <c r="H863" s="10"/>
      <c r="I863" s="10"/>
      <c r="J863" s="10"/>
      <c r="K863" s="10"/>
      <c r="L863" s="2"/>
      <c r="M863" s="2"/>
      <c r="N863" s="2"/>
      <c r="O863" s="2"/>
      <c r="P863" s="2"/>
      <c r="Q863" s="2"/>
      <c r="R863" s="857"/>
      <c r="S863" s="858"/>
      <c r="T863" s="854"/>
      <c r="U863" s="854"/>
      <c r="V863" s="854"/>
      <c r="W863" s="854"/>
      <c r="X863" s="854"/>
    </row>
    <row r="864">
      <c r="B864" s="846"/>
      <c r="C864" s="578"/>
      <c r="D864" s="10"/>
      <c r="F864" s="10"/>
      <c r="H864" s="10"/>
      <c r="I864" s="10"/>
      <c r="J864" s="10"/>
      <c r="K864" s="10"/>
      <c r="L864" s="2"/>
      <c r="M864" s="2"/>
      <c r="N864" s="2"/>
      <c r="O864" s="2"/>
      <c r="P864" s="2"/>
      <c r="Q864" s="2"/>
      <c r="R864" s="857"/>
      <c r="S864" s="858"/>
      <c r="T864" s="854"/>
      <c r="U864" s="854"/>
      <c r="V864" s="854"/>
      <c r="W864" s="854"/>
      <c r="X864" s="854"/>
    </row>
    <row r="865">
      <c r="B865" s="846"/>
      <c r="C865" s="578"/>
      <c r="D865" s="10"/>
      <c r="F865" s="10"/>
      <c r="H865" s="10"/>
      <c r="I865" s="10"/>
      <c r="J865" s="10"/>
      <c r="K865" s="10"/>
      <c r="L865" s="2"/>
      <c r="M865" s="2"/>
      <c r="N865" s="2"/>
      <c r="O865" s="2"/>
      <c r="P865" s="2"/>
      <c r="Q865" s="2"/>
      <c r="R865" s="857"/>
      <c r="S865" s="858"/>
      <c r="T865" s="854"/>
      <c r="U865" s="854"/>
      <c r="V865" s="854"/>
      <c r="W865" s="854"/>
      <c r="X865" s="854"/>
    </row>
    <row r="866">
      <c r="B866" s="846"/>
      <c r="C866" s="578"/>
      <c r="D866" s="10"/>
      <c r="F866" s="10"/>
      <c r="H866" s="10"/>
      <c r="I866" s="10"/>
      <c r="J866" s="10"/>
      <c r="K866" s="10"/>
      <c r="L866" s="2"/>
      <c r="M866" s="2"/>
      <c r="N866" s="2"/>
      <c r="O866" s="2"/>
      <c r="P866" s="2"/>
      <c r="Q866" s="2"/>
      <c r="R866" s="852"/>
      <c r="S866" s="853"/>
      <c r="T866" s="854"/>
      <c r="U866" s="854"/>
      <c r="V866" s="854"/>
      <c r="W866" s="854"/>
      <c r="X866" s="854"/>
    </row>
    <row r="867">
      <c r="B867" s="846"/>
      <c r="C867" s="578"/>
      <c r="D867" s="10"/>
      <c r="F867" s="10"/>
      <c r="H867" s="10"/>
      <c r="I867" s="10"/>
      <c r="J867" s="10"/>
      <c r="K867" s="10"/>
      <c r="L867" s="2"/>
      <c r="M867" s="2"/>
      <c r="N867" s="2"/>
      <c r="O867" s="2"/>
      <c r="P867" s="2"/>
      <c r="Q867" s="2"/>
      <c r="R867" s="852"/>
      <c r="S867" s="853"/>
      <c r="T867" s="854"/>
      <c r="U867" s="854"/>
      <c r="V867" s="854"/>
      <c r="W867" s="854"/>
      <c r="X867" s="854"/>
    </row>
    <row r="868">
      <c r="B868" s="846"/>
      <c r="C868" s="578"/>
      <c r="D868" s="10"/>
      <c r="F868" s="10"/>
      <c r="H868" s="10"/>
      <c r="I868" s="10"/>
      <c r="J868" s="10"/>
      <c r="K868" s="10"/>
      <c r="L868" s="2"/>
      <c r="M868" s="2"/>
      <c r="N868" s="2"/>
      <c r="O868" s="2"/>
      <c r="P868" s="2"/>
      <c r="Q868" s="2"/>
      <c r="R868" s="852"/>
      <c r="S868" s="853"/>
      <c r="T868" s="854"/>
      <c r="U868" s="854"/>
      <c r="V868" s="854"/>
      <c r="W868" s="854"/>
      <c r="X868" s="854"/>
    </row>
    <row r="869">
      <c r="B869" s="846"/>
      <c r="C869" s="578"/>
      <c r="D869" s="10"/>
      <c r="F869" s="10"/>
      <c r="H869" s="10"/>
      <c r="I869" s="10"/>
      <c r="J869" s="10"/>
      <c r="K869" s="10"/>
      <c r="L869" s="2"/>
      <c r="M869" s="2"/>
      <c r="N869" s="2"/>
      <c r="O869" s="2"/>
      <c r="P869" s="2"/>
      <c r="Q869" s="2"/>
      <c r="R869" s="852"/>
      <c r="S869" s="853"/>
      <c r="T869" s="854"/>
      <c r="U869" s="854"/>
      <c r="V869" s="854"/>
      <c r="W869" s="854"/>
      <c r="X869" s="854"/>
    </row>
    <row r="870">
      <c r="B870" s="846"/>
      <c r="C870" s="578"/>
      <c r="D870" s="10"/>
      <c r="F870" s="10"/>
      <c r="H870" s="10"/>
      <c r="I870" s="10"/>
      <c r="J870" s="10"/>
      <c r="K870" s="10"/>
      <c r="L870" s="2"/>
      <c r="M870" s="2"/>
      <c r="N870" s="2"/>
      <c r="O870" s="2"/>
      <c r="P870" s="2"/>
      <c r="Q870" s="2"/>
      <c r="R870" s="852"/>
      <c r="S870" s="859"/>
      <c r="T870" s="107"/>
      <c r="U870" s="107"/>
      <c r="V870" s="107"/>
      <c r="W870" s="107"/>
      <c r="X870" s="107"/>
    </row>
    <row r="871">
      <c r="B871" s="846"/>
      <c r="C871" s="578"/>
      <c r="D871" s="10"/>
      <c r="F871" s="10"/>
      <c r="H871" s="10"/>
      <c r="I871" s="10"/>
      <c r="J871" s="10"/>
      <c r="K871" s="10"/>
      <c r="L871" s="2"/>
      <c r="M871" s="2"/>
      <c r="N871" s="2"/>
      <c r="O871" s="2"/>
      <c r="P871" s="2"/>
      <c r="Q871" s="2"/>
      <c r="R871" s="852"/>
      <c r="S871" s="859"/>
      <c r="T871" s="107"/>
      <c r="U871" s="107"/>
      <c r="V871" s="107"/>
      <c r="W871" s="107"/>
      <c r="X871" s="107"/>
    </row>
    <row r="872">
      <c r="B872" s="846"/>
      <c r="C872" s="578"/>
      <c r="D872" s="10"/>
      <c r="F872" s="10"/>
      <c r="H872" s="10"/>
      <c r="I872" s="10"/>
      <c r="J872" s="10"/>
      <c r="K872" s="10"/>
      <c r="L872" s="2"/>
      <c r="M872" s="2"/>
      <c r="N872" s="2"/>
      <c r="O872" s="2"/>
      <c r="P872" s="2"/>
      <c r="Q872" s="2"/>
      <c r="R872" s="852"/>
      <c r="S872" s="859"/>
      <c r="T872" s="107"/>
      <c r="U872" s="107"/>
      <c r="V872" s="107"/>
      <c r="W872" s="107"/>
      <c r="X872" s="107"/>
    </row>
    <row r="873">
      <c r="B873" s="846"/>
      <c r="C873" s="578"/>
      <c r="D873" s="10"/>
      <c r="F873" s="10"/>
      <c r="H873" s="10"/>
      <c r="I873" s="10"/>
      <c r="J873" s="10"/>
      <c r="K873" s="10"/>
      <c r="L873" s="2"/>
      <c r="M873" s="2"/>
      <c r="N873" s="2"/>
      <c r="O873" s="2"/>
      <c r="P873" s="2"/>
      <c r="Q873" s="2"/>
      <c r="R873" s="852"/>
      <c r="S873" s="859"/>
      <c r="T873" s="107"/>
      <c r="U873" s="107"/>
      <c r="V873" s="107"/>
      <c r="W873" s="107"/>
      <c r="X873" s="107"/>
    </row>
    <row r="874">
      <c r="B874" s="846"/>
      <c r="C874" s="578"/>
      <c r="D874" s="10"/>
      <c r="F874" s="10"/>
      <c r="H874" s="10"/>
      <c r="I874" s="10"/>
      <c r="J874" s="10"/>
      <c r="K874" s="10"/>
      <c r="L874" s="2"/>
      <c r="M874" s="2"/>
      <c r="N874" s="2"/>
      <c r="O874" s="2"/>
      <c r="P874" s="2"/>
      <c r="Q874" s="2"/>
      <c r="R874" s="852"/>
      <c r="S874" s="859"/>
      <c r="T874" s="107"/>
      <c r="U874" s="107"/>
      <c r="V874" s="107"/>
      <c r="W874" s="107"/>
      <c r="X874" s="107"/>
    </row>
    <row r="875">
      <c r="B875" s="846"/>
      <c r="C875" s="578"/>
      <c r="D875" s="10"/>
      <c r="F875" s="10"/>
      <c r="H875" s="10"/>
      <c r="I875" s="10"/>
      <c r="J875" s="10"/>
      <c r="K875" s="10"/>
      <c r="L875" s="2"/>
      <c r="M875" s="2"/>
      <c r="N875" s="2"/>
      <c r="O875" s="2"/>
      <c r="P875" s="2"/>
      <c r="Q875" s="2"/>
      <c r="R875" s="852"/>
      <c r="S875" s="859"/>
      <c r="T875" s="107"/>
      <c r="U875" s="107"/>
      <c r="V875" s="107"/>
      <c r="W875" s="107"/>
      <c r="X875" s="107"/>
    </row>
    <row r="876">
      <c r="B876" s="846"/>
      <c r="C876" s="578"/>
      <c r="D876" s="10"/>
      <c r="F876" s="10"/>
      <c r="H876" s="10"/>
      <c r="I876" s="10"/>
      <c r="J876" s="10"/>
      <c r="K876" s="10"/>
      <c r="L876" s="2"/>
      <c r="M876" s="2"/>
      <c r="N876" s="2"/>
      <c r="O876" s="2"/>
      <c r="P876" s="2"/>
      <c r="Q876" s="2"/>
      <c r="R876" s="852"/>
      <c r="S876" s="859"/>
      <c r="T876" s="107"/>
      <c r="U876" s="107"/>
      <c r="V876" s="107"/>
      <c r="W876" s="107"/>
      <c r="X876" s="107"/>
    </row>
    <row r="877">
      <c r="B877" s="846"/>
      <c r="C877" s="578"/>
      <c r="D877" s="10"/>
      <c r="F877" s="10"/>
      <c r="H877" s="10"/>
      <c r="I877" s="10"/>
      <c r="J877" s="10"/>
      <c r="K877" s="10"/>
      <c r="L877" s="2"/>
      <c r="M877" s="2"/>
      <c r="N877" s="2"/>
      <c r="O877" s="2"/>
      <c r="P877" s="2"/>
      <c r="Q877" s="2"/>
      <c r="R877" s="852"/>
      <c r="S877" s="859"/>
      <c r="T877" s="107"/>
      <c r="U877" s="107"/>
      <c r="V877" s="107"/>
      <c r="W877" s="107"/>
      <c r="X877" s="107"/>
    </row>
    <row r="878">
      <c r="B878" s="846"/>
      <c r="C878" s="578"/>
      <c r="D878" s="10"/>
      <c r="F878" s="10"/>
      <c r="H878" s="10"/>
      <c r="I878" s="10"/>
      <c r="J878" s="10"/>
      <c r="K878" s="10"/>
      <c r="L878" s="2"/>
      <c r="M878" s="2"/>
      <c r="N878" s="2"/>
      <c r="O878" s="2"/>
      <c r="P878" s="2"/>
      <c r="Q878" s="2"/>
      <c r="R878" s="852"/>
      <c r="S878" s="859"/>
      <c r="T878" s="107"/>
      <c r="U878" s="107"/>
      <c r="V878" s="107"/>
      <c r="W878" s="107"/>
      <c r="X878" s="107"/>
    </row>
    <row r="879">
      <c r="B879" s="846"/>
      <c r="C879" s="578"/>
      <c r="D879" s="10"/>
      <c r="F879" s="10"/>
      <c r="H879" s="10"/>
      <c r="I879" s="10"/>
      <c r="J879" s="10"/>
      <c r="K879" s="10"/>
      <c r="L879" s="2"/>
      <c r="M879" s="2"/>
      <c r="N879" s="2"/>
      <c r="O879" s="2"/>
      <c r="P879" s="2"/>
      <c r="Q879" s="2"/>
      <c r="R879" s="852"/>
      <c r="S879" s="859"/>
      <c r="T879" s="107"/>
      <c r="U879" s="107"/>
      <c r="V879" s="107"/>
      <c r="W879" s="107"/>
      <c r="X879" s="107"/>
    </row>
    <row r="880">
      <c r="B880" s="846"/>
      <c r="C880" s="578"/>
      <c r="D880" s="10"/>
      <c r="F880" s="10"/>
      <c r="H880" s="10"/>
      <c r="I880" s="10"/>
      <c r="J880" s="10"/>
      <c r="K880" s="10"/>
      <c r="L880" s="2"/>
      <c r="M880" s="2"/>
      <c r="N880" s="2"/>
      <c r="O880" s="2"/>
      <c r="P880" s="2"/>
      <c r="Q880" s="2"/>
      <c r="R880" s="857"/>
      <c r="S880" s="860"/>
      <c r="T880" s="107"/>
      <c r="U880" s="107"/>
      <c r="V880" s="107"/>
      <c r="W880" s="107"/>
      <c r="X880" s="107"/>
    </row>
    <row r="881">
      <c r="B881" s="846"/>
      <c r="C881" s="578"/>
      <c r="D881" s="10"/>
      <c r="F881" s="10"/>
      <c r="H881" s="10"/>
      <c r="I881" s="10"/>
      <c r="J881" s="10"/>
      <c r="K881" s="10"/>
      <c r="L881" s="2"/>
      <c r="M881" s="2"/>
      <c r="N881" s="2"/>
      <c r="O881" s="2"/>
      <c r="P881" s="2"/>
      <c r="Q881" s="2"/>
      <c r="R881" s="861"/>
      <c r="S881" s="111"/>
      <c r="T881" s="2"/>
      <c r="U881" s="2"/>
      <c r="V881" s="2"/>
      <c r="W881" s="2"/>
      <c r="X881" s="2"/>
    </row>
    <row r="882">
      <c r="B882" s="846"/>
      <c r="C882" s="578"/>
      <c r="D882" s="10"/>
      <c r="F882" s="10"/>
      <c r="H882" s="10"/>
      <c r="I882" s="10"/>
      <c r="J882" s="10"/>
      <c r="K882" s="10"/>
      <c r="L882" s="2"/>
      <c r="M882" s="2"/>
      <c r="N882" s="2"/>
      <c r="O882" s="2"/>
      <c r="P882" s="2"/>
      <c r="Q882" s="2"/>
      <c r="R882" s="861"/>
      <c r="S882" s="111"/>
      <c r="T882" s="2"/>
      <c r="U882" s="2"/>
      <c r="V882" s="2"/>
      <c r="W882" s="2"/>
      <c r="X882" s="2"/>
    </row>
    <row r="883">
      <c r="B883" s="846"/>
      <c r="C883" s="578"/>
      <c r="D883" s="10"/>
      <c r="F883" s="10"/>
      <c r="H883" s="10"/>
      <c r="I883" s="10"/>
      <c r="J883" s="10"/>
      <c r="K883" s="10"/>
      <c r="L883" s="2"/>
      <c r="M883" s="2"/>
      <c r="N883" s="2"/>
      <c r="O883" s="2"/>
      <c r="P883" s="2"/>
      <c r="Q883" s="2"/>
      <c r="R883" s="861"/>
      <c r="S883" s="111"/>
      <c r="T883" s="2"/>
      <c r="U883" s="2"/>
      <c r="V883" s="2"/>
      <c r="W883" s="2"/>
      <c r="X883" s="2"/>
    </row>
    <row r="884">
      <c r="B884" s="846"/>
      <c r="C884" s="578"/>
      <c r="D884" s="10"/>
      <c r="F884" s="10"/>
      <c r="H884" s="10"/>
      <c r="I884" s="10"/>
      <c r="J884" s="10"/>
      <c r="K884" s="10"/>
      <c r="L884" s="2"/>
      <c r="M884" s="2"/>
      <c r="N884" s="2"/>
      <c r="O884" s="2"/>
      <c r="P884" s="2"/>
      <c r="Q884" s="2"/>
      <c r="R884" s="861"/>
      <c r="S884" s="111"/>
      <c r="T884" s="2"/>
      <c r="U884" s="2"/>
      <c r="V884" s="2"/>
      <c r="W884" s="2"/>
      <c r="X884" s="2"/>
    </row>
    <row r="885">
      <c r="B885" s="846"/>
      <c r="C885" s="578"/>
      <c r="D885" s="10"/>
      <c r="F885" s="10"/>
      <c r="H885" s="10"/>
      <c r="I885" s="10"/>
      <c r="J885" s="10"/>
      <c r="K885" s="10"/>
      <c r="L885" s="2"/>
      <c r="M885" s="2"/>
      <c r="N885" s="2"/>
      <c r="O885" s="2"/>
      <c r="P885" s="2"/>
      <c r="Q885" s="2"/>
      <c r="R885" s="861"/>
      <c r="S885" s="111"/>
      <c r="T885" s="2"/>
      <c r="U885" s="2"/>
      <c r="V885" s="2"/>
      <c r="W885" s="2"/>
      <c r="X885" s="2"/>
    </row>
    <row r="886">
      <c r="B886" s="846"/>
      <c r="C886" s="578"/>
      <c r="D886" s="10"/>
      <c r="F886" s="10"/>
      <c r="H886" s="10"/>
      <c r="I886" s="10"/>
      <c r="J886" s="10"/>
      <c r="K886" s="10"/>
      <c r="L886" s="2"/>
      <c r="M886" s="2"/>
      <c r="N886" s="2"/>
      <c r="O886" s="2"/>
      <c r="P886" s="2"/>
      <c r="Q886" s="2"/>
      <c r="R886" s="862"/>
      <c r="S886" s="109"/>
      <c r="T886" s="2"/>
      <c r="U886" s="2"/>
      <c r="V886" s="2"/>
      <c r="W886" s="2"/>
      <c r="X886" s="2"/>
    </row>
    <row r="887">
      <c r="B887" s="846"/>
      <c r="C887" s="578"/>
      <c r="D887" s="10"/>
      <c r="F887" s="10"/>
      <c r="H887" s="10"/>
      <c r="I887" s="10"/>
      <c r="J887" s="10"/>
      <c r="K887" s="10"/>
      <c r="L887" s="2"/>
      <c r="M887" s="2"/>
      <c r="N887" s="2"/>
      <c r="O887" s="2"/>
      <c r="P887" s="2"/>
      <c r="Q887" s="2"/>
      <c r="R887" s="861"/>
      <c r="S887" s="111"/>
      <c r="T887" s="2"/>
      <c r="U887" s="2"/>
      <c r="V887" s="2"/>
      <c r="W887" s="2"/>
      <c r="X887" s="2"/>
    </row>
    <row r="888">
      <c r="B888" s="846"/>
      <c r="C888" s="578"/>
      <c r="D888" s="10"/>
      <c r="F888" s="10"/>
      <c r="H888" s="10"/>
      <c r="I888" s="10"/>
      <c r="J888" s="10"/>
      <c r="K888" s="10"/>
      <c r="L888" s="2"/>
      <c r="M888" s="2"/>
      <c r="N888" s="2"/>
      <c r="O888" s="2"/>
      <c r="P888" s="2"/>
      <c r="Q888" s="2"/>
      <c r="R888" s="861"/>
      <c r="S888" s="111"/>
      <c r="T888" s="2"/>
      <c r="U888" s="2"/>
      <c r="V888" s="2"/>
      <c r="W888" s="2"/>
      <c r="X888" s="2"/>
    </row>
    <row r="889">
      <c r="B889" s="846"/>
      <c r="C889" s="578"/>
      <c r="D889" s="10"/>
      <c r="F889" s="10"/>
      <c r="H889" s="10"/>
      <c r="I889" s="10"/>
      <c r="J889" s="10"/>
      <c r="K889" s="10"/>
      <c r="L889" s="2"/>
      <c r="M889" s="2"/>
      <c r="N889" s="2"/>
      <c r="O889" s="2"/>
      <c r="P889" s="2"/>
      <c r="Q889" s="2"/>
      <c r="R889" s="861"/>
      <c r="S889" s="111"/>
      <c r="T889" s="2"/>
      <c r="U889" s="2"/>
      <c r="V889" s="2"/>
      <c r="W889" s="2"/>
      <c r="X889" s="2"/>
    </row>
    <row r="890">
      <c r="B890" s="846"/>
      <c r="C890" s="578"/>
      <c r="D890" s="10"/>
      <c r="F890" s="10"/>
      <c r="H890" s="10"/>
      <c r="I890" s="10"/>
      <c r="J890" s="10"/>
      <c r="K890" s="10"/>
      <c r="L890" s="2"/>
      <c r="M890" s="2"/>
      <c r="N890" s="2"/>
      <c r="O890" s="2"/>
      <c r="P890" s="2"/>
      <c r="Q890" s="2"/>
      <c r="R890" s="861"/>
      <c r="S890" s="111"/>
      <c r="T890" s="2"/>
      <c r="U890" s="2"/>
      <c r="V890" s="2"/>
      <c r="W890" s="2"/>
      <c r="X890" s="2"/>
    </row>
    <row r="891">
      <c r="B891" s="846"/>
      <c r="C891" s="578"/>
      <c r="D891" s="10"/>
      <c r="F891" s="10"/>
      <c r="H891" s="10"/>
      <c r="I891" s="10"/>
      <c r="J891" s="10"/>
      <c r="K891" s="10"/>
      <c r="L891" s="2"/>
      <c r="M891" s="2"/>
      <c r="N891" s="2"/>
      <c r="O891" s="2"/>
      <c r="P891" s="2"/>
      <c r="Q891" s="2"/>
      <c r="R891" s="861"/>
      <c r="S891" s="111"/>
      <c r="T891" s="2"/>
      <c r="U891" s="2"/>
      <c r="V891" s="2"/>
      <c r="W891" s="2"/>
      <c r="X891" s="2"/>
    </row>
    <row r="892">
      <c r="B892" s="846"/>
      <c r="C892" s="578"/>
      <c r="D892" s="10"/>
      <c r="F892" s="10"/>
      <c r="H892" s="10"/>
      <c r="I892" s="10"/>
      <c r="J892" s="10"/>
      <c r="K892" s="10"/>
      <c r="L892" s="2"/>
      <c r="M892" s="2"/>
      <c r="N892" s="2"/>
      <c r="O892" s="2"/>
      <c r="P892" s="2"/>
      <c r="Q892" s="2"/>
      <c r="R892" s="861"/>
      <c r="S892" s="111"/>
      <c r="T892" s="2"/>
      <c r="U892" s="2"/>
      <c r="V892" s="2"/>
      <c r="W892" s="2"/>
      <c r="X892" s="2"/>
    </row>
    <row r="893">
      <c r="B893" s="846"/>
      <c r="C893" s="578"/>
      <c r="D893" s="10"/>
      <c r="F893" s="10"/>
      <c r="H893" s="10"/>
      <c r="I893" s="10"/>
      <c r="J893" s="10"/>
      <c r="K893" s="10"/>
      <c r="L893" s="2"/>
      <c r="M893" s="2"/>
      <c r="N893" s="2"/>
      <c r="O893" s="2"/>
      <c r="P893" s="2"/>
      <c r="Q893" s="2"/>
      <c r="R893" s="861"/>
      <c r="S893" s="111"/>
      <c r="T893" s="2"/>
      <c r="U893" s="2"/>
      <c r="V893" s="2"/>
      <c r="W893" s="2"/>
      <c r="X893" s="2"/>
    </row>
    <row r="894">
      <c r="B894" s="846"/>
      <c r="C894" s="578"/>
      <c r="D894" s="10"/>
      <c r="F894" s="10"/>
      <c r="H894" s="10"/>
      <c r="I894" s="10"/>
      <c r="J894" s="10"/>
      <c r="K894" s="10"/>
      <c r="L894" s="2"/>
      <c r="M894" s="2"/>
      <c r="N894" s="2"/>
      <c r="O894" s="2"/>
      <c r="P894" s="2"/>
      <c r="Q894" s="2"/>
      <c r="R894" s="861"/>
      <c r="S894" s="111"/>
      <c r="T894" s="2"/>
      <c r="U894" s="2"/>
      <c r="V894" s="2"/>
      <c r="W894" s="2"/>
      <c r="X894" s="2"/>
    </row>
    <row r="895">
      <c r="B895" s="846"/>
      <c r="C895" s="578"/>
      <c r="D895" s="10"/>
      <c r="F895" s="10"/>
      <c r="H895" s="10"/>
      <c r="I895" s="10"/>
      <c r="J895" s="10"/>
      <c r="K895" s="10"/>
      <c r="L895" s="2"/>
      <c r="M895" s="2"/>
      <c r="N895" s="2"/>
      <c r="O895" s="2"/>
      <c r="P895" s="2"/>
      <c r="Q895" s="2"/>
      <c r="R895" s="862"/>
      <c r="S895" s="109"/>
      <c r="T895" s="2"/>
      <c r="U895" s="2"/>
      <c r="V895" s="2"/>
      <c r="W895" s="2"/>
      <c r="X895" s="2"/>
    </row>
    <row r="896">
      <c r="B896" s="846"/>
      <c r="C896" s="578"/>
      <c r="D896" s="10"/>
      <c r="F896" s="10"/>
      <c r="H896" s="10"/>
      <c r="I896" s="10"/>
      <c r="J896" s="10"/>
      <c r="K896" s="10"/>
      <c r="L896" s="2"/>
      <c r="M896" s="2"/>
      <c r="N896" s="2"/>
      <c r="O896" s="2"/>
      <c r="P896" s="2"/>
      <c r="Q896" s="2"/>
      <c r="R896" s="862"/>
      <c r="S896" s="109"/>
      <c r="T896" s="54"/>
      <c r="U896" s="54"/>
      <c r="V896" s="54"/>
      <c r="W896" s="54"/>
      <c r="X896" s="54"/>
    </row>
    <row r="897">
      <c r="B897" s="846"/>
      <c r="C897" s="578"/>
      <c r="D897" s="10"/>
      <c r="F897" s="10"/>
      <c r="H897" s="10"/>
      <c r="I897" s="10"/>
      <c r="J897" s="10"/>
      <c r="K897" s="10"/>
      <c r="L897" s="2"/>
      <c r="M897" s="2"/>
      <c r="N897" s="2"/>
      <c r="O897" s="2"/>
      <c r="P897" s="2"/>
      <c r="Q897" s="2"/>
      <c r="R897" s="117"/>
      <c r="S897" s="2"/>
      <c r="T897" s="2"/>
      <c r="U897" s="2"/>
      <c r="V897" s="2"/>
      <c r="W897" s="2"/>
      <c r="X897" s="2"/>
    </row>
    <row r="898">
      <c r="B898" s="846"/>
      <c r="C898" s="578"/>
      <c r="D898" s="10"/>
      <c r="F898" s="10"/>
      <c r="H898" s="10"/>
      <c r="I898" s="10"/>
      <c r="J898" s="10"/>
      <c r="K898" s="10"/>
      <c r="L898" s="2"/>
      <c r="M898" s="2"/>
      <c r="N898" s="2"/>
      <c r="O898" s="2"/>
      <c r="P898" s="2"/>
      <c r="Q898" s="2"/>
      <c r="R898" s="117"/>
      <c r="S898" s="2"/>
      <c r="T898" s="2"/>
      <c r="U898" s="2"/>
      <c r="V898" s="2"/>
      <c r="W898" s="2"/>
      <c r="X898" s="2"/>
    </row>
    <row r="899">
      <c r="B899" s="846"/>
      <c r="C899" s="578"/>
      <c r="D899" s="10"/>
      <c r="F899" s="10"/>
      <c r="H899" s="10"/>
      <c r="I899" s="10"/>
      <c r="J899" s="10"/>
      <c r="K899" s="10"/>
      <c r="L899" s="2"/>
      <c r="M899" s="2"/>
      <c r="N899" s="2"/>
      <c r="O899" s="2"/>
      <c r="P899" s="2"/>
      <c r="Q899" s="2"/>
      <c r="R899" s="847"/>
      <c r="S899" s="847"/>
      <c r="T899" s="116"/>
      <c r="U899" s="116"/>
      <c r="V899" s="116"/>
      <c r="W899" s="116"/>
      <c r="X899" s="116"/>
    </row>
    <row r="900">
      <c r="B900" s="846"/>
      <c r="C900" s="578"/>
      <c r="D900" s="10"/>
      <c r="F900" s="10"/>
      <c r="H900" s="10"/>
      <c r="I900" s="10"/>
      <c r="J900" s="10"/>
      <c r="K900" s="10"/>
      <c r="L900" s="2"/>
      <c r="M900" s="2"/>
      <c r="N900" s="2"/>
      <c r="O900" s="2"/>
      <c r="P900" s="2"/>
      <c r="Q900" s="2"/>
      <c r="R900" s="848"/>
      <c r="S900" s="848"/>
      <c r="T900" s="848"/>
      <c r="U900" s="848"/>
      <c r="V900" s="848"/>
      <c r="W900" s="848"/>
      <c r="X900" s="848"/>
    </row>
    <row r="901">
      <c r="B901" s="846"/>
      <c r="C901" s="578"/>
      <c r="D901" s="10"/>
      <c r="F901" s="10"/>
      <c r="H901" s="10"/>
      <c r="I901" s="10"/>
      <c r="J901" s="10"/>
      <c r="K901" s="10"/>
      <c r="L901" s="2"/>
      <c r="M901" s="2"/>
      <c r="N901" s="2"/>
      <c r="O901" s="2"/>
      <c r="P901" s="2"/>
      <c r="Q901" s="2"/>
      <c r="R901" s="849"/>
      <c r="S901" s="850"/>
      <c r="T901" s="851"/>
      <c r="U901" s="851"/>
      <c r="V901" s="851"/>
      <c r="W901" s="851"/>
      <c r="X901" s="851"/>
    </row>
    <row r="902">
      <c r="B902" s="846"/>
      <c r="C902" s="578"/>
      <c r="D902" s="10"/>
      <c r="F902" s="10"/>
      <c r="H902" s="10"/>
      <c r="I902" s="10"/>
      <c r="J902" s="10"/>
      <c r="K902" s="10"/>
      <c r="L902" s="2"/>
      <c r="M902" s="2"/>
      <c r="N902" s="2"/>
      <c r="O902" s="2"/>
      <c r="P902" s="2"/>
      <c r="Q902" s="2"/>
      <c r="R902" s="852"/>
      <c r="S902" s="853"/>
      <c r="T902" s="854"/>
      <c r="U902" s="854"/>
      <c r="V902" s="854"/>
      <c r="W902" s="854"/>
      <c r="X902" s="854"/>
    </row>
    <row r="903">
      <c r="B903" s="846"/>
      <c r="C903" s="578"/>
      <c r="D903" s="10"/>
      <c r="F903" s="10"/>
      <c r="H903" s="10"/>
      <c r="I903" s="10"/>
      <c r="J903" s="10"/>
      <c r="K903" s="10"/>
      <c r="L903" s="2"/>
      <c r="M903" s="2"/>
      <c r="N903" s="2"/>
      <c r="O903" s="2"/>
      <c r="P903" s="2"/>
      <c r="Q903" s="2"/>
      <c r="R903" s="855"/>
      <c r="S903" s="856"/>
      <c r="T903" s="854"/>
      <c r="U903" s="854"/>
      <c r="V903" s="854"/>
      <c r="W903" s="854"/>
      <c r="X903" s="854"/>
    </row>
    <row r="904">
      <c r="B904" s="846"/>
      <c r="C904" s="578"/>
      <c r="D904" s="10"/>
      <c r="F904" s="10"/>
      <c r="H904" s="10"/>
      <c r="I904" s="10"/>
      <c r="J904" s="10"/>
      <c r="K904" s="10"/>
      <c r="L904" s="2"/>
      <c r="M904" s="2"/>
      <c r="N904" s="2"/>
      <c r="O904" s="2"/>
      <c r="P904" s="2"/>
      <c r="Q904" s="2"/>
      <c r="R904" s="855"/>
      <c r="S904" s="856"/>
      <c r="T904" s="854"/>
      <c r="U904" s="854"/>
      <c r="V904" s="854"/>
      <c r="W904" s="854"/>
      <c r="X904" s="854"/>
    </row>
    <row r="905">
      <c r="B905" s="846"/>
      <c r="C905" s="578"/>
      <c r="D905" s="10"/>
      <c r="F905" s="10"/>
      <c r="H905" s="10"/>
      <c r="I905" s="10"/>
      <c r="J905" s="10"/>
      <c r="K905" s="10"/>
      <c r="L905" s="2"/>
      <c r="M905" s="2"/>
      <c r="N905" s="2"/>
      <c r="O905" s="2"/>
      <c r="P905" s="2"/>
      <c r="Q905" s="2"/>
      <c r="R905" s="852"/>
      <c r="S905" s="853"/>
      <c r="T905" s="854"/>
      <c r="U905" s="854"/>
      <c r="V905" s="854"/>
      <c r="W905" s="854"/>
      <c r="X905" s="854"/>
    </row>
    <row r="906">
      <c r="B906" s="846"/>
      <c r="C906" s="578"/>
      <c r="D906" s="10"/>
      <c r="F906" s="10"/>
      <c r="H906" s="10"/>
      <c r="I906" s="10"/>
      <c r="J906" s="10"/>
      <c r="K906" s="10"/>
      <c r="L906" s="2"/>
      <c r="M906" s="2"/>
      <c r="N906" s="2"/>
      <c r="O906" s="2"/>
      <c r="P906" s="2"/>
      <c r="Q906" s="2"/>
      <c r="R906" s="857"/>
      <c r="S906" s="858"/>
      <c r="T906" s="854"/>
      <c r="U906" s="854"/>
      <c r="V906" s="854"/>
      <c r="W906" s="854"/>
      <c r="X906" s="854"/>
    </row>
    <row r="907">
      <c r="B907" s="846"/>
      <c r="C907" s="578"/>
      <c r="D907" s="10"/>
      <c r="F907" s="10"/>
      <c r="H907" s="10"/>
      <c r="I907" s="10"/>
      <c r="J907" s="10"/>
      <c r="K907" s="10"/>
      <c r="L907" s="2"/>
      <c r="M907" s="2"/>
      <c r="N907" s="2"/>
      <c r="O907" s="2"/>
      <c r="P907" s="2"/>
      <c r="Q907" s="2"/>
      <c r="R907" s="857"/>
      <c r="S907" s="858"/>
      <c r="T907" s="854"/>
      <c r="U907" s="854"/>
      <c r="V907" s="854"/>
      <c r="W907" s="854"/>
      <c r="X907" s="854"/>
    </row>
    <row r="908">
      <c r="B908" s="846"/>
      <c r="C908" s="578"/>
      <c r="D908" s="10"/>
      <c r="F908" s="10"/>
      <c r="H908" s="10"/>
      <c r="I908" s="10"/>
      <c r="J908" s="10"/>
      <c r="K908" s="10"/>
      <c r="L908" s="2"/>
      <c r="M908" s="2"/>
      <c r="N908" s="2"/>
      <c r="O908" s="2"/>
      <c r="P908" s="2"/>
      <c r="Q908" s="2"/>
      <c r="R908" s="857"/>
      <c r="S908" s="858"/>
      <c r="T908" s="854"/>
      <c r="U908" s="854"/>
      <c r="V908" s="854"/>
      <c r="W908" s="854"/>
      <c r="X908" s="854"/>
    </row>
    <row r="909">
      <c r="B909" s="846"/>
      <c r="C909" s="578"/>
      <c r="D909" s="10"/>
      <c r="F909" s="10"/>
      <c r="H909" s="10"/>
      <c r="I909" s="10"/>
      <c r="J909" s="10"/>
      <c r="K909" s="10"/>
      <c r="L909" s="2"/>
      <c r="M909" s="2"/>
      <c r="N909" s="2"/>
      <c r="O909" s="2"/>
      <c r="P909" s="2"/>
      <c r="Q909" s="2"/>
      <c r="R909" s="852"/>
      <c r="S909" s="853"/>
      <c r="T909" s="854"/>
      <c r="U909" s="854"/>
      <c r="V909" s="854"/>
      <c r="W909" s="854"/>
      <c r="X909" s="854"/>
    </row>
    <row r="910">
      <c r="B910" s="846"/>
      <c r="C910" s="578"/>
      <c r="D910" s="10"/>
      <c r="F910" s="10"/>
      <c r="H910" s="10"/>
      <c r="I910" s="10"/>
      <c r="J910" s="10"/>
      <c r="K910" s="10"/>
      <c r="L910" s="2"/>
      <c r="M910" s="2"/>
      <c r="N910" s="2"/>
      <c r="O910" s="2"/>
      <c r="P910" s="2"/>
      <c r="Q910" s="2"/>
      <c r="R910" s="852"/>
      <c r="S910" s="853"/>
      <c r="T910" s="854"/>
      <c r="U910" s="854"/>
      <c r="V910" s="854"/>
      <c r="W910" s="854"/>
      <c r="X910" s="854"/>
    </row>
    <row r="911">
      <c r="B911" s="846"/>
      <c r="C911" s="578"/>
      <c r="D911" s="10"/>
      <c r="F911" s="10"/>
      <c r="H911" s="10"/>
      <c r="I911" s="10"/>
      <c r="J911" s="10"/>
      <c r="K911" s="10"/>
      <c r="L911" s="2"/>
      <c r="M911" s="2"/>
      <c r="N911" s="2"/>
      <c r="O911" s="2"/>
      <c r="P911" s="2"/>
      <c r="Q911" s="2"/>
      <c r="R911" s="852"/>
      <c r="S911" s="853"/>
      <c r="T911" s="854"/>
      <c r="U911" s="854"/>
      <c r="V911" s="854"/>
      <c r="W911" s="854"/>
      <c r="X911" s="854"/>
    </row>
    <row r="912">
      <c r="B912" s="846"/>
      <c r="C912" s="578"/>
      <c r="D912" s="10"/>
      <c r="F912" s="10"/>
      <c r="H912" s="10"/>
      <c r="I912" s="10"/>
      <c r="J912" s="10"/>
      <c r="K912" s="10"/>
      <c r="L912" s="2"/>
      <c r="M912" s="2"/>
      <c r="N912" s="2"/>
      <c r="O912" s="2"/>
      <c r="P912" s="2"/>
      <c r="Q912" s="2"/>
      <c r="R912" s="852"/>
      <c r="S912" s="853"/>
      <c r="T912" s="854"/>
      <c r="U912" s="854"/>
      <c r="V912" s="854"/>
      <c r="W912" s="854"/>
      <c r="X912" s="854"/>
    </row>
    <row r="913">
      <c r="B913" s="846"/>
      <c r="C913" s="578"/>
      <c r="D913" s="10"/>
      <c r="F913" s="10"/>
      <c r="H913" s="10"/>
      <c r="I913" s="10"/>
      <c r="J913" s="10"/>
      <c r="K913" s="10"/>
      <c r="L913" s="2"/>
      <c r="M913" s="2"/>
      <c r="N913" s="2"/>
      <c r="O913" s="2"/>
      <c r="P913" s="2"/>
      <c r="Q913" s="2"/>
      <c r="R913" s="852"/>
      <c r="S913" s="859"/>
      <c r="T913" s="107"/>
      <c r="U913" s="107"/>
      <c r="V913" s="107"/>
      <c r="W913" s="107"/>
      <c r="X913" s="107"/>
    </row>
    <row r="914">
      <c r="B914" s="846"/>
      <c r="C914" s="578"/>
      <c r="D914" s="10"/>
      <c r="F914" s="10"/>
      <c r="H914" s="10"/>
      <c r="I914" s="10"/>
      <c r="J914" s="10"/>
      <c r="K914" s="10"/>
      <c r="L914" s="2"/>
      <c r="M914" s="2"/>
      <c r="N914" s="2"/>
      <c r="O914" s="2"/>
      <c r="P914" s="2"/>
      <c r="Q914" s="2"/>
      <c r="R914" s="852"/>
      <c r="S914" s="859"/>
      <c r="T914" s="107"/>
      <c r="U914" s="107"/>
      <c r="V914" s="107"/>
      <c r="W914" s="107"/>
      <c r="X914" s="107"/>
    </row>
    <row r="915">
      <c r="B915" s="846"/>
      <c r="C915" s="578"/>
      <c r="D915" s="10"/>
      <c r="F915" s="10"/>
      <c r="H915" s="10"/>
      <c r="I915" s="10"/>
      <c r="J915" s="10"/>
      <c r="K915" s="10"/>
      <c r="L915" s="2"/>
      <c r="M915" s="2"/>
      <c r="N915" s="2"/>
      <c r="O915" s="2"/>
      <c r="P915" s="2"/>
      <c r="Q915" s="2"/>
      <c r="R915" s="852"/>
      <c r="S915" s="859"/>
      <c r="T915" s="107"/>
      <c r="U915" s="107"/>
      <c r="V915" s="107"/>
      <c r="W915" s="107"/>
      <c r="X915" s="107"/>
    </row>
    <row r="916">
      <c r="B916" s="846"/>
      <c r="C916" s="578"/>
      <c r="D916" s="10"/>
      <c r="F916" s="10"/>
      <c r="H916" s="10"/>
      <c r="I916" s="10"/>
      <c r="J916" s="10"/>
      <c r="K916" s="10"/>
      <c r="L916" s="2"/>
      <c r="M916" s="2"/>
      <c r="N916" s="2"/>
      <c r="O916" s="2"/>
      <c r="P916" s="2"/>
      <c r="Q916" s="2"/>
      <c r="R916" s="852"/>
      <c r="S916" s="859"/>
      <c r="T916" s="107"/>
      <c r="U916" s="107"/>
      <c r="V916" s="107"/>
      <c r="W916" s="107"/>
      <c r="X916" s="107"/>
    </row>
    <row r="917">
      <c r="B917" s="846"/>
      <c r="C917" s="578"/>
      <c r="D917" s="10"/>
      <c r="F917" s="10"/>
      <c r="H917" s="10"/>
      <c r="I917" s="10"/>
      <c r="J917" s="10"/>
      <c r="K917" s="10"/>
      <c r="L917" s="2"/>
      <c r="M917" s="2"/>
      <c r="N917" s="2"/>
      <c r="O917" s="2"/>
      <c r="P917" s="2"/>
      <c r="Q917" s="2"/>
      <c r="R917" s="852"/>
      <c r="S917" s="859"/>
      <c r="T917" s="107"/>
      <c r="U917" s="107"/>
      <c r="V917" s="107"/>
      <c r="W917" s="107"/>
      <c r="X917" s="107"/>
    </row>
    <row r="918">
      <c r="B918" s="846"/>
      <c r="C918" s="578"/>
      <c r="D918" s="10"/>
      <c r="F918" s="10"/>
      <c r="H918" s="10"/>
      <c r="I918" s="10"/>
      <c r="J918" s="10"/>
      <c r="K918" s="10"/>
      <c r="L918" s="2"/>
      <c r="M918" s="2"/>
      <c r="N918" s="2"/>
      <c r="O918" s="2"/>
      <c r="P918" s="2"/>
      <c r="Q918" s="2"/>
      <c r="R918" s="852"/>
      <c r="S918" s="859"/>
      <c r="T918" s="107"/>
      <c r="U918" s="107"/>
      <c r="V918" s="107"/>
      <c r="W918" s="107"/>
      <c r="X918" s="107"/>
    </row>
    <row r="919">
      <c r="B919" s="846"/>
      <c r="C919" s="578"/>
      <c r="D919" s="10"/>
      <c r="F919" s="10"/>
      <c r="H919" s="10"/>
      <c r="I919" s="10"/>
      <c r="J919" s="10"/>
      <c r="K919" s="10"/>
      <c r="L919" s="2"/>
      <c r="M919" s="2"/>
      <c r="N919" s="2"/>
      <c r="O919" s="2"/>
      <c r="P919" s="2"/>
      <c r="Q919" s="2"/>
      <c r="R919" s="852"/>
      <c r="S919" s="859"/>
      <c r="T919" s="107"/>
      <c r="U919" s="107"/>
      <c r="V919" s="107"/>
      <c r="W919" s="107"/>
      <c r="X919" s="107"/>
    </row>
    <row r="920">
      <c r="B920" s="846"/>
      <c r="C920" s="578"/>
      <c r="D920" s="10"/>
      <c r="F920" s="10"/>
      <c r="H920" s="10"/>
      <c r="I920" s="10"/>
      <c r="J920" s="10"/>
      <c r="K920" s="10"/>
      <c r="L920" s="2"/>
      <c r="M920" s="2"/>
      <c r="N920" s="2"/>
      <c r="O920" s="2"/>
      <c r="P920" s="2"/>
      <c r="Q920" s="2"/>
      <c r="R920" s="852"/>
      <c r="S920" s="859"/>
      <c r="T920" s="107"/>
      <c r="U920" s="107"/>
      <c r="V920" s="107"/>
      <c r="W920" s="107"/>
      <c r="X920" s="107"/>
    </row>
    <row r="921">
      <c r="B921" s="846"/>
      <c r="C921" s="578"/>
      <c r="D921" s="10"/>
      <c r="F921" s="10"/>
      <c r="H921" s="10"/>
      <c r="I921" s="10"/>
      <c r="J921" s="10"/>
      <c r="K921" s="10"/>
      <c r="L921" s="2"/>
      <c r="M921" s="2"/>
      <c r="N921" s="2"/>
      <c r="O921" s="2"/>
      <c r="P921" s="2"/>
      <c r="Q921" s="2"/>
      <c r="R921" s="852"/>
      <c r="S921" s="859"/>
      <c r="T921" s="107"/>
      <c r="U921" s="107"/>
      <c r="V921" s="107"/>
      <c r="W921" s="107"/>
      <c r="X921" s="107"/>
    </row>
    <row r="922">
      <c r="B922" s="846"/>
      <c r="C922" s="578"/>
      <c r="D922" s="10"/>
      <c r="F922" s="10"/>
      <c r="H922" s="10"/>
      <c r="I922" s="10"/>
      <c r="J922" s="10"/>
      <c r="K922" s="10"/>
      <c r="L922" s="2"/>
      <c r="M922" s="2"/>
      <c r="N922" s="2"/>
      <c r="O922" s="2"/>
      <c r="P922" s="2"/>
      <c r="Q922" s="2"/>
      <c r="R922" s="852"/>
      <c r="S922" s="859"/>
      <c r="T922" s="107"/>
      <c r="U922" s="107"/>
      <c r="V922" s="107"/>
      <c r="W922" s="107"/>
      <c r="X922" s="107"/>
    </row>
    <row r="923">
      <c r="B923" s="846"/>
      <c r="C923" s="578"/>
      <c r="D923" s="10"/>
      <c r="F923" s="10"/>
      <c r="H923" s="10"/>
      <c r="I923" s="10"/>
      <c r="J923" s="10"/>
      <c r="K923" s="10"/>
      <c r="L923" s="2"/>
      <c r="M923" s="2"/>
      <c r="N923" s="2"/>
      <c r="O923" s="2"/>
      <c r="P923" s="2"/>
      <c r="Q923" s="2"/>
      <c r="R923" s="857"/>
      <c r="S923" s="860"/>
      <c r="T923" s="107"/>
      <c r="U923" s="107"/>
      <c r="V923" s="107"/>
      <c r="W923" s="107"/>
      <c r="X923" s="107"/>
    </row>
    <row r="924">
      <c r="B924" s="846"/>
      <c r="C924" s="578"/>
      <c r="D924" s="10"/>
      <c r="F924" s="10"/>
      <c r="H924" s="10"/>
      <c r="I924" s="10"/>
      <c r="J924" s="10"/>
      <c r="K924" s="10"/>
      <c r="L924" s="2"/>
      <c r="M924" s="2"/>
      <c r="N924" s="2"/>
      <c r="O924" s="2"/>
      <c r="P924" s="2"/>
      <c r="Q924" s="2"/>
      <c r="R924" s="861"/>
      <c r="S924" s="111"/>
      <c r="T924" s="2"/>
      <c r="U924" s="2"/>
      <c r="V924" s="2"/>
      <c r="W924" s="2"/>
      <c r="X924" s="2"/>
    </row>
    <row r="925">
      <c r="B925" s="846"/>
      <c r="C925" s="578"/>
      <c r="D925" s="10"/>
      <c r="F925" s="10"/>
      <c r="H925" s="10"/>
      <c r="I925" s="10"/>
      <c r="J925" s="10"/>
      <c r="K925" s="10"/>
      <c r="L925" s="2"/>
      <c r="M925" s="2"/>
      <c r="N925" s="2"/>
      <c r="O925" s="2"/>
      <c r="P925" s="2"/>
      <c r="Q925" s="2"/>
      <c r="R925" s="861"/>
      <c r="S925" s="111"/>
      <c r="T925" s="2"/>
      <c r="U925" s="2"/>
      <c r="V925" s="2"/>
      <c r="W925" s="2"/>
      <c r="X925" s="2"/>
    </row>
    <row r="926">
      <c r="B926" s="846"/>
      <c r="C926" s="578"/>
      <c r="D926" s="10"/>
      <c r="F926" s="10"/>
      <c r="H926" s="10"/>
      <c r="I926" s="10"/>
      <c r="J926" s="10"/>
      <c r="K926" s="10"/>
      <c r="L926" s="2"/>
      <c r="M926" s="2"/>
      <c r="N926" s="2"/>
      <c r="O926" s="2"/>
      <c r="P926" s="2"/>
      <c r="Q926" s="2"/>
      <c r="R926" s="861"/>
      <c r="S926" s="111"/>
      <c r="T926" s="2"/>
      <c r="U926" s="2"/>
      <c r="V926" s="2"/>
      <c r="W926" s="2"/>
      <c r="X926" s="2"/>
    </row>
    <row r="927">
      <c r="B927" s="846"/>
      <c r="C927" s="578"/>
      <c r="D927" s="10"/>
      <c r="F927" s="10"/>
      <c r="H927" s="10"/>
      <c r="I927" s="10"/>
      <c r="J927" s="10"/>
      <c r="K927" s="10"/>
      <c r="L927" s="2"/>
      <c r="M927" s="2"/>
      <c r="N927" s="2"/>
      <c r="O927" s="2"/>
      <c r="P927" s="2"/>
      <c r="Q927" s="2"/>
      <c r="R927" s="861"/>
      <c r="S927" s="111"/>
      <c r="T927" s="2"/>
      <c r="U927" s="2"/>
      <c r="V927" s="2"/>
      <c r="W927" s="2"/>
      <c r="X927" s="2"/>
    </row>
    <row r="928">
      <c r="B928" s="846"/>
      <c r="C928" s="578"/>
      <c r="D928" s="10"/>
      <c r="F928" s="10"/>
      <c r="H928" s="10"/>
      <c r="I928" s="10"/>
      <c r="J928" s="10"/>
      <c r="K928" s="10"/>
      <c r="L928" s="2"/>
      <c r="M928" s="2"/>
      <c r="N928" s="2"/>
      <c r="O928" s="2"/>
      <c r="P928" s="2"/>
      <c r="Q928" s="2"/>
      <c r="R928" s="861"/>
      <c r="S928" s="111"/>
      <c r="T928" s="2"/>
      <c r="U928" s="2"/>
      <c r="V928" s="2"/>
      <c r="W928" s="2"/>
      <c r="X928" s="2"/>
    </row>
    <row r="929">
      <c r="B929" s="846"/>
      <c r="C929" s="578"/>
      <c r="D929" s="10"/>
      <c r="F929" s="10"/>
      <c r="H929" s="10"/>
      <c r="I929" s="10"/>
      <c r="J929" s="10"/>
      <c r="K929" s="10"/>
      <c r="L929" s="2"/>
      <c r="M929" s="2"/>
      <c r="N929" s="2"/>
      <c r="O929" s="2"/>
      <c r="P929" s="2"/>
      <c r="Q929" s="2"/>
      <c r="R929" s="862"/>
      <c r="S929" s="109"/>
      <c r="T929" s="2"/>
      <c r="U929" s="2"/>
      <c r="V929" s="2"/>
      <c r="W929" s="2"/>
      <c r="X929" s="2"/>
    </row>
    <row r="930">
      <c r="B930" s="846"/>
      <c r="C930" s="578"/>
      <c r="D930" s="10"/>
      <c r="F930" s="10"/>
      <c r="H930" s="10"/>
      <c r="I930" s="10"/>
      <c r="J930" s="10"/>
      <c r="K930" s="10"/>
      <c r="L930" s="2"/>
      <c r="M930" s="2"/>
      <c r="N930" s="2"/>
      <c r="O930" s="2"/>
      <c r="P930" s="2"/>
      <c r="Q930" s="2"/>
      <c r="R930" s="861"/>
      <c r="S930" s="111"/>
      <c r="T930" s="2"/>
      <c r="U930" s="2"/>
      <c r="V930" s="2"/>
      <c r="W930" s="2"/>
      <c r="X930" s="2"/>
    </row>
    <row r="931">
      <c r="B931" s="846"/>
      <c r="C931" s="578"/>
      <c r="D931" s="10"/>
      <c r="F931" s="10"/>
      <c r="H931" s="10"/>
      <c r="I931" s="10"/>
      <c r="J931" s="10"/>
      <c r="K931" s="10"/>
      <c r="L931" s="2"/>
      <c r="M931" s="2"/>
      <c r="N931" s="2"/>
      <c r="O931" s="2"/>
      <c r="P931" s="2"/>
      <c r="Q931" s="2"/>
      <c r="R931" s="861"/>
      <c r="S931" s="111"/>
      <c r="T931" s="2"/>
      <c r="U931" s="2"/>
      <c r="V931" s="2"/>
      <c r="W931" s="2"/>
      <c r="X931" s="2"/>
    </row>
    <row r="932">
      <c r="B932" s="846"/>
      <c r="C932" s="578"/>
      <c r="D932" s="10"/>
      <c r="F932" s="10"/>
      <c r="H932" s="10"/>
      <c r="I932" s="10"/>
      <c r="J932" s="10"/>
      <c r="K932" s="10"/>
      <c r="L932" s="2"/>
      <c r="M932" s="2"/>
      <c r="N932" s="2"/>
      <c r="O932" s="2"/>
      <c r="P932" s="2"/>
      <c r="Q932" s="2"/>
      <c r="R932" s="861"/>
      <c r="S932" s="111"/>
      <c r="T932" s="2"/>
      <c r="U932" s="2"/>
      <c r="V932" s="2"/>
      <c r="W932" s="2"/>
      <c r="X932" s="2"/>
    </row>
    <row r="933">
      <c r="B933" s="846"/>
      <c r="C933" s="578"/>
      <c r="D933" s="10"/>
      <c r="F933" s="10"/>
      <c r="H933" s="10"/>
      <c r="I933" s="10"/>
      <c r="J933" s="10"/>
      <c r="K933" s="10"/>
      <c r="L933" s="2"/>
      <c r="M933" s="2"/>
      <c r="N933" s="2"/>
      <c r="O933" s="2"/>
      <c r="P933" s="2"/>
      <c r="Q933" s="2"/>
      <c r="R933" s="861"/>
      <c r="S933" s="111"/>
      <c r="T933" s="2"/>
      <c r="U933" s="2"/>
      <c r="V933" s="2"/>
      <c r="W933" s="2"/>
      <c r="X933" s="2"/>
    </row>
    <row r="934">
      <c r="B934" s="846"/>
      <c r="C934" s="578"/>
      <c r="D934" s="10"/>
      <c r="F934" s="10"/>
      <c r="H934" s="10"/>
      <c r="I934" s="10"/>
      <c r="J934" s="10"/>
      <c r="K934" s="10"/>
      <c r="L934" s="2"/>
      <c r="M934" s="2"/>
      <c r="N934" s="2"/>
      <c r="O934" s="2"/>
      <c r="P934" s="2"/>
      <c r="Q934" s="2"/>
      <c r="R934" s="861"/>
      <c r="S934" s="111"/>
      <c r="T934" s="2"/>
      <c r="U934" s="2"/>
      <c r="V934" s="2"/>
      <c r="W934" s="2"/>
      <c r="X934" s="2"/>
    </row>
    <row r="935">
      <c r="B935" s="846"/>
      <c r="C935" s="578"/>
      <c r="D935" s="10"/>
      <c r="F935" s="10"/>
      <c r="H935" s="10"/>
      <c r="I935" s="10"/>
      <c r="J935" s="10"/>
      <c r="K935" s="10"/>
      <c r="L935" s="2"/>
      <c r="M935" s="2"/>
      <c r="N935" s="2"/>
      <c r="O935" s="2"/>
      <c r="P935" s="2"/>
      <c r="Q935" s="2"/>
      <c r="R935" s="861"/>
      <c r="S935" s="111"/>
      <c r="T935" s="2"/>
      <c r="U935" s="2"/>
      <c r="V935" s="2"/>
      <c r="W935" s="2"/>
      <c r="X935" s="2"/>
    </row>
    <row r="936">
      <c r="B936" s="846"/>
      <c r="C936" s="578"/>
      <c r="D936" s="10"/>
      <c r="F936" s="10"/>
      <c r="H936" s="10"/>
      <c r="I936" s="10"/>
      <c r="J936" s="10"/>
      <c r="K936" s="10"/>
      <c r="L936" s="2"/>
      <c r="M936" s="2"/>
      <c r="N936" s="2"/>
      <c r="O936" s="2"/>
      <c r="P936" s="2"/>
      <c r="Q936" s="2"/>
      <c r="R936" s="861"/>
      <c r="S936" s="111"/>
      <c r="T936" s="2"/>
      <c r="U936" s="2"/>
      <c r="V936" s="2"/>
      <c r="W936" s="2"/>
      <c r="X936" s="2"/>
    </row>
    <row r="937">
      <c r="B937" s="846"/>
      <c r="C937" s="578"/>
      <c r="D937" s="10"/>
      <c r="F937" s="10"/>
      <c r="H937" s="10"/>
      <c r="I937" s="10"/>
      <c r="J937" s="10"/>
      <c r="K937" s="10"/>
      <c r="L937" s="2"/>
      <c r="M937" s="2"/>
      <c r="N937" s="2"/>
      <c r="O937" s="2"/>
      <c r="P937" s="2"/>
      <c r="Q937" s="2"/>
      <c r="R937" s="861"/>
      <c r="S937" s="111"/>
      <c r="T937" s="2"/>
      <c r="U937" s="2"/>
      <c r="V937" s="2"/>
      <c r="W937" s="2"/>
      <c r="X937" s="2"/>
    </row>
    <row r="938">
      <c r="B938" s="846"/>
      <c r="C938" s="578"/>
      <c r="D938" s="10"/>
      <c r="F938" s="10"/>
      <c r="H938" s="10"/>
      <c r="I938" s="10"/>
      <c r="J938" s="10"/>
      <c r="K938" s="10"/>
      <c r="L938" s="2"/>
      <c r="M938" s="2"/>
      <c r="N938" s="2"/>
      <c r="O938" s="2"/>
      <c r="P938" s="2"/>
      <c r="Q938" s="2"/>
      <c r="R938" s="862"/>
      <c r="S938" s="109"/>
      <c r="T938" s="2"/>
      <c r="U938" s="2"/>
      <c r="V938" s="2"/>
      <c r="W938" s="2"/>
      <c r="X938" s="2"/>
    </row>
    <row r="939">
      <c r="B939" s="846"/>
      <c r="C939" s="578"/>
      <c r="D939" s="10"/>
      <c r="F939" s="10"/>
      <c r="H939" s="10"/>
      <c r="I939" s="10"/>
      <c r="J939" s="10"/>
      <c r="K939" s="10"/>
      <c r="L939" s="2"/>
      <c r="M939" s="2"/>
      <c r="N939" s="2"/>
      <c r="O939" s="2"/>
      <c r="P939" s="2"/>
      <c r="Q939" s="2"/>
      <c r="R939" s="862"/>
      <c r="S939" s="109"/>
      <c r="T939" s="54"/>
      <c r="U939" s="54"/>
      <c r="V939" s="54"/>
      <c r="W939" s="54"/>
      <c r="X939" s="54"/>
    </row>
    <row r="940">
      <c r="B940" s="846"/>
      <c r="C940" s="578"/>
      <c r="D940" s="10"/>
      <c r="F940" s="10"/>
      <c r="H940" s="10"/>
      <c r="I940" s="10"/>
      <c r="J940" s="10"/>
      <c r="K940" s="10"/>
      <c r="L940" s="2"/>
      <c r="M940" s="2"/>
      <c r="N940" s="2"/>
      <c r="O940" s="2"/>
      <c r="P940" s="2"/>
      <c r="Q940" s="2"/>
      <c r="R940" s="117"/>
      <c r="S940" s="2"/>
      <c r="T940" s="2"/>
      <c r="U940" s="2"/>
      <c r="V940" s="2"/>
      <c r="W940" s="2"/>
      <c r="X940" s="2"/>
    </row>
    <row r="941">
      <c r="B941" s="846"/>
      <c r="C941" s="578"/>
      <c r="D941" s="10"/>
      <c r="F941" s="10"/>
      <c r="H941" s="10"/>
      <c r="I941" s="10"/>
      <c r="J941" s="10"/>
      <c r="K941" s="10"/>
      <c r="L941" s="2"/>
      <c r="M941" s="2"/>
      <c r="N941" s="2"/>
      <c r="O941" s="2"/>
      <c r="P941" s="2"/>
      <c r="Q941" s="2"/>
      <c r="R941" s="117"/>
      <c r="S941" s="2"/>
      <c r="T941" s="2"/>
      <c r="U941" s="2"/>
      <c r="V941" s="2"/>
      <c r="W941" s="2"/>
      <c r="X941" s="2"/>
    </row>
    <row r="942">
      <c r="B942" s="846"/>
      <c r="C942" s="578"/>
      <c r="D942" s="10"/>
      <c r="F942" s="10"/>
      <c r="H942" s="10"/>
      <c r="I942" s="10"/>
      <c r="J942" s="10"/>
      <c r="K942" s="10"/>
      <c r="L942" s="2"/>
      <c r="M942" s="2"/>
      <c r="N942" s="2"/>
      <c r="O942" s="2"/>
      <c r="P942" s="2"/>
      <c r="Q942" s="2"/>
      <c r="R942" s="847"/>
      <c r="S942" s="847"/>
      <c r="T942" s="116"/>
      <c r="U942" s="116"/>
      <c r="V942" s="116"/>
      <c r="W942" s="116"/>
      <c r="X942" s="116"/>
    </row>
    <row r="943">
      <c r="B943" s="846"/>
      <c r="C943" s="578"/>
      <c r="D943" s="10"/>
      <c r="F943" s="10"/>
      <c r="H943" s="10"/>
      <c r="I943" s="10"/>
      <c r="J943" s="10"/>
      <c r="K943" s="10"/>
      <c r="L943" s="2"/>
      <c r="M943" s="2"/>
      <c r="N943" s="2"/>
      <c r="O943" s="2"/>
      <c r="P943" s="2"/>
      <c r="Q943" s="2"/>
      <c r="R943" s="848"/>
      <c r="S943" s="848"/>
      <c r="T943" s="848"/>
      <c r="U943" s="848"/>
      <c r="V943" s="848"/>
      <c r="W943" s="848"/>
      <c r="X943" s="848"/>
    </row>
    <row r="944">
      <c r="B944" s="846"/>
      <c r="C944" s="578"/>
      <c r="D944" s="10"/>
      <c r="F944" s="10"/>
      <c r="H944" s="10"/>
      <c r="I944" s="10"/>
      <c r="J944" s="10"/>
      <c r="K944" s="10"/>
      <c r="L944" s="2"/>
      <c r="M944" s="2"/>
      <c r="N944" s="2"/>
      <c r="O944" s="2"/>
      <c r="P944" s="2"/>
      <c r="Q944" s="2"/>
      <c r="R944" s="849"/>
      <c r="S944" s="850"/>
      <c r="T944" s="851"/>
      <c r="U944" s="851"/>
      <c r="V944" s="851"/>
      <c r="W944" s="851"/>
      <c r="X944" s="851"/>
    </row>
    <row r="945">
      <c r="B945" s="846"/>
      <c r="C945" s="578"/>
      <c r="D945" s="10"/>
      <c r="F945" s="10"/>
      <c r="H945" s="10"/>
      <c r="I945" s="10"/>
      <c r="J945" s="10"/>
      <c r="K945" s="10"/>
      <c r="L945" s="2"/>
      <c r="M945" s="2"/>
      <c r="N945" s="2"/>
      <c r="O945" s="2"/>
      <c r="P945" s="2"/>
      <c r="Q945" s="2"/>
      <c r="R945" s="852"/>
      <c r="S945" s="853"/>
      <c r="T945" s="854"/>
      <c r="U945" s="854"/>
      <c r="V945" s="854"/>
      <c r="W945" s="854"/>
      <c r="X945" s="854"/>
    </row>
    <row r="946">
      <c r="B946" s="846"/>
      <c r="C946" s="578"/>
      <c r="D946" s="10"/>
      <c r="F946" s="10"/>
      <c r="H946" s="10"/>
      <c r="I946" s="10"/>
      <c r="J946" s="10"/>
      <c r="K946" s="10"/>
      <c r="L946" s="2"/>
      <c r="M946" s="2"/>
      <c r="N946" s="2"/>
      <c r="O946" s="2"/>
      <c r="P946" s="2"/>
      <c r="Q946" s="2"/>
      <c r="R946" s="855"/>
      <c r="S946" s="856"/>
      <c r="T946" s="854"/>
      <c r="U946" s="854"/>
      <c r="V946" s="854"/>
      <c r="W946" s="854"/>
      <c r="X946" s="854"/>
    </row>
    <row r="947">
      <c r="B947" s="846"/>
      <c r="C947" s="578"/>
      <c r="D947" s="10"/>
      <c r="F947" s="10"/>
      <c r="H947" s="10"/>
      <c r="I947" s="10"/>
      <c r="J947" s="10"/>
      <c r="K947" s="10"/>
      <c r="L947" s="2"/>
      <c r="M947" s="2"/>
      <c r="N947" s="2"/>
      <c r="O947" s="2"/>
      <c r="P947" s="2"/>
      <c r="Q947" s="2"/>
      <c r="R947" s="855"/>
      <c r="S947" s="856"/>
      <c r="T947" s="854"/>
      <c r="U947" s="854"/>
      <c r="V947" s="854"/>
      <c r="W947" s="854"/>
      <c r="X947" s="854"/>
    </row>
    <row r="948">
      <c r="B948" s="846"/>
      <c r="C948" s="578"/>
      <c r="D948" s="10"/>
      <c r="F948" s="10"/>
      <c r="H948" s="10"/>
      <c r="I948" s="10"/>
      <c r="J948" s="10"/>
      <c r="K948" s="10"/>
      <c r="L948" s="2"/>
      <c r="M948" s="2"/>
      <c r="N948" s="2"/>
      <c r="O948" s="2"/>
      <c r="P948" s="2"/>
      <c r="Q948" s="2"/>
      <c r="R948" s="852"/>
      <c r="S948" s="853"/>
      <c r="T948" s="854"/>
      <c r="U948" s="854"/>
      <c r="V948" s="854"/>
      <c r="W948" s="854"/>
      <c r="X948" s="854"/>
    </row>
    <row r="949">
      <c r="B949" s="846"/>
      <c r="C949" s="578"/>
      <c r="D949" s="10"/>
      <c r="F949" s="10"/>
      <c r="H949" s="10"/>
      <c r="I949" s="10"/>
      <c r="J949" s="10"/>
      <c r="K949" s="10"/>
      <c r="L949" s="2"/>
      <c r="M949" s="2"/>
      <c r="N949" s="2"/>
      <c r="O949" s="2"/>
      <c r="P949" s="2"/>
      <c r="Q949" s="2"/>
      <c r="R949" s="857"/>
      <c r="S949" s="858"/>
      <c r="T949" s="854"/>
      <c r="U949" s="854"/>
      <c r="V949" s="854"/>
      <c r="W949" s="854"/>
      <c r="X949" s="854"/>
    </row>
    <row r="950">
      <c r="B950" s="846"/>
      <c r="C950" s="578"/>
      <c r="D950" s="10"/>
      <c r="F950" s="10"/>
      <c r="H950" s="10"/>
      <c r="I950" s="10"/>
      <c r="J950" s="10"/>
      <c r="K950" s="10"/>
      <c r="L950" s="2"/>
      <c r="M950" s="2"/>
      <c r="N950" s="2"/>
      <c r="O950" s="2"/>
      <c r="P950" s="2"/>
      <c r="Q950" s="2"/>
      <c r="R950" s="857"/>
      <c r="S950" s="858"/>
      <c r="T950" s="854"/>
      <c r="U950" s="854"/>
      <c r="V950" s="854"/>
      <c r="W950" s="854"/>
      <c r="X950" s="854"/>
    </row>
    <row r="951">
      <c r="B951" s="846"/>
      <c r="C951" s="578"/>
      <c r="D951" s="10"/>
      <c r="F951" s="10"/>
      <c r="H951" s="10"/>
      <c r="I951" s="10"/>
      <c r="J951" s="10"/>
      <c r="K951" s="10"/>
      <c r="L951" s="2"/>
      <c r="M951" s="2"/>
      <c r="N951" s="2"/>
      <c r="O951" s="2"/>
      <c r="P951" s="2"/>
      <c r="Q951" s="2"/>
      <c r="R951" s="857"/>
      <c r="S951" s="858"/>
      <c r="T951" s="854"/>
      <c r="U951" s="854"/>
      <c r="V951" s="854"/>
      <c r="W951" s="854"/>
      <c r="X951" s="854"/>
    </row>
    <row r="952">
      <c r="B952" s="846"/>
      <c r="C952" s="578"/>
      <c r="D952" s="10"/>
      <c r="F952" s="10"/>
      <c r="H952" s="10"/>
      <c r="I952" s="10"/>
      <c r="J952" s="10"/>
      <c r="K952" s="10"/>
      <c r="L952" s="2"/>
      <c r="M952" s="2"/>
      <c r="N952" s="2"/>
      <c r="O952" s="2"/>
      <c r="P952" s="2"/>
      <c r="Q952" s="2"/>
      <c r="R952" s="852"/>
      <c r="S952" s="853"/>
      <c r="T952" s="854"/>
      <c r="U952" s="854"/>
      <c r="V952" s="854"/>
      <c r="W952" s="854"/>
      <c r="X952" s="854"/>
    </row>
    <row r="953">
      <c r="B953" s="846"/>
      <c r="C953" s="578"/>
      <c r="D953" s="10"/>
      <c r="F953" s="10"/>
      <c r="H953" s="10"/>
      <c r="I953" s="10"/>
      <c r="J953" s="10"/>
      <c r="K953" s="10"/>
      <c r="L953" s="2"/>
      <c r="M953" s="2"/>
      <c r="N953" s="2"/>
      <c r="O953" s="2"/>
      <c r="P953" s="2"/>
      <c r="Q953" s="2"/>
      <c r="R953" s="852"/>
      <c r="S953" s="853"/>
      <c r="T953" s="854"/>
      <c r="U953" s="854"/>
      <c r="V953" s="854"/>
      <c r="W953" s="854"/>
      <c r="X953" s="854"/>
    </row>
    <row r="954">
      <c r="B954" s="846"/>
      <c r="C954" s="578"/>
      <c r="D954" s="10"/>
      <c r="F954" s="10"/>
      <c r="H954" s="10"/>
      <c r="I954" s="10"/>
      <c r="J954" s="10"/>
      <c r="K954" s="10"/>
      <c r="L954" s="2"/>
      <c r="M954" s="2"/>
      <c r="N954" s="2"/>
      <c r="O954" s="2"/>
      <c r="P954" s="2"/>
      <c r="Q954" s="2"/>
      <c r="R954" s="852"/>
      <c r="S954" s="853"/>
      <c r="T954" s="854"/>
      <c r="U954" s="854"/>
      <c r="V954" s="854"/>
      <c r="W954" s="854"/>
      <c r="X954" s="854"/>
    </row>
    <row r="955">
      <c r="B955" s="846"/>
      <c r="C955" s="578"/>
      <c r="D955" s="10"/>
      <c r="F955" s="10"/>
      <c r="H955" s="10"/>
      <c r="I955" s="10"/>
      <c r="J955" s="10"/>
      <c r="K955" s="10"/>
      <c r="L955" s="2"/>
      <c r="M955" s="2"/>
      <c r="N955" s="2"/>
      <c r="O955" s="2"/>
      <c r="P955" s="2"/>
      <c r="Q955" s="2"/>
      <c r="R955" s="852"/>
      <c r="S955" s="853"/>
      <c r="T955" s="854"/>
      <c r="U955" s="854"/>
      <c r="V955" s="854"/>
      <c r="W955" s="854"/>
      <c r="X955" s="854"/>
    </row>
    <row r="956">
      <c r="B956" s="846"/>
      <c r="C956" s="578"/>
      <c r="D956" s="10"/>
      <c r="F956" s="10"/>
      <c r="H956" s="10"/>
      <c r="I956" s="10"/>
      <c r="J956" s="10"/>
      <c r="K956" s="10"/>
      <c r="L956" s="2"/>
      <c r="M956" s="2"/>
      <c r="N956" s="2"/>
      <c r="O956" s="2"/>
      <c r="P956" s="2"/>
      <c r="Q956" s="2"/>
      <c r="R956" s="852"/>
      <c r="S956" s="859"/>
      <c r="T956" s="107"/>
      <c r="U956" s="107"/>
      <c r="V956" s="107"/>
      <c r="W956" s="107"/>
      <c r="X956" s="107"/>
    </row>
    <row r="957">
      <c r="B957" s="846"/>
      <c r="C957" s="578"/>
      <c r="D957" s="10"/>
      <c r="F957" s="10"/>
      <c r="H957" s="10"/>
      <c r="I957" s="10"/>
      <c r="J957" s="10"/>
      <c r="K957" s="10"/>
      <c r="L957" s="2"/>
      <c r="M957" s="2"/>
      <c r="N957" s="2"/>
      <c r="O957" s="2"/>
      <c r="P957" s="2"/>
      <c r="Q957" s="2"/>
      <c r="R957" s="852"/>
      <c r="S957" s="859"/>
      <c r="T957" s="107"/>
      <c r="U957" s="107"/>
      <c r="V957" s="107"/>
      <c r="W957" s="107"/>
      <c r="X957" s="107"/>
    </row>
    <row r="958">
      <c r="B958" s="846"/>
      <c r="C958" s="578"/>
      <c r="D958" s="10"/>
      <c r="F958" s="10"/>
      <c r="H958" s="10"/>
      <c r="I958" s="10"/>
      <c r="J958" s="10"/>
      <c r="K958" s="10"/>
      <c r="L958" s="2"/>
      <c r="M958" s="2"/>
      <c r="N958" s="2"/>
      <c r="O958" s="2"/>
      <c r="P958" s="2"/>
      <c r="Q958" s="2"/>
      <c r="R958" s="852"/>
      <c r="S958" s="859"/>
      <c r="T958" s="107"/>
      <c r="U958" s="107"/>
      <c r="V958" s="107"/>
      <c r="W958" s="107"/>
      <c r="X958" s="107"/>
    </row>
    <row r="959">
      <c r="B959" s="846"/>
      <c r="C959" s="578"/>
      <c r="D959" s="10"/>
      <c r="F959" s="10"/>
      <c r="H959" s="10"/>
      <c r="I959" s="10"/>
      <c r="J959" s="10"/>
      <c r="K959" s="10"/>
      <c r="L959" s="2"/>
      <c r="M959" s="2"/>
      <c r="N959" s="2"/>
      <c r="O959" s="2"/>
      <c r="P959" s="2"/>
      <c r="Q959" s="2"/>
      <c r="R959" s="852"/>
      <c r="S959" s="859"/>
      <c r="T959" s="107"/>
      <c r="U959" s="107"/>
      <c r="V959" s="107"/>
      <c r="W959" s="107"/>
      <c r="X959" s="107"/>
    </row>
    <row r="960">
      <c r="B960" s="846"/>
      <c r="C960" s="578"/>
      <c r="D960" s="10"/>
      <c r="F960" s="10"/>
      <c r="H960" s="10"/>
      <c r="I960" s="10"/>
      <c r="J960" s="10"/>
      <c r="K960" s="10"/>
      <c r="L960" s="2"/>
      <c r="M960" s="2"/>
      <c r="N960" s="2"/>
      <c r="O960" s="2"/>
      <c r="P960" s="2"/>
      <c r="Q960" s="2"/>
      <c r="R960" s="852"/>
      <c r="S960" s="859"/>
      <c r="T960" s="107"/>
      <c r="U960" s="107"/>
      <c r="V960" s="107"/>
      <c r="W960" s="107"/>
      <c r="X960" s="107"/>
    </row>
    <row r="961">
      <c r="B961" s="846"/>
      <c r="C961" s="578"/>
      <c r="D961" s="10"/>
      <c r="F961" s="10"/>
      <c r="H961" s="10"/>
      <c r="I961" s="10"/>
      <c r="J961" s="10"/>
      <c r="K961" s="10"/>
      <c r="L961" s="2"/>
      <c r="M961" s="2"/>
      <c r="N961" s="2"/>
      <c r="O961" s="2"/>
      <c r="P961" s="2"/>
      <c r="Q961" s="2"/>
      <c r="R961" s="852"/>
      <c r="S961" s="859"/>
      <c r="T961" s="107"/>
      <c r="U961" s="107"/>
      <c r="V961" s="107"/>
      <c r="W961" s="107"/>
      <c r="X961" s="107"/>
    </row>
    <row r="962">
      <c r="B962" s="846"/>
      <c r="C962" s="578"/>
      <c r="D962" s="10"/>
      <c r="F962" s="10"/>
      <c r="H962" s="10"/>
      <c r="I962" s="10"/>
      <c r="J962" s="10"/>
      <c r="K962" s="10"/>
      <c r="L962" s="2"/>
      <c r="M962" s="2"/>
      <c r="N962" s="2"/>
      <c r="O962" s="2"/>
      <c r="P962" s="2"/>
      <c r="Q962" s="2"/>
      <c r="R962" s="852"/>
      <c r="S962" s="859"/>
      <c r="T962" s="107"/>
      <c r="U962" s="107"/>
      <c r="V962" s="107"/>
      <c r="W962" s="107"/>
      <c r="X962" s="107"/>
    </row>
    <row r="963">
      <c r="B963" s="846"/>
      <c r="C963" s="578"/>
      <c r="D963" s="10"/>
      <c r="F963" s="10"/>
      <c r="H963" s="10"/>
      <c r="I963" s="10"/>
      <c r="J963" s="10"/>
      <c r="K963" s="10"/>
      <c r="L963" s="2"/>
      <c r="M963" s="2"/>
      <c r="N963" s="2"/>
      <c r="O963" s="2"/>
      <c r="P963" s="2"/>
      <c r="Q963" s="2"/>
      <c r="R963" s="852"/>
      <c r="S963" s="859"/>
      <c r="T963" s="107"/>
      <c r="U963" s="107"/>
      <c r="V963" s="107"/>
      <c r="W963" s="107"/>
      <c r="X963" s="107"/>
    </row>
    <row r="964">
      <c r="B964" s="846"/>
      <c r="C964" s="578"/>
      <c r="D964" s="10"/>
      <c r="F964" s="10"/>
      <c r="H964" s="10"/>
      <c r="I964" s="10"/>
      <c r="J964" s="10"/>
      <c r="K964" s="10"/>
      <c r="L964" s="2"/>
      <c r="M964" s="2"/>
      <c r="N964" s="2"/>
      <c r="O964" s="2"/>
      <c r="P964" s="2"/>
      <c r="Q964" s="2"/>
      <c r="R964" s="852"/>
      <c r="S964" s="859"/>
      <c r="T964" s="107"/>
      <c r="U964" s="107"/>
      <c r="V964" s="107"/>
      <c r="W964" s="107"/>
      <c r="X964" s="107"/>
    </row>
    <row r="965">
      <c r="B965" s="846"/>
      <c r="C965" s="578"/>
      <c r="D965" s="10"/>
      <c r="F965" s="10"/>
      <c r="H965" s="10"/>
      <c r="I965" s="10"/>
      <c r="J965" s="10"/>
      <c r="K965" s="10"/>
      <c r="L965" s="2"/>
      <c r="M965" s="2"/>
      <c r="N965" s="2"/>
      <c r="O965" s="2"/>
      <c r="P965" s="2"/>
      <c r="Q965" s="2"/>
      <c r="R965" s="852"/>
      <c r="S965" s="859"/>
      <c r="T965" s="107"/>
      <c r="U965" s="107"/>
      <c r="V965" s="107"/>
      <c r="W965" s="107"/>
      <c r="X965" s="107"/>
    </row>
    <row r="966">
      <c r="B966" s="846"/>
      <c r="C966" s="578"/>
      <c r="D966" s="10"/>
      <c r="F966" s="10"/>
      <c r="H966" s="10"/>
      <c r="I966" s="10"/>
      <c r="J966" s="10"/>
      <c r="K966" s="10"/>
      <c r="L966" s="2"/>
      <c r="M966" s="2"/>
      <c r="N966" s="2"/>
      <c r="O966" s="2"/>
      <c r="P966" s="2"/>
      <c r="Q966" s="2"/>
      <c r="R966" s="857"/>
      <c r="S966" s="860"/>
      <c r="T966" s="107"/>
      <c r="U966" s="107"/>
      <c r="V966" s="107"/>
      <c r="W966" s="107"/>
      <c r="X966" s="107"/>
    </row>
    <row r="967">
      <c r="B967" s="846"/>
      <c r="C967" s="578"/>
      <c r="D967" s="10"/>
      <c r="F967" s="10"/>
      <c r="H967" s="10"/>
      <c r="I967" s="10"/>
      <c r="J967" s="10"/>
      <c r="K967" s="10"/>
      <c r="L967" s="2"/>
      <c r="M967" s="2"/>
      <c r="N967" s="2"/>
      <c r="O967" s="2"/>
      <c r="P967" s="2"/>
      <c r="Q967" s="2"/>
      <c r="R967" s="861"/>
      <c r="S967" s="111"/>
      <c r="T967" s="2"/>
      <c r="U967" s="2"/>
      <c r="V967" s="2"/>
      <c r="W967" s="2"/>
      <c r="X967" s="2"/>
    </row>
    <row r="968">
      <c r="B968" s="846"/>
      <c r="C968" s="578"/>
      <c r="D968" s="10"/>
      <c r="F968" s="10"/>
      <c r="H968" s="10"/>
      <c r="I968" s="10"/>
      <c r="J968" s="10"/>
      <c r="K968" s="10"/>
      <c r="L968" s="2"/>
      <c r="M968" s="2"/>
      <c r="N968" s="2"/>
      <c r="O968" s="2"/>
      <c r="P968" s="2"/>
      <c r="Q968" s="2"/>
      <c r="R968" s="861"/>
      <c r="S968" s="111"/>
      <c r="T968" s="2"/>
      <c r="U968" s="2"/>
      <c r="V968" s="2"/>
      <c r="W968" s="2"/>
      <c r="X968" s="2"/>
    </row>
    <row r="969">
      <c r="B969" s="846"/>
      <c r="C969" s="578"/>
      <c r="D969" s="10"/>
      <c r="F969" s="10"/>
      <c r="H969" s="10"/>
      <c r="I969" s="10"/>
      <c r="J969" s="10"/>
      <c r="K969" s="10"/>
      <c r="L969" s="2"/>
      <c r="M969" s="2"/>
      <c r="N969" s="2"/>
      <c r="O969" s="2"/>
      <c r="P969" s="2"/>
      <c r="Q969" s="2"/>
      <c r="R969" s="861"/>
      <c r="S969" s="111"/>
      <c r="T969" s="2"/>
      <c r="U969" s="2"/>
      <c r="V969" s="2"/>
      <c r="W969" s="2"/>
      <c r="X969" s="2"/>
    </row>
    <row r="970">
      <c r="B970" s="846"/>
      <c r="C970" s="578"/>
      <c r="D970" s="10"/>
      <c r="F970" s="10"/>
      <c r="H970" s="10"/>
      <c r="I970" s="10"/>
      <c r="J970" s="10"/>
      <c r="K970" s="10"/>
      <c r="L970" s="2"/>
      <c r="M970" s="2"/>
      <c r="N970" s="2"/>
      <c r="O970" s="2"/>
      <c r="P970" s="2"/>
      <c r="Q970" s="2"/>
      <c r="R970" s="861"/>
      <c r="S970" s="111"/>
      <c r="T970" s="2"/>
      <c r="U970" s="2"/>
      <c r="V970" s="2"/>
      <c r="W970" s="2"/>
      <c r="X970" s="2"/>
    </row>
    <row r="971">
      <c r="B971" s="846"/>
      <c r="C971" s="578"/>
      <c r="D971" s="10"/>
      <c r="F971" s="10"/>
      <c r="H971" s="10"/>
      <c r="I971" s="10"/>
      <c r="J971" s="10"/>
      <c r="K971" s="10"/>
      <c r="L971" s="2"/>
      <c r="M971" s="2"/>
      <c r="N971" s="2"/>
      <c r="O971" s="2"/>
      <c r="P971" s="2"/>
      <c r="Q971" s="2"/>
      <c r="R971" s="861"/>
      <c r="S971" s="111"/>
      <c r="T971" s="2"/>
      <c r="U971" s="2"/>
      <c r="V971" s="2"/>
      <c r="W971" s="2"/>
      <c r="X971" s="2"/>
    </row>
    <row r="972">
      <c r="B972" s="846"/>
      <c r="C972" s="578"/>
      <c r="D972" s="10"/>
      <c r="F972" s="10"/>
      <c r="H972" s="10"/>
      <c r="I972" s="10"/>
      <c r="J972" s="10"/>
      <c r="K972" s="10"/>
      <c r="L972" s="2"/>
      <c r="M972" s="2"/>
      <c r="N972" s="2"/>
      <c r="O972" s="2"/>
      <c r="P972" s="2"/>
      <c r="Q972" s="2"/>
      <c r="R972" s="862"/>
      <c r="S972" s="109"/>
      <c r="T972" s="2"/>
      <c r="U972" s="2"/>
      <c r="V972" s="2"/>
      <c r="W972" s="2"/>
      <c r="X972" s="2"/>
    </row>
    <row r="973">
      <c r="B973" s="846"/>
      <c r="C973" s="578"/>
      <c r="D973" s="10"/>
      <c r="F973" s="10"/>
      <c r="H973" s="10"/>
      <c r="I973" s="10"/>
      <c r="J973" s="10"/>
      <c r="K973" s="10"/>
      <c r="L973" s="2"/>
      <c r="M973" s="2"/>
      <c r="N973" s="2"/>
      <c r="O973" s="2"/>
      <c r="P973" s="2"/>
      <c r="Q973" s="2"/>
      <c r="R973" s="861"/>
      <c r="S973" s="111"/>
      <c r="T973" s="2"/>
      <c r="U973" s="2"/>
      <c r="V973" s="2"/>
      <c r="W973" s="2"/>
      <c r="X973" s="2"/>
    </row>
    <row r="974">
      <c r="B974" s="846"/>
      <c r="C974" s="578"/>
      <c r="D974" s="10"/>
      <c r="F974" s="10"/>
      <c r="H974" s="10"/>
      <c r="I974" s="10"/>
      <c r="J974" s="10"/>
      <c r="K974" s="10"/>
      <c r="L974" s="2"/>
      <c r="M974" s="2"/>
      <c r="N974" s="2"/>
      <c r="O974" s="2"/>
      <c r="P974" s="2"/>
      <c r="Q974" s="2"/>
      <c r="R974" s="861"/>
      <c r="S974" s="111"/>
      <c r="T974" s="2"/>
      <c r="U974" s="2"/>
      <c r="V974" s="2"/>
      <c r="W974" s="2"/>
      <c r="X974" s="2"/>
    </row>
    <row r="975">
      <c r="B975" s="846"/>
      <c r="C975" s="578"/>
      <c r="D975" s="10"/>
      <c r="F975" s="10"/>
      <c r="H975" s="10"/>
      <c r="I975" s="10"/>
      <c r="J975" s="10"/>
      <c r="K975" s="10"/>
      <c r="L975" s="2"/>
      <c r="M975" s="2"/>
      <c r="N975" s="2"/>
      <c r="O975" s="2"/>
      <c r="P975" s="2"/>
      <c r="Q975" s="2"/>
      <c r="R975" s="861"/>
      <c r="S975" s="111"/>
      <c r="T975" s="2"/>
      <c r="U975" s="2"/>
      <c r="V975" s="2"/>
      <c r="W975" s="2"/>
      <c r="X975" s="2"/>
    </row>
    <row r="976">
      <c r="B976" s="846"/>
      <c r="C976" s="578"/>
      <c r="D976" s="10"/>
      <c r="F976" s="10"/>
      <c r="H976" s="10"/>
      <c r="I976" s="10"/>
      <c r="J976" s="10"/>
      <c r="K976" s="10"/>
      <c r="L976" s="2"/>
      <c r="M976" s="2"/>
      <c r="N976" s="2"/>
      <c r="O976" s="2"/>
      <c r="P976" s="2"/>
      <c r="Q976" s="2"/>
      <c r="R976" s="861"/>
      <c r="S976" s="111"/>
      <c r="T976" s="2"/>
      <c r="U976" s="2"/>
      <c r="V976" s="2"/>
      <c r="W976" s="2"/>
      <c r="X976" s="2"/>
    </row>
    <row r="977">
      <c r="B977" s="846"/>
      <c r="C977" s="578"/>
      <c r="D977" s="10"/>
      <c r="F977" s="10"/>
      <c r="H977" s="10"/>
      <c r="I977" s="10"/>
      <c r="J977" s="10"/>
      <c r="K977" s="10"/>
      <c r="L977" s="2"/>
      <c r="M977" s="2"/>
      <c r="N977" s="2"/>
      <c r="O977" s="2"/>
      <c r="P977" s="2"/>
      <c r="Q977" s="2"/>
      <c r="R977" s="861"/>
      <c r="S977" s="111"/>
      <c r="T977" s="2"/>
      <c r="U977" s="2"/>
      <c r="V977" s="2"/>
      <c r="W977" s="2"/>
      <c r="X977" s="2"/>
    </row>
    <row r="978">
      <c r="B978" s="846"/>
      <c r="C978" s="578"/>
      <c r="D978" s="10"/>
      <c r="F978" s="10"/>
      <c r="H978" s="10"/>
      <c r="I978" s="10"/>
      <c r="J978" s="10"/>
      <c r="K978" s="10"/>
      <c r="L978" s="2"/>
      <c r="M978" s="2"/>
      <c r="N978" s="2"/>
      <c r="O978" s="2"/>
      <c r="P978" s="2"/>
      <c r="Q978" s="2"/>
      <c r="R978" s="861"/>
      <c r="S978" s="111"/>
      <c r="T978" s="2"/>
      <c r="U978" s="2"/>
      <c r="V978" s="2"/>
      <c r="W978" s="2"/>
      <c r="X978" s="2"/>
    </row>
    <row r="979">
      <c r="B979" s="846"/>
      <c r="C979" s="578"/>
      <c r="D979" s="10"/>
      <c r="F979" s="10"/>
      <c r="H979" s="10"/>
      <c r="I979" s="10"/>
      <c r="J979" s="10"/>
      <c r="K979" s="10"/>
      <c r="L979" s="2"/>
      <c r="M979" s="2"/>
      <c r="N979" s="2"/>
      <c r="O979" s="2"/>
      <c r="P979" s="2"/>
      <c r="Q979" s="2"/>
      <c r="R979" s="861"/>
      <c r="S979" s="111"/>
      <c r="T979" s="2"/>
      <c r="U979" s="2"/>
      <c r="V979" s="2"/>
      <c r="W979" s="2"/>
      <c r="X979" s="2"/>
    </row>
    <row r="980">
      <c r="B980" s="846"/>
      <c r="C980" s="578"/>
      <c r="D980" s="10"/>
      <c r="F980" s="10"/>
      <c r="H980" s="10"/>
      <c r="I980" s="10"/>
      <c r="J980" s="10"/>
      <c r="K980" s="10"/>
      <c r="L980" s="2"/>
      <c r="M980" s="2"/>
      <c r="N980" s="2"/>
      <c r="O980" s="2"/>
      <c r="P980" s="2"/>
      <c r="Q980" s="2"/>
      <c r="R980" s="861"/>
      <c r="S980" s="111"/>
      <c r="T980" s="2"/>
      <c r="U980" s="2"/>
      <c r="V980" s="2"/>
      <c r="W980" s="2"/>
      <c r="X980" s="2"/>
    </row>
    <row r="981">
      <c r="B981" s="846"/>
      <c r="C981" s="578"/>
      <c r="D981" s="10"/>
      <c r="F981" s="10"/>
      <c r="H981" s="10"/>
      <c r="I981" s="10"/>
      <c r="J981" s="10"/>
      <c r="K981" s="10"/>
      <c r="L981" s="2"/>
      <c r="M981" s="2"/>
      <c r="N981" s="2"/>
      <c r="O981" s="2"/>
      <c r="P981" s="2"/>
      <c r="Q981" s="2"/>
      <c r="R981" s="862"/>
      <c r="S981" s="109"/>
      <c r="T981" s="2"/>
      <c r="U981" s="2"/>
      <c r="V981" s="2"/>
      <c r="W981" s="2"/>
      <c r="X981" s="2"/>
    </row>
    <row r="982">
      <c r="B982" s="846"/>
      <c r="C982" s="578"/>
      <c r="D982" s="10"/>
      <c r="F982" s="10"/>
      <c r="H982" s="10"/>
      <c r="I982" s="10"/>
      <c r="J982" s="10"/>
      <c r="K982" s="10"/>
      <c r="L982" s="2"/>
      <c r="M982" s="2"/>
      <c r="N982" s="2"/>
      <c r="O982" s="2"/>
      <c r="P982" s="2"/>
      <c r="Q982" s="2"/>
      <c r="R982" s="862"/>
      <c r="S982" s="109"/>
      <c r="T982" s="54"/>
      <c r="U982" s="54"/>
      <c r="V982" s="54"/>
      <c r="W982" s="54"/>
      <c r="X982" s="54"/>
    </row>
    <row r="983">
      <c r="B983" s="846"/>
      <c r="C983" s="578"/>
      <c r="D983" s="10"/>
      <c r="F983" s="10"/>
      <c r="H983" s="10"/>
      <c r="I983" s="10"/>
      <c r="J983" s="10"/>
      <c r="K983" s="10"/>
      <c r="L983" s="2"/>
      <c r="M983" s="2"/>
      <c r="N983" s="2"/>
      <c r="O983" s="2"/>
      <c r="P983" s="2"/>
      <c r="Q983" s="2"/>
      <c r="R983" s="117"/>
      <c r="S983" s="2"/>
      <c r="T983" s="2"/>
      <c r="U983" s="2"/>
      <c r="V983" s="2"/>
      <c r="W983" s="2"/>
      <c r="X983" s="2"/>
    </row>
    <row r="984">
      <c r="B984" s="846"/>
      <c r="C984" s="578"/>
      <c r="D984" s="10"/>
      <c r="F984" s="10"/>
      <c r="H984" s="10"/>
      <c r="I984" s="10"/>
      <c r="J984" s="10"/>
      <c r="K984" s="10"/>
      <c r="L984" s="2"/>
      <c r="M984" s="2"/>
      <c r="N984" s="2"/>
      <c r="O984" s="2"/>
      <c r="P984" s="2"/>
      <c r="Q984" s="2"/>
      <c r="R984" s="117"/>
      <c r="S984" s="2"/>
      <c r="T984" s="2"/>
      <c r="U984" s="2"/>
      <c r="V984" s="2"/>
      <c r="W984" s="2"/>
      <c r="X984" s="2"/>
    </row>
    <row r="985">
      <c r="B985" s="846"/>
      <c r="C985" s="578"/>
      <c r="D985" s="10"/>
      <c r="F985" s="10"/>
      <c r="H985" s="10"/>
      <c r="I985" s="10"/>
      <c r="J985" s="10"/>
      <c r="K985" s="10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B986" s="846"/>
      <c r="C986" s="578"/>
      <c r="D986" s="10"/>
      <c r="F986" s="10"/>
      <c r="H986" s="10"/>
      <c r="I986" s="10"/>
      <c r="J986" s="10"/>
      <c r="K986" s="10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B987" s="846"/>
      <c r="C987" s="578"/>
      <c r="D987" s="10"/>
      <c r="F987" s="10"/>
      <c r="H987" s="10"/>
      <c r="I987" s="10"/>
      <c r="J987" s="10"/>
      <c r="K987" s="10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B988" s="846"/>
      <c r="C988" s="578"/>
      <c r="D988" s="10"/>
      <c r="F988" s="10"/>
      <c r="H988" s="10"/>
      <c r="I988" s="10"/>
      <c r="J988" s="10"/>
      <c r="K988" s="10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B989" s="846"/>
      <c r="C989" s="578"/>
      <c r="D989" s="10"/>
      <c r="F989" s="10"/>
      <c r="H989" s="10"/>
      <c r="I989" s="10"/>
      <c r="J989" s="10"/>
      <c r="K989" s="10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B990" s="846"/>
      <c r="C990" s="578"/>
      <c r="D990" s="10"/>
      <c r="F990" s="10"/>
      <c r="H990" s="10"/>
      <c r="I990" s="10"/>
      <c r="J990" s="10"/>
      <c r="K990" s="10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25"/>
    <col customWidth="1" min="3" max="3" width="12.75"/>
    <col customWidth="1" min="4" max="4" width="13.38"/>
    <col hidden="1" min="8" max="11" width="12.63"/>
    <col customWidth="1" hidden="1" min="12" max="12" width="16.0"/>
    <col customWidth="1" hidden="1" min="13" max="13" width="16.88"/>
    <col customWidth="1" hidden="1" min="14" max="14" width="14.38"/>
    <col customWidth="1" hidden="1" min="15" max="15" width="15.38"/>
    <col customWidth="1" hidden="1" min="16" max="16" width="14.38"/>
    <col customWidth="1" hidden="1" min="17" max="17" width="16.63"/>
    <col customWidth="1" hidden="1" min="18" max="23" width="19.38"/>
    <col hidden="1" min="24" max="27" width="12.63"/>
    <col customWidth="1" hidden="1" min="28" max="28" width="19.5"/>
    <col customWidth="1" min="30" max="30" width="16.88"/>
    <col customWidth="1" min="35" max="35" width="16.75"/>
  </cols>
  <sheetData>
    <row r="1">
      <c r="A1" s="799" t="s">
        <v>432</v>
      </c>
      <c r="B1" s="674" t="s">
        <v>288</v>
      </c>
      <c r="C1" s="863" t="s">
        <v>288</v>
      </c>
      <c r="D1" s="863" t="s">
        <v>288</v>
      </c>
      <c r="E1" s="674" t="s">
        <v>288</v>
      </c>
      <c r="F1" s="674" t="s">
        <v>288</v>
      </c>
      <c r="G1" s="674" t="s">
        <v>288</v>
      </c>
      <c r="H1" s="674" t="s">
        <v>288</v>
      </c>
      <c r="I1" s="674" t="s">
        <v>288</v>
      </c>
      <c r="J1" s="674" t="s">
        <v>288</v>
      </c>
      <c r="K1" s="674" t="s">
        <v>288</v>
      </c>
      <c r="L1" s="674" t="s">
        <v>288</v>
      </c>
      <c r="M1" s="674" t="s">
        <v>288</v>
      </c>
      <c r="N1" s="674" t="s">
        <v>288</v>
      </c>
      <c r="O1" s="674" t="s">
        <v>288</v>
      </c>
      <c r="P1" s="674" t="s">
        <v>288</v>
      </c>
      <c r="Q1" s="674" t="s">
        <v>288</v>
      </c>
      <c r="R1" s="674" t="s">
        <v>288</v>
      </c>
      <c r="S1" s="674" t="s">
        <v>288</v>
      </c>
      <c r="T1" s="674" t="s">
        <v>288</v>
      </c>
      <c r="U1" s="674" t="s">
        <v>288</v>
      </c>
      <c r="V1" s="674" t="s">
        <v>288</v>
      </c>
      <c r="W1" s="674" t="s">
        <v>288</v>
      </c>
      <c r="X1" s="674" t="s">
        <v>288</v>
      </c>
      <c r="Y1" s="674" t="s">
        <v>288</v>
      </c>
      <c r="Z1" s="674" t="s">
        <v>288</v>
      </c>
      <c r="AA1" s="674" t="s">
        <v>288</v>
      </c>
      <c r="AB1" s="674" t="s">
        <v>288</v>
      </c>
      <c r="AC1" s="674" t="s">
        <v>288</v>
      </c>
      <c r="AD1" s="674" t="s">
        <v>288</v>
      </c>
      <c r="AE1" s="674" t="s">
        <v>288</v>
      </c>
      <c r="AF1" s="674" t="s">
        <v>288</v>
      </c>
      <c r="AG1" s="674" t="s">
        <v>288</v>
      </c>
      <c r="AH1" s="674" t="s">
        <v>288</v>
      </c>
      <c r="AI1" s="674" t="s">
        <v>288</v>
      </c>
      <c r="AJ1" s="674" t="s">
        <v>288</v>
      </c>
      <c r="AK1" s="674" t="s">
        <v>288</v>
      </c>
      <c r="AL1" s="674" t="s">
        <v>288</v>
      </c>
      <c r="AM1" s="674" t="s">
        <v>288</v>
      </c>
      <c r="AN1" s="674" t="s">
        <v>288</v>
      </c>
      <c r="AO1" s="674" t="s">
        <v>288</v>
      </c>
      <c r="AP1" s="674" t="s">
        <v>288</v>
      </c>
    </row>
    <row r="2">
      <c r="A2" s="693"/>
      <c r="B2" s="727"/>
      <c r="C2" s="864"/>
      <c r="D2" s="864"/>
      <c r="E2" s="727"/>
      <c r="F2" s="727"/>
      <c r="G2" s="727"/>
      <c r="H2" s="727"/>
      <c r="I2" s="727"/>
      <c r="J2" s="727"/>
      <c r="K2" s="727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  <c r="W2" s="865"/>
      <c r="X2" s="864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39"/>
      <c r="AK2" s="539"/>
      <c r="AL2" s="539"/>
      <c r="AM2" s="539"/>
      <c r="AN2" s="539"/>
      <c r="AO2" s="539"/>
      <c r="AP2" s="539"/>
    </row>
    <row r="3" ht="22.5" customHeight="1">
      <c r="A3" s="866" t="s">
        <v>7031</v>
      </c>
      <c r="B3" s="867" t="s">
        <v>7032</v>
      </c>
      <c r="C3" s="868" t="s">
        <v>7033</v>
      </c>
      <c r="D3" s="869" t="s">
        <v>7034</v>
      </c>
      <c r="E3" s="867" t="s">
        <v>7035</v>
      </c>
      <c r="F3" s="867" t="s">
        <v>7036</v>
      </c>
      <c r="G3" s="870" t="s">
        <v>7037</v>
      </c>
      <c r="H3" s="871" t="s">
        <v>7038</v>
      </c>
      <c r="I3" s="871" t="s">
        <v>7039</v>
      </c>
      <c r="J3" s="871" t="s">
        <v>7040</v>
      </c>
      <c r="K3" s="871" t="s">
        <v>7041</v>
      </c>
      <c r="L3" s="872" t="s">
        <v>7042</v>
      </c>
      <c r="M3" s="872" t="s">
        <v>7043</v>
      </c>
      <c r="N3" s="873" t="s">
        <v>7044</v>
      </c>
      <c r="O3" s="873" t="s">
        <v>7045</v>
      </c>
      <c r="P3" s="873" t="s">
        <v>7046</v>
      </c>
      <c r="Q3" s="873" t="s">
        <v>7047</v>
      </c>
      <c r="R3" s="874" t="s">
        <v>7048</v>
      </c>
      <c r="S3" s="874" t="s">
        <v>7049</v>
      </c>
      <c r="T3" s="874" t="s">
        <v>7050</v>
      </c>
      <c r="U3" s="874" t="s">
        <v>7051</v>
      </c>
      <c r="V3" s="874" t="s">
        <v>7052</v>
      </c>
      <c r="W3" s="875" t="s">
        <v>7053</v>
      </c>
      <c r="X3" s="875" t="s">
        <v>7054</v>
      </c>
      <c r="Y3" s="876" t="s">
        <v>7055</v>
      </c>
      <c r="Z3" s="876" t="s">
        <v>7056</v>
      </c>
      <c r="AA3" s="876" t="s">
        <v>7057</v>
      </c>
      <c r="AB3" s="876" t="s">
        <v>7058</v>
      </c>
      <c r="AC3" s="876" t="s">
        <v>7059</v>
      </c>
      <c r="AD3" s="876" t="s">
        <v>7060</v>
      </c>
      <c r="AE3" s="876" t="s">
        <v>7061</v>
      </c>
      <c r="AF3" s="876" t="s">
        <v>7062</v>
      </c>
      <c r="AG3" s="876" t="s">
        <v>7063</v>
      </c>
      <c r="AH3" s="876" t="s">
        <v>7064</v>
      </c>
      <c r="AI3" s="876" t="s">
        <v>7065</v>
      </c>
      <c r="AJ3" s="876" t="s">
        <v>7066</v>
      </c>
      <c r="AK3" s="877" t="s">
        <v>7067</v>
      </c>
      <c r="AL3" s="877" t="s">
        <v>7068</v>
      </c>
      <c r="AM3" s="877" t="s">
        <v>7069</v>
      </c>
      <c r="AN3" s="877" t="s">
        <v>7070</v>
      </c>
      <c r="AO3" s="876" t="s">
        <v>7071</v>
      </c>
      <c r="AP3" s="877" t="s">
        <v>7072</v>
      </c>
    </row>
    <row r="4" ht="22.5" customHeight="1">
      <c r="A4" s="878" t="s">
        <v>6951</v>
      </c>
      <c r="B4" s="879"/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  <c r="R4" s="879"/>
      <c r="S4" s="879"/>
      <c r="T4" s="879"/>
      <c r="U4" s="879"/>
      <c r="V4" s="879" t="s">
        <v>117</v>
      </c>
      <c r="W4" s="879" t="s">
        <v>117</v>
      </c>
      <c r="X4" s="879" t="s">
        <v>7073</v>
      </c>
      <c r="Y4" s="879" t="s">
        <v>214</v>
      </c>
      <c r="Z4" s="879" t="s">
        <v>7074</v>
      </c>
      <c r="AA4" s="879" t="s">
        <v>67</v>
      </c>
      <c r="AB4" s="879" t="s">
        <v>67</v>
      </c>
      <c r="AC4" s="879" t="s">
        <v>67</v>
      </c>
      <c r="AD4" s="879" t="s">
        <v>117</v>
      </c>
      <c r="AE4" s="879" t="s">
        <v>117</v>
      </c>
      <c r="AF4" s="879" t="s">
        <v>67</v>
      </c>
      <c r="AG4" s="879" t="s">
        <v>117</v>
      </c>
      <c r="AH4" s="879" t="s">
        <v>117</v>
      </c>
      <c r="AI4" s="879" t="s">
        <v>67</v>
      </c>
      <c r="AJ4" s="879" t="s">
        <v>67</v>
      </c>
      <c r="AK4" s="879" t="s">
        <v>117</v>
      </c>
      <c r="AL4" s="879" t="s">
        <v>117</v>
      </c>
      <c r="AM4" s="879" t="s">
        <v>117</v>
      </c>
      <c r="AN4" s="879" t="s">
        <v>117</v>
      </c>
      <c r="AO4" s="879" t="s">
        <v>67</v>
      </c>
      <c r="AP4" s="879"/>
    </row>
    <row r="5" ht="22.5" customHeight="1">
      <c r="A5" s="880" t="s">
        <v>6955</v>
      </c>
      <c r="B5" s="881"/>
      <c r="C5" s="881" t="s">
        <v>7007</v>
      </c>
      <c r="D5" s="881"/>
      <c r="E5" s="881"/>
      <c r="F5" s="881"/>
      <c r="G5" s="881" t="s">
        <v>6956</v>
      </c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 t="s">
        <v>6956</v>
      </c>
      <c r="T5" s="881"/>
      <c r="U5" s="881"/>
      <c r="V5" s="881"/>
      <c r="W5" s="881" t="s">
        <v>7075</v>
      </c>
      <c r="X5" s="881" t="s">
        <v>7076</v>
      </c>
      <c r="Y5" s="881"/>
      <c r="Z5" s="881" t="s">
        <v>7076</v>
      </c>
      <c r="AA5" s="881"/>
      <c r="AB5" s="881"/>
      <c r="AC5" s="881" t="s">
        <v>7077</v>
      </c>
      <c r="AD5" s="881"/>
      <c r="AE5" s="881" t="s">
        <v>7017</v>
      </c>
      <c r="AF5" s="881"/>
      <c r="AG5" s="881" t="s">
        <v>6957</v>
      </c>
      <c r="AH5" s="881" t="s">
        <v>6969</v>
      </c>
      <c r="AI5" s="882"/>
      <c r="AJ5" s="883"/>
      <c r="AK5" s="883"/>
      <c r="AL5" s="883" t="s">
        <v>7078</v>
      </c>
      <c r="AM5" s="883"/>
      <c r="AN5" s="883" t="s">
        <v>7079</v>
      </c>
      <c r="AO5" s="883"/>
      <c r="AP5" s="883"/>
    </row>
    <row r="6" ht="22.5" customHeight="1">
      <c r="A6" s="880" t="s">
        <v>6961</v>
      </c>
      <c r="B6" s="881"/>
      <c r="C6" s="881"/>
      <c r="D6" s="881" t="s">
        <v>6956</v>
      </c>
      <c r="E6" s="881"/>
      <c r="F6" s="881"/>
      <c r="G6" s="881"/>
      <c r="H6" s="881"/>
      <c r="I6" s="881" t="s">
        <v>6956</v>
      </c>
      <c r="J6" s="881"/>
      <c r="K6" s="881"/>
      <c r="L6" s="881"/>
      <c r="M6" s="881"/>
      <c r="N6" s="881"/>
      <c r="O6" s="881" t="s">
        <v>7080</v>
      </c>
      <c r="P6" s="881"/>
      <c r="Q6" s="881"/>
      <c r="R6" s="881"/>
      <c r="S6" s="881"/>
      <c r="T6" s="881"/>
      <c r="U6" s="881" t="s">
        <v>6968</v>
      </c>
      <c r="V6" s="881" t="s">
        <v>6968</v>
      </c>
      <c r="W6" s="881"/>
      <c r="X6" s="881"/>
      <c r="Y6" s="881"/>
      <c r="Z6" s="881"/>
      <c r="AA6" s="881"/>
      <c r="AB6" s="881"/>
      <c r="AC6" s="881"/>
      <c r="AD6" s="881" t="s">
        <v>7017</v>
      </c>
      <c r="AE6" s="881"/>
      <c r="AF6" s="881"/>
      <c r="AG6" s="881"/>
      <c r="AH6" s="881"/>
      <c r="AI6" s="884"/>
      <c r="AJ6" s="885" t="s">
        <v>7081</v>
      </c>
      <c r="AK6" s="886"/>
      <c r="AL6" s="886"/>
      <c r="AM6" s="886"/>
      <c r="AN6" s="886"/>
      <c r="AO6" s="885" t="s">
        <v>7019</v>
      </c>
      <c r="AP6" s="886"/>
    </row>
    <row r="7" ht="22.5" customHeight="1">
      <c r="A7" s="880" t="s">
        <v>6965</v>
      </c>
      <c r="B7" s="881"/>
      <c r="C7" s="881"/>
      <c r="D7" s="881" t="s">
        <v>6956</v>
      </c>
      <c r="E7" s="881"/>
      <c r="F7" s="881"/>
      <c r="G7" s="881"/>
      <c r="H7" s="881"/>
      <c r="I7" s="881"/>
      <c r="J7" s="881"/>
      <c r="K7" s="881"/>
      <c r="L7" s="881"/>
      <c r="M7" s="881" t="s">
        <v>6956</v>
      </c>
      <c r="N7" s="881"/>
      <c r="O7" s="881"/>
      <c r="P7" s="881"/>
      <c r="Q7" s="881"/>
      <c r="R7" s="881"/>
      <c r="S7" s="881"/>
      <c r="T7" s="881"/>
      <c r="U7" s="881"/>
      <c r="V7" s="881"/>
      <c r="W7" s="881"/>
      <c r="X7" s="881"/>
      <c r="Y7" s="881"/>
      <c r="Z7" s="881"/>
      <c r="AA7" s="881"/>
      <c r="AB7" s="881"/>
      <c r="AC7" s="881"/>
      <c r="AD7" s="881" t="s">
        <v>7017</v>
      </c>
      <c r="AE7" s="881"/>
      <c r="AF7" s="881"/>
      <c r="AG7" s="881"/>
      <c r="AH7" s="881"/>
      <c r="AI7" s="884"/>
      <c r="AJ7" s="886"/>
      <c r="AK7" s="886"/>
      <c r="AL7" s="886"/>
      <c r="AM7" s="886"/>
      <c r="AN7" s="886"/>
      <c r="AO7" s="886"/>
      <c r="AP7" s="886"/>
    </row>
    <row r="8" ht="22.5" customHeight="1">
      <c r="A8" s="880" t="s">
        <v>6966</v>
      </c>
      <c r="B8" s="881"/>
      <c r="C8" s="881"/>
      <c r="D8" s="881"/>
      <c r="E8" s="881"/>
      <c r="F8" s="881"/>
      <c r="G8" s="881"/>
      <c r="H8" s="881"/>
      <c r="I8" s="881"/>
      <c r="J8" s="881"/>
      <c r="K8" s="881"/>
      <c r="L8" s="881"/>
      <c r="M8" s="881"/>
      <c r="N8" s="881"/>
      <c r="O8" s="881"/>
      <c r="P8" s="881"/>
      <c r="Q8" s="881"/>
      <c r="R8" s="881"/>
      <c r="S8" s="881"/>
      <c r="T8" s="881"/>
      <c r="U8" s="881"/>
      <c r="V8" s="881"/>
      <c r="W8" s="881"/>
      <c r="X8" s="881"/>
      <c r="Y8" s="881"/>
      <c r="Z8" s="881"/>
      <c r="AA8" s="881"/>
      <c r="AB8" s="881"/>
      <c r="AC8" s="881"/>
      <c r="AD8" s="881"/>
      <c r="AE8" s="881"/>
      <c r="AF8" s="881"/>
      <c r="AG8" s="881"/>
      <c r="AH8" s="881"/>
      <c r="AI8" s="884"/>
      <c r="AJ8" s="886"/>
      <c r="AK8" s="886"/>
      <c r="AL8" s="886"/>
      <c r="AM8" s="886"/>
      <c r="AN8" s="886"/>
      <c r="AO8" s="886"/>
      <c r="AP8" s="886"/>
    </row>
    <row r="9" ht="22.5" customHeight="1">
      <c r="A9" s="880" t="s">
        <v>6967</v>
      </c>
      <c r="B9" s="881"/>
      <c r="C9" s="881"/>
      <c r="D9" s="881"/>
      <c r="E9" s="881"/>
      <c r="F9" s="881"/>
      <c r="G9" s="881"/>
      <c r="H9" s="881"/>
      <c r="I9" s="881" t="s">
        <v>7016</v>
      </c>
      <c r="J9" s="881"/>
      <c r="K9" s="881"/>
      <c r="L9" s="881"/>
      <c r="M9" s="881"/>
      <c r="N9" s="881"/>
      <c r="O9" s="881"/>
      <c r="P9" s="881"/>
      <c r="Q9" s="881"/>
      <c r="R9" s="881"/>
      <c r="S9" s="881" t="s">
        <v>6956</v>
      </c>
      <c r="T9" s="881"/>
      <c r="U9" s="881"/>
      <c r="V9" s="881"/>
      <c r="W9" s="881"/>
      <c r="X9" s="881"/>
      <c r="Y9" s="881"/>
      <c r="Z9" s="881"/>
      <c r="AA9" s="881"/>
      <c r="AB9" s="881"/>
      <c r="AC9" s="881"/>
      <c r="AD9" s="881"/>
      <c r="AE9" s="881"/>
      <c r="AF9" s="881"/>
      <c r="AG9" s="881"/>
      <c r="AH9" s="881"/>
      <c r="AI9" s="884"/>
      <c r="AJ9" s="886"/>
      <c r="AK9" s="886"/>
      <c r="AL9" s="886"/>
      <c r="AM9" s="886"/>
      <c r="AN9" s="886"/>
      <c r="AO9" s="885" t="s">
        <v>7019</v>
      </c>
      <c r="AP9" s="886"/>
    </row>
    <row r="10" ht="22.5" customHeight="1">
      <c r="A10" s="880" t="s">
        <v>6970</v>
      </c>
      <c r="B10" s="881"/>
      <c r="C10" s="881"/>
      <c r="D10" s="881"/>
      <c r="E10" s="881"/>
      <c r="F10" s="881"/>
      <c r="G10" s="881"/>
      <c r="H10" s="881"/>
      <c r="I10" s="881"/>
      <c r="J10" s="881"/>
      <c r="K10" s="881"/>
      <c r="L10" s="881"/>
      <c r="M10" s="881"/>
      <c r="N10" s="881"/>
      <c r="O10" s="881"/>
      <c r="P10" s="881"/>
      <c r="Q10" s="881"/>
      <c r="R10" s="881"/>
      <c r="S10" s="881"/>
      <c r="T10" s="881"/>
      <c r="U10" s="881"/>
      <c r="V10" s="881"/>
      <c r="W10" s="881"/>
      <c r="X10" s="881"/>
      <c r="Y10" s="881" t="s">
        <v>7082</v>
      </c>
      <c r="Z10" s="881"/>
      <c r="AA10" s="881"/>
      <c r="AB10" s="881"/>
      <c r="AC10" s="881"/>
      <c r="AD10" s="881"/>
      <c r="AE10" s="881"/>
      <c r="AF10" s="881"/>
      <c r="AG10" s="881"/>
      <c r="AH10" s="881"/>
      <c r="AI10" s="887"/>
      <c r="AJ10" s="888"/>
      <c r="AK10" s="888"/>
      <c r="AL10" s="888"/>
      <c r="AM10" s="888"/>
      <c r="AN10" s="888"/>
      <c r="AO10" s="888"/>
      <c r="AP10" s="888"/>
    </row>
    <row r="11" ht="22.5" customHeight="1">
      <c r="A11" s="880" t="s">
        <v>6971</v>
      </c>
      <c r="B11" s="881"/>
      <c r="C11" s="881"/>
      <c r="D11" s="881"/>
      <c r="E11" s="881"/>
      <c r="F11" s="881"/>
      <c r="G11" s="881"/>
      <c r="H11" s="881"/>
      <c r="I11" s="881"/>
      <c r="J11" s="881"/>
      <c r="K11" s="881" t="s">
        <v>6956</v>
      </c>
      <c r="L11" s="881"/>
      <c r="M11" s="881"/>
      <c r="N11" s="881"/>
      <c r="O11" s="881"/>
      <c r="P11" s="881"/>
      <c r="Q11" s="881"/>
      <c r="R11" s="881"/>
      <c r="S11" s="881"/>
      <c r="T11" s="881" t="s">
        <v>6968</v>
      </c>
      <c r="U11" s="881"/>
      <c r="V11" s="881" t="s">
        <v>6968</v>
      </c>
      <c r="W11" s="881"/>
      <c r="X11" s="881"/>
      <c r="Y11" s="881"/>
      <c r="Z11" s="881"/>
      <c r="AA11" s="881"/>
      <c r="AB11" s="881"/>
      <c r="AC11" s="881"/>
      <c r="AD11" s="881"/>
      <c r="AE11" s="881"/>
      <c r="AF11" s="881"/>
      <c r="AG11" s="881"/>
      <c r="AH11" s="881"/>
      <c r="AI11" s="887"/>
      <c r="AJ11" s="888"/>
      <c r="AK11" s="888"/>
      <c r="AL11" s="888"/>
      <c r="AM11" s="889" t="s">
        <v>6975</v>
      </c>
      <c r="AN11" s="888"/>
      <c r="AO11" s="888"/>
      <c r="AP11" s="888"/>
    </row>
    <row r="12" ht="22.5" customHeight="1">
      <c r="A12" s="890" t="s">
        <v>6972</v>
      </c>
      <c r="B12" s="881"/>
      <c r="C12" s="881"/>
      <c r="D12" s="881"/>
      <c r="E12" s="881"/>
      <c r="F12" s="881"/>
      <c r="G12" s="881"/>
      <c r="H12" s="881"/>
      <c r="I12" s="881"/>
      <c r="J12" s="881"/>
      <c r="K12" s="881"/>
      <c r="L12" s="881"/>
      <c r="M12" s="881"/>
      <c r="N12" s="881"/>
      <c r="O12" s="881"/>
      <c r="P12" s="881"/>
      <c r="Q12" s="881"/>
      <c r="R12" s="881"/>
      <c r="S12" s="881"/>
      <c r="T12" s="881" t="s">
        <v>6968</v>
      </c>
      <c r="U12" s="881"/>
      <c r="V12" s="881" t="s">
        <v>6968</v>
      </c>
      <c r="W12" s="881"/>
      <c r="X12" s="881"/>
      <c r="Y12" s="881"/>
      <c r="Z12" s="881"/>
      <c r="AA12" s="881"/>
      <c r="AB12" s="881"/>
      <c r="AC12" s="881"/>
      <c r="AD12" s="881"/>
      <c r="AE12" s="881"/>
      <c r="AF12" s="881"/>
      <c r="AG12" s="881"/>
      <c r="AH12" s="881"/>
      <c r="AI12" s="887"/>
      <c r="AJ12" s="888"/>
      <c r="AK12" s="888"/>
      <c r="AL12" s="888"/>
      <c r="AM12" s="888"/>
      <c r="AN12" s="888"/>
      <c r="AO12" s="888"/>
      <c r="AP12" s="888"/>
    </row>
    <row r="13" ht="22.5" customHeight="1">
      <c r="A13" s="880" t="s">
        <v>6974</v>
      </c>
      <c r="B13" s="881"/>
      <c r="C13" s="881"/>
      <c r="D13" s="881"/>
      <c r="E13" s="881" t="s">
        <v>6956</v>
      </c>
      <c r="F13" s="881"/>
      <c r="G13" s="881"/>
      <c r="H13" s="881"/>
      <c r="I13" s="881"/>
      <c r="J13" s="881"/>
      <c r="K13" s="881"/>
      <c r="L13" s="881" t="s">
        <v>6956</v>
      </c>
      <c r="M13" s="881"/>
      <c r="N13" s="881"/>
      <c r="O13" s="881"/>
      <c r="P13" s="881"/>
      <c r="Q13" s="881" t="s">
        <v>6964</v>
      </c>
      <c r="R13" s="881"/>
      <c r="S13" s="881"/>
      <c r="T13" s="881" t="s">
        <v>6968</v>
      </c>
      <c r="U13" s="881"/>
      <c r="V13" s="881" t="s">
        <v>6968</v>
      </c>
      <c r="W13" s="881"/>
      <c r="X13" s="881"/>
      <c r="Y13" s="881"/>
      <c r="Z13" s="881"/>
      <c r="AA13" s="881" t="s">
        <v>6993</v>
      </c>
      <c r="AB13" s="881" t="s">
        <v>7083</v>
      </c>
      <c r="AC13" s="881"/>
      <c r="AD13" s="881"/>
      <c r="AE13" s="881"/>
      <c r="AF13" s="881"/>
      <c r="AG13" s="881"/>
      <c r="AH13" s="881"/>
      <c r="AI13" s="891" t="s">
        <v>7024</v>
      </c>
      <c r="AJ13" s="888"/>
      <c r="AK13" s="888"/>
      <c r="AL13" s="888"/>
      <c r="AM13" s="888"/>
      <c r="AN13" s="888"/>
      <c r="AO13" s="885" t="s">
        <v>7019</v>
      </c>
      <c r="AP13" s="888"/>
    </row>
    <row r="14" ht="22.5" customHeight="1">
      <c r="A14" s="880" t="s">
        <v>6976</v>
      </c>
      <c r="B14" s="881"/>
      <c r="C14" s="881"/>
      <c r="D14" s="881"/>
      <c r="E14" s="881"/>
      <c r="F14" s="881"/>
      <c r="G14" s="881"/>
      <c r="H14" s="881"/>
      <c r="I14" s="881"/>
      <c r="J14" s="881"/>
      <c r="K14" s="881"/>
      <c r="L14" s="881"/>
      <c r="M14" s="881"/>
      <c r="N14" s="881"/>
      <c r="O14" s="881"/>
      <c r="P14" s="881"/>
      <c r="Q14" s="881"/>
      <c r="R14" s="881"/>
      <c r="S14" s="881"/>
      <c r="T14" s="881"/>
      <c r="U14" s="881"/>
      <c r="V14" s="881"/>
      <c r="W14" s="881"/>
      <c r="X14" s="881"/>
      <c r="Y14" s="881"/>
      <c r="Z14" s="881"/>
      <c r="AA14" s="881"/>
      <c r="AB14" s="881"/>
      <c r="AC14" s="881"/>
      <c r="AD14" s="881"/>
      <c r="AE14" s="881"/>
      <c r="AF14" s="881"/>
      <c r="AG14" s="881"/>
      <c r="AH14" s="881"/>
      <c r="AI14" s="887"/>
      <c r="AJ14" s="888"/>
      <c r="AK14" s="888"/>
      <c r="AL14" s="888"/>
      <c r="AM14" s="888"/>
      <c r="AN14" s="888"/>
      <c r="AO14" s="888"/>
      <c r="AP14" s="888"/>
    </row>
    <row r="15" ht="22.5" customHeight="1">
      <c r="A15" s="880" t="s">
        <v>6977</v>
      </c>
      <c r="B15" s="881"/>
      <c r="C15" s="881"/>
      <c r="D15" s="881"/>
      <c r="E15" s="881"/>
      <c r="F15" s="881"/>
      <c r="G15" s="881"/>
      <c r="H15" s="881"/>
      <c r="I15" s="881"/>
      <c r="J15" s="881"/>
      <c r="K15" s="881"/>
      <c r="L15" s="881"/>
      <c r="M15" s="881"/>
      <c r="N15" s="881"/>
      <c r="O15" s="881"/>
      <c r="P15" s="881"/>
      <c r="Q15" s="881"/>
      <c r="R15" s="881"/>
      <c r="S15" s="881"/>
      <c r="T15" s="881"/>
      <c r="U15" s="881"/>
      <c r="V15" s="881"/>
      <c r="W15" s="881"/>
      <c r="X15" s="881"/>
      <c r="Y15" s="881"/>
      <c r="Z15" s="881"/>
      <c r="AA15" s="881"/>
      <c r="AB15" s="881" t="s">
        <v>7083</v>
      </c>
      <c r="AC15" s="881"/>
      <c r="AD15" s="881"/>
      <c r="AE15" s="881"/>
      <c r="AF15" s="881"/>
      <c r="AG15" s="881"/>
      <c r="AH15" s="881"/>
      <c r="AI15" s="887"/>
      <c r="AJ15" s="888"/>
      <c r="AK15" s="888"/>
      <c r="AL15" s="888"/>
      <c r="AM15" s="888"/>
      <c r="AN15" s="888"/>
      <c r="AO15" s="888"/>
      <c r="AP15" s="888"/>
    </row>
    <row r="16" ht="22.5" customHeight="1">
      <c r="A16" s="880" t="s">
        <v>6979</v>
      </c>
      <c r="B16" s="881" t="s">
        <v>6956</v>
      </c>
      <c r="C16" s="881"/>
      <c r="D16" s="881"/>
      <c r="E16" s="881"/>
      <c r="F16" s="881"/>
      <c r="G16" s="881"/>
      <c r="H16" s="881"/>
      <c r="I16" s="881"/>
      <c r="J16" s="881"/>
      <c r="K16" s="881"/>
      <c r="L16" s="881"/>
      <c r="M16" s="881"/>
      <c r="N16" s="881"/>
      <c r="O16" s="881"/>
      <c r="P16" s="881"/>
      <c r="Q16" s="881"/>
      <c r="R16" s="881"/>
      <c r="S16" s="881"/>
      <c r="T16" s="881" t="s">
        <v>6968</v>
      </c>
      <c r="U16" s="881"/>
      <c r="V16" s="881" t="s">
        <v>6968</v>
      </c>
      <c r="W16" s="881"/>
      <c r="X16" s="881"/>
      <c r="Y16" s="881"/>
      <c r="Z16" s="881"/>
      <c r="AA16" s="881"/>
      <c r="AB16" s="881"/>
      <c r="AC16" s="881" t="s">
        <v>7084</v>
      </c>
      <c r="AD16" s="881"/>
      <c r="AE16" s="881"/>
      <c r="AF16" s="881"/>
      <c r="AG16" s="881"/>
      <c r="AH16" s="881"/>
      <c r="AI16" s="887"/>
      <c r="AJ16" s="888"/>
      <c r="AK16" s="888"/>
      <c r="AL16" s="888"/>
      <c r="AM16" s="888"/>
      <c r="AN16" s="888"/>
      <c r="AO16" s="888"/>
      <c r="AP16" s="888"/>
    </row>
    <row r="17" ht="22.5" customHeight="1">
      <c r="A17" s="880" t="s">
        <v>6980</v>
      </c>
      <c r="B17" s="881" t="s">
        <v>6956</v>
      </c>
      <c r="C17" s="881"/>
      <c r="D17" s="881"/>
      <c r="E17" s="881"/>
      <c r="F17" s="881"/>
      <c r="G17" s="881"/>
      <c r="H17" s="881"/>
      <c r="I17" s="881"/>
      <c r="J17" s="881"/>
      <c r="K17" s="881"/>
      <c r="L17" s="881"/>
      <c r="M17" s="881"/>
      <c r="N17" s="881" t="s">
        <v>7085</v>
      </c>
      <c r="O17" s="881"/>
      <c r="P17" s="881"/>
      <c r="Q17" s="881"/>
      <c r="R17" s="881"/>
      <c r="S17" s="881"/>
      <c r="T17" s="881"/>
      <c r="U17" s="881"/>
      <c r="V17" s="881"/>
      <c r="W17" s="881"/>
      <c r="X17" s="881"/>
      <c r="Y17" s="881"/>
      <c r="Z17" s="881"/>
      <c r="AA17" s="881"/>
      <c r="AB17" s="881"/>
      <c r="AC17" s="881"/>
      <c r="AD17" s="881"/>
      <c r="AE17" s="881"/>
      <c r="AF17" s="881"/>
      <c r="AG17" s="881"/>
      <c r="AH17" s="881"/>
      <c r="AI17" s="887"/>
      <c r="AJ17" s="888"/>
      <c r="AK17" s="888"/>
      <c r="AL17" s="888"/>
      <c r="AM17" s="888"/>
      <c r="AN17" s="888"/>
      <c r="AO17" s="885" t="s">
        <v>7086</v>
      </c>
      <c r="AP17" s="888"/>
    </row>
    <row r="18" ht="22.5" customHeight="1">
      <c r="A18" s="880" t="s">
        <v>6981</v>
      </c>
      <c r="B18" s="881"/>
      <c r="C18" s="881"/>
      <c r="D18" s="881"/>
      <c r="E18" s="881"/>
      <c r="F18" s="881"/>
      <c r="G18" s="881"/>
      <c r="H18" s="881"/>
      <c r="I18" s="881"/>
      <c r="J18" s="881"/>
      <c r="K18" s="881"/>
      <c r="L18" s="881"/>
      <c r="M18" s="881"/>
      <c r="N18" s="881"/>
      <c r="O18" s="881"/>
      <c r="P18" s="881"/>
      <c r="Q18" s="881"/>
      <c r="R18" s="881"/>
      <c r="S18" s="881"/>
      <c r="T18" s="881"/>
      <c r="U18" s="881"/>
      <c r="V18" s="881"/>
      <c r="W18" s="881"/>
      <c r="X18" s="881"/>
      <c r="Y18" s="881"/>
      <c r="Z18" s="881"/>
      <c r="AA18" s="881" t="s">
        <v>6993</v>
      </c>
      <c r="AB18" s="881"/>
      <c r="AC18" s="881"/>
      <c r="AD18" s="881"/>
      <c r="AE18" s="881"/>
      <c r="AF18" s="881"/>
      <c r="AG18" s="881"/>
      <c r="AH18" s="881" t="s">
        <v>7087</v>
      </c>
      <c r="AI18" s="892"/>
      <c r="AJ18" s="893"/>
      <c r="AK18" s="893"/>
      <c r="AL18" s="893"/>
      <c r="AM18" s="893"/>
      <c r="AN18" s="893"/>
      <c r="AO18" s="893"/>
      <c r="AP18" s="893"/>
    </row>
    <row r="19" ht="22.5" customHeight="1">
      <c r="A19" s="880" t="s">
        <v>6982</v>
      </c>
      <c r="B19" s="881"/>
      <c r="C19" s="881"/>
      <c r="D19" s="881"/>
      <c r="E19" s="881"/>
      <c r="F19" s="881"/>
      <c r="G19" s="881"/>
      <c r="H19" s="881"/>
      <c r="I19" s="881"/>
      <c r="J19" s="881"/>
      <c r="K19" s="881"/>
      <c r="L19" s="881"/>
      <c r="M19" s="881"/>
      <c r="N19" s="881"/>
      <c r="O19" s="881"/>
      <c r="P19" s="881"/>
      <c r="Q19" s="881"/>
      <c r="R19" s="881"/>
      <c r="S19" s="881"/>
      <c r="T19" s="881"/>
      <c r="U19" s="881"/>
      <c r="V19" s="881"/>
      <c r="W19" s="881"/>
      <c r="X19" s="881"/>
      <c r="Y19" s="881"/>
      <c r="Z19" s="881"/>
      <c r="AA19" s="881"/>
      <c r="AB19" s="881"/>
      <c r="AC19" s="881"/>
      <c r="AD19" s="881"/>
      <c r="AE19" s="881"/>
      <c r="AF19" s="881"/>
      <c r="AG19" s="881"/>
      <c r="AH19" s="881"/>
      <c r="AI19" s="887"/>
      <c r="AJ19" s="888"/>
      <c r="AK19" s="888"/>
      <c r="AL19" s="888"/>
      <c r="AM19" s="888"/>
      <c r="AN19" s="888"/>
      <c r="AO19" s="888"/>
      <c r="AP19" s="888"/>
    </row>
    <row r="20" ht="22.5" customHeight="1">
      <c r="A20" s="880" t="s">
        <v>6983</v>
      </c>
      <c r="B20" s="881"/>
      <c r="C20" s="881"/>
      <c r="D20" s="881"/>
      <c r="E20" s="881"/>
      <c r="F20" s="881"/>
      <c r="G20" s="881" t="s">
        <v>6956</v>
      </c>
      <c r="H20" s="881"/>
      <c r="I20" s="881"/>
      <c r="J20" s="881"/>
      <c r="K20" s="881"/>
      <c r="L20" s="881"/>
      <c r="M20" s="881"/>
      <c r="N20" s="881"/>
      <c r="O20" s="881"/>
      <c r="P20" s="881"/>
      <c r="Q20" s="881"/>
      <c r="R20" s="881"/>
      <c r="S20" s="881"/>
      <c r="T20" s="881"/>
      <c r="U20" s="881"/>
      <c r="V20" s="881"/>
      <c r="W20" s="881"/>
      <c r="X20" s="881"/>
      <c r="Y20" s="881"/>
      <c r="Z20" s="881"/>
      <c r="AA20" s="881"/>
      <c r="AB20" s="881"/>
      <c r="AC20" s="881"/>
      <c r="AD20" s="881"/>
      <c r="AE20" s="881"/>
      <c r="AF20" s="881"/>
      <c r="AG20" s="881"/>
      <c r="AH20" s="881"/>
      <c r="AI20" s="887"/>
      <c r="AJ20" s="888"/>
      <c r="AK20" s="888"/>
      <c r="AL20" s="888"/>
      <c r="AM20" s="888"/>
      <c r="AN20" s="888"/>
      <c r="AO20" s="888"/>
      <c r="AP20" s="888"/>
    </row>
    <row r="21" ht="22.5" customHeight="1">
      <c r="A21" s="880" t="s">
        <v>6985</v>
      </c>
      <c r="B21" s="881"/>
      <c r="C21" s="881"/>
      <c r="D21" s="881"/>
      <c r="E21" s="881"/>
      <c r="F21" s="881"/>
      <c r="G21" s="881"/>
      <c r="H21" s="881"/>
      <c r="I21" s="881"/>
      <c r="J21" s="881"/>
      <c r="K21" s="881"/>
      <c r="L21" s="881"/>
      <c r="M21" s="881"/>
      <c r="N21" s="881"/>
      <c r="O21" s="881"/>
      <c r="P21" s="881"/>
      <c r="Q21" s="881"/>
      <c r="R21" s="881"/>
      <c r="S21" s="881" t="s">
        <v>6956</v>
      </c>
      <c r="T21" s="881"/>
      <c r="U21" s="881"/>
      <c r="V21" s="881"/>
      <c r="W21" s="881"/>
      <c r="X21" s="881"/>
      <c r="Y21" s="881"/>
      <c r="Z21" s="881"/>
      <c r="AA21" s="881"/>
      <c r="AB21" s="881"/>
      <c r="AC21" s="881" t="s">
        <v>7088</v>
      </c>
      <c r="AD21" s="881"/>
      <c r="AE21" s="881"/>
      <c r="AF21" s="881"/>
      <c r="AG21" s="881"/>
      <c r="AH21" s="881" t="s">
        <v>7089</v>
      </c>
      <c r="AI21" s="894"/>
      <c r="AJ21" s="895"/>
      <c r="AK21" s="895"/>
      <c r="AL21" s="895"/>
      <c r="AM21" s="895"/>
      <c r="AN21" s="895"/>
      <c r="AO21" s="885" t="s">
        <v>7019</v>
      </c>
      <c r="AP21" s="895"/>
    </row>
    <row r="22" ht="22.5" customHeight="1">
      <c r="A22" s="880" t="s">
        <v>6986</v>
      </c>
      <c r="B22" s="881"/>
      <c r="C22" s="881"/>
      <c r="D22" s="881"/>
      <c r="E22" s="881"/>
      <c r="F22" s="881"/>
      <c r="G22" s="881"/>
      <c r="H22" s="881"/>
      <c r="I22" s="881"/>
      <c r="J22" s="881"/>
      <c r="K22" s="881"/>
      <c r="L22" s="881"/>
      <c r="M22" s="881" t="s">
        <v>6956</v>
      </c>
      <c r="N22" s="881"/>
      <c r="O22" s="881"/>
      <c r="P22" s="881"/>
      <c r="Q22" s="881"/>
      <c r="R22" s="881"/>
      <c r="S22" s="881"/>
      <c r="T22" s="881"/>
      <c r="U22" s="881"/>
      <c r="V22" s="881"/>
      <c r="W22" s="881"/>
      <c r="X22" s="881"/>
      <c r="Y22" s="881"/>
      <c r="Z22" s="881"/>
      <c r="AA22" s="881" t="s">
        <v>6993</v>
      </c>
      <c r="AB22" s="881" t="s">
        <v>7083</v>
      </c>
      <c r="AC22" s="881"/>
      <c r="AD22" s="881"/>
      <c r="AE22" s="881"/>
      <c r="AF22" s="881"/>
      <c r="AG22" s="881"/>
      <c r="AH22" s="881"/>
      <c r="AI22" s="887"/>
      <c r="AJ22" s="888"/>
      <c r="AK22" s="888"/>
      <c r="AL22" s="888"/>
      <c r="AM22" s="888"/>
      <c r="AN22" s="888"/>
      <c r="AO22" s="885" t="s">
        <v>7019</v>
      </c>
      <c r="AP22" s="888"/>
    </row>
    <row r="23" ht="22.5" customHeight="1">
      <c r="A23" s="880" t="s">
        <v>6988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 t="s">
        <v>7090</v>
      </c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7"/>
      <c r="AJ23" s="888"/>
      <c r="AK23" s="888"/>
      <c r="AL23" s="888"/>
      <c r="AM23" s="888"/>
      <c r="AN23" s="888"/>
      <c r="AO23" s="888"/>
      <c r="AP23" s="888"/>
    </row>
    <row r="24" ht="22.5" customHeight="1">
      <c r="A24" s="880" t="s">
        <v>6990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 t="s">
        <v>6968</v>
      </c>
      <c r="U24" s="881"/>
      <c r="V24" s="881" t="s">
        <v>6968</v>
      </c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7"/>
      <c r="AJ24" s="888"/>
      <c r="AK24" s="888"/>
      <c r="AL24" s="888"/>
      <c r="AM24" s="888"/>
      <c r="AN24" s="888"/>
      <c r="AO24" s="888"/>
      <c r="AP24" s="888"/>
    </row>
    <row r="25" ht="22.5" customHeight="1">
      <c r="A25" s="880" t="s">
        <v>6991</v>
      </c>
      <c r="B25" s="881"/>
      <c r="C25" s="881"/>
      <c r="D25" s="881"/>
      <c r="E25" s="881"/>
      <c r="F25" s="881"/>
      <c r="G25" s="881"/>
      <c r="H25" s="881"/>
      <c r="I25" s="881"/>
      <c r="J25" s="881"/>
      <c r="K25" s="881"/>
      <c r="L25" s="881"/>
      <c r="M25" s="881" t="s">
        <v>6956</v>
      </c>
      <c r="N25" s="881"/>
      <c r="O25" s="881"/>
      <c r="P25" s="881"/>
      <c r="Q25" s="881"/>
      <c r="R25" s="881"/>
      <c r="S25" s="881"/>
      <c r="T25" s="881"/>
      <c r="U25" s="881"/>
      <c r="V25" s="881"/>
      <c r="W25" s="881"/>
      <c r="X25" s="881"/>
      <c r="Y25" s="881"/>
      <c r="Z25" s="881"/>
      <c r="AA25" s="881"/>
      <c r="AB25" s="881"/>
      <c r="AC25" s="881"/>
      <c r="AD25" s="881"/>
      <c r="AE25" s="881"/>
      <c r="AF25" s="881"/>
      <c r="AG25" s="881"/>
      <c r="AH25" s="881"/>
      <c r="AI25" s="887"/>
      <c r="AJ25" s="888"/>
      <c r="AK25" s="888"/>
      <c r="AL25" s="888"/>
      <c r="AM25" s="888"/>
      <c r="AN25" s="888"/>
      <c r="AO25" s="888"/>
      <c r="AP25" s="888"/>
    </row>
    <row r="26" ht="22.5" customHeight="1">
      <c r="A26" s="880" t="s">
        <v>6992</v>
      </c>
      <c r="B26" s="881"/>
      <c r="C26" s="881" t="s">
        <v>7007</v>
      </c>
      <c r="D26" s="881" t="s">
        <v>6956</v>
      </c>
      <c r="E26" s="881"/>
      <c r="F26" s="881"/>
      <c r="G26" s="881"/>
      <c r="H26" s="881" t="s">
        <v>6956</v>
      </c>
      <c r="I26" s="881"/>
      <c r="J26" s="881"/>
      <c r="K26" s="881"/>
      <c r="L26" s="881"/>
      <c r="M26" s="881"/>
      <c r="N26" s="881"/>
      <c r="O26" s="881"/>
      <c r="P26" s="881"/>
      <c r="Q26" s="881" t="s">
        <v>7091</v>
      </c>
      <c r="R26" s="881"/>
      <c r="S26" s="881"/>
      <c r="T26" s="881"/>
      <c r="U26" s="881" t="s">
        <v>6968</v>
      </c>
      <c r="V26" s="881" t="s">
        <v>6968</v>
      </c>
      <c r="W26" s="881"/>
      <c r="X26" s="881"/>
      <c r="Y26" s="881"/>
      <c r="Z26" s="881"/>
      <c r="AA26" s="881"/>
      <c r="AB26" s="881"/>
      <c r="AC26" s="881"/>
      <c r="AD26" s="881"/>
      <c r="AE26" s="881"/>
      <c r="AF26" s="881"/>
      <c r="AG26" s="881"/>
      <c r="AH26" s="881"/>
      <c r="AI26" s="887"/>
      <c r="AJ26" s="888"/>
      <c r="AK26" s="888"/>
      <c r="AL26" s="888"/>
      <c r="AM26" s="888"/>
      <c r="AN26" s="888"/>
      <c r="AO26" s="888"/>
      <c r="AP26" s="888"/>
    </row>
    <row r="27" ht="22.5" customHeight="1">
      <c r="A27" s="880" t="s">
        <v>6997</v>
      </c>
      <c r="B27" s="881"/>
      <c r="C27" s="881"/>
      <c r="D27" s="881"/>
      <c r="E27" s="881"/>
      <c r="F27" s="881"/>
      <c r="G27" s="881"/>
      <c r="H27" s="881"/>
      <c r="I27" s="881"/>
      <c r="J27" s="881"/>
      <c r="K27" s="881"/>
      <c r="L27" s="881"/>
      <c r="M27" s="881"/>
      <c r="N27" s="881"/>
      <c r="O27" s="881"/>
      <c r="P27" s="881"/>
      <c r="Q27" s="881"/>
      <c r="R27" s="881"/>
      <c r="S27" s="881"/>
      <c r="T27" s="881"/>
      <c r="U27" s="881"/>
      <c r="V27" s="881"/>
      <c r="W27" s="881"/>
      <c r="X27" s="881"/>
      <c r="Y27" s="881"/>
      <c r="Z27" s="881"/>
      <c r="AA27" s="881"/>
      <c r="AB27" s="881"/>
      <c r="AC27" s="881"/>
      <c r="AD27" s="881"/>
      <c r="AE27" s="881"/>
      <c r="AF27" s="881"/>
      <c r="AG27" s="881"/>
      <c r="AH27" s="881"/>
      <c r="AI27" s="887"/>
      <c r="AJ27" s="888"/>
      <c r="AK27" s="888"/>
      <c r="AL27" s="888"/>
      <c r="AM27" s="888"/>
      <c r="AN27" s="888"/>
      <c r="AO27" s="888"/>
      <c r="AP27" s="888"/>
    </row>
    <row r="28" ht="22.5" customHeight="1">
      <c r="A28" s="880" t="s">
        <v>7025</v>
      </c>
      <c r="B28" s="881"/>
      <c r="C28" s="881"/>
      <c r="D28" s="881"/>
      <c r="E28" s="881"/>
      <c r="F28" s="881"/>
      <c r="G28" s="881"/>
      <c r="H28" s="881"/>
      <c r="I28" s="881"/>
      <c r="J28" s="881"/>
      <c r="K28" s="881"/>
      <c r="L28" s="881"/>
      <c r="M28" s="881"/>
      <c r="N28" s="881"/>
      <c r="O28" s="881"/>
      <c r="P28" s="881"/>
      <c r="Q28" s="881"/>
      <c r="R28" s="881"/>
      <c r="S28" s="881"/>
      <c r="T28" s="881"/>
      <c r="U28" s="881"/>
      <c r="V28" s="881"/>
      <c r="W28" s="881"/>
      <c r="X28" s="881"/>
      <c r="Y28" s="881"/>
      <c r="Z28" s="881"/>
      <c r="AA28" s="881"/>
      <c r="AB28" s="881"/>
      <c r="AC28" s="881"/>
      <c r="AD28" s="881"/>
      <c r="AE28" s="881"/>
      <c r="AF28" s="881"/>
      <c r="AG28" s="881"/>
      <c r="AH28" s="881"/>
      <c r="AI28" s="887"/>
      <c r="AJ28" s="888"/>
      <c r="AK28" s="888"/>
      <c r="AL28" s="888"/>
      <c r="AM28" s="888"/>
      <c r="AN28" s="888"/>
      <c r="AO28" s="888"/>
      <c r="AP28" s="888"/>
    </row>
    <row r="29" ht="22.5" customHeight="1">
      <c r="A29" s="880" t="s">
        <v>6999</v>
      </c>
      <c r="B29" s="881"/>
      <c r="C29" s="881"/>
      <c r="D29" s="881"/>
      <c r="E29" s="881"/>
      <c r="F29" s="881"/>
      <c r="G29" s="881"/>
      <c r="H29" s="881"/>
      <c r="I29" s="881"/>
      <c r="J29" s="881"/>
      <c r="K29" s="881"/>
      <c r="L29" s="881"/>
      <c r="M29" s="881"/>
      <c r="N29" s="881"/>
      <c r="O29" s="881"/>
      <c r="P29" s="881"/>
      <c r="Q29" s="881"/>
      <c r="R29" s="881"/>
      <c r="S29" s="881"/>
      <c r="T29" s="881"/>
      <c r="U29" s="881"/>
      <c r="V29" s="881"/>
      <c r="W29" s="881"/>
      <c r="X29" s="881"/>
      <c r="Y29" s="881"/>
      <c r="Z29" s="881"/>
      <c r="AA29" s="881"/>
      <c r="AB29" s="881"/>
      <c r="AC29" s="881"/>
      <c r="AD29" s="881"/>
      <c r="AE29" s="881"/>
      <c r="AF29" s="881"/>
      <c r="AG29" s="881"/>
      <c r="AH29" s="881"/>
      <c r="AI29" s="887"/>
      <c r="AJ29" s="888"/>
      <c r="AK29" s="888"/>
      <c r="AL29" s="888"/>
      <c r="AM29" s="888"/>
      <c r="AN29" s="888"/>
      <c r="AO29" s="888"/>
      <c r="AP29" s="888"/>
    </row>
    <row r="30" ht="22.5" customHeight="1">
      <c r="A30" s="880" t="s">
        <v>7000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7"/>
      <c r="AJ30" s="888"/>
      <c r="AK30" s="888"/>
      <c r="AL30" s="888"/>
      <c r="AM30" s="888"/>
      <c r="AN30" s="888"/>
      <c r="AO30" s="888"/>
      <c r="AP30" s="888"/>
    </row>
    <row r="31" ht="22.5" customHeight="1">
      <c r="A31" s="880" t="s">
        <v>7001</v>
      </c>
      <c r="B31" s="881"/>
      <c r="C31" s="881"/>
      <c r="D31" s="881"/>
      <c r="E31" s="881"/>
      <c r="F31" s="881"/>
      <c r="G31" s="881"/>
      <c r="H31" s="881"/>
      <c r="I31" s="881"/>
      <c r="J31" s="881"/>
      <c r="K31" s="881"/>
      <c r="L31" s="881"/>
      <c r="M31" s="881"/>
      <c r="N31" s="881"/>
      <c r="O31" s="881"/>
      <c r="P31" s="881"/>
      <c r="Q31" s="881"/>
      <c r="R31" s="881"/>
      <c r="S31" s="881"/>
      <c r="T31" s="881"/>
      <c r="U31" s="881"/>
      <c r="V31" s="881"/>
      <c r="W31" s="881"/>
      <c r="X31" s="881"/>
      <c r="Y31" s="881"/>
      <c r="Z31" s="881"/>
      <c r="AA31" s="881"/>
      <c r="AB31" s="881"/>
      <c r="AC31" s="881"/>
      <c r="AD31" s="881"/>
      <c r="AE31" s="881"/>
      <c r="AF31" s="881"/>
      <c r="AG31" s="881"/>
      <c r="AH31" s="881"/>
      <c r="AI31" s="891" t="s">
        <v>7024</v>
      </c>
      <c r="AJ31" s="888"/>
      <c r="AK31" s="888"/>
      <c r="AL31" s="888"/>
      <c r="AM31" s="888"/>
      <c r="AN31" s="888"/>
      <c r="AO31" s="888"/>
      <c r="AP31" s="888"/>
    </row>
    <row r="32" ht="22.5" customHeight="1">
      <c r="A32" s="880" t="s">
        <v>7002</v>
      </c>
      <c r="B32" s="881"/>
      <c r="C32" s="881"/>
      <c r="D32" s="881"/>
      <c r="E32" s="881"/>
      <c r="F32" s="881"/>
      <c r="G32" s="881"/>
      <c r="H32" s="881"/>
      <c r="I32" s="881"/>
      <c r="J32" s="881"/>
      <c r="K32" s="881"/>
      <c r="L32" s="881"/>
      <c r="M32" s="881"/>
      <c r="N32" s="881"/>
      <c r="O32" s="881"/>
      <c r="P32" s="881"/>
      <c r="Q32" s="881"/>
      <c r="R32" s="881"/>
      <c r="S32" s="881"/>
      <c r="T32" s="881"/>
      <c r="U32" s="881"/>
      <c r="V32" s="881"/>
      <c r="W32" s="881"/>
      <c r="X32" s="881"/>
      <c r="Y32" s="881"/>
      <c r="Z32" s="881"/>
      <c r="AA32" s="881"/>
      <c r="AB32" s="881"/>
      <c r="AC32" s="881"/>
      <c r="AD32" s="881"/>
      <c r="AE32" s="881"/>
      <c r="AF32" s="881"/>
      <c r="AG32" s="881"/>
      <c r="AH32" s="881"/>
      <c r="AI32" s="887"/>
      <c r="AJ32" s="888"/>
      <c r="AK32" s="888"/>
      <c r="AL32" s="888"/>
      <c r="AM32" s="888"/>
      <c r="AN32" s="888"/>
      <c r="AO32" s="888"/>
      <c r="AP32" s="888"/>
    </row>
    <row r="33" ht="22.5" customHeight="1">
      <c r="A33" s="896" t="s">
        <v>7092</v>
      </c>
      <c r="B33" s="881"/>
      <c r="C33" s="881"/>
      <c r="D33" s="881" t="s">
        <v>6956</v>
      </c>
      <c r="E33" s="881"/>
      <c r="F33" s="881"/>
      <c r="G33" s="881"/>
      <c r="H33" s="881"/>
      <c r="I33" s="881"/>
      <c r="J33" s="881"/>
      <c r="K33" s="881"/>
      <c r="L33" s="881"/>
      <c r="M33" s="881"/>
      <c r="N33" s="881"/>
      <c r="O33" s="881"/>
      <c r="P33" s="881"/>
      <c r="Q33" s="881"/>
      <c r="R33" s="881"/>
      <c r="S33" s="881"/>
      <c r="T33" s="881"/>
      <c r="U33" s="881"/>
      <c r="V33" s="881"/>
      <c r="W33" s="881"/>
      <c r="X33" s="881"/>
      <c r="Y33" s="881"/>
      <c r="Z33" s="881"/>
      <c r="AA33" s="881"/>
      <c r="AB33" s="881"/>
      <c r="AC33" s="881"/>
      <c r="AD33" s="881"/>
      <c r="AE33" s="881"/>
      <c r="AF33" s="881"/>
      <c r="AG33" s="881"/>
      <c r="AH33" s="881"/>
      <c r="AI33" s="887"/>
      <c r="AJ33" s="888"/>
      <c r="AK33" s="888"/>
      <c r="AL33" s="888"/>
      <c r="AM33" s="888"/>
      <c r="AN33" s="888"/>
      <c r="AO33" s="888"/>
      <c r="AP33" s="888"/>
    </row>
    <row r="34" ht="22.5" customHeight="1">
      <c r="A34" s="897" t="s">
        <v>7026</v>
      </c>
      <c r="B34" s="881" t="s">
        <v>6956</v>
      </c>
      <c r="C34" s="881"/>
      <c r="D34" s="881"/>
      <c r="E34" s="881"/>
      <c r="F34" s="881"/>
      <c r="G34" s="881"/>
      <c r="H34" s="881"/>
      <c r="I34" s="881"/>
      <c r="J34" s="881"/>
      <c r="K34" s="881"/>
      <c r="L34" s="881"/>
      <c r="M34" s="881"/>
      <c r="N34" s="881"/>
      <c r="O34" s="881"/>
      <c r="P34" s="881"/>
      <c r="Q34" s="881"/>
      <c r="R34" s="881"/>
      <c r="S34" s="881"/>
      <c r="T34" s="881"/>
      <c r="U34" s="881" t="s">
        <v>6968</v>
      </c>
      <c r="V34" s="881" t="s">
        <v>6968</v>
      </c>
      <c r="W34" s="881"/>
      <c r="X34" s="881"/>
      <c r="Y34" s="881"/>
      <c r="Z34" s="881"/>
      <c r="AA34" s="881"/>
      <c r="AB34" s="881"/>
      <c r="AC34" s="881"/>
      <c r="AD34" s="881" t="s">
        <v>7093</v>
      </c>
      <c r="AE34" s="881"/>
      <c r="AF34" s="881"/>
      <c r="AG34" s="881"/>
      <c r="AH34" s="881" t="s">
        <v>7089</v>
      </c>
      <c r="AI34" s="894"/>
      <c r="AJ34" s="895"/>
      <c r="AK34" s="895" t="s">
        <v>7080</v>
      </c>
      <c r="AL34" s="895"/>
      <c r="AM34" s="895"/>
      <c r="AN34" s="895"/>
      <c r="AO34" s="895"/>
      <c r="AP34" s="895"/>
    </row>
    <row r="35" ht="22.5" customHeight="1">
      <c r="A35" s="897" t="s">
        <v>7027</v>
      </c>
      <c r="B35" s="881"/>
      <c r="C35" s="881"/>
      <c r="D35" s="881"/>
      <c r="E35" s="881"/>
      <c r="F35" s="881"/>
      <c r="G35" s="881"/>
      <c r="H35" s="881"/>
      <c r="I35" s="881"/>
      <c r="J35" s="881"/>
      <c r="K35" s="881"/>
      <c r="L35" s="881"/>
      <c r="M35" s="881"/>
      <c r="N35" s="881"/>
      <c r="O35" s="881"/>
      <c r="P35" s="881"/>
      <c r="Q35" s="881"/>
      <c r="R35" s="881"/>
      <c r="S35" s="881"/>
      <c r="T35" s="881"/>
      <c r="U35" s="881"/>
      <c r="V35" s="881"/>
      <c r="W35" s="881"/>
      <c r="X35" s="881"/>
      <c r="Y35" s="881"/>
      <c r="Z35" s="881"/>
      <c r="AA35" s="881"/>
      <c r="AB35" s="881"/>
      <c r="AC35" s="881"/>
      <c r="AD35" s="881"/>
      <c r="AE35" s="881"/>
      <c r="AF35" s="881"/>
      <c r="AG35" s="881"/>
      <c r="AH35" s="881"/>
      <c r="AI35" s="887"/>
      <c r="AJ35" s="888"/>
      <c r="AK35" s="888"/>
      <c r="AL35" s="888"/>
      <c r="AM35" s="888"/>
      <c r="AN35" s="888"/>
      <c r="AO35" s="888"/>
      <c r="AP35" s="888"/>
    </row>
    <row r="36" ht="22.5" customHeight="1">
      <c r="A36" s="898" t="s">
        <v>7028</v>
      </c>
      <c r="B36" s="881"/>
      <c r="C36" s="881"/>
      <c r="D36" s="881"/>
      <c r="E36" s="881" t="s">
        <v>7016</v>
      </c>
      <c r="F36" s="881"/>
      <c r="G36" s="881"/>
      <c r="H36" s="881"/>
      <c r="I36" s="881" t="s">
        <v>7016</v>
      </c>
      <c r="J36" s="881"/>
      <c r="K36" s="881"/>
      <c r="L36" s="881"/>
      <c r="M36" s="881"/>
      <c r="N36" s="881"/>
      <c r="O36" s="881"/>
      <c r="P36" s="881"/>
      <c r="Q36" s="881"/>
      <c r="R36" s="881"/>
      <c r="S36" s="881"/>
      <c r="T36" s="881" t="s">
        <v>7090</v>
      </c>
      <c r="U36" s="881"/>
      <c r="V36" s="881"/>
      <c r="W36" s="881"/>
      <c r="X36" s="881"/>
      <c r="Y36" s="881"/>
      <c r="Z36" s="881"/>
      <c r="AA36" s="881"/>
      <c r="AB36" s="881"/>
      <c r="AC36" s="881"/>
      <c r="AD36" s="881"/>
      <c r="AE36" s="881"/>
      <c r="AF36" s="881"/>
      <c r="AG36" s="881"/>
      <c r="AH36" s="881"/>
      <c r="AI36" s="887"/>
      <c r="AJ36" s="888"/>
      <c r="AK36" s="888"/>
      <c r="AL36" s="888"/>
      <c r="AM36" s="886" t="s">
        <v>7094</v>
      </c>
      <c r="AN36" s="888"/>
      <c r="AO36" s="888"/>
      <c r="AP36" s="888"/>
    </row>
    <row r="37" ht="22.5" customHeight="1">
      <c r="A37" s="897" t="s">
        <v>7009</v>
      </c>
      <c r="B37" s="881"/>
      <c r="C37" s="881"/>
      <c r="D37" s="881"/>
      <c r="E37" s="881"/>
      <c r="F37" s="881"/>
      <c r="G37" s="881"/>
      <c r="H37" s="881"/>
      <c r="I37" s="881"/>
      <c r="J37" s="881"/>
      <c r="K37" s="881"/>
      <c r="L37" s="881"/>
      <c r="M37" s="881"/>
      <c r="N37" s="881" t="s">
        <v>6964</v>
      </c>
      <c r="O37" s="881"/>
      <c r="P37" s="881"/>
      <c r="Q37" s="881"/>
      <c r="R37" s="881"/>
      <c r="S37" s="881"/>
      <c r="T37" s="881"/>
      <c r="U37" s="881"/>
      <c r="V37" s="881"/>
      <c r="W37" s="881"/>
      <c r="X37" s="881"/>
      <c r="Y37" s="881"/>
      <c r="Z37" s="881"/>
      <c r="AA37" s="881"/>
      <c r="AB37" s="881"/>
      <c r="AC37" s="881"/>
      <c r="AD37" s="881"/>
      <c r="AE37" s="881"/>
      <c r="AF37" s="881"/>
      <c r="AG37" s="881"/>
      <c r="AH37" s="881"/>
      <c r="AI37" s="884"/>
      <c r="AJ37" s="886"/>
      <c r="AK37" s="886"/>
      <c r="AL37" s="886"/>
      <c r="AM37" s="886"/>
      <c r="AN37" s="886"/>
      <c r="AO37" s="886"/>
      <c r="AP37" s="886"/>
    </row>
    <row r="38" ht="22.5" customHeight="1">
      <c r="A38" s="898" t="s">
        <v>7003</v>
      </c>
      <c r="B38" s="881"/>
      <c r="C38" s="881"/>
      <c r="D38" s="881"/>
      <c r="E38" s="881" t="s">
        <v>7016</v>
      </c>
      <c r="F38" s="881"/>
      <c r="G38" s="881"/>
      <c r="H38" s="881"/>
      <c r="I38" s="881"/>
      <c r="J38" s="881"/>
      <c r="K38" s="881"/>
      <c r="L38" s="881"/>
      <c r="M38" s="881"/>
      <c r="N38" s="881" t="s">
        <v>6978</v>
      </c>
      <c r="O38" s="881"/>
      <c r="P38" s="881"/>
      <c r="Q38" s="881"/>
      <c r="R38" s="881"/>
      <c r="S38" s="881" t="s">
        <v>7095</v>
      </c>
      <c r="T38" s="881"/>
      <c r="U38" s="881"/>
      <c r="V38" s="881"/>
      <c r="W38" s="881"/>
      <c r="X38" s="881"/>
      <c r="Y38" s="881"/>
      <c r="Z38" s="881"/>
      <c r="AA38" s="881" t="s">
        <v>6993</v>
      </c>
      <c r="AB38" s="881" t="s">
        <v>6993</v>
      </c>
      <c r="AC38" s="881"/>
      <c r="AD38" s="881"/>
      <c r="AE38" s="881"/>
      <c r="AF38" s="881" t="s">
        <v>7021</v>
      </c>
      <c r="AG38" s="881"/>
      <c r="AH38" s="881"/>
      <c r="AI38" s="887"/>
      <c r="AJ38" s="885" t="s">
        <v>7096</v>
      </c>
      <c r="AK38" s="886" t="s">
        <v>7097</v>
      </c>
      <c r="AL38" s="888"/>
      <c r="AM38" s="888"/>
      <c r="AN38" s="888"/>
      <c r="AO38" s="888"/>
      <c r="AP38" s="888"/>
    </row>
    <row r="39" ht="22.5" customHeight="1">
      <c r="A39" s="899" t="s">
        <v>7010</v>
      </c>
      <c r="B39" s="881"/>
      <c r="C39" s="881"/>
      <c r="D39" s="881"/>
      <c r="E39" s="881"/>
      <c r="F39" s="881"/>
      <c r="G39" s="881"/>
      <c r="H39" s="881"/>
      <c r="I39" s="881"/>
      <c r="J39" s="881"/>
      <c r="K39" s="881"/>
      <c r="L39" s="881"/>
      <c r="M39" s="881"/>
      <c r="N39" s="881"/>
      <c r="O39" s="881"/>
      <c r="P39" s="881"/>
      <c r="Q39" s="881"/>
      <c r="R39" s="881"/>
      <c r="S39" s="881"/>
      <c r="T39" s="881"/>
      <c r="U39" s="881"/>
      <c r="V39" s="881"/>
      <c r="W39" s="881"/>
      <c r="X39" s="881"/>
      <c r="Y39" s="881"/>
      <c r="Z39" s="881"/>
      <c r="AA39" s="881"/>
      <c r="AB39" s="881"/>
      <c r="AC39" s="881"/>
      <c r="AD39" s="881"/>
      <c r="AE39" s="881"/>
      <c r="AF39" s="881"/>
      <c r="AG39" s="881"/>
      <c r="AH39" s="881"/>
      <c r="AI39" s="887"/>
      <c r="AJ39" s="888"/>
      <c r="AK39" s="888"/>
      <c r="AL39" s="888"/>
      <c r="AM39" s="888"/>
      <c r="AN39" s="888"/>
      <c r="AO39" s="888"/>
      <c r="AP39" s="888"/>
    </row>
    <row r="40">
      <c r="L40" s="4"/>
      <c r="M40" s="4"/>
      <c r="N40" s="4"/>
      <c r="O40" s="4"/>
      <c r="P40" s="2"/>
      <c r="Q40" s="4"/>
      <c r="R40" s="4"/>
      <c r="S40" s="4"/>
      <c r="T40" s="4"/>
      <c r="U40" s="4"/>
      <c r="V40" s="4"/>
      <c r="W40" s="900"/>
      <c r="X40" s="697"/>
    </row>
    <row r="41">
      <c r="L41" s="4"/>
      <c r="M41" s="4"/>
      <c r="N41" s="4"/>
      <c r="O41" s="4"/>
      <c r="P41" s="2"/>
      <c r="Q41" s="4"/>
      <c r="R41" s="4"/>
      <c r="S41" s="4"/>
      <c r="T41" s="4"/>
      <c r="U41" s="4"/>
      <c r="V41" s="4"/>
      <c r="W41" s="900"/>
      <c r="X41" s="697"/>
    </row>
    <row r="42">
      <c r="L42" s="4"/>
      <c r="M42" s="4"/>
      <c r="N42" s="4"/>
      <c r="O42" s="4"/>
      <c r="P42" s="2"/>
      <c r="Q42" s="4"/>
      <c r="R42" s="4"/>
      <c r="S42" s="4"/>
      <c r="T42" s="4"/>
      <c r="U42" s="4"/>
      <c r="V42" s="4"/>
      <c r="W42" s="900"/>
      <c r="X42" s="697"/>
    </row>
    <row r="43">
      <c r="L43" s="4"/>
      <c r="M43" s="4"/>
      <c r="N43" s="4"/>
      <c r="O43" s="4"/>
      <c r="P43" s="2"/>
      <c r="Q43" s="4"/>
      <c r="R43" s="4"/>
      <c r="S43" s="4"/>
      <c r="T43" s="4"/>
      <c r="U43" s="4"/>
      <c r="V43" s="4"/>
      <c r="W43" s="900"/>
      <c r="X43" s="697"/>
    </row>
    <row r="44">
      <c r="L44" s="4"/>
      <c r="M44" s="4"/>
      <c r="N44" s="4"/>
      <c r="O44" s="4"/>
      <c r="P44" s="2"/>
      <c r="Q44" s="4"/>
      <c r="R44" s="4"/>
      <c r="S44" s="4"/>
      <c r="T44" s="4"/>
      <c r="U44" s="4"/>
      <c r="V44" s="4"/>
      <c r="W44" s="900"/>
      <c r="X44" s="697"/>
    </row>
    <row r="45">
      <c r="L45" s="4"/>
      <c r="M45" s="4"/>
      <c r="N45" s="4"/>
      <c r="O45" s="4"/>
      <c r="P45" s="2"/>
      <c r="Q45" s="4"/>
      <c r="R45" s="4"/>
      <c r="S45" s="4"/>
      <c r="T45" s="4"/>
      <c r="U45" s="4"/>
      <c r="V45" s="4"/>
      <c r="W45" s="900"/>
      <c r="X45" s="697"/>
    </row>
    <row r="46">
      <c r="L46" s="4"/>
      <c r="M46" s="4"/>
      <c r="N46" s="4"/>
      <c r="O46" s="4"/>
      <c r="P46" s="2"/>
      <c r="Q46" s="4"/>
      <c r="R46" s="4"/>
      <c r="S46" s="4"/>
      <c r="T46" s="4"/>
      <c r="U46" s="4"/>
      <c r="V46" s="4"/>
      <c r="W46" s="900"/>
      <c r="X46" s="697"/>
    </row>
    <row r="47">
      <c r="L47" s="4"/>
      <c r="M47" s="4"/>
      <c r="N47" s="4"/>
      <c r="O47" s="4"/>
      <c r="P47" s="2"/>
      <c r="Q47" s="4"/>
      <c r="R47" s="4"/>
      <c r="S47" s="4"/>
      <c r="T47" s="4"/>
      <c r="U47" s="4"/>
      <c r="V47" s="4"/>
      <c r="W47" s="900"/>
      <c r="X47" s="697"/>
    </row>
    <row r="48">
      <c r="L48" s="4"/>
      <c r="M48" s="4"/>
      <c r="N48" s="4"/>
      <c r="O48" s="4"/>
      <c r="P48" s="2"/>
      <c r="Q48" s="4"/>
      <c r="R48" s="4"/>
      <c r="S48" s="4"/>
      <c r="T48" s="4"/>
      <c r="U48" s="4"/>
      <c r="V48" s="4"/>
      <c r="W48" s="900"/>
      <c r="X48" s="697"/>
    </row>
    <row r="49">
      <c r="L49" s="4"/>
      <c r="M49" s="4"/>
      <c r="N49" s="4"/>
      <c r="O49" s="4"/>
      <c r="P49" s="2"/>
      <c r="Q49" s="4"/>
      <c r="R49" s="4"/>
      <c r="S49" s="4"/>
      <c r="T49" s="4"/>
      <c r="U49" s="4"/>
      <c r="V49" s="4"/>
      <c r="W49" s="900"/>
      <c r="X49" s="697"/>
    </row>
    <row r="50">
      <c r="L50" s="4"/>
      <c r="M50" s="4"/>
      <c r="N50" s="4"/>
      <c r="O50" s="4"/>
      <c r="P50" s="2"/>
      <c r="Q50" s="4"/>
      <c r="R50" s="4"/>
      <c r="S50" s="4"/>
      <c r="T50" s="4"/>
      <c r="U50" s="4"/>
      <c r="V50" s="4"/>
      <c r="W50" s="900"/>
      <c r="X50" s="697"/>
    </row>
    <row r="51">
      <c r="L51" s="4"/>
      <c r="M51" s="4"/>
      <c r="N51" s="4"/>
      <c r="O51" s="4"/>
      <c r="P51" s="2"/>
      <c r="Q51" s="4"/>
      <c r="R51" s="4"/>
      <c r="S51" s="4"/>
      <c r="T51" s="4"/>
      <c r="U51" s="4"/>
      <c r="V51" s="4"/>
      <c r="W51" s="900"/>
      <c r="X51" s="697"/>
    </row>
    <row r="52">
      <c r="L52" s="4"/>
      <c r="M52" s="4"/>
      <c r="N52" s="4"/>
      <c r="O52" s="4"/>
      <c r="P52" s="2"/>
      <c r="Q52" s="4"/>
      <c r="R52" s="4"/>
      <c r="S52" s="4"/>
      <c r="T52" s="4"/>
      <c r="U52" s="4"/>
      <c r="V52" s="4"/>
      <c r="W52" s="900"/>
      <c r="X52" s="697"/>
    </row>
    <row r="53">
      <c r="L53" s="4"/>
      <c r="M53" s="4"/>
      <c r="N53" s="4"/>
      <c r="O53" s="4"/>
      <c r="P53" s="2"/>
      <c r="Q53" s="4"/>
      <c r="R53" s="4"/>
      <c r="S53" s="4"/>
      <c r="T53" s="4"/>
      <c r="U53" s="4"/>
      <c r="V53" s="4"/>
      <c r="W53" s="900"/>
      <c r="X53" s="697"/>
    </row>
    <row r="54">
      <c r="L54" s="4"/>
      <c r="M54" s="4"/>
      <c r="N54" s="4"/>
      <c r="O54" s="4"/>
      <c r="P54" s="2"/>
      <c r="Q54" s="4"/>
      <c r="R54" s="4"/>
      <c r="S54" s="4"/>
      <c r="T54" s="4"/>
      <c r="U54" s="4"/>
      <c r="V54" s="4"/>
      <c r="W54" s="900"/>
      <c r="X54" s="697"/>
    </row>
    <row r="55">
      <c r="L55" s="4"/>
      <c r="M55" s="4"/>
      <c r="N55" s="4"/>
      <c r="O55" s="4"/>
      <c r="P55" s="2"/>
      <c r="Q55" s="4"/>
      <c r="R55" s="4"/>
      <c r="S55" s="4"/>
      <c r="T55" s="4"/>
      <c r="U55" s="4"/>
      <c r="V55" s="4"/>
      <c r="W55" s="900"/>
      <c r="X55" s="697"/>
    </row>
    <row r="56">
      <c r="L56" s="4"/>
      <c r="M56" s="4"/>
      <c r="N56" s="4"/>
      <c r="O56" s="4"/>
      <c r="P56" s="2"/>
      <c r="Q56" s="4"/>
      <c r="R56" s="4"/>
      <c r="S56" s="4"/>
      <c r="T56" s="4"/>
      <c r="U56" s="4"/>
      <c r="V56" s="4"/>
      <c r="W56" s="900"/>
      <c r="X56" s="697"/>
    </row>
    <row r="57">
      <c r="L57" s="4"/>
      <c r="M57" s="4"/>
      <c r="N57" s="4"/>
      <c r="O57" s="4"/>
      <c r="P57" s="2"/>
      <c r="Q57" s="4"/>
      <c r="R57" s="4"/>
      <c r="S57" s="4"/>
      <c r="T57" s="4"/>
      <c r="U57" s="4"/>
      <c r="V57" s="4"/>
      <c r="W57" s="900"/>
      <c r="X57" s="697"/>
    </row>
    <row r="58">
      <c r="L58" s="4"/>
      <c r="M58" s="4"/>
      <c r="N58" s="4"/>
      <c r="O58" s="4"/>
      <c r="P58" s="2"/>
      <c r="Q58" s="4"/>
      <c r="R58" s="4"/>
      <c r="S58" s="4"/>
      <c r="T58" s="4"/>
      <c r="U58" s="4"/>
      <c r="V58" s="4"/>
      <c r="W58" s="900"/>
      <c r="X58" s="697"/>
    </row>
    <row r="59">
      <c r="L59" s="4"/>
      <c r="M59" s="4"/>
      <c r="N59" s="4"/>
      <c r="O59" s="4"/>
      <c r="P59" s="2"/>
      <c r="Q59" s="4"/>
      <c r="R59" s="4"/>
      <c r="S59" s="4"/>
      <c r="T59" s="4"/>
      <c r="U59" s="4"/>
      <c r="V59" s="4"/>
      <c r="W59" s="900"/>
      <c r="X59" s="697"/>
    </row>
    <row r="60">
      <c r="L60" s="4"/>
      <c r="M60" s="4"/>
      <c r="N60" s="4"/>
      <c r="O60" s="4"/>
      <c r="P60" s="2"/>
      <c r="Q60" s="4"/>
      <c r="R60" s="4"/>
      <c r="S60" s="4"/>
      <c r="T60" s="4"/>
      <c r="U60" s="4"/>
      <c r="V60" s="4"/>
      <c r="W60" s="900"/>
      <c r="X60" s="697"/>
    </row>
    <row r="61">
      <c r="L61" s="4"/>
      <c r="M61" s="4"/>
      <c r="N61" s="4"/>
      <c r="O61" s="4"/>
      <c r="P61" s="2"/>
      <c r="Q61" s="4"/>
      <c r="R61" s="4"/>
      <c r="S61" s="4"/>
      <c r="T61" s="4"/>
      <c r="U61" s="4"/>
      <c r="V61" s="4"/>
      <c r="W61" s="900"/>
      <c r="X61" s="697"/>
    </row>
    <row r="62">
      <c r="L62" s="4"/>
      <c r="M62" s="4"/>
      <c r="N62" s="4"/>
      <c r="O62" s="4"/>
      <c r="P62" s="2"/>
      <c r="Q62" s="4"/>
      <c r="R62" s="4"/>
      <c r="S62" s="4"/>
      <c r="T62" s="4"/>
      <c r="U62" s="4"/>
      <c r="V62" s="4"/>
      <c r="W62" s="900"/>
      <c r="X62" s="697"/>
    </row>
    <row r="63">
      <c r="L63" s="4"/>
      <c r="M63" s="4"/>
      <c r="N63" s="4"/>
      <c r="O63" s="4"/>
      <c r="P63" s="2"/>
      <c r="Q63" s="4"/>
      <c r="R63" s="4"/>
      <c r="S63" s="4"/>
      <c r="T63" s="4"/>
      <c r="U63" s="4"/>
      <c r="V63" s="4"/>
      <c r="W63" s="900"/>
      <c r="X63" s="697"/>
    </row>
    <row r="64">
      <c r="L64" s="4"/>
      <c r="M64" s="4"/>
      <c r="N64" s="4"/>
      <c r="O64" s="4"/>
      <c r="P64" s="2"/>
      <c r="Q64" s="4"/>
      <c r="R64" s="4"/>
      <c r="S64" s="4"/>
      <c r="T64" s="4"/>
      <c r="U64" s="4"/>
      <c r="V64" s="4"/>
      <c r="W64" s="900"/>
      <c r="X64" s="697"/>
    </row>
    <row r="65">
      <c r="L65" s="4"/>
      <c r="M65" s="4"/>
      <c r="N65" s="4"/>
      <c r="O65" s="4"/>
      <c r="P65" s="2"/>
      <c r="Q65" s="4"/>
      <c r="R65" s="4"/>
      <c r="S65" s="4"/>
      <c r="T65" s="4"/>
      <c r="U65" s="4"/>
      <c r="V65" s="4"/>
      <c r="W65" s="900"/>
      <c r="X65" s="697"/>
    </row>
    <row r="66">
      <c r="L66" s="4"/>
      <c r="M66" s="4"/>
      <c r="N66" s="4"/>
      <c r="O66" s="4"/>
      <c r="P66" s="2"/>
      <c r="Q66" s="4"/>
      <c r="R66" s="4"/>
      <c r="S66" s="4"/>
      <c r="T66" s="4"/>
      <c r="U66" s="4"/>
      <c r="V66" s="4"/>
      <c r="W66" s="900"/>
      <c r="X66" s="697"/>
    </row>
    <row r="67">
      <c r="L67" s="4"/>
      <c r="M67" s="4"/>
      <c r="N67" s="4"/>
      <c r="O67" s="4"/>
      <c r="P67" s="2"/>
      <c r="Q67" s="4"/>
      <c r="R67" s="4"/>
      <c r="S67" s="4"/>
      <c r="T67" s="4"/>
      <c r="U67" s="4"/>
      <c r="V67" s="4"/>
      <c r="W67" s="900"/>
      <c r="X67" s="697"/>
    </row>
    <row r="68">
      <c r="L68" s="4"/>
      <c r="M68" s="4"/>
      <c r="N68" s="4"/>
      <c r="O68" s="4"/>
      <c r="P68" s="2"/>
      <c r="Q68" s="4"/>
      <c r="R68" s="4"/>
      <c r="S68" s="4"/>
      <c r="T68" s="4"/>
      <c r="U68" s="4"/>
      <c r="V68" s="4"/>
      <c r="W68" s="900"/>
      <c r="X68" s="697"/>
    </row>
    <row r="69">
      <c r="L69" s="4"/>
      <c r="M69" s="4"/>
      <c r="N69" s="4"/>
      <c r="O69" s="4"/>
      <c r="P69" s="2"/>
      <c r="Q69" s="4"/>
      <c r="R69" s="4"/>
      <c r="S69" s="4"/>
      <c r="T69" s="4"/>
      <c r="U69" s="4"/>
      <c r="V69" s="4"/>
      <c r="W69" s="900"/>
      <c r="X69" s="697"/>
    </row>
    <row r="70">
      <c r="L70" s="4"/>
      <c r="M70" s="4"/>
      <c r="N70" s="4"/>
      <c r="O70" s="4"/>
      <c r="P70" s="2"/>
      <c r="Q70" s="4"/>
      <c r="R70" s="4"/>
      <c r="S70" s="4"/>
      <c r="T70" s="4"/>
      <c r="U70" s="4"/>
      <c r="V70" s="4"/>
      <c r="W70" s="900"/>
      <c r="X70" s="697"/>
    </row>
    <row r="71">
      <c r="L71" s="4"/>
      <c r="M71" s="4"/>
      <c r="N71" s="4"/>
      <c r="O71" s="4"/>
      <c r="P71" s="2"/>
      <c r="Q71" s="4"/>
      <c r="R71" s="4"/>
      <c r="S71" s="4"/>
      <c r="T71" s="4"/>
      <c r="U71" s="4"/>
      <c r="V71" s="4"/>
      <c r="W71" s="900"/>
      <c r="X71" s="697"/>
    </row>
    <row r="72">
      <c r="L72" s="4"/>
      <c r="M72" s="4"/>
      <c r="N72" s="4"/>
      <c r="O72" s="4"/>
      <c r="P72" s="2"/>
      <c r="Q72" s="4"/>
      <c r="R72" s="4"/>
      <c r="S72" s="4"/>
      <c r="T72" s="4"/>
      <c r="U72" s="4"/>
      <c r="V72" s="4"/>
      <c r="W72" s="900"/>
      <c r="X72" s="697"/>
    </row>
    <row r="73">
      <c r="L73" s="4"/>
      <c r="M73" s="4"/>
      <c r="N73" s="4"/>
      <c r="O73" s="4"/>
      <c r="P73" s="2"/>
      <c r="Q73" s="4"/>
      <c r="R73" s="4"/>
      <c r="S73" s="4"/>
      <c r="T73" s="4"/>
      <c r="U73" s="4"/>
      <c r="V73" s="4"/>
      <c r="W73" s="900"/>
      <c r="X73" s="697"/>
    </row>
    <row r="74">
      <c r="L74" s="4"/>
      <c r="M74" s="4"/>
      <c r="N74" s="4"/>
      <c r="O74" s="4"/>
      <c r="P74" s="2"/>
      <c r="Q74" s="4"/>
      <c r="R74" s="4"/>
      <c r="S74" s="4"/>
      <c r="T74" s="4"/>
      <c r="U74" s="4"/>
      <c r="V74" s="4"/>
      <c r="W74" s="900"/>
      <c r="X74" s="697"/>
    </row>
    <row r="75">
      <c r="L75" s="4"/>
      <c r="M75" s="4"/>
      <c r="N75" s="4"/>
      <c r="O75" s="4"/>
      <c r="P75" s="2"/>
      <c r="Q75" s="4"/>
      <c r="R75" s="4"/>
      <c r="S75" s="4"/>
      <c r="T75" s="4"/>
      <c r="U75" s="4"/>
      <c r="V75" s="4"/>
      <c r="W75" s="900"/>
      <c r="X75" s="697"/>
    </row>
    <row r="76">
      <c r="L76" s="4"/>
      <c r="M76" s="4"/>
      <c r="N76" s="4"/>
      <c r="O76" s="4"/>
      <c r="P76" s="2"/>
      <c r="Q76" s="4"/>
      <c r="R76" s="4"/>
      <c r="S76" s="4"/>
      <c r="T76" s="4"/>
      <c r="U76" s="4"/>
      <c r="V76" s="4"/>
      <c r="W76" s="900"/>
      <c r="X76" s="697"/>
    </row>
    <row r="77">
      <c r="L77" s="4"/>
      <c r="M77" s="4"/>
      <c r="N77" s="4"/>
      <c r="O77" s="4"/>
      <c r="P77" s="2"/>
      <c r="Q77" s="4"/>
      <c r="R77" s="4"/>
      <c r="S77" s="4"/>
      <c r="T77" s="4"/>
      <c r="U77" s="4"/>
      <c r="V77" s="4"/>
      <c r="W77" s="900"/>
      <c r="X77" s="697"/>
    </row>
    <row r="78">
      <c r="L78" s="4"/>
      <c r="M78" s="4"/>
      <c r="N78" s="4"/>
      <c r="O78" s="4"/>
      <c r="P78" s="2"/>
      <c r="Q78" s="4"/>
      <c r="R78" s="4"/>
      <c r="S78" s="4"/>
      <c r="T78" s="4"/>
      <c r="U78" s="4"/>
      <c r="V78" s="4"/>
      <c r="W78" s="900"/>
      <c r="X78" s="697"/>
    </row>
    <row r="79">
      <c r="L79" s="4"/>
      <c r="M79" s="4"/>
      <c r="N79" s="4"/>
      <c r="O79" s="4"/>
      <c r="P79" s="2"/>
      <c r="Q79" s="4"/>
      <c r="R79" s="4"/>
      <c r="S79" s="4"/>
      <c r="T79" s="4"/>
      <c r="U79" s="4"/>
      <c r="V79" s="4"/>
      <c r="W79" s="900"/>
      <c r="X79" s="697"/>
    </row>
    <row r="80">
      <c r="L80" s="4"/>
      <c r="M80" s="4"/>
      <c r="N80" s="4"/>
      <c r="O80" s="4"/>
      <c r="P80" s="2"/>
      <c r="Q80" s="4"/>
      <c r="R80" s="4"/>
      <c r="S80" s="4"/>
      <c r="T80" s="4"/>
      <c r="U80" s="4"/>
      <c r="V80" s="4"/>
      <c r="W80" s="900"/>
      <c r="X80" s="697"/>
    </row>
    <row r="81">
      <c r="L81" s="4"/>
      <c r="M81" s="4"/>
      <c r="N81" s="4"/>
      <c r="O81" s="4"/>
      <c r="P81" s="2"/>
      <c r="Q81" s="4"/>
      <c r="R81" s="4"/>
      <c r="S81" s="4"/>
      <c r="T81" s="4"/>
      <c r="U81" s="4"/>
      <c r="V81" s="4"/>
      <c r="W81" s="900"/>
      <c r="X81" s="697"/>
    </row>
    <row r="82">
      <c r="L82" s="4"/>
      <c r="M82" s="4"/>
      <c r="N82" s="4"/>
      <c r="O82" s="4"/>
      <c r="P82" s="2"/>
      <c r="Q82" s="4"/>
      <c r="R82" s="4"/>
      <c r="S82" s="4"/>
      <c r="T82" s="4"/>
      <c r="U82" s="4"/>
      <c r="V82" s="4"/>
      <c r="W82" s="900"/>
      <c r="X82" s="697"/>
    </row>
    <row r="83">
      <c r="L83" s="4"/>
      <c r="M83" s="4"/>
      <c r="N83" s="4"/>
      <c r="O83" s="4"/>
      <c r="P83" s="2"/>
      <c r="Q83" s="4"/>
      <c r="R83" s="4"/>
      <c r="S83" s="4"/>
      <c r="T83" s="4"/>
      <c r="U83" s="4"/>
      <c r="V83" s="4"/>
      <c r="W83" s="900"/>
      <c r="X83" s="697"/>
    </row>
    <row r="84">
      <c r="L84" s="4"/>
      <c r="M84" s="4"/>
      <c r="N84" s="4"/>
      <c r="O84" s="4"/>
      <c r="P84" s="2"/>
      <c r="Q84" s="4"/>
      <c r="R84" s="4"/>
      <c r="S84" s="4"/>
      <c r="T84" s="4"/>
      <c r="U84" s="4"/>
      <c r="V84" s="4"/>
      <c r="W84" s="900"/>
      <c r="X84" s="697"/>
    </row>
    <row r="85">
      <c r="L85" s="4"/>
      <c r="M85" s="4"/>
      <c r="N85" s="4"/>
      <c r="O85" s="4"/>
      <c r="P85" s="2"/>
      <c r="Q85" s="4"/>
      <c r="R85" s="4"/>
      <c r="S85" s="4"/>
      <c r="T85" s="4"/>
      <c r="U85" s="4"/>
      <c r="V85" s="4"/>
      <c r="W85" s="900"/>
      <c r="X85" s="697"/>
    </row>
    <row r="86">
      <c r="L86" s="4"/>
      <c r="M86" s="4"/>
      <c r="N86" s="4"/>
      <c r="O86" s="4"/>
      <c r="P86" s="2"/>
      <c r="Q86" s="4"/>
      <c r="R86" s="4"/>
      <c r="S86" s="4"/>
      <c r="T86" s="4"/>
      <c r="U86" s="4"/>
      <c r="V86" s="4"/>
      <c r="W86" s="900"/>
      <c r="X86" s="697"/>
    </row>
    <row r="87">
      <c r="L87" s="4"/>
      <c r="M87" s="4"/>
      <c r="N87" s="4"/>
      <c r="O87" s="4"/>
      <c r="P87" s="2"/>
      <c r="Q87" s="4"/>
      <c r="R87" s="4"/>
      <c r="S87" s="4"/>
      <c r="T87" s="4"/>
      <c r="U87" s="4"/>
      <c r="V87" s="4"/>
      <c r="W87" s="900"/>
      <c r="X87" s="697"/>
    </row>
    <row r="88">
      <c r="L88" s="4"/>
      <c r="M88" s="4"/>
      <c r="N88" s="4"/>
      <c r="O88" s="4"/>
      <c r="P88" s="2"/>
      <c r="Q88" s="4"/>
      <c r="R88" s="4"/>
      <c r="S88" s="4"/>
      <c r="T88" s="4"/>
      <c r="U88" s="4"/>
      <c r="V88" s="4"/>
      <c r="W88" s="900"/>
      <c r="X88" s="697"/>
    </row>
    <row r="89">
      <c r="L89" s="4"/>
      <c r="M89" s="4"/>
      <c r="N89" s="4"/>
      <c r="O89" s="4"/>
      <c r="P89" s="2"/>
      <c r="Q89" s="4"/>
      <c r="R89" s="4"/>
      <c r="S89" s="4"/>
      <c r="T89" s="4"/>
      <c r="U89" s="4"/>
      <c r="V89" s="4"/>
      <c r="W89" s="900"/>
      <c r="X89" s="697"/>
    </row>
    <row r="90">
      <c r="L90" s="4"/>
      <c r="M90" s="4"/>
      <c r="N90" s="4"/>
      <c r="O90" s="4"/>
      <c r="P90" s="2"/>
      <c r="Q90" s="4"/>
      <c r="R90" s="4"/>
      <c r="S90" s="4"/>
      <c r="T90" s="4"/>
      <c r="U90" s="4"/>
      <c r="V90" s="4"/>
      <c r="W90" s="900"/>
      <c r="X90" s="697"/>
    </row>
    <row r="91">
      <c r="L91" s="4"/>
      <c r="M91" s="4"/>
      <c r="N91" s="4"/>
      <c r="O91" s="4"/>
      <c r="P91" s="2"/>
      <c r="Q91" s="4"/>
      <c r="R91" s="4"/>
      <c r="S91" s="4"/>
      <c r="T91" s="4"/>
      <c r="U91" s="4"/>
      <c r="V91" s="4"/>
      <c r="W91" s="900"/>
      <c r="X91" s="697"/>
    </row>
    <row r="92">
      <c r="L92" s="4"/>
      <c r="M92" s="4"/>
      <c r="N92" s="4"/>
      <c r="O92" s="4"/>
      <c r="P92" s="2"/>
      <c r="Q92" s="4"/>
      <c r="R92" s="4"/>
      <c r="S92" s="4"/>
      <c r="T92" s="4"/>
      <c r="U92" s="4"/>
      <c r="V92" s="4"/>
      <c r="W92" s="900"/>
      <c r="X92" s="697"/>
    </row>
    <row r="93">
      <c r="L93" s="4"/>
      <c r="M93" s="4"/>
      <c r="N93" s="4"/>
      <c r="O93" s="4"/>
      <c r="P93" s="2"/>
      <c r="Q93" s="4"/>
      <c r="R93" s="4"/>
      <c r="S93" s="4"/>
      <c r="T93" s="4"/>
      <c r="U93" s="4"/>
      <c r="V93" s="4"/>
      <c r="W93" s="900"/>
      <c r="X93" s="697"/>
    </row>
    <row r="94">
      <c r="L94" s="4"/>
      <c r="M94" s="4"/>
      <c r="N94" s="4"/>
      <c r="O94" s="4"/>
      <c r="P94" s="2"/>
      <c r="Q94" s="4"/>
      <c r="R94" s="4"/>
      <c r="S94" s="4"/>
      <c r="T94" s="4"/>
      <c r="U94" s="4"/>
      <c r="V94" s="4"/>
      <c r="W94" s="900"/>
      <c r="X94" s="697"/>
    </row>
    <row r="95">
      <c r="L95" s="4"/>
      <c r="M95" s="4"/>
      <c r="N95" s="4"/>
      <c r="O95" s="4"/>
      <c r="P95" s="2"/>
      <c r="Q95" s="4"/>
      <c r="R95" s="4"/>
      <c r="S95" s="4"/>
      <c r="T95" s="4"/>
      <c r="U95" s="4"/>
      <c r="V95" s="4"/>
      <c r="W95" s="900"/>
      <c r="X95" s="697"/>
    </row>
    <row r="96">
      <c r="L96" s="4"/>
      <c r="M96" s="4"/>
      <c r="N96" s="4"/>
      <c r="O96" s="4"/>
      <c r="P96" s="2"/>
      <c r="Q96" s="4"/>
      <c r="R96" s="4"/>
      <c r="S96" s="4"/>
      <c r="T96" s="4"/>
      <c r="U96" s="4"/>
      <c r="V96" s="4"/>
      <c r="W96" s="900"/>
      <c r="X96" s="697"/>
    </row>
    <row r="97">
      <c r="L97" s="4"/>
      <c r="M97" s="4"/>
      <c r="N97" s="4"/>
      <c r="O97" s="4"/>
      <c r="P97" s="2"/>
      <c r="Q97" s="4"/>
      <c r="R97" s="4"/>
      <c r="S97" s="4"/>
      <c r="T97" s="4"/>
      <c r="U97" s="4"/>
      <c r="V97" s="4"/>
      <c r="W97" s="900"/>
      <c r="X97" s="697"/>
    </row>
    <row r="98">
      <c r="L98" s="4"/>
      <c r="M98" s="4"/>
      <c r="N98" s="4"/>
      <c r="O98" s="4"/>
      <c r="P98" s="2"/>
      <c r="Q98" s="4"/>
      <c r="R98" s="4"/>
      <c r="S98" s="4"/>
      <c r="T98" s="4"/>
      <c r="U98" s="4"/>
      <c r="V98" s="4"/>
      <c r="W98" s="900"/>
      <c r="X98" s="697"/>
    </row>
    <row r="99">
      <c r="L99" s="4"/>
      <c r="M99" s="4"/>
      <c r="N99" s="4"/>
      <c r="O99" s="4"/>
      <c r="P99" s="2"/>
      <c r="Q99" s="4"/>
      <c r="R99" s="4"/>
      <c r="S99" s="4"/>
      <c r="T99" s="4"/>
      <c r="U99" s="4"/>
      <c r="V99" s="4"/>
      <c r="W99" s="900"/>
      <c r="X99" s="697"/>
    </row>
    <row r="100">
      <c r="L100" s="4"/>
      <c r="M100" s="4"/>
      <c r="N100" s="4"/>
      <c r="O100" s="4"/>
      <c r="P100" s="2"/>
      <c r="Q100" s="4"/>
      <c r="R100" s="4"/>
      <c r="S100" s="4"/>
      <c r="T100" s="4"/>
      <c r="U100" s="4"/>
      <c r="V100" s="4"/>
      <c r="W100" s="900"/>
      <c r="X100" s="697"/>
    </row>
    <row r="101">
      <c r="L101" s="4"/>
      <c r="M101" s="4"/>
      <c r="N101" s="4"/>
      <c r="O101" s="4"/>
      <c r="P101" s="2"/>
      <c r="Q101" s="4"/>
      <c r="R101" s="4"/>
      <c r="S101" s="4"/>
      <c r="T101" s="4"/>
      <c r="U101" s="4"/>
      <c r="V101" s="4"/>
      <c r="W101" s="900"/>
      <c r="X101" s="697"/>
    </row>
    <row r="102">
      <c r="L102" s="4"/>
      <c r="M102" s="4"/>
      <c r="N102" s="4"/>
      <c r="O102" s="4"/>
      <c r="P102" s="2"/>
      <c r="Q102" s="4"/>
      <c r="R102" s="4"/>
      <c r="S102" s="4"/>
      <c r="T102" s="4"/>
      <c r="U102" s="4"/>
      <c r="V102" s="4"/>
      <c r="W102" s="900"/>
      <c r="X102" s="697"/>
    </row>
    <row r="103">
      <c r="L103" s="4"/>
      <c r="M103" s="4"/>
      <c r="N103" s="4"/>
      <c r="O103" s="4"/>
      <c r="P103" s="2"/>
      <c r="Q103" s="4"/>
      <c r="R103" s="4"/>
      <c r="S103" s="4"/>
      <c r="T103" s="4"/>
      <c r="U103" s="4"/>
      <c r="V103" s="4"/>
      <c r="W103" s="900"/>
      <c r="X103" s="697"/>
    </row>
    <row r="104">
      <c r="L104" s="4"/>
      <c r="M104" s="4"/>
      <c r="N104" s="4"/>
      <c r="O104" s="4"/>
      <c r="P104" s="2"/>
      <c r="Q104" s="4"/>
      <c r="R104" s="4"/>
      <c r="S104" s="4"/>
      <c r="T104" s="4"/>
      <c r="U104" s="4"/>
      <c r="V104" s="4"/>
      <c r="W104" s="900"/>
      <c r="X104" s="697"/>
    </row>
    <row r="105">
      <c r="L105" s="4"/>
      <c r="M105" s="4"/>
      <c r="N105" s="4"/>
      <c r="O105" s="4"/>
      <c r="P105" s="2"/>
      <c r="Q105" s="4"/>
      <c r="R105" s="4"/>
      <c r="S105" s="4"/>
      <c r="T105" s="4"/>
      <c r="U105" s="4"/>
      <c r="V105" s="4"/>
      <c r="W105" s="900"/>
      <c r="X105" s="697"/>
    </row>
    <row r="106">
      <c r="L106" s="4"/>
      <c r="M106" s="4"/>
      <c r="N106" s="4"/>
      <c r="O106" s="4"/>
      <c r="P106" s="2"/>
      <c r="Q106" s="4"/>
      <c r="R106" s="4"/>
      <c r="S106" s="4"/>
      <c r="T106" s="4"/>
      <c r="U106" s="4"/>
      <c r="V106" s="4"/>
      <c r="W106" s="900"/>
      <c r="X106" s="697"/>
    </row>
    <row r="107">
      <c r="L107" s="4"/>
      <c r="M107" s="4"/>
      <c r="N107" s="4"/>
      <c r="O107" s="4"/>
      <c r="P107" s="2"/>
      <c r="Q107" s="4"/>
      <c r="R107" s="4"/>
      <c r="S107" s="4"/>
      <c r="T107" s="4"/>
      <c r="U107" s="4"/>
      <c r="V107" s="4"/>
      <c r="W107" s="900"/>
      <c r="X107" s="697"/>
    </row>
    <row r="108">
      <c r="L108" s="4"/>
      <c r="M108" s="4"/>
      <c r="N108" s="4"/>
      <c r="O108" s="4"/>
      <c r="P108" s="2"/>
      <c r="Q108" s="4"/>
      <c r="R108" s="4"/>
      <c r="S108" s="4"/>
      <c r="T108" s="4"/>
      <c r="U108" s="4"/>
      <c r="V108" s="4"/>
      <c r="W108" s="900"/>
      <c r="X108" s="697"/>
    </row>
    <row r="109">
      <c r="L109" s="4"/>
      <c r="M109" s="4"/>
      <c r="N109" s="4"/>
      <c r="O109" s="4"/>
      <c r="P109" s="2"/>
      <c r="Q109" s="4"/>
      <c r="R109" s="4"/>
      <c r="S109" s="4"/>
      <c r="T109" s="4"/>
      <c r="U109" s="4"/>
      <c r="V109" s="4"/>
      <c r="W109" s="900"/>
      <c r="X109" s="697"/>
    </row>
    <row r="110">
      <c r="L110" s="4"/>
      <c r="M110" s="4"/>
      <c r="N110" s="4"/>
      <c r="O110" s="4"/>
      <c r="P110" s="2"/>
      <c r="Q110" s="4"/>
      <c r="R110" s="4"/>
      <c r="S110" s="4"/>
      <c r="T110" s="4"/>
      <c r="U110" s="4"/>
      <c r="V110" s="4"/>
      <c r="W110" s="900"/>
      <c r="X110" s="697"/>
    </row>
    <row r="111">
      <c r="L111" s="4"/>
      <c r="M111" s="4"/>
      <c r="N111" s="4"/>
      <c r="O111" s="4"/>
      <c r="P111" s="2"/>
      <c r="Q111" s="4"/>
      <c r="R111" s="4"/>
      <c r="S111" s="4"/>
      <c r="T111" s="4"/>
      <c r="U111" s="4"/>
      <c r="V111" s="4"/>
      <c r="W111" s="900"/>
      <c r="X111" s="697"/>
    </row>
    <row r="112">
      <c r="L112" s="4"/>
      <c r="M112" s="4"/>
      <c r="N112" s="4"/>
      <c r="O112" s="4"/>
      <c r="P112" s="2"/>
      <c r="Q112" s="4"/>
      <c r="R112" s="4"/>
      <c r="S112" s="4"/>
      <c r="T112" s="4"/>
      <c r="U112" s="4"/>
      <c r="V112" s="4"/>
      <c r="W112" s="900"/>
      <c r="X112" s="697"/>
    </row>
    <row r="113">
      <c r="L113" s="4"/>
      <c r="M113" s="4"/>
      <c r="N113" s="4"/>
      <c r="O113" s="4"/>
      <c r="P113" s="2"/>
      <c r="Q113" s="4"/>
      <c r="R113" s="4"/>
      <c r="S113" s="4"/>
      <c r="T113" s="4"/>
      <c r="U113" s="4"/>
      <c r="V113" s="4"/>
      <c r="W113" s="900"/>
      <c r="X113" s="697"/>
    </row>
    <row r="114">
      <c r="L114" s="4"/>
      <c r="M114" s="4"/>
      <c r="N114" s="4"/>
      <c r="O114" s="4"/>
      <c r="P114" s="2"/>
      <c r="Q114" s="4"/>
      <c r="R114" s="4"/>
      <c r="S114" s="4"/>
      <c r="T114" s="4"/>
      <c r="U114" s="4"/>
      <c r="V114" s="4"/>
      <c r="W114" s="900"/>
      <c r="X114" s="697"/>
    </row>
    <row r="115">
      <c r="L115" s="4"/>
      <c r="M115" s="4"/>
      <c r="N115" s="4"/>
      <c r="O115" s="4"/>
      <c r="P115" s="2"/>
      <c r="Q115" s="4"/>
      <c r="R115" s="4"/>
      <c r="S115" s="4"/>
      <c r="T115" s="4"/>
      <c r="U115" s="4"/>
      <c r="V115" s="4"/>
      <c r="W115" s="900"/>
      <c r="X115" s="697"/>
    </row>
    <row r="116">
      <c r="L116" s="4"/>
      <c r="M116" s="4"/>
      <c r="N116" s="4"/>
      <c r="O116" s="4"/>
      <c r="P116" s="2"/>
      <c r="Q116" s="4"/>
      <c r="R116" s="4"/>
      <c r="S116" s="4"/>
      <c r="T116" s="4"/>
      <c r="U116" s="4"/>
      <c r="V116" s="4"/>
      <c r="W116" s="900"/>
      <c r="X116" s="697"/>
    </row>
    <row r="117">
      <c r="L117" s="4"/>
      <c r="M117" s="4"/>
      <c r="N117" s="4"/>
      <c r="O117" s="4"/>
      <c r="P117" s="2"/>
      <c r="Q117" s="4"/>
      <c r="R117" s="4"/>
      <c r="S117" s="4"/>
      <c r="T117" s="4"/>
      <c r="U117" s="4"/>
      <c r="V117" s="4"/>
      <c r="W117" s="900"/>
      <c r="X117" s="697"/>
    </row>
    <row r="118">
      <c r="L118" s="4"/>
      <c r="M118" s="4"/>
      <c r="N118" s="4"/>
      <c r="O118" s="4"/>
      <c r="P118" s="2"/>
      <c r="Q118" s="4"/>
      <c r="R118" s="4"/>
      <c r="S118" s="4"/>
      <c r="T118" s="4"/>
      <c r="U118" s="4"/>
      <c r="V118" s="4"/>
      <c r="W118" s="900"/>
      <c r="X118" s="697"/>
    </row>
    <row r="119">
      <c r="L119" s="4"/>
      <c r="M119" s="4"/>
      <c r="N119" s="4"/>
      <c r="O119" s="4"/>
      <c r="P119" s="2"/>
      <c r="Q119" s="4"/>
      <c r="R119" s="4"/>
      <c r="S119" s="4"/>
      <c r="T119" s="4"/>
      <c r="U119" s="4"/>
      <c r="V119" s="4"/>
      <c r="W119" s="900"/>
      <c r="X119" s="697"/>
    </row>
    <row r="120">
      <c r="L120" s="4"/>
      <c r="M120" s="4"/>
      <c r="N120" s="4"/>
      <c r="O120" s="4"/>
      <c r="P120" s="2"/>
      <c r="Q120" s="4"/>
      <c r="R120" s="4"/>
      <c r="S120" s="4"/>
      <c r="T120" s="4"/>
      <c r="U120" s="4"/>
      <c r="V120" s="4"/>
      <c r="W120" s="900"/>
      <c r="X120" s="697"/>
    </row>
    <row r="121">
      <c r="L121" s="4"/>
      <c r="M121" s="4"/>
      <c r="N121" s="4"/>
      <c r="O121" s="4"/>
      <c r="P121" s="2"/>
      <c r="Q121" s="4"/>
      <c r="R121" s="4"/>
      <c r="S121" s="4"/>
      <c r="T121" s="4"/>
      <c r="U121" s="4"/>
      <c r="V121" s="4"/>
      <c r="W121" s="900"/>
      <c r="X121" s="697"/>
    </row>
    <row r="122">
      <c r="L122" s="4"/>
      <c r="M122" s="4"/>
      <c r="N122" s="4"/>
      <c r="O122" s="4"/>
      <c r="P122" s="2"/>
      <c r="Q122" s="4"/>
      <c r="R122" s="4"/>
      <c r="S122" s="4"/>
      <c r="T122" s="4"/>
      <c r="U122" s="4"/>
      <c r="V122" s="4"/>
      <c r="W122" s="900"/>
      <c r="X122" s="697"/>
    </row>
    <row r="123">
      <c r="L123" s="4"/>
      <c r="M123" s="4"/>
      <c r="N123" s="4"/>
      <c r="O123" s="4"/>
      <c r="P123" s="2"/>
      <c r="Q123" s="4"/>
      <c r="R123" s="4"/>
      <c r="S123" s="4"/>
      <c r="T123" s="4"/>
      <c r="U123" s="4"/>
      <c r="V123" s="4"/>
      <c r="W123" s="900"/>
      <c r="X123" s="697"/>
    </row>
    <row r="124">
      <c r="L124" s="4"/>
      <c r="M124" s="4"/>
      <c r="N124" s="4"/>
      <c r="O124" s="4"/>
      <c r="P124" s="2"/>
      <c r="Q124" s="4"/>
      <c r="R124" s="4"/>
      <c r="S124" s="4"/>
      <c r="T124" s="4"/>
      <c r="U124" s="4"/>
      <c r="V124" s="4"/>
      <c r="W124" s="900"/>
      <c r="X124" s="697"/>
    </row>
    <row r="125">
      <c r="L125" s="4"/>
      <c r="M125" s="4"/>
      <c r="N125" s="4"/>
      <c r="O125" s="4"/>
      <c r="P125" s="2"/>
      <c r="Q125" s="4"/>
      <c r="R125" s="4"/>
      <c r="S125" s="4"/>
      <c r="T125" s="4"/>
      <c r="U125" s="4"/>
      <c r="V125" s="4"/>
      <c r="W125" s="900"/>
      <c r="X125" s="697"/>
    </row>
    <row r="126">
      <c r="L126" s="4"/>
      <c r="M126" s="4"/>
      <c r="N126" s="4"/>
      <c r="O126" s="4"/>
      <c r="P126" s="2"/>
      <c r="Q126" s="4"/>
      <c r="R126" s="4"/>
      <c r="S126" s="4"/>
      <c r="T126" s="4"/>
      <c r="U126" s="4"/>
      <c r="V126" s="4"/>
      <c r="W126" s="900"/>
      <c r="X126" s="697"/>
    </row>
    <row r="127">
      <c r="L127" s="4"/>
      <c r="M127" s="4"/>
      <c r="N127" s="4"/>
      <c r="O127" s="4"/>
      <c r="P127" s="2"/>
      <c r="Q127" s="4"/>
      <c r="R127" s="4"/>
      <c r="S127" s="4"/>
      <c r="T127" s="4"/>
      <c r="U127" s="4"/>
      <c r="V127" s="4"/>
      <c r="W127" s="900"/>
      <c r="X127" s="697"/>
    </row>
    <row r="128">
      <c r="L128" s="4"/>
      <c r="M128" s="4"/>
      <c r="N128" s="4"/>
      <c r="O128" s="4"/>
      <c r="P128" s="2"/>
      <c r="Q128" s="4"/>
      <c r="R128" s="4"/>
      <c r="S128" s="4"/>
      <c r="T128" s="4"/>
      <c r="U128" s="4"/>
      <c r="V128" s="4"/>
      <c r="W128" s="900"/>
      <c r="X128" s="697"/>
    </row>
    <row r="129">
      <c r="L129" s="4"/>
      <c r="M129" s="4"/>
      <c r="N129" s="4"/>
      <c r="O129" s="4"/>
      <c r="P129" s="2"/>
      <c r="Q129" s="4"/>
      <c r="R129" s="4"/>
      <c r="S129" s="4"/>
      <c r="T129" s="4"/>
      <c r="U129" s="4"/>
      <c r="V129" s="4"/>
      <c r="W129" s="900"/>
      <c r="X129" s="697"/>
    </row>
    <row r="130">
      <c r="L130" s="4"/>
      <c r="M130" s="4"/>
      <c r="N130" s="4"/>
      <c r="O130" s="4"/>
      <c r="P130" s="2"/>
      <c r="Q130" s="4"/>
      <c r="R130" s="4"/>
      <c r="S130" s="4"/>
      <c r="T130" s="4"/>
      <c r="U130" s="4"/>
      <c r="V130" s="4"/>
      <c r="W130" s="900"/>
      <c r="X130" s="697"/>
    </row>
    <row r="131">
      <c r="L131" s="4"/>
      <c r="M131" s="4"/>
      <c r="N131" s="4"/>
      <c r="O131" s="4"/>
      <c r="P131" s="2"/>
      <c r="Q131" s="4"/>
      <c r="R131" s="4"/>
      <c r="S131" s="4"/>
      <c r="T131" s="4"/>
      <c r="U131" s="4"/>
      <c r="V131" s="4"/>
      <c r="W131" s="900"/>
      <c r="X131" s="697"/>
    </row>
    <row r="132">
      <c r="L132" s="4"/>
      <c r="M132" s="4"/>
      <c r="N132" s="4"/>
      <c r="O132" s="4"/>
      <c r="P132" s="2"/>
      <c r="Q132" s="4"/>
      <c r="R132" s="4"/>
      <c r="S132" s="4"/>
      <c r="T132" s="4"/>
      <c r="U132" s="4"/>
      <c r="V132" s="4"/>
      <c r="W132" s="900"/>
      <c r="X132" s="697"/>
    </row>
    <row r="133">
      <c r="L133" s="4"/>
      <c r="M133" s="4"/>
      <c r="N133" s="4"/>
      <c r="O133" s="4"/>
      <c r="P133" s="2"/>
      <c r="Q133" s="4"/>
      <c r="R133" s="4"/>
      <c r="S133" s="4"/>
      <c r="T133" s="4"/>
      <c r="U133" s="4"/>
      <c r="V133" s="4"/>
      <c r="W133" s="900"/>
      <c r="X133" s="697"/>
    </row>
    <row r="134">
      <c r="L134" s="4"/>
      <c r="M134" s="4"/>
      <c r="N134" s="4"/>
      <c r="O134" s="4"/>
      <c r="P134" s="2"/>
      <c r="Q134" s="4"/>
      <c r="R134" s="4"/>
      <c r="S134" s="4"/>
      <c r="T134" s="4"/>
      <c r="U134" s="4"/>
      <c r="V134" s="4"/>
      <c r="W134" s="900"/>
      <c r="X134" s="697"/>
    </row>
    <row r="135">
      <c r="L135" s="4"/>
      <c r="M135" s="4"/>
      <c r="N135" s="4"/>
      <c r="O135" s="4"/>
      <c r="P135" s="2"/>
      <c r="Q135" s="4"/>
      <c r="R135" s="4"/>
      <c r="S135" s="4"/>
      <c r="T135" s="4"/>
      <c r="U135" s="4"/>
      <c r="V135" s="4"/>
      <c r="W135" s="900"/>
      <c r="X135" s="697"/>
    </row>
    <row r="136">
      <c r="L136" s="4"/>
      <c r="M136" s="4"/>
      <c r="N136" s="4"/>
      <c r="O136" s="4"/>
      <c r="P136" s="2"/>
      <c r="Q136" s="4"/>
      <c r="R136" s="4"/>
      <c r="S136" s="4"/>
      <c r="T136" s="4"/>
      <c r="U136" s="4"/>
      <c r="V136" s="4"/>
      <c r="W136" s="900"/>
      <c r="X136" s="697"/>
    </row>
    <row r="137">
      <c r="L137" s="4"/>
      <c r="M137" s="4"/>
      <c r="N137" s="4"/>
      <c r="O137" s="4"/>
      <c r="P137" s="2"/>
      <c r="Q137" s="4"/>
      <c r="R137" s="4"/>
      <c r="S137" s="4"/>
      <c r="T137" s="4"/>
      <c r="U137" s="4"/>
      <c r="V137" s="4"/>
      <c r="W137" s="900"/>
      <c r="X137" s="697"/>
    </row>
    <row r="138">
      <c r="L138" s="4"/>
      <c r="M138" s="4"/>
      <c r="N138" s="4"/>
      <c r="O138" s="4"/>
      <c r="P138" s="2"/>
      <c r="Q138" s="4"/>
      <c r="R138" s="4"/>
      <c r="S138" s="4"/>
      <c r="T138" s="4"/>
      <c r="U138" s="4"/>
      <c r="V138" s="4"/>
      <c r="W138" s="900"/>
      <c r="X138" s="697"/>
    </row>
    <row r="139">
      <c r="L139" s="4"/>
      <c r="M139" s="4"/>
      <c r="N139" s="4"/>
      <c r="O139" s="4"/>
      <c r="P139" s="2"/>
      <c r="Q139" s="4"/>
      <c r="R139" s="4"/>
      <c r="S139" s="4"/>
      <c r="T139" s="4"/>
      <c r="U139" s="4"/>
      <c r="V139" s="4"/>
      <c r="W139" s="900"/>
      <c r="X139" s="697"/>
    </row>
    <row r="140">
      <c r="L140" s="4"/>
      <c r="M140" s="4"/>
      <c r="N140" s="4"/>
      <c r="O140" s="4"/>
      <c r="P140" s="2"/>
      <c r="Q140" s="4"/>
      <c r="R140" s="4"/>
      <c r="S140" s="4"/>
      <c r="T140" s="4"/>
      <c r="U140" s="4"/>
      <c r="V140" s="4"/>
      <c r="W140" s="900"/>
      <c r="X140" s="697"/>
    </row>
    <row r="141">
      <c r="L141" s="4"/>
      <c r="M141" s="4"/>
      <c r="N141" s="4"/>
      <c r="O141" s="4"/>
      <c r="P141" s="2"/>
      <c r="Q141" s="4"/>
      <c r="R141" s="4"/>
      <c r="S141" s="4"/>
      <c r="T141" s="4"/>
      <c r="U141" s="4"/>
      <c r="V141" s="4"/>
      <c r="W141" s="900"/>
      <c r="X141" s="697"/>
    </row>
    <row r="142">
      <c r="L142" s="4"/>
      <c r="M142" s="4"/>
      <c r="N142" s="4"/>
      <c r="O142" s="4"/>
      <c r="P142" s="2"/>
      <c r="Q142" s="4"/>
      <c r="R142" s="4"/>
      <c r="S142" s="4"/>
      <c r="T142" s="4"/>
      <c r="U142" s="4"/>
      <c r="V142" s="4"/>
      <c r="W142" s="900"/>
      <c r="X142" s="697"/>
    </row>
    <row r="143">
      <c r="L143" s="4"/>
      <c r="M143" s="4"/>
      <c r="N143" s="4"/>
      <c r="O143" s="4"/>
      <c r="P143" s="2"/>
      <c r="Q143" s="4"/>
      <c r="R143" s="4"/>
      <c r="S143" s="4"/>
      <c r="T143" s="4"/>
      <c r="U143" s="4"/>
      <c r="V143" s="4"/>
      <c r="W143" s="900"/>
      <c r="X143" s="697"/>
    </row>
    <row r="144">
      <c r="L144" s="4"/>
      <c r="M144" s="4"/>
      <c r="N144" s="4"/>
      <c r="O144" s="4"/>
      <c r="P144" s="2"/>
      <c r="Q144" s="4"/>
      <c r="R144" s="4"/>
      <c r="S144" s="4"/>
      <c r="T144" s="4"/>
      <c r="U144" s="4"/>
      <c r="V144" s="4"/>
      <c r="W144" s="900"/>
      <c r="X144" s="697"/>
    </row>
    <row r="145">
      <c r="L145" s="4"/>
      <c r="M145" s="4"/>
      <c r="N145" s="4"/>
      <c r="O145" s="4"/>
      <c r="P145" s="2"/>
      <c r="Q145" s="4"/>
      <c r="R145" s="4"/>
      <c r="S145" s="4"/>
      <c r="T145" s="4"/>
      <c r="U145" s="4"/>
      <c r="V145" s="4"/>
      <c r="W145" s="900"/>
      <c r="X145" s="697"/>
    </row>
    <row r="146">
      <c r="L146" s="4"/>
      <c r="M146" s="4"/>
      <c r="N146" s="4"/>
      <c r="O146" s="4"/>
      <c r="P146" s="2"/>
      <c r="Q146" s="4"/>
      <c r="R146" s="4"/>
      <c r="S146" s="4"/>
      <c r="T146" s="4"/>
      <c r="U146" s="4"/>
      <c r="V146" s="4"/>
      <c r="W146" s="900"/>
      <c r="X146" s="697"/>
    </row>
    <row r="147">
      <c r="L147" s="4"/>
      <c r="M147" s="4"/>
      <c r="N147" s="4"/>
      <c r="O147" s="4"/>
      <c r="P147" s="2"/>
      <c r="Q147" s="4"/>
      <c r="R147" s="4"/>
      <c r="S147" s="4"/>
      <c r="T147" s="4"/>
      <c r="U147" s="4"/>
      <c r="V147" s="4"/>
      <c r="W147" s="900"/>
      <c r="X147" s="697"/>
    </row>
    <row r="148">
      <c r="L148" s="4"/>
      <c r="M148" s="4"/>
      <c r="N148" s="4"/>
      <c r="O148" s="4"/>
      <c r="P148" s="2"/>
      <c r="Q148" s="4"/>
      <c r="R148" s="4"/>
      <c r="S148" s="4"/>
      <c r="T148" s="4"/>
      <c r="U148" s="4"/>
      <c r="V148" s="4"/>
      <c r="W148" s="900"/>
      <c r="X148" s="697"/>
    </row>
    <row r="149">
      <c r="L149" s="4"/>
      <c r="M149" s="4"/>
      <c r="N149" s="4"/>
      <c r="O149" s="4"/>
      <c r="P149" s="2"/>
      <c r="Q149" s="4"/>
      <c r="R149" s="4"/>
      <c r="S149" s="4"/>
      <c r="T149" s="4"/>
      <c r="U149" s="4"/>
      <c r="V149" s="4"/>
      <c r="W149" s="900"/>
      <c r="X149" s="697"/>
    </row>
    <row r="150">
      <c r="L150" s="4"/>
      <c r="M150" s="4"/>
      <c r="N150" s="4"/>
      <c r="O150" s="4"/>
      <c r="P150" s="2"/>
      <c r="Q150" s="4"/>
      <c r="R150" s="4"/>
      <c r="S150" s="4"/>
      <c r="T150" s="4"/>
      <c r="U150" s="4"/>
      <c r="V150" s="4"/>
      <c r="W150" s="900"/>
      <c r="X150" s="697"/>
    </row>
    <row r="151">
      <c r="L151" s="4"/>
      <c r="M151" s="4"/>
      <c r="N151" s="4"/>
      <c r="O151" s="4"/>
      <c r="P151" s="2"/>
      <c r="Q151" s="4"/>
      <c r="R151" s="4"/>
      <c r="S151" s="4"/>
      <c r="T151" s="4"/>
      <c r="U151" s="4"/>
      <c r="V151" s="4"/>
      <c r="W151" s="900"/>
      <c r="X151" s="697"/>
    </row>
    <row r="152">
      <c r="L152" s="4"/>
      <c r="M152" s="4"/>
      <c r="N152" s="4"/>
      <c r="O152" s="4"/>
      <c r="P152" s="2"/>
      <c r="Q152" s="4"/>
      <c r="R152" s="4"/>
      <c r="S152" s="4"/>
      <c r="T152" s="4"/>
      <c r="U152" s="4"/>
      <c r="V152" s="4"/>
      <c r="W152" s="900"/>
      <c r="X152" s="697"/>
    </row>
    <row r="153">
      <c r="L153" s="4"/>
      <c r="M153" s="4"/>
      <c r="N153" s="4"/>
      <c r="O153" s="4"/>
      <c r="P153" s="2"/>
      <c r="Q153" s="4"/>
      <c r="R153" s="4"/>
      <c r="S153" s="4"/>
      <c r="T153" s="4"/>
      <c r="U153" s="4"/>
      <c r="V153" s="4"/>
      <c r="W153" s="900"/>
      <c r="X153" s="697"/>
    </row>
    <row r="154">
      <c r="L154" s="4"/>
      <c r="M154" s="4"/>
      <c r="N154" s="4"/>
      <c r="O154" s="4"/>
      <c r="P154" s="2"/>
      <c r="Q154" s="4"/>
      <c r="R154" s="4"/>
      <c r="S154" s="4"/>
      <c r="T154" s="4"/>
      <c r="U154" s="4"/>
      <c r="V154" s="4"/>
      <c r="W154" s="900"/>
      <c r="X154" s="697"/>
    </row>
    <row r="155">
      <c r="L155" s="4"/>
      <c r="M155" s="4"/>
      <c r="N155" s="4"/>
      <c r="O155" s="4"/>
      <c r="P155" s="2"/>
      <c r="Q155" s="4"/>
      <c r="R155" s="4"/>
      <c r="S155" s="4"/>
      <c r="T155" s="4"/>
      <c r="U155" s="4"/>
      <c r="V155" s="4"/>
      <c r="W155" s="900"/>
      <c r="X155" s="697"/>
    </row>
    <row r="156">
      <c r="L156" s="4"/>
      <c r="M156" s="4"/>
      <c r="N156" s="4"/>
      <c r="O156" s="4"/>
      <c r="P156" s="2"/>
      <c r="Q156" s="4"/>
      <c r="R156" s="4"/>
      <c r="S156" s="4"/>
      <c r="T156" s="4"/>
      <c r="U156" s="4"/>
      <c r="V156" s="4"/>
      <c r="W156" s="900"/>
      <c r="X156" s="697"/>
    </row>
    <row r="157">
      <c r="L157" s="4"/>
      <c r="M157" s="4"/>
      <c r="N157" s="4"/>
      <c r="O157" s="4"/>
      <c r="P157" s="2"/>
      <c r="Q157" s="4"/>
      <c r="R157" s="4"/>
      <c r="S157" s="4"/>
      <c r="T157" s="4"/>
      <c r="U157" s="4"/>
      <c r="V157" s="4"/>
      <c r="W157" s="900"/>
      <c r="X157" s="697"/>
    </row>
    <row r="158">
      <c r="L158" s="4"/>
      <c r="M158" s="4"/>
      <c r="N158" s="4"/>
      <c r="O158" s="4"/>
      <c r="P158" s="2"/>
      <c r="Q158" s="4"/>
      <c r="R158" s="4"/>
      <c r="S158" s="4"/>
      <c r="T158" s="4"/>
      <c r="U158" s="4"/>
      <c r="V158" s="4"/>
      <c r="W158" s="900"/>
      <c r="X158" s="697"/>
    </row>
    <row r="159">
      <c r="L159" s="4"/>
      <c r="M159" s="4"/>
      <c r="N159" s="4"/>
      <c r="O159" s="4"/>
      <c r="P159" s="2"/>
      <c r="Q159" s="4"/>
      <c r="R159" s="4"/>
      <c r="S159" s="4"/>
      <c r="T159" s="4"/>
      <c r="U159" s="4"/>
      <c r="V159" s="4"/>
      <c r="W159" s="900"/>
      <c r="X159" s="697"/>
    </row>
    <row r="160">
      <c r="L160" s="4"/>
      <c r="M160" s="4"/>
      <c r="N160" s="4"/>
      <c r="O160" s="4"/>
      <c r="P160" s="2"/>
      <c r="Q160" s="4"/>
      <c r="R160" s="4"/>
      <c r="S160" s="4"/>
      <c r="T160" s="4"/>
      <c r="U160" s="4"/>
      <c r="V160" s="4"/>
      <c r="W160" s="900"/>
      <c r="X160" s="697"/>
    </row>
    <row r="161">
      <c r="L161" s="4"/>
      <c r="M161" s="4"/>
      <c r="N161" s="4"/>
      <c r="O161" s="4"/>
      <c r="P161" s="2"/>
      <c r="Q161" s="4"/>
      <c r="R161" s="4"/>
      <c r="S161" s="4"/>
      <c r="T161" s="4"/>
      <c r="U161" s="4"/>
      <c r="V161" s="4"/>
      <c r="W161" s="900"/>
      <c r="X161" s="697"/>
    </row>
    <row r="162">
      <c r="L162" s="4"/>
      <c r="M162" s="4"/>
      <c r="N162" s="4"/>
      <c r="O162" s="4"/>
      <c r="P162" s="2"/>
      <c r="Q162" s="4"/>
      <c r="R162" s="4"/>
      <c r="S162" s="4"/>
      <c r="T162" s="4"/>
      <c r="U162" s="4"/>
      <c r="V162" s="4"/>
      <c r="W162" s="900"/>
      <c r="X162" s="697"/>
    </row>
    <row r="163">
      <c r="L163" s="4"/>
      <c r="M163" s="4"/>
      <c r="N163" s="4"/>
      <c r="O163" s="4"/>
      <c r="P163" s="2"/>
      <c r="Q163" s="4"/>
      <c r="R163" s="4"/>
      <c r="S163" s="4"/>
      <c r="T163" s="4"/>
      <c r="U163" s="4"/>
      <c r="V163" s="4"/>
      <c r="W163" s="900"/>
      <c r="X163" s="697"/>
    </row>
    <row r="164">
      <c r="L164" s="4"/>
      <c r="M164" s="4"/>
      <c r="N164" s="4"/>
      <c r="O164" s="4"/>
      <c r="P164" s="2"/>
      <c r="Q164" s="4"/>
      <c r="R164" s="4"/>
      <c r="S164" s="4"/>
      <c r="T164" s="4"/>
      <c r="U164" s="4"/>
      <c r="V164" s="4"/>
      <c r="W164" s="900"/>
      <c r="X164" s="697"/>
    </row>
    <row r="165">
      <c r="L165" s="4"/>
      <c r="M165" s="4"/>
      <c r="N165" s="4"/>
      <c r="O165" s="4"/>
      <c r="P165" s="2"/>
      <c r="Q165" s="4"/>
      <c r="R165" s="4"/>
      <c r="S165" s="4"/>
      <c r="T165" s="4"/>
      <c r="U165" s="4"/>
      <c r="V165" s="4"/>
      <c r="W165" s="900"/>
      <c r="X165" s="697"/>
    </row>
    <row r="166">
      <c r="L166" s="4"/>
      <c r="M166" s="4"/>
      <c r="N166" s="4"/>
      <c r="O166" s="4"/>
      <c r="P166" s="2"/>
      <c r="Q166" s="4"/>
      <c r="R166" s="4"/>
      <c r="S166" s="4"/>
      <c r="T166" s="4"/>
      <c r="U166" s="4"/>
      <c r="V166" s="4"/>
      <c r="W166" s="900"/>
      <c r="X166" s="697"/>
    </row>
    <row r="167">
      <c r="L167" s="4"/>
      <c r="M167" s="4"/>
      <c r="N167" s="4"/>
      <c r="O167" s="4"/>
      <c r="P167" s="2"/>
      <c r="Q167" s="4"/>
      <c r="R167" s="4"/>
      <c r="S167" s="4"/>
      <c r="T167" s="4"/>
      <c r="U167" s="4"/>
      <c r="V167" s="4"/>
      <c r="W167" s="900"/>
      <c r="X167" s="697"/>
    </row>
    <row r="168">
      <c r="L168" s="4"/>
      <c r="M168" s="4"/>
      <c r="N168" s="4"/>
      <c r="O168" s="4"/>
      <c r="P168" s="2"/>
      <c r="Q168" s="4"/>
      <c r="R168" s="4"/>
      <c r="S168" s="4"/>
      <c r="T168" s="4"/>
      <c r="U168" s="4"/>
      <c r="V168" s="4"/>
      <c r="W168" s="900"/>
      <c r="X168" s="697"/>
    </row>
    <row r="169">
      <c r="L169" s="4"/>
      <c r="M169" s="4"/>
      <c r="N169" s="4"/>
      <c r="O169" s="4"/>
      <c r="P169" s="2"/>
      <c r="Q169" s="4"/>
      <c r="R169" s="4"/>
      <c r="S169" s="4"/>
      <c r="T169" s="4"/>
      <c r="U169" s="4"/>
      <c r="V169" s="4"/>
      <c r="W169" s="900"/>
      <c r="X169" s="697"/>
    </row>
    <row r="170">
      <c r="L170" s="4"/>
      <c r="M170" s="4"/>
      <c r="N170" s="4"/>
      <c r="O170" s="4"/>
      <c r="P170" s="2"/>
      <c r="Q170" s="4"/>
      <c r="R170" s="4"/>
      <c r="S170" s="4"/>
      <c r="T170" s="4"/>
      <c r="U170" s="4"/>
      <c r="V170" s="4"/>
      <c r="W170" s="900"/>
      <c r="X170" s="697"/>
    </row>
    <row r="171">
      <c r="L171" s="4"/>
      <c r="M171" s="4"/>
      <c r="N171" s="4"/>
      <c r="O171" s="4"/>
      <c r="P171" s="2"/>
      <c r="Q171" s="4"/>
      <c r="R171" s="4"/>
      <c r="S171" s="4"/>
      <c r="T171" s="4"/>
      <c r="U171" s="4"/>
      <c r="V171" s="4"/>
      <c r="W171" s="900"/>
      <c r="X171" s="697"/>
    </row>
    <row r="172">
      <c r="L172" s="4"/>
      <c r="M172" s="4"/>
      <c r="N172" s="4"/>
      <c r="O172" s="4"/>
      <c r="P172" s="2"/>
      <c r="Q172" s="4"/>
      <c r="R172" s="4"/>
      <c r="S172" s="4"/>
      <c r="T172" s="4"/>
      <c r="U172" s="4"/>
      <c r="V172" s="4"/>
      <c r="W172" s="900"/>
      <c r="X172" s="697"/>
    </row>
    <row r="173">
      <c r="L173" s="4"/>
      <c r="M173" s="4"/>
      <c r="N173" s="4"/>
      <c r="O173" s="4"/>
      <c r="P173" s="2"/>
      <c r="Q173" s="4"/>
      <c r="R173" s="4"/>
      <c r="S173" s="4"/>
      <c r="T173" s="4"/>
      <c r="U173" s="4"/>
      <c r="V173" s="4"/>
      <c r="W173" s="900"/>
      <c r="X173" s="697"/>
    </row>
    <row r="174">
      <c r="L174" s="4"/>
      <c r="M174" s="4"/>
      <c r="N174" s="4"/>
      <c r="O174" s="4"/>
      <c r="P174" s="2"/>
      <c r="Q174" s="4"/>
      <c r="R174" s="4"/>
      <c r="S174" s="4"/>
      <c r="T174" s="4"/>
      <c r="U174" s="4"/>
      <c r="V174" s="4"/>
      <c r="W174" s="900"/>
      <c r="X174" s="697"/>
    </row>
    <row r="175">
      <c r="L175" s="4"/>
      <c r="M175" s="4"/>
      <c r="N175" s="4"/>
      <c r="O175" s="4"/>
      <c r="P175" s="2"/>
      <c r="Q175" s="4"/>
      <c r="R175" s="4"/>
      <c r="S175" s="4"/>
      <c r="T175" s="4"/>
      <c r="U175" s="4"/>
      <c r="V175" s="4"/>
      <c r="W175" s="900"/>
      <c r="X175" s="697"/>
    </row>
    <row r="176">
      <c r="L176" s="4"/>
      <c r="M176" s="4"/>
      <c r="N176" s="4"/>
      <c r="O176" s="4"/>
      <c r="P176" s="2"/>
      <c r="Q176" s="4"/>
      <c r="R176" s="4"/>
      <c r="S176" s="4"/>
      <c r="T176" s="4"/>
      <c r="U176" s="4"/>
      <c r="V176" s="4"/>
      <c r="W176" s="900"/>
      <c r="X176" s="697"/>
    </row>
    <row r="177">
      <c r="L177" s="4"/>
      <c r="M177" s="4"/>
      <c r="N177" s="4"/>
      <c r="O177" s="4"/>
      <c r="P177" s="2"/>
      <c r="Q177" s="4"/>
      <c r="R177" s="4"/>
      <c r="S177" s="4"/>
      <c r="T177" s="4"/>
      <c r="U177" s="4"/>
      <c r="V177" s="4"/>
      <c r="W177" s="900"/>
      <c r="X177" s="697"/>
    </row>
    <row r="178">
      <c r="L178" s="4"/>
      <c r="M178" s="4"/>
      <c r="N178" s="4"/>
      <c r="O178" s="4"/>
      <c r="P178" s="2"/>
      <c r="Q178" s="4"/>
      <c r="R178" s="4"/>
      <c r="S178" s="4"/>
      <c r="T178" s="4"/>
      <c r="U178" s="4"/>
      <c r="V178" s="4"/>
      <c r="W178" s="900"/>
      <c r="X178" s="697"/>
    </row>
    <row r="179">
      <c r="L179" s="4"/>
      <c r="M179" s="4"/>
      <c r="N179" s="4"/>
      <c r="O179" s="4"/>
      <c r="P179" s="2"/>
      <c r="Q179" s="4"/>
      <c r="R179" s="4"/>
      <c r="S179" s="4"/>
      <c r="T179" s="4"/>
      <c r="U179" s="4"/>
      <c r="V179" s="4"/>
      <c r="W179" s="900"/>
      <c r="X179" s="697"/>
    </row>
    <row r="180">
      <c r="L180" s="4"/>
      <c r="M180" s="4"/>
      <c r="N180" s="4"/>
      <c r="O180" s="4"/>
      <c r="P180" s="2"/>
      <c r="Q180" s="4"/>
      <c r="R180" s="4"/>
      <c r="S180" s="4"/>
      <c r="T180" s="4"/>
      <c r="U180" s="4"/>
      <c r="V180" s="4"/>
      <c r="W180" s="900"/>
      <c r="X180" s="697"/>
    </row>
    <row r="181">
      <c r="L181" s="4"/>
      <c r="M181" s="4"/>
      <c r="N181" s="4"/>
      <c r="O181" s="4"/>
      <c r="P181" s="2"/>
      <c r="Q181" s="4"/>
      <c r="R181" s="4"/>
      <c r="S181" s="4"/>
      <c r="T181" s="4"/>
      <c r="U181" s="4"/>
      <c r="V181" s="4"/>
      <c r="W181" s="900"/>
      <c r="X181" s="697"/>
    </row>
    <row r="182">
      <c r="L182" s="4"/>
      <c r="M182" s="4"/>
      <c r="N182" s="4"/>
      <c r="O182" s="4"/>
      <c r="P182" s="2"/>
      <c r="Q182" s="4"/>
      <c r="R182" s="4"/>
      <c r="S182" s="4"/>
      <c r="T182" s="4"/>
      <c r="U182" s="4"/>
      <c r="V182" s="4"/>
      <c r="W182" s="900"/>
      <c r="X182" s="697"/>
    </row>
    <row r="183">
      <c r="L183" s="4"/>
      <c r="M183" s="4"/>
      <c r="N183" s="4"/>
      <c r="O183" s="4"/>
      <c r="P183" s="2"/>
      <c r="Q183" s="4"/>
      <c r="R183" s="4"/>
      <c r="S183" s="4"/>
      <c r="T183" s="4"/>
      <c r="U183" s="4"/>
      <c r="V183" s="4"/>
      <c r="W183" s="900"/>
      <c r="X183" s="697"/>
    </row>
    <row r="184">
      <c r="L184" s="4"/>
      <c r="M184" s="4"/>
      <c r="N184" s="4"/>
      <c r="O184" s="4"/>
      <c r="P184" s="2"/>
      <c r="Q184" s="4"/>
      <c r="R184" s="4"/>
      <c r="S184" s="4"/>
      <c r="T184" s="4"/>
      <c r="U184" s="4"/>
      <c r="V184" s="4"/>
      <c r="W184" s="900"/>
      <c r="X184" s="697"/>
    </row>
    <row r="185">
      <c r="L185" s="4"/>
      <c r="M185" s="4"/>
      <c r="N185" s="4"/>
      <c r="O185" s="4"/>
      <c r="P185" s="2"/>
      <c r="Q185" s="4"/>
      <c r="R185" s="4"/>
      <c r="S185" s="4"/>
      <c r="T185" s="4"/>
      <c r="U185" s="4"/>
      <c r="V185" s="4"/>
      <c r="W185" s="900"/>
      <c r="X185" s="697"/>
    </row>
    <row r="186">
      <c r="L186" s="4"/>
      <c r="M186" s="4"/>
      <c r="N186" s="4"/>
      <c r="O186" s="4"/>
      <c r="P186" s="2"/>
      <c r="Q186" s="4"/>
      <c r="R186" s="4"/>
      <c r="S186" s="4"/>
      <c r="T186" s="4"/>
      <c r="U186" s="4"/>
      <c r="V186" s="4"/>
      <c r="W186" s="900"/>
      <c r="X186" s="697"/>
    </row>
    <row r="187">
      <c r="L187" s="4"/>
      <c r="M187" s="4"/>
      <c r="N187" s="4"/>
      <c r="O187" s="4"/>
      <c r="P187" s="2"/>
      <c r="Q187" s="4"/>
      <c r="R187" s="4"/>
      <c r="S187" s="4"/>
      <c r="T187" s="4"/>
      <c r="U187" s="4"/>
      <c r="V187" s="4"/>
      <c r="W187" s="900"/>
      <c r="X187" s="697"/>
    </row>
    <row r="188">
      <c r="L188" s="4"/>
      <c r="M188" s="4"/>
      <c r="N188" s="4"/>
      <c r="O188" s="4"/>
      <c r="P188" s="2"/>
      <c r="Q188" s="4"/>
      <c r="R188" s="4"/>
      <c r="S188" s="4"/>
      <c r="T188" s="4"/>
      <c r="U188" s="4"/>
      <c r="V188" s="4"/>
      <c r="W188" s="900"/>
      <c r="X188" s="697"/>
    </row>
    <row r="189">
      <c r="L189" s="4"/>
      <c r="M189" s="4"/>
      <c r="N189" s="4"/>
      <c r="O189" s="4"/>
      <c r="P189" s="2"/>
      <c r="Q189" s="4"/>
      <c r="R189" s="4"/>
      <c r="S189" s="4"/>
      <c r="T189" s="4"/>
      <c r="U189" s="4"/>
      <c r="V189" s="4"/>
      <c r="W189" s="900"/>
      <c r="X189" s="697"/>
    </row>
    <row r="190">
      <c r="L190" s="4"/>
      <c r="M190" s="4"/>
      <c r="N190" s="4"/>
      <c r="O190" s="4"/>
      <c r="P190" s="2"/>
      <c r="Q190" s="4"/>
      <c r="R190" s="4"/>
      <c r="S190" s="4"/>
      <c r="T190" s="4"/>
      <c r="U190" s="4"/>
      <c r="V190" s="4"/>
      <c r="W190" s="900"/>
      <c r="X190" s="697"/>
    </row>
    <row r="191">
      <c r="L191" s="4"/>
      <c r="M191" s="4"/>
      <c r="N191" s="4"/>
      <c r="O191" s="4"/>
      <c r="P191" s="2"/>
      <c r="Q191" s="4"/>
      <c r="R191" s="4"/>
      <c r="S191" s="4"/>
      <c r="T191" s="4"/>
      <c r="U191" s="4"/>
      <c r="V191" s="4"/>
      <c r="W191" s="900"/>
      <c r="X191" s="697"/>
    </row>
    <row r="192">
      <c r="L192" s="4"/>
      <c r="M192" s="4"/>
      <c r="N192" s="4"/>
      <c r="O192" s="4"/>
      <c r="P192" s="2"/>
      <c r="Q192" s="4"/>
      <c r="R192" s="4"/>
      <c r="S192" s="4"/>
      <c r="T192" s="4"/>
      <c r="U192" s="4"/>
      <c r="V192" s="4"/>
      <c r="W192" s="900"/>
      <c r="X192" s="697"/>
    </row>
    <row r="193">
      <c r="L193" s="4"/>
      <c r="M193" s="4"/>
      <c r="N193" s="4"/>
      <c r="O193" s="4"/>
      <c r="P193" s="2"/>
      <c r="Q193" s="4"/>
      <c r="R193" s="4"/>
      <c r="S193" s="4"/>
      <c r="T193" s="4"/>
      <c r="U193" s="4"/>
      <c r="V193" s="4"/>
      <c r="W193" s="900"/>
      <c r="X193" s="697"/>
    </row>
    <row r="194">
      <c r="L194" s="4"/>
      <c r="M194" s="4"/>
      <c r="N194" s="4"/>
      <c r="O194" s="4"/>
      <c r="P194" s="2"/>
      <c r="Q194" s="4"/>
      <c r="R194" s="4"/>
      <c r="S194" s="4"/>
      <c r="T194" s="4"/>
      <c r="U194" s="4"/>
      <c r="V194" s="4"/>
      <c r="W194" s="900"/>
      <c r="X194" s="697"/>
    </row>
    <row r="195">
      <c r="L195" s="4"/>
      <c r="M195" s="4"/>
      <c r="N195" s="4"/>
      <c r="O195" s="4"/>
      <c r="P195" s="2"/>
      <c r="Q195" s="4"/>
      <c r="R195" s="4"/>
      <c r="S195" s="4"/>
      <c r="T195" s="4"/>
      <c r="U195" s="4"/>
      <c r="V195" s="4"/>
      <c r="W195" s="900"/>
      <c r="X195" s="697"/>
    </row>
    <row r="196">
      <c r="L196" s="4"/>
      <c r="M196" s="4"/>
      <c r="N196" s="4"/>
      <c r="O196" s="4"/>
      <c r="P196" s="2"/>
      <c r="Q196" s="4"/>
      <c r="R196" s="4"/>
      <c r="S196" s="4"/>
      <c r="T196" s="4"/>
      <c r="U196" s="4"/>
      <c r="V196" s="4"/>
      <c r="W196" s="900"/>
      <c r="X196" s="697"/>
    </row>
    <row r="197">
      <c r="L197" s="4"/>
      <c r="M197" s="4"/>
      <c r="N197" s="4"/>
      <c r="O197" s="4"/>
      <c r="P197" s="2"/>
      <c r="Q197" s="4"/>
      <c r="R197" s="4"/>
      <c r="S197" s="4"/>
      <c r="T197" s="4"/>
      <c r="U197" s="4"/>
      <c r="V197" s="4"/>
      <c r="W197" s="900"/>
      <c r="X197" s="697"/>
    </row>
    <row r="198">
      <c r="L198" s="4"/>
      <c r="M198" s="4"/>
      <c r="N198" s="4"/>
      <c r="O198" s="4"/>
      <c r="P198" s="2"/>
      <c r="Q198" s="4"/>
      <c r="R198" s="4"/>
      <c r="S198" s="4"/>
      <c r="T198" s="4"/>
      <c r="U198" s="4"/>
      <c r="V198" s="4"/>
      <c r="W198" s="900"/>
      <c r="X198" s="697"/>
    </row>
    <row r="199">
      <c r="L199" s="4"/>
      <c r="M199" s="4"/>
      <c r="N199" s="4"/>
      <c r="O199" s="4"/>
      <c r="P199" s="2"/>
      <c r="Q199" s="4"/>
      <c r="R199" s="4"/>
      <c r="S199" s="4"/>
      <c r="T199" s="4"/>
      <c r="U199" s="4"/>
      <c r="V199" s="4"/>
      <c r="W199" s="900"/>
      <c r="X199" s="697"/>
    </row>
    <row r="200">
      <c r="L200" s="4"/>
      <c r="M200" s="4"/>
      <c r="N200" s="4"/>
      <c r="O200" s="4"/>
      <c r="P200" s="2"/>
      <c r="Q200" s="4"/>
      <c r="R200" s="4"/>
      <c r="S200" s="4"/>
      <c r="T200" s="4"/>
      <c r="U200" s="4"/>
      <c r="V200" s="4"/>
      <c r="W200" s="900"/>
      <c r="X200" s="697"/>
    </row>
    <row r="201">
      <c r="L201" s="4"/>
      <c r="M201" s="4"/>
      <c r="N201" s="4"/>
      <c r="O201" s="4"/>
      <c r="P201" s="2"/>
      <c r="Q201" s="4"/>
      <c r="R201" s="4"/>
      <c r="S201" s="4"/>
      <c r="T201" s="4"/>
      <c r="U201" s="4"/>
      <c r="V201" s="4"/>
      <c r="W201" s="900"/>
      <c r="X201" s="697"/>
    </row>
    <row r="202">
      <c r="L202" s="4"/>
      <c r="M202" s="4"/>
      <c r="N202" s="4"/>
      <c r="O202" s="4"/>
      <c r="P202" s="2"/>
      <c r="Q202" s="4"/>
      <c r="R202" s="4"/>
      <c r="S202" s="4"/>
      <c r="T202" s="4"/>
      <c r="U202" s="4"/>
      <c r="V202" s="4"/>
      <c r="W202" s="900"/>
      <c r="X202" s="697"/>
    </row>
    <row r="203">
      <c r="L203" s="4"/>
      <c r="M203" s="4"/>
      <c r="N203" s="4"/>
      <c r="O203" s="4"/>
      <c r="P203" s="2"/>
      <c r="Q203" s="4"/>
      <c r="R203" s="4"/>
      <c r="S203" s="4"/>
      <c r="T203" s="4"/>
      <c r="U203" s="4"/>
      <c r="V203" s="4"/>
      <c r="W203" s="900"/>
      <c r="X203" s="697"/>
    </row>
    <row r="204">
      <c r="L204" s="4"/>
      <c r="M204" s="4"/>
      <c r="N204" s="4"/>
      <c r="O204" s="4"/>
      <c r="P204" s="2"/>
      <c r="Q204" s="4"/>
      <c r="R204" s="4"/>
      <c r="S204" s="4"/>
      <c r="T204" s="4"/>
      <c r="U204" s="4"/>
      <c r="V204" s="4"/>
      <c r="W204" s="900"/>
      <c r="X204" s="697"/>
    </row>
    <row r="205">
      <c r="L205" s="4"/>
      <c r="M205" s="4"/>
      <c r="N205" s="4"/>
      <c r="O205" s="4"/>
      <c r="P205" s="2"/>
      <c r="Q205" s="4"/>
      <c r="R205" s="4"/>
      <c r="S205" s="4"/>
      <c r="T205" s="4"/>
      <c r="U205" s="4"/>
      <c r="V205" s="4"/>
      <c r="W205" s="900"/>
      <c r="X205" s="697"/>
    </row>
    <row r="206">
      <c r="L206" s="4"/>
      <c r="M206" s="4"/>
      <c r="N206" s="4"/>
      <c r="O206" s="4"/>
      <c r="P206" s="2"/>
      <c r="Q206" s="4"/>
      <c r="R206" s="4"/>
      <c r="S206" s="4"/>
      <c r="T206" s="4"/>
      <c r="U206" s="4"/>
      <c r="V206" s="4"/>
      <c r="W206" s="900"/>
      <c r="X206" s="697"/>
    </row>
    <row r="207">
      <c r="L207" s="4"/>
      <c r="M207" s="4"/>
      <c r="N207" s="4"/>
      <c r="O207" s="4"/>
      <c r="P207" s="2"/>
      <c r="Q207" s="4"/>
      <c r="R207" s="4"/>
      <c r="S207" s="4"/>
      <c r="T207" s="4"/>
      <c r="U207" s="4"/>
      <c r="V207" s="4"/>
      <c r="W207" s="900"/>
      <c r="X207" s="697"/>
    </row>
    <row r="208">
      <c r="L208" s="4"/>
      <c r="M208" s="4"/>
      <c r="N208" s="4"/>
      <c r="O208" s="4"/>
      <c r="P208" s="2"/>
      <c r="Q208" s="4"/>
      <c r="R208" s="4"/>
      <c r="S208" s="4"/>
      <c r="T208" s="4"/>
      <c r="U208" s="4"/>
      <c r="V208" s="4"/>
      <c r="W208" s="900"/>
      <c r="X208" s="697"/>
    </row>
    <row r="209">
      <c r="L209" s="4"/>
      <c r="M209" s="4"/>
      <c r="N209" s="4"/>
      <c r="O209" s="4"/>
      <c r="P209" s="2"/>
      <c r="Q209" s="4"/>
      <c r="R209" s="4"/>
      <c r="S209" s="4"/>
      <c r="T209" s="4"/>
      <c r="U209" s="4"/>
      <c r="V209" s="4"/>
      <c r="W209" s="900"/>
      <c r="X209" s="697"/>
    </row>
    <row r="210">
      <c r="L210" s="4"/>
      <c r="M210" s="4"/>
      <c r="N210" s="4"/>
      <c r="O210" s="4"/>
      <c r="P210" s="2"/>
      <c r="Q210" s="4"/>
      <c r="R210" s="4"/>
      <c r="S210" s="4"/>
      <c r="T210" s="4"/>
      <c r="U210" s="4"/>
      <c r="V210" s="4"/>
      <c r="W210" s="900"/>
      <c r="X210" s="697"/>
    </row>
    <row r="211">
      <c r="L211" s="4"/>
      <c r="M211" s="4"/>
      <c r="N211" s="4"/>
      <c r="O211" s="4"/>
      <c r="P211" s="2"/>
      <c r="Q211" s="4"/>
      <c r="R211" s="4"/>
      <c r="S211" s="4"/>
      <c r="T211" s="4"/>
      <c r="U211" s="4"/>
      <c r="V211" s="4"/>
      <c r="W211" s="900"/>
      <c r="X211" s="697"/>
    </row>
    <row r="212">
      <c r="L212" s="4"/>
      <c r="M212" s="4"/>
      <c r="N212" s="4"/>
      <c r="O212" s="4"/>
      <c r="P212" s="2"/>
      <c r="Q212" s="4"/>
      <c r="R212" s="4"/>
      <c r="S212" s="4"/>
      <c r="T212" s="4"/>
      <c r="U212" s="4"/>
      <c r="V212" s="4"/>
      <c r="W212" s="900"/>
      <c r="X212" s="697"/>
    </row>
    <row r="213">
      <c r="L213" s="4"/>
      <c r="M213" s="4"/>
      <c r="N213" s="4"/>
      <c r="O213" s="4"/>
      <c r="P213" s="2"/>
      <c r="Q213" s="4"/>
      <c r="R213" s="4"/>
      <c r="S213" s="4"/>
      <c r="T213" s="4"/>
      <c r="U213" s="4"/>
      <c r="V213" s="4"/>
      <c r="W213" s="900"/>
      <c r="X213" s="697"/>
    </row>
    <row r="214">
      <c r="L214" s="4"/>
      <c r="M214" s="4"/>
      <c r="N214" s="4"/>
      <c r="O214" s="4"/>
      <c r="P214" s="2"/>
      <c r="Q214" s="4"/>
      <c r="R214" s="4"/>
      <c r="S214" s="4"/>
      <c r="T214" s="4"/>
      <c r="U214" s="4"/>
      <c r="V214" s="4"/>
      <c r="W214" s="900"/>
      <c r="X214" s="697"/>
    </row>
    <row r="215">
      <c r="L215" s="4"/>
      <c r="M215" s="4"/>
      <c r="N215" s="4"/>
      <c r="O215" s="4"/>
      <c r="P215" s="2"/>
      <c r="Q215" s="4"/>
      <c r="R215" s="4"/>
      <c r="S215" s="4"/>
      <c r="T215" s="4"/>
      <c r="U215" s="4"/>
      <c r="V215" s="4"/>
      <c r="W215" s="900"/>
      <c r="X215" s="697"/>
    </row>
    <row r="216">
      <c r="L216" s="4"/>
      <c r="M216" s="4"/>
      <c r="N216" s="4"/>
      <c r="O216" s="4"/>
      <c r="P216" s="2"/>
      <c r="Q216" s="4"/>
      <c r="R216" s="4"/>
      <c r="S216" s="4"/>
      <c r="T216" s="4"/>
      <c r="U216" s="4"/>
      <c r="V216" s="4"/>
      <c r="W216" s="900"/>
      <c r="X216" s="697"/>
    </row>
    <row r="217">
      <c r="L217" s="4"/>
      <c r="M217" s="4"/>
      <c r="N217" s="4"/>
      <c r="O217" s="4"/>
      <c r="P217" s="2"/>
      <c r="Q217" s="4"/>
      <c r="R217" s="4"/>
      <c r="S217" s="4"/>
      <c r="T217" s="4"/>
      <c r="U217" s="4"/>
      <c r="V217" s="4"/>
      <c r="W217" s="900"/>
      <c r="X217" s="697"/>
    </row>
    <row r="218">
      <c r="L218" s="4"/>
      <c r="M218" s="4"/>
      <c r="N218" s="4"/>
      <c r="O218" s="4"/>
      <c r="P218" s="2"/>
      <c r="Q218" s="4"/>
      <c r="R218" s="4"/>
      <c r="S218" s="4"/>
      <c r="T218" s="4"/>
      <c r="U218" s="4"/>
      <c r="V218" s="4"/>
      <c r="W218" s="900"/>
      <c r="X218" s="697"/>
    </row>
    <row r="219">
      <c r="L219" s="4"/>
      <c r="M219" s="4"/>
      <c r="N219" s="4"/>
      <c r="O219" s="4"/>
      <c r="P219" s="2"/>
      <c r="Q219" s="4"/>
      <c r="R219" s="4"/>
      <c r="S219" s="4"/>
      <c r="T219" s="4"/>
      <c r="U219" s="4"/>
      <c r="V219" s="4"/>
      <c r="W219" s="900"/>
      <c r="X219" s="697"/>
    </row>
    <row r="220">
      <c r="L220" s="4"/>
      <c r="M220" s="4"/>
      <c r="N220" s="4"/>
      <c r="O220" s="4"/>
      <c r="P220" s="2"/>
      <c r="Q220" s="4"/>
      <c r="R220" s="4"/>
      <c r="S220" s="4"/>
      <c r="T220" s="4"/>
      <c r="U220" s="4"/>
      <c r="V220" s="4"/>
      <c r="W220" s="900"/>
      <c r="X220" s="697"/>
    </row>
    <row r="221">
      <c r="L221" s="4"/>
      <c r="M221" s="4"/>
      <c r="N221" s="4"/>
      <c r="O221" s="4"/>
      <c r="P221" s="2"/>
      <c r="Q221" s="4"/>
      <c r="R221" s="4"/>
      <c r="S221" s="4"/>
      <c r="T221" s="4"/>
      <c r="U221" s="4"/>
      <c r="V221" s="4"/>
      <c r="W221" s="900"/>
      <c r="X221" s="697"/>
    </row>
    <row r="222">
      <c r="L222" s="4"/>
      <c r="M222" s="4"/>
      <c r="N222" s="4"/>
      <c r="O222" s="4"/>
      <c r="P222" s="2"/>
      <c r="Q222" s="4"/>
      <c r="R222" s="4"/>
      <c r="S222" s="4"/>
      <c r="T222" s="4"/>
      <c r="U222" s="4"/>
      <c r="V222" s="4"/>
      <c r="W222" s="900"/>
      <c r="X222" s="697"/>
    </row>
    <row r="223">
      <c r="L223" s="4"/>
      <c r="M223" s="4"/>
      <c r="N223" s="4"/>
      <c r="O223" s="4"/>
      <c r="P223" s="2"/>
      <c r="Q223" s="4"/>
      <c r="R223" s="4"/>
      <c r="S223" s="4"/>
      <c r="T223" s="4"/>
      <c r="U223" s="4"/>
      <c r="V223" s="4"/>
      <c r="W223" s="900"/>
      <c r="X223" s="697"/>
    </row>
    <row r="224">
      <c r="L224" s="4"/>
      <c r="M224" s="4"/>
      <c r="N224" s="4"/>
      <c r="O224" s="4"/>
      <c r="P224" s="2"/>
      <c r="Q224" s="4"/>
      <c r="R224" s="4"/>
      <c r="S224" s="4"/>
      <c r="T224" s="4"/>
      <c r="U224" s="4"/>
      <c r="V224" s="4"/>
      <c r="W224" s="900"/>
      <c r="X224" s="697"/>
    </row>
    <row r="225">
      <c r="L225" s="4"/>
      <c r="M225" s="4"/>
      <c r="N225" s="4"/>
      <c r="O225" s="4"/>
      <c r="P225" s="2"/>
      <c r="Q225" s="4"/>
      <c r="R225" s="4"/>
      <c r="S225" s="4"/>
      <c r="T225" s="4"/>
      <c r="U225" s="4"/>
      <c r="V225" s="4"/>
      <c r="W225" s="900"/>
      <c r="X225" s="697"/>
    </row>
    <row r="226">
      <c r="L226" s="4"/>
      <c r="M226" s="4"/>
      <c r="N226" s="4"/>
      <c r="O226" s="4"/>
      <c r="P226" s="2"/>
      <c r="Q226" s="4"/>
      <c r="R226" s="4"/>
      <c r="S226" s="4"/>
      <c r="T226" s="4"/>
      <c r="U226" s="4"/>
      <c r="V226" s="4"/>
      <c r="W226" s="900"/>
      <c r="X226" s="697"/>
    </row>
    <row r="227">
      <c r="L227" s="4"/>
      <c r="M227" s="4"/>
      <c r="N227" s="4"/>
      <c r="O227" s="4"/>
      <c r="P227" s="2"/>
      <c r="Q227" s="4"/>
      <c r="R227" s="4"/>
      <c r="S227" s="4"/>
      <c r="T227" s="4"/>
      <c r="U227" s="4"/>
      <c r="V227" s="4"/>
      <c r="W227" s="900"/>
      <c r="X227" s="697"/>
    </row>
    <row r="228">
      <c r="L228" s="4"/>
      <c r="M228" s="4"/>
      <c r="N228" s="4"/>
      <c r="O228" s="4"/>
      <c r="P228" s="2"/>
      <c r="Q228" s="4"/>
      <c r="R228" s="4"/>
      <c r="S228" s="4"/>
      <c r="T228" s="4"/>
      <c r="U228" s="4"/>
      <c r="V228" s="4"/>
      <c r="W228" s="900"/>
      <c r="X228" s="697"/>
    </row>
    <row r="229">
      <c r="L229" s="4"/>
      <c r="M229" s="4"/>
      <c r="N229" s="4"/>
      <c r="O229" s="4"/>
      <c r="P229" s="2"/>
      <c r="Q229" s="4"/>
      <c r="R229" s="4"/>
      <c r="S229" s="4"/>
      <c r="T229" s="4"/>
      <c r="U229" s="4"/>
      <c r="V229" s="4"/>
      <c r="W229" s="900"/>
      <c r="X229" s="697"/>
    </row>
    <row r="230">
      <c r="L230" s="4"/>
      <c r="M230" s="4"/>
      <c r="N230" s="4"/>
      <c r="O230" s="4"/>
      <c r="P230" s="2"/>
      <c r="Q230" s="4"/>
      <c r="R230" s="4"/>
      <c r="S230" s="4"/>
      <c r="T230" s="4"/>
      <c r="U230" s="4"/>
      <c r="V230" s="4"/>
      <c r="W230" s="900"/>
      <c r="X230" s="697"/>
    </row>
    <row r="231">
      <c r="L231" s="4"/>
      <c r="M231" s="4"/>
      <c r="N231" s="4"/>
      <c r="O231" s="4"/>
      <c r="P231" s="2"/>
      <c r="Q231" s="4"/>
      <c r="R231" s="4"/>
      <c r="S231" s="4"/>
      <c r="T231" s="4"/>
      <c r="U231" s="4"/>
      <c r="V231" s="4"/>
      <c r="W231" s="900"/>
      <c r="X231" s="697"/>
    </row>
    <row r="232">
      <c r="L232" s="4"/>
      <c r="M232" s="4"/>
      <c r="N232" s="4"/>
      <c r="O232" s="4"/>
      <c r="P232" s="2"/>
      <c r="Q232" s="4"/>
      <c r="R232" s="4"/>
      <c r="S232" s="4"/>
      <c r="T232" s="4"/>
      <c r="U232" s="4"/>
      <c r="V232" s="4"/>
      <c r="W232" s="900"/>
      <c r="X232" s="697"/>
    </row>
    <row r="233">
      <c r="L233" s="4"/>
      <c r="M233" s="4"/>
      <c r="N233" s="4"/>
      <c r="O233" s="4"/>
      <c r="P233" s="2"/>
      <c r="Q233" s="4"/>
      <c r="R233" s="4"/>
      <c r="S233" s="4"/>
      <c r="T233" s="4"/>
      <c r="U233" s="4"/>
      <c r="V233" s="4"/>
      <c r="W233" s="900"/>
      <c r="X233" s="697"/>
    </row>
    <row r="234">
      <c r="L234" s="4"/>
      <c r="M234" s="4"/>
      <c r="N234" s="4"/>
      <c r="O234" s="4"/>
      <c r="P234" s="2"/>
      <c r="Q234" s="4"/>
      <c r="R234" s="4"/>
      <c r="S234" s="4"/>
      <c r="T234" s="4"/>
      <c r="U234" s="4"/>
      <c r="V234" s="4"/>
      <c r="W234" s="900"/>
      <c r="X234" s="697"/>
    </row>
    <row r="235">
      <c r="L235" s="4"/>
      <c r="M235" s="4"/>
      <c r="N235" s="4"/>
      <c r="O235" s="4"/>
      <c r="P235" s="2"/>
      <c r="Q235" s="4"/>
      <c r="R235" s="4"/>
      <c r="S235" s="4"/>
      <c r="T235" s="4"/>
      <c r="U235" s="4"/>
      <c r="V235" s="4"/>
      <c r="W235" s="900"/>
      <c r="X235" s="697"/>
    </row>
    <row r="236">
      <c r="L236" s="4"/>
      <c r="M236" s="4"/>
      <c r="N236" s="4"/>
      <c r="O236" s="4"/>
      <c r="P236" s="2"/>
      <c r="Q236" s="4"/>
      <c r="R236" s="4"/>
      <c r="S236" s="4"/>
      <c r="T236" s="4"/>
      <c r="U236" s="4"/>
      <c r="V236" s="4"/>
      <c r="W236" s="900"/>
      <c r="X236" s="697"/>
    </row>
    <row r="237">
      <c r="L237" s="4"/>
      <c r="M237" s="4"/>
      <c r="N237" s="4"/>
      <c r="O237" s="4"/>
      <c r="P237" s="2"/>
      <c r="Q237" s="4"/>
      <c r="R237" s="4"/>
      <c r="S237" s="4"/>
      <c r="T237" s="4"/>
      <c r="U237" s="4"/>
      <c r="V237" s="4"/>
      <c r="W237" s="900"/>
      <c r="X237" s="697"/>
    </row>
    <row r="238">
      <c r="L238" s="4"/>
      <c r="M238" s="4"/>
      <c r="N238" s="4"/>
      <c r="O238" s="4"/>
      <c r="P238" s="2"/>
      <c r="Q238" s="4"/>
      <c r="R238" s="4"/>
      <c r="S238" s="4"/>
      <c r="T238" s="4"/>
      <c r="U238" s="4"/>
      <c r="V238" s="4"/>
      <c r="W238" s="900"/>
      <c r="X238" s="697"/>
    </row>
    <row r="239">
      <c r="L239" s="4"/>
      <c r="M239" s="4"/>
      <c r="N239" s="4"/>
      <c r="O239" s="4"/>
      <c r="P239" s="2"/>
      <c r="Q239" s="4"/>
      <c r="R239" s="4"/>
      <c r="S239" s="4"/>
      <c r="T239" s="4"/>
      <c r="U239" s="4"/>
      <c r="V239" s="4"/>
      <c r="W239" s="900"/>
      <c r="X239" s="697"/>
    </row>
    <row r="240">
      <c r="L240" s="4"/>
      <c r="M240" s="4"/>
      <c r="N240" s="4"/>
      <c r="O240" s="4"/>
      <c r="P240" s="2"/>
      <c r="Q240" s="4"/>
      <c r="R240" s="4"/>
      <c r="S240" s="4"/>
      <c r="T240" s="4"/>
      <c r="U240" s="4"/>
      <c r="V240" s="4"/>
      <c r="W240" s="900"/>
      <c r="X240" s="697"/>
    </row>
    <row r="241">
      <c r="L241" s="4"/>
      <c r="M241" s="4"/>
      <c r="N241" s="4"/>
      <c r="O241" s="4"/>
      <c r="P241" s="2"/>
      <c r="Q241" s="4"/>
      <c r="R241" s="4"/>
      <c r="S241" s="4"/>
      <c r="T241" s="4"/>
      <c r="U241" s="4"/>
      <c r="V241" s="4"/>
      <c r="W241" s="900"/>
      <c r="X241" s="697"/>
    </row>
    <row r="242">
      <c r="L242" s="4"/>
      <c r="M242" s="4"/>
      <c r="N242" s="4"/>
      <c r="O242" s="4"/>
      <c r="P242" s="2"/>
      <c r="Q242" s="4"/>
      <c r="R242" s="4"/>
      <c r="S242" s="4"/>
      <c r="T242" s="4"/>
      <c r="U242" s="4"/>
      <c r="V242" s="4"/>
      <c r="W242" s="900"/>
      <c r="X242" s="697"/>
    </row>
    <row r="243">
      <c r="L243" s="4"/>
      <c r="M243" s="4"/>
      <c r="N243" s="4"/>
      <c r="O243" s="4"/>
      <c r="P243" s="2"/>
      <c r="Q243" s="4"/>
      <c r="R243" s="4"/>
      <c r="S243" s="4"/>
      <c r="T243" s="4"/>
      <c r="U243" s="4"/>
      <c r="V243" s="4"/>
      <c r="W243" s="900"/>
      <c r="X243" s="697"/>
    </row>
    <row r="244">
      <c r="L244" s="4"/>
      <c r="M244" s="4"/>
      <c r="N244" s="4"/>
      <c r="O244" s="4"/>
      <c r="P244" s="2"/>
      <c r="Q244" s="4"/>
      <c r="R244" s="4"/>
      <c r="S244" s="4"/>
      <c r="T244" s="4"/>
      <c r="U244" s="4"/>
      <c r="V244" s="4"/>
      <c r="W244" s="900"/>
      <c r="X244" s="697"/>
    </row>
    <row r="245">
      <c r="L245" s="4"/>
      <c r="M245" s="4"/>
      <c r="N245" s="4"/>
      <c r="O245" s="4"/>
      <c r="P245" s="2"/>
      <c r="Q245" s="4"/>
      <c r="R245" s="4"/>
      <c r="S245" s="4"/>
      <c r="T245" s="4"/>
      <c r="U245" s="4"/>
      <c r="V245" s="4"/>
      <c r="W245" s="900"/>
      <c r="X245" s="697"/>
    </row>
    <row r="246">
      <c r="L246" s="4"/>
      <c r="M246" s="4"/>
      <c r="N246" s="4"/>
      <c r="O246" s="4"/>
      <c r="P246" s="2"/>
      <c r="Q246" s="4"/>
      <c r="R246" s="4"/>
      <c r="S246" s="4"/>
      <c r="T246" s="4"/>
      <c r="U246" s="4"/>
      <c r="V246" s="4"/>
      <c r="W246" s="900"/>
      <c r="X246" s="697"/>
    </row>
    <row r="247">
      <c r="L247" s="4"/>
      <c r="M247" s="4"/>
      <c r="N247" s="4"/>
      <c r="O247" s="4"/>
      <c r="P247" s="2"/>
      <c r="Q247" s="4"/>
      <c r="R247" s="4"/>
      <c r="S247" s="4"/>
      <c r="T247" s="4"/>
      <c r="U247" s="4"/>
      <c r="V247" s="4"/>
      <c r="W247" s="900"/>
      <c r="X247" s="697"/>
    </row>
    <row r="248">
      <c r="L248" s="4"/>
      <c r="M248" s="4"/>
      <c r="N248" s="4"/>
      <c r="O248" s="4"/>
      <c r="P248" s="2"/>
      <c r="Q248" s="4"/>
      <c r="R248" s="4"/>
      <c r="S248" s="4"/>
      <c r="T248" s="4"/>
      <c r="U248" s="4"/>
      <c r="V248" s="4"/>
      <c r="W248" s="900"/>
      <c r="X248" s="697"/>
    </row>
    <row r="249">
      <c r="L249" s="4"/>
      <c r="M249" s="4"/>
      <c r="N249" s="4"/>
      <c r="O249" s="4"/>
      <c r="P249" s="2"/>
      <c r="Q249" s="4"/>
      <c r="R249" s="4"/>
      <c r="S249" s="4"/>
      <c r="T249" s="4"/>
      <c r="U249" s="4"/>
      <c r="V249" s="4"/>
      <c r="W249" s="900"/>
      <c r="X249" s="697"/>
    </row>
    <row r="250">
      <c r="L250" s="4"/>
      <c r="M250" s="4"/>
      <c r="N250" s="4"/>
      <c r="O250" s="4"/>
      <c r="P250" s="2"/>
      <c r="Q250" s="4"/>
      <c r="R250" s="4"/>
      <c r="S250" s="4"/>
      <c r="T250" s="4"/>
      <c r="U250" s="4"/>
      <c r="V250" s="4"/>
      <c r="W250" s="900"/>
      <c r="X250" s="697"/>
    </row>
    <row r="251">
      <c r="L251" s="4"/>
      <c r="M251" s="4"/>
      <c r="N251" s="4"/>
      <c r="O251" s="4"/>
      <c r="P251" s="2"/>
      <c r="Q251" s="4"/>
      <c r="R251" s="4"/>
      <c r="S251" s="4"/>
      <c r="T251" s="4"/>
      <c r="U251" s="4"/>
      <c r="V251" s="4"/>
      <c r="W251" s="900"/>
      <c r="X251" s="697"/>
    </row>
    <row r="252">
      <c r="L252" s="4"/>
      <c r="M252" s="4"/>
      <c r="N252" s="4"/>
      <c r="O252" s="4"/>
      <c r="P252" s="2"/>
      <c r="Q252" s="4"/>
      <c r="R252" s="4"/>
      <c r="S252" s="4"/>
      <c r="T252" s="4"/>
      <c r="U252" s="4"/>
      <c r="V252" s="4"/>
      <c r="W252" s="900"/>
      <c r="X252" s="697"/>
    </row>
    <row r="253">
      <c r="L253" s="4"/>
      <c r="M253" s="4"/>
      <c r="N253" s="4"/>
      <c r="O253" s="4"/>
      <c r="P253" s="2"/>
      <c r="Q253" s="4"/>
      <c r="R253" s="4"/>
      <c r="S253" s="4"/>
      <c r="T253" s="4"/>
      <c r="U253" s="4"/>
      <c r="V253" s="4"/>
      <c r="W253" s="900"/>
      <c r="X253" s="697"/>
    </row>
    <row r="254">
      <c r="L254" s="4"/>
      <c r="M254" s="4"/>
      <c r="N254" s="4"/>
      <c r="O254" s="4"/>
      <c r="P254" s="2"/>
      <c r="Q254" s="4"/>
      <c r="R254" s="4"/>
      <c r="S254" s="4"/>
      <c r="T254" s="4"/>
      <c r="U254" s="4"/>
      <c r="V254" s="4"/>
      <c r="W254" s="900"/>
      <c r="X254" s="697"/>
    </row>
    <row r="255">
      <c r="L255" s="4"/>
      <c r="M255" s="4"/>
      <c r="N255" s="4"/>
      <c r="O255" s="4"/>
      <c r="P255" s="2"/>
      <c r="Q255" s="4"/>
      <c r="R255" s="4"/>
      <c r="S255" s="4"/>
      <c r="T255" s="4"/>
      <c r="U255" s="4"/>
      <c r="V255" s="4"/>
      <c r="W255" s="900"/>
      <c r="X255" s="697"/>
    </row>
    <row r="256">
      <c r="L256" s="4"/>
      <c r="M256" s="4"/>
      <c r="N256" s="4"/>
      <c r="O256" s="4"/>
      <c r="P256" s="2"/>
      <c r="Q256" s="4"/>
      <c r="R256" s="4"/>
      <c r="S256" s="4"/>
      <c r="T256" s="4"/>
      <c r="U256" s="4"/>
      <c r="V256" s="4"/>
      <c r="W256" s="900"/>
      <c r="X256" s="697"/>
    </row>
    <row r="257">
      <c r="L257" s="4"/>
      <c r="M257" s="4"/>
      <c r="N257" s="4"/>
      <c r="O257" s="4"/>
      <c r="P257" s="2"/>
      <c r="Q257" s="4"/>
      <c r="R257" s="4"/>
      <c r="S257" s="4"/>
      <c r="T257" s="4"/>
      <c r="U257" s="4"/>
      <c r="V257" s="4"/>
      <c r="W257" s="900"/>
      <c r="X257" s="697"/>
    </row>
    <row r="258">
      <c r="L258" s="4"/>
      <c r="M258" s="4"/>
      <c r="N258" s="4"/>
      <c r="O258" s="4"/>
      <c r="P258" s="2"/>
      <c r="Q258" s="4"/>
      <c r="R258" s="4"/>
      <c r="S258" s="4"/>
      <c r="T258" s="4"/>
      <c r="U258" s="4"/>
      <c r="V258" s="4"/>
      <c r="W258" s="900"/>
      <c r="X258" s="697"/>
    </row>
    <row r="259">
      <c r="L259" s="4"/>
      <c r="M259" s="4"/>
      <c r="N259" s="4"/>
      <c r="O259" s="4"/>
      <c r="P259" s="2"/>
      <c r="Q259" s="4"/>
      <c r="R259" s="4"/>
      <c r="S259" s="4"/>
      <c r="T259" s="4"/>
      <c r="U259" s="4"/>
      <c r="V259" s="4"/>
      <c r="W259" s="900"/>
      <c r="X259" s="697"/>
    </row>
    <row r="260">
      <c r="L260" s="4"/>
      <c r="M260" s="4"/>
      <c r="N260" s="4"/>
      <c r="O260" s="4"/>
      <c r="P260" s="2"/>
      <c r="Q260" s="4"/>
      <c r="R260" s="4"/>
      <c r="S260" s="4"/>
      <c r="T260" s="4"/>
      <c r="U260" s="4"/>
      <c r="V260" s="4"/>
      <c r="W260" s="900"/>
      <c r="X260" s="697"/>
    </row>
    <row r="261">
      <c r="L261" s="4"/>
      <c r="M261" s="4"/>
      <c r="N261" s="4"/>
      <c r="O261" s="4"/>
      <c r="P261" s="2"/>
      <c r="Q261" s="4"/>
      <c r="R261" s="4"/>
      <c r="S261" s="4"/>
      <c r="T261" s="4"/>
      <c r="U261" s="4"/>
      <c r="V261" s="4"/>
      <c r="W261" s="900"/>
      <c r="X261" s="697"/>
    </row>
    <row r="262">
      <c r="L262" s="4"/>
      <c r="M262" s="4"/>
      <c r="N262" s="4"/>
      <c r="O262" s="4"/>
      <c r="P262" s="2"/>
      <c r="Q262" s="4"/>
      <c r="R262" s="4"/>
      <c r="S262" s="4"/>
      <c r="T262" s="4"/>
      <c r="U262" s="4"/>
      <c r="V262" s="4"/>
      <c r="W262" s="900"/>
      <c r="X262" s="697"/>
    </row>
    <row r="263">
      <c r="L263" s="4"/>
      <c r="M263" s="4"/>
      <c r="N263" s="4"/>
      <c r="O263" s="4"/>
      <c r="P263" s="2"/>
      <c r="Q263" s="4"/>
      <c r="R263" s="4"/>
      <c r="S263" s="4"/>
      <c r="T263" s="4"/>
      <c r="U263" s="4"/>
      <c r="V263" s="4"/>
      <c r="W263" s="900"/>
      <c r="X263" s="697"/>
    </row>
    <row r="264">
      <c r="L264" s="4"/>
      <c r="M264" s="4"/>
      <c r="N264" s="4"/>
      <c r="O264" s="4"/>
      <c r="P264" s="2"/>
      <c r="Q264" s="4"/>
      <c r="R264" s="4"/>
      <c r="S264" s="4"/>
      <c r="T264" s="4"/>
      <c r="U264" s="4"/>
      <c r="V264" s="4"/>
      <c r="W264" s="900"/>
      <c r="X264" s="697"/>
    </row>
    <row r="265">
      <c r="L265" s="4"/>
      <c r="M265" s="4"/>
      <c r="N265" s="4"/>
      <c r="O265" s="4"/>
      <c r="P265" s="2"/>
      <c r="Q265" s="4"/>
      <c r="R265" s="4"/>
      <c r="S265" s="4"/>
      <c r="T265" s="4"/>
      <c r="U265" s="4"/>
      <c r="V265" s="4"/>
      <c r="W265" s="900"/>
      <c r="X265" s="697"/>
    </row>
    <row r="266">
      <c r="L266" s="4"/>
      <c r="M266" s="4"/>
      <c r="N266" s="4"/>
      <c r="O266" s="4"/>
      <c r="P266" s="2"/>
      <c r="Q266" s="4"/>
      <c r="R266" s="4"/>
      <c r="S266" s="4"/>
      <c r="T266" s="4"/>
      <c r="U266" s="4"/>
      <c r="V266" s="4"/>
      <c r="W266" s="900"/>
      <c r="X266" s="697"/>
    </row>
    <row r="267">
      <c r="L267" s="4"/>
      <c r="M267" s="4"/>
      <c r="N267" s="4"/>
      <c r="O267" s="4"/>
      <c r="P267" s="2"/>
      <c r="Q267" s="4"/>
      <c r="R267" s="4"/>
      <c r="S267" s="4"/>
      <c r="T267" s="4"/>
      <c r="U267" s="4"/>
      <c r="V267" s="4"/>
      <c r="W267" s="900"/>
      <c r="X267" s="697"/>
    </row>
    <row r="268">
      <c r="L268" s="4"/>
      <c r="M268" s="4"/>
      <c r="N268" s="4"/>
      <c r="O268" s="4"/>
      <c r="P268" s="2"/>
      <c r="Q268" s="4"/>
      <c r="R268" s="4"/>
      <c r="S268" s="4"/>
      <c r="T268" s="4"/>
      <c r="U268" s="4"/>
      <c r="V268" s="4"/>
      <c r="W268" s="900"/>
      <c r="X268" s="697"/>
    </row>
    <row r="269">
      <c r="L269" s="4"/>
      <c r="M269" s="4"/>
      <c r="N269" s="4"/>
      <c r="O269" s="4"/>
      <c r="P269" s="2"/>
      <c r="Q269" s="4"/>
      <c r="R269" s="4"/>
      <c r="S269" s="4"/>
      <c r="T269" s="4"/>
      <c r="U269" s="4"/>
      <c r="V269" s="4"/>
      <c r="W269" s="900"/>
      <c r="X269" s="697"/>
    </row>
    <row r="270">
      <c r="L270" s="4"/>
      <c r="M270" s="4"/>
      <c r="N270" s="4"/>
      <c r="O270" s="4"/>
      <c r="P270" s="2"/>
      <c r="Q270" s="4"/>
      <c r="R270" s="4"/>
      <c r="S270" s="4"/>
      <c r="T270" s="4"/>
      <c r="U270" s="4"/>
      <c r="V270" s="4"/>
      <c r="W270" s="900"/>
      <c r="X270" s="697"/>
    </row>
    <row r="271">
      <c r="L271" s="4"/>
      <c r="M271" s="4"/>
      <c r="N271" s="4"/>
      <c r="O271" s="4"/>
      <c r="P271" s="2"/>
      <c r="Q271" s="4"/>
      <c r="R271" s="4"/>
      <c r="S271" s="4"/>
      <c r="T271" s="4"/>
      <c r="U271" s="4"/>
      <c r="V271" s="4"/>
      <c r="W271" s="900"/>
      <c r="X271" s="697"/>
    </row>
    <row r="272">
      <c r="L272" s="4"/>
      <c r="M272" s="4"/>
      <c r="N272" s="4"/>
      <c r="O272" s="4"/>
      <c r="P272" s="2"/>
      <c r="Q272" s="4"/>
      <c r="R272" s="4"/>
      <c r="S272" s="4"/>
      <c r="T272" s="4"/>
      <c r="U272" s="4"/>
      <c r="V272" s="4"/>
      <c r="W272" s="900"/>
      <c r="X272" s="697"/>
    </row>
    <row r="273">
      <c r="L273" s="4"/>
      <c r="M273" s="4"/>
      <c r="N273" s="4"/>
      <c r="O273" s="4"/>
      <c r="P273" s="2"/>
      <c r="Q273" s="4"/>
      <c r="R273" s="4"/>
      <c r="S273" s="4"/>
      <c r="T273" s="4"/>
      <c r="U273" s="4"/>
      <c r="V273" s="4"/>
      <c r="W273" s="900"/>
      <c r="X273" s="697"/>
    </row>
    <row r="274">
      <c r="L274" s="4"/>
      <c r="M274" s="4"/>
      <c r="N274" s="4"/>
      <c r="O274" s="4"/>
      <c r="P274" s="2"/>
      <c r="Q274" s="4"/>
      <c r="R274" s="4"/>
      <c r="S274" s="4"/>
      <c r="T274" s="4"/>
      <c r="U274" s="4"/>
      <c r="V274" s="4"/>
      <c r="W274" s="900"/>
      <c r="X274" s="697"/>
    </row>
    <row r="275">
      <c r="L275" s="4"/>
      <c r="M275" s="4"/>
      <c r="N275" s="4"/>
      <c r="O275" s="4"/>
      <c r="P275" s="2"/>
      <c r="Q275" s="4"/>
      <c r="R275" s="4"/>
      <c r="S275" s="4"/>
      <c r="T275" s="4"/>
      <c r="U275" s="4"/>
      <c r="V275" s="4"/>
      <c r="W275" s="900"/>
      <c r="X275" s="697"/>
    </row>
    <row r="276">
      <c r="L276" s="4"/>
      <c r="M276" s="4"/>
      <c r="N276" s="4"/>
      <c r="O276" s="4"/>
      <c r="P276" s="2"/>
      <c r="Q276" s="4"/>
      <c r="R276" s="4"/>
      <c r="S276" s="4"/>
      <c r="T276" s="4"/>
      <c r="U276" s="4"/>
      <c r="V276" s="4"/>
      <c r="W276" s="900"/>
      <c r="X276" s="697"/>
    </row>
    <row r="277">
      <c r="L277" s="4"/>
      <c r="M277" s="4"/>
      <c r="N277" s="4"/>
      <c r="O277" s="4"/>
      <c r="P277" s="2"/>
      <c r="Q277" s="4"/>
      <c r="R277" s="4"/>
      <c r="S277" s="4"/>
      <c r="T277" s="4"/>
      <c r="U277" s="4"/>
      <c r="V277" s="4"/>
      <c r="W277" s="900"/>
      <c r="X277" s="697"/>
    </row>
    <row r="278">
      <c r="L278" s="4"/>
      <c r="M278" s="4"/>
      <c r="N278" s="4"/>
      <c r="O278" s="4"/>
      <c r="P278" s="2"/>
      <c r="Q278" s="4"/>
      <c r="R278" s="4"/>
      <c r="S278" s="4"/>
      <c r="T278" s="4"/>
      <c r="U278" s="4"/>
      <c r="V278" s="4"/>
      <c r="W278" s="900"/>
      <c r="X278" s="697"/>
    </row>
    <row r="279">
      <c r="L279" s="4"/>
      <c r="M279" s="4"/>
      <c r="N279" s="4"/>
      <c r="O279" s="4"/>
      <c r="P279" s="2"/>
      <c r="Q279" s="4"/>
      <c r="R279" s="4"/>
      <c r="S279" s="4"/>
      <c r="T279" s="4"/>
      <c r="U279" s="4"/>
      <c r="V279" s="4"/>
      <c r="W279" s="900"/>
      <c r="X279" s="697"/>
    </row>
    <row r="280">
      <c r="L280" s="4"/>
      <c r="M280" s="4"/>
      <c r="N280" s="4"/>
      <c r="O280" s="4"/>
      <c r="P280" s="2"/>
      <c r="Q280" s="4"/>
      <c r="R280" s="4"/>
      <c r="S280" s="4"/>
      <c r="T280" s="4"/>
      <c r="U280" s="4"/>
      <c r="V280" s="4"/>
      <c r="W280" s="900"/>
      <c r="X280" s="697"/>
    </row>
    <row r="281">
      <c r="L281" s="4"/>
      <c r="M281" s="4"/>
      <c r="N281" s="4"/>
      <c r="O281" s="4"/>
      <c r="P281" s="2"/>
      <c r="Q281" s="4"/>
      <c r="R281" s="4"/>
      <c r="S281" s="4"/>
      <c r="T281" s="4"/>
      <c r="U281" s="4"/>
      <c r="V281" s="4"/>
      <c r="W281" s="900"/>
      <c r="X281" s="697"/>
    </row>
    <row r="282">
      <c r="L282" s="4"/>
      <c r="M282" s="4"/>
      <c r="N282" s="4"/>
      <c r="O282" s="4"/>
      <c r="P282" s="2"/>
      <c r="Q282" s="4"/>
      <c r="R282" s="4"/>
      <c r="S282" s="4"/>
      <c r="T282" s="4"/>
      <c r="U282" s="4"/>
      <c r="V282" s="4"/>
      <c r="W282" s="900"/>
      <c r="X282" s="697"/>
    </row>
    <row r="283">
      <c r="L283" s="4"/>
      <c r="M283" s="4"/>
      <c r="N283" s="4"/>
      <c r="O283" s="4"/>
      <c r="P283" s="2"/>
      <c r="Q283" s="4"/>
      <c r="R283" s="4"/>
      <c r="S283" s="4"/>
      <c r="T283" s="4"/>
      <c r="U283" s="4"/>
      <c r="V283" s="4"/>
      <c r="W283" s="900"/>
      <c r="X283" s="697"/>
    </row>
    <row r="284">
      <c r="L284" s="4"/>
      <c r="M284" s="4"/>
      <c r="N284" s="4"/>
      <c r="O284" s="4"/>
      <c r="P284" s="2"/>
      <c r="Q284" s="4"/>
      <c r="R284" s="4"/>
      <c r="S284" s="4"/>
      <c r="T284" s="4"/>
      <c r="U284" s="4"/>
      <c r="V284" s="4"/>
      <c r="W284" s="900"/>
      <c r="X284" s="697"/>
    </row>
    <row r="285">
      <c r="L285" s="4"/>
      <c r="M285" s="4"/>
      <c r="N285" s="4"/>
      <c r="O285" s="4"/>
      <c r="P285" s="2"/>
      <c r="Q285" s="4"/>
      <c r="R285" s="4"/>
      <c r="S285" s="4"/>
      <c r="T285" s="4"/>
      <c r="U285" s="4"/>
      <c r="V285" s="4"/>
      <c r="W285" s="900"/>
      <c r="X285" s="697"/>
    </row>
    <row r="286">
      <c r="L286" s="4"/>
      <c r="M286" s="4"/>
      <c r="N286" s="4"/>
      <c r="O286" s="4"/>
      <c r="P286" s="2"/>
      <c r="Q286" s="4"/>
      <c r="R286" s="4"/>
      <c r="S286" s="4"/>
      <c r="T286" s="4"/>
      <c r="U286" s="4"/>
      <c r="V286" s="4"/>
      <c r="W286" s="900"/>
      <c r="X286" s="697"/>
    </row>
    <row r="287">
      <c r="L287" s="4"/>
      <c r="M287" s="4"/>
      <c r="N287" s="4"/>
      <c r="O287" s="4"/>
      <c r="P287" s="2"/>
      <c r="Q287" s="4"/>
      <c r="R287" s="4"/>
      <c r="S287" s="4"/>
      <c r="T287" s="4"/>
      <c r="U287" s="4"/>
      <c r="V287" s="4"/>
      <c r="W287" s="900"/>
      <c r="X287" s="697"/>
    </row>
    <row r="288">
      <c r="L288" s="4"/>
      <c r="M288" s="4"/>
      <c r="N288" s="4"/>
      <c r="O288" s="4"/>
      <c r="P288" s="2"/>
      <c r="Q288" s="4"/>
      <c r="R288" s="4"/>
      <c r="S288" s="4"/>
      <c r="T288" s="4"/>
      <c r="U288" s="4"/>
      <c r="V288" s="4"/>
      <c r="W288" s="900"/>
      <c r="X288" s="697"/>
    </row>
    <row r="289">
      <c r="L289" s="4"/>
      <c r="M289" s="4"/>
      <c r="N289" s="4"/>
      <c r="O289" s="4"/>
      <c r="P289" s="2"/>
      <c r="Q289" s="4"/>
      <c r="R289" s="4"/>
      <c r="S289" s="4"/>
      <c r="T289" s="4"/>
      <c r="U289" s="4"/>
      <c r="V289" s="4"/>
      <c r="W289" s="900"/>
      <c r="X289" s="697"/>
    </row>
    <row r="290">
      <c r="L290" s="4"/>
      <c r="M290" s="4"/>
      <c r="N290" s="4"/>
      <c r="O290" s="4"/>
      <c r="P290" s="2"/>
      <c r="Q290" s="4"/>
      <c r="R290" s="4"/>
      <c r="S290" s="4"/>
      <c r="T290" s="4"/>
      <c r="U290" s="4"/>
      <c r="V290" s="4"/>
      <c r="W290" s="900"/>
      <c r="X290" s="697"/>
    </row>
    <row r="291">
      <c r="L291" s="4"/>
      <c r="M291" s="4"/>
      <c r="N291" s="4"/>
      <c r="O291" s="4"/>
      <c r="P291" s="2"/>
      <c r="Q291" s="4"/>
      <c r="R291" s="4"/>
      <c r="S291" s="4"/>
      <c r="T291" s="4"/>
      <c r="U291" s="4"/>
      <c r="V291" s="4"/>
      <c r="W291" s="900"/>
      <c r="X291" s="697"/>
    </row>
    <row r="292">
      <c r="L292" s="4"/>
      <c r="M292" s="4"/>
      <c r="N292" s="4"/>
      <c r="O292" s="4"/>
      <c r="P292" s="2"/>
      <c r="Q292" s="4"/>
      <c r="R292" s="4"/>
      <c r="S292" s="4"/>
      <c r="T292" s="4"/>
      <c r="U292" s="4"/>
      <c r="V292" s="4"/>
      <c r="W292" s="900"/>
      <c r="X292" s="697"/>
    </row>
    <row r="293">
      <c r="L293" s="4"/>
      <c r="M293" s="4"/>
      <c r="N293" s="4"/>
      <c r="O293" s="4"/>
      <c r="P293" s="2"/>
      <c r="Q293" s="4"/>
      <c r="R293" s="4"/>
      <c r="S293" s="4"/>
      <c r="T293" s="4"/>
      <c r="U293" s="4"/>
      <c r="V293" s="4"/>
      <c r="W293" s="900"/>
      <c r="X293" s="697"/>
    </row>
    <row r="294">
      <c r="L294" s="4"/>
      <c r="M294" s="4"/>
      <c r="N294" s="4"/>
      <c r="O294" s="4"/>
      <c r="P294" s="2"/>
      <c r="Q294" s="4"/>
      <c r="R294" s="4"/>
      <c r="S294" s="4"/>
      <c r="T294" s="4"/>
      <c r="U294" s="4"/>
      <c r="V294" s="4"/>
      <c r="W294" s="900"/>
      <c r="X294" s="697"/>
    </row>
    <row r="295">
      <c r="L295" s="4"/>
      <c r="M295" s="4"/>
      <c r="N295" s="4"/>
      <c r="O295" s="4"/>
      <c r="P295" s="2"/>
      <c r="Q295" s="4"/>
      <c r="R295" s="4"/>
      <c r="S295" s="4"/>
      <c r="T295" s="4"/>
      <c r="U295" s="4"/>
      <c r="V295" s="4"/>
      <c r="W295" s="900"/>
      <c r="X295" s="697"/>
    </row>
    <row r="296">
      <c r="L296" s="4"/>
      <c r="M296" s="4"/>
      <c r="N296" s="4"/>
      <c r="O296" s="4"/>
      <c r="P296" s="2"/>
      <c r="Q296" s="4"/>
      <c r="R296" s="4"/>
      <c r="S296" s="4"/>
      <c r="T296" s="4"/>
      <c r="U296" s="4"/>
      <c r="V296" s="4"/>
      <c r="W296" s="900"/>
      <c r="X296" s="697"/>
    </row>
    <row r="297">
      <c r="L297" s="4"/>
      <c r="M297" s="4"/>
      <c r="N297" s="4"/>
      <c r="O297" s="4"/>
      <c r="P297" s="2"/>
      <c r="Q297" s="4"/>
      <c r="R297" s="4"/>
      <c r="S297" s="4"/>
      <c r="T297" s="4"/>
      <c r="U297" s="4"/>
      <c r="V297" s="4"/>
      <c r="W297" s="900"/>
      <c r="X297" s="697"/>
    </row>
    <row r="298">
      <c r="L298" s="4"/>
      <c r="M298" s="4"/>
      <c r="N298" s="4"/>
      <c r="O298" s="4"/>
      <c r="P298" s="2"/>
      <c r="Q298" s="4"/>
      <c r="R298" s="4"/>
      <c r="S298" s="4"/>
      <c r="T298" s="4"/>
      <c r="U298" s="4"/>
      <c r="V298" s="4"/>
      <c r="W298" s="900"/>
      <c r="X298" s="697"/>
    </row>
    <row r="299">
      <c r="L299" s="4"/>
      <c r="M299" s="4"/>
      <c r="N299" s="4"/>
      <c r="O299" s="4"/>
      <c r="P299" s="2"/>
      <c r="Q299" s="4"/>
      <c r="R299" s="4"/>
      <c r="S299" s="4"/>
      <c r="T299" s="4"/>
      <c r="U299" s="4"/>
      <c r="V299" s="4"/>
      <c r="W299" s="900"/>
      <c r="X299" s="697"/>
    </row>
    <row r="300">
      <c r="L300" s="4"/>
      <c r="M300" s="4"/>
      <c r="N300" s="4"/>
      <c r="O300" s="4"/>
      <c r="P300" s="2"/>
      <c r="Q300" s="4"/>
      <c r="R300" s="4"/>
      <c r="S300" s="4"/>
      <c r="T300" s="4"/>
      <c r="U300" s="4"/>
      <c r="V300" s="4"/>
      <c r="W300" s="900"/>
      <c r="X300" s="697"/>
    </row>
    <row r="301">
      <c r="L301" s="4"/>
      <c r="M301" s="4"/>
      <c r="N301" s="4"/>
      <c r="O301" s="4"/>
      <c r="P301" s="2"/>
      <c r="Q301" s="4"/>
      <c r="R301" s="4"/>
      <c r="S301" s="4"/>
      <c r="T301" s="4"/>
      <c r="U301" s="4"/>
      <c r="V301" s="4"/>
      <c r="W301" s="900"/>
      <c r="X301" s="697"/>
    </row>
    <row r="302">
      <c r="L302" s="4"/>
      <c r="M302" s="4"/>
      <c r="N302" s="4"/>
      <c r="O302" s="4"/>
      <c r="P302" s="2"/>
      <c r="Q302" s="4"/>
      <c r="R302" s="4"/>
      <c r="S302" s="4"/>
      <c r="T302" s="4"/>
      <c r="U302" s="4"/>
      <c r="V302" s="4"/>
      <c r="W302" s="900"/>
      <c r="X302" s="697"/>
    </row>
    <row r="303">
      <c r="L303" s="4"/>
      <c r="M303" s="4"/>
      <c r="N303" s="4"/>
      <c r="O303" s="4"/>
      <c r="P303" s="2"/>
      <c r="Q303" s="4"/>
      <c r="R303" s="4"/>
      <c r="S303" s="4"/>
      <c r="T303" s="4"/>
      <c r="U303" s="4"/>
      <c r="V303" s="4"/>
      <c r="W303" s="900"/>
      <c r="X303" s="697"/>
    </row>
    <row r="304">
      <c r="L304" s="4"/>
      <c r="M304" s="4"/>
      <c r="N304" s="4"/>
      <c r="O304" s="4"/>
      <c r="P304" s="2"/>
      <c r="Q304" s="4"/>
      <c r="R304" s="4"/>
      <c r="S304" s="4"/>
      <c r="T304" s="4"/>
      <c r="U304" s="4"/>
      <c r="V304" s="4"/>
      <c r="W304" s="900"/>
      <c r="X304" s="697"/>
    </row>
    <row r="305">
      <c r="L305" s="4"/>
      <c r="M305" s="4"/>
      <c r="N305" s="4"/>
      <c r="O305" s="4"/>
      <c r="P305" s="2"/>
      <c r="Q305" s="4"/>
      <c r="R305" s="4"/>
      <c r="S305" s="4"/>
      <c r="T305" s="4"/>
      <c r="U305" s="4"/>
      <c r="V305" s="4"/>
      <c r="W305" s="900"/>
      <c r="X305" s="697"/>
    </row>
    <row r="306">
      <c r="L306" s="4"/>
      <c r="M306" s="4"/>
      <c r="N306" s="4"/>
      <c r="O306" s="4"/>
      <c r="P306" s="2"/>
      <c r="Q306" s="4"/>
      <c r="R306" s="4"/>
      <c r="S306" s="4"/>
      <c r="T306" s="4"/>
      <c r="U306" s="4"/>
      <c r="V306" s="4"/>
      <c r="W306" s="900"/>
      <c r="X306" s="697"/>
    </row>
    <row r="307">
      <c r="L307" s="4"/>
      <c r="M307" s="4"/>
      <c r="N307" s="4"/>
      <c r="O307" s="4"/>
      <c r="P307" s="2"/>
      <c r="Q307" s="4"/>
      <c r="R307" s="4"/>
      <c r="S307" s="4"/>
      <c r="T307" s="4"/>
      <c r="U307" s="4"/>
      <c r="V307" s="4"/>
      <c r="W307" s="900"/>
      <c r="X307" s="697"/>
    </row>
    <row r="308">
      <c r="L308" s="4"/>
      <c r="M308" s="4"/>
      <c r="N308" s="4"/>
      <c r="O308" s="4"/>
      <c r="P308" s="2"/>
      <c r="Q308" s="4"/>
      <c r="R308" s="4"/>
      <c r="S308" s="4"/>
      <c r="T308" s="4"/>
      <c r="U308" s="4"/>
      <c r="V308" s="4"/>
      <c r="W308" s="900"/>
      <c r="X308" s="697"/>
    </row>
    <row r="309">
      <c r="L309" s="4"/>
      <c r="M309" s="4"/>
      <c r="N309" s="4"/>
      <c r="O309" s="4"/>
      <c r="P309" s="2"/>
      <c r="Q309" s="4"/>
      <c r="R309" s="4"/>
      <c r="S309" s="4"/>
      <c r="T309" s="4"/>
      <c r="U309" s="4"/>
      <c r="V309" s="4"/>
      <c r="W309" s="900"/>
      <c r="X309" s="697"/>
    </row>
    <row r="310">
      <c r="L310" s="4"/>
      <c r="M310" s="4"/>
      <c r="N310" s="4"/>
      <c r="O310" s="4"/>
      <c r="P310" s="2"/>
      <c r="Q310" s="4"/>
      <c r="R310" s="4"/>
      <c r="S310" s="4"/>
      <c r="T310" s="4"/>
      <c r="U310" s="4"/>
      <c r="V310" s="4"/>
      <c r="W310" s="900"/>
      <c r="X310" s="697"/>
    </row>
    <row r="311">
      <c r="L311" s="4"/>
      <c r="M311" s="4"/>
      <c r="N311" s="4"/>
      <c r="O311" s="4"/>
      <c r="P311" s="2"/>
      <c r="Q311" s="4"/>
      <c r="R311" s="4"/>
      <c r="S311" s="4"/>
      <c r="T311" s="4"/>
      <c r="U311" s="4"/>
      <c r="V311" s="4"/>
      <c r="W311" s="900"/>
      <c r="X311" s="697"/>
    </row>
    <row r="312">
      <c r="L312" s="4"/>
      <c r="M312" s="4"/>
      <c r="N312" s="4"/>
      <c r="O312" s="4"/>
      <c r="P312" s="2"/>
      <c r="Q312" s="4"/>
      <c r="R312" s="4"/>
      <c r="S312" s="4"/>
      <c r="T312" s="4"/>
      <c r="U312" s="4"/>
      <c r="V312" s="4"/>
      <c r="W312" s="900"/>
      <c r="X312" s="697"/>
    </row>
    <row r="313">
      <c r="L313" s="4"/>
      <c r="M313" s="4"/>
      <c r="N313" s="4"/>
      <c r="O313" s="4"/>
      <c r="P313" s="2"/>
      <c r="Q313" s="4"/>
      <c r="R313" s="4"/>
      <c r="S313" s="4"/>
      <c r="T313" s="4"/>
      <c r="U313" s="4"/>
      <c r="V313" s="4"/>
      <c r="W313" s="900"/>
      <c r="X313" s="697"/>
    </row>
    <row r="314">
      <c r="L314" s="4"/>
      <c r="M314" s="4"/>
      <c r="N314" s="4"/>
      <c r="O314" s="4"/>
      <c r="P314" s="2"/>
      <c r="Q314" s="4"/>
      <c r="R314" s="4"/>
      <c r="S314" s="4"/>
      <c r="T314" s="4"/>
      <c r="U314" s="4"/>
      <c r="V314" s="4"/>
      <c r="W314" s="900"/>
      <c r="X314" s="697"/>
    </row>
    <row r="315">
      <c r="L315" s="4"/>
      <c r="M315" s="4"/>
      <c r="N315" s="4"/>
      <c r="O315" s="4"/>
      <c r="P315" s="2"/>
      <c r="Q315" s="4"/>
      <c r="R315" s="4"/>
      <c r="S315" s="4"/>
      <c r="T315" s="4"/>
      <c r="U315" s="4"/>
      <c r="V315" s="4"/>
      <c r="W315" s="900"/>
      <c r="X315" s="697"/>
    </row>
    <row r="316">
      <c r="L316" s="4"/>
      <c r="M316" s="4"/>
      <c r="N316" s="4"/>
      <c r="O316" s="4"/>
      <c r="P316" s="2"/>
      <c r="Q316" s="4"/>
      <c r="R316" s="4"/>
      <c r="S316" s="4"/>
      <c r="T316" s="4"/>
      <c r="U316" s="4"/>
      <c r="V316" s="4"/>
      <c r="W316" s="900"/>
      <c r="X316" s="697"/>
    </row>
    <row r="317">
      <c r="L317" s="4"/>
      <c r="M317" s="4"/>
      <c r="N317" s="4"/>
      <c r="O317" s="4"/>
      <c r="P317" s="2"/>
      <c r="Q317" s="4"/>
      <c r="R317" s="4"/>
      <c r="S317" s="4"/>
      <c r="T317" s="4"/>
      <c r="U317" s="4"/>
      <c r="V317" s="4"/>
      <c r="W317" s="900"/>
      <c r="X317" s="697"/>
    </row>
    <row r="318">
      <c r="L318" s="4"/>
      <c r="M318" s="4"/>
      <c r="N318" s="4"/>
      <c r="O318" s="4"/>
      <c r="P318" s="2"/>
      <c r="Q318" s="4"/>
      <c r="R318" s="4"/>
      <c r="S318" s="4"/>
      <c r="T318" s="4"/>
      <c r="U318" s="4"/>
      <c r="V318" s="4"/>
      <c r="W318" s="900"/>
      <c r="X318" s="697"/>
    </row>
    <row r="319">
      <c r="L319" s="4"/>
      <c r="M319" s="4"/>
      <c r="N319" s="4"/>
      <c r="O319" s="4"/>
      <c r="P319" s="2"/>
      <c r="Q319" s="4"/>
      <c r="R319" s="4"/>
      <c r="S319" s="4"/>
      <c r="T319" s="4"/>
      <c r="U319" s="4"/>
      <c r="V319" s="4"/>
      <c r="W319" s="900"/>
      <c r="X319" s="697"/>
    </row>
    <row r="320">
      <c r="L320" s="4"/>
      <c r="M320" s="4"/>
      <c r="N320" s="4"/>
      <c r="O320" s="4"/>
      <c r="P320" s="2"/>
      <c r="Q320" s="4"/>
      <c r="R320" s="4"/>
      <c r="S320" s="4"/>
      <c r="T320" s="4"/>
      <c r="U320" s="4"/>
      <c r="V320" s="4"/>
      <c r="W320" s="900"/>
      <c r="X320" s="697"/>
    </row>
    <row r="321">
      <c r="L321" s="4"/>
      <c r="M321" s="4"/>
      <c r="N321" s="4"/>
      <c r="O321" s="4"/>
      <c r="P321" s="2"/>
      <c r="Q321" s="4"/>
      <c r="R321" s="4"/>
      <c r="S321" s="4"/>
      <c r="T321" s="4"/>
      <c r="U321" s="4"/>
      <c r="V321" s="4"/>
      <c r="W321" s="900"/>
      <c r="X321" s="697"/>
    </row>
    <row r="322">
      <c r="L322" s="4"/>
      <c r="M322" s="4"/>
      <c r="N322" s="4"/>
      <c r="O322" s="4"/>
      <c r="P322" s="2"/>
      <c r="Q322" s="4"/>
      <c r="R322" s="4"/>
      <c r="S322" s="4"/>
      <c r="T322" s="4"/>
      <c r="U322" s="4"/>
      <c r="V322" s="4"/>
      <c r="W322" s="900"/>
      <c r="X322" s="697"/>
    </row>
    <row r="323">
      <c r="L323" s="4"/>
      <c r="M323" s="4"/>
      <c r="N323" s="4"/>
      <c r="O323" s="4"/>
      <c r="P323" s="2"/>
      <c r="Q323" s="4"/>
      <c r="R323" s="4"/>
      <c r="S323" s="4"/>
      <c r="T323" s="4"/>
      <c r="U323" s="4"/>
      <c r="V323" s="4"/>
      <c r="W323" s="900"/>
      <c r="X323" s="697"/>
    </row>
    <row r="324">
      <c r="L324" s="4"/>
      <c r="M324" s="4"/>
      <c r="N324" s="4"/>
      <c r="O324" s="4"/>
      <c r="P324" s="2"/>
      <c r="Q324" s="4"/>
      <c r="R324" s="4"/>
      <c r="S324" s="4"/>
      <c r="T324" s="4"/>
      <c r="U324" s="4"/>
      <c r="V324" s="4"/>
      <c r="W324" s="900"/>
      <c r="X324" s="697"/>
    </row>
    <row r="325">
      <c r="L325" s="4"/>
      <c r="M325" s="4"/>
      <c r="N325" s="4"/>
      <c r="O325" s="4"/>
      <c r="P325" s="2"/>
      <c r="Q325" s="4"/>
      <c r="R325" s="4"/>
      <c r="S325" s="4"/>
      <c r="T325" s="4"/>
      <c r="U325" s="4"/>
      <c r="V325" s="4"/>
      <c r="W325" s="900"/>
      <c r="X325" s="697"/>
    </row>
    <row r="326">
      <c r="L326" s="4"/>
      <c r="M326" s="4"/>
      <c r="N326" s="4"/>
      <c r="O326" s="4"/>
      <c r="P326" s="2"/>
      <c r="Q326" s="4"/>
      <c r="R326" s="4"/>
      <c r="S326" s="4"/>
      <c r="T326" s="4"/>
      <c r="U326" s="4"/>
      <c r="V326" s="4"/>
      <c r="W326" s="900"/>
      <c r="X326" s="697"/>
    </row>
    <row r="327">
      <c r="L327" s="4"/>
      <c r="M327" s="4"/>
      <c r="N327" s="4"/>
      <c r="O327" s="4"/>
      <c r="P327" s="2"/>
      <c r="Q327" s="4"/>
      <c r="R327" s="4"/>
      <c r="S327" s="4"/>
      <c r="T327" s="4"/>
      <c r="U327" s="4"/>
      <c r="V327" s="4"/>
      <c r="W327" s="900"/>
      <c r="X327" s="697"/>
    </row>
    <row r="328">
      <c r="L328" s="4"/>
      <c r="M328" s="4"/>
      <c r="N328" s="4"/>
      <c r="O328" s="4"/>
      <c r="P328" s="2"/>
      <c r="Q328" s="4"/>
      <c r="R328" s="4"/>
      <c r="S328" s="4"/>
      <c r="T328" s="4"/>
      <c r="U328" s="4"/>
      <c r="V328" s="4"/>
      <c r="W328" s="900"/>
      <c r="X328" s="697"/>
    </row>
    <row r="329">
      <c r="L329" s="4"/>
      <c r="M329" s="4"/>
      <c r="N329" s="4"/>
      <c r="O329" s="4"/>
      <c r="P329" s="2"/>
      <c r="Q329" s="4"/>
      <c r="R329" s="4"/>
      <c r="S329" s="4"/>
      <c r="T329" s="4"/>
      <c r="U329" s="4"/>
      <c r="V329" s="4"/>
      <c r="W329" s="900"/>
      <c r="X329" s="697"/>
    </row>
    <row r="330">
      <c r="L330" s="4"/>
      <c r="M330" s="4"/>
      <c r="N330" s="4"/>
      <c r="O330" s="4"/>
      <c r="P330" s="2"/>
      <c r="Q330" s="4"/>
      <c r="R330" s="4"/>
      <c r="S330" s="4"/>
      <c r="T330" s="4"/>
      <c r="U330" s="4"/>
      <c r="V330" s="4"/>
      <c r="W330" s="900"/>
      <c r="X330" s="697"/>
    </row>
    <row r="331">
      <c r="L331" s="4"/>
      <c r="M331" s="4"/>
      <c r="N331" s="4"/>
      <c r="O331" s="4"/>
      <c r="P331" s="2"/>
      <c r="Q331" s="4"/>
      <c r="R331" s="4"/>
      <c r="S331" s="4"/>
      <c r="T331" s="4"/>
      <c r="U331" s="4"/>
      <c r="V331" s="4"/>
      <c r="W331" s="900"/>
      <c r="X331" s="697"/>
    </row>
    <row r="332">
      <c r="L332" s="4"/>
      <c r="M332" s="4"/>
      <c r="N332" s="4"/>
      <c r="O332" s="4"/>
      <c r="P332" s="2"/>
      <c r="Q332" s="4"/>
      <c r="R332" s="4"/>
      <c r="S332" s="4"/>
      <c r="T332" s="4"/>
      <c r="U332" s="4"/>
      <c r="V332" s="4"/>
      <c r="W332" s="900"/>
      <c r="X332" s="697"/>
    </row>
    <row r="333">
      <c r="L333" s="4"/>
      <c r="M333" s="4"/>
      <c r="N333" s="4"/>
      <c r="O333" s="4"/>
      <c r="P333" s="2"/>
      <c r="Q333" s="4"/>
      <c r="R333" s="4"/>
      <c r="S333" s="4"/>
      <c r="T333" s="4"/>
      <c r="U333" s="4"/>
      <c r="V333" s="4"/>
      <c r="W333" s="900"/>
      <c r="X333" s="697"/>
    </row>
    <row r="334">
      <c r="L334" s="4"/>
      <c r="M334" s="4"/>
      <c r="N334" s="4"/>
      <c r="O334" s="4"/>
      <c r="P334" s="2"/>
      <c r="Q334" s="4"/>
      <c r="R334" s="4"/>
      <c r="S334" s="4"/>
      <c r="T334" s="4"/>
      <c r="U334" s="4"/>
      <c r="V334" s="4"/>
      <c r="W334" s="900"/>
      <c r="X334" s="697"/>
    </row>
    <row r="335">
      <c r="L335" s="4"/>
      <c r="M335" s="4"/>
      <c r="N335" s="4"/>
      <c r="O335" s="4"/>
      <c r="P335" s="2"/>
      <c r="Q335" s="4"/>
      <c r="R335" s="4"/>
      <c r="S335" s="4"/>
      <c r="T335" s="4"/>
      <c r="U335" s="4"/>
      <c r="V335" s="4"/>
      <c r="W335" s="900"/>
      <c r="X335" s="697"/>
    </row>
    <row r="336">
      <c r="L336" s="4"/>
      <c r="M336" s="4"/>
      <c r="N336" s="4"/>
      <c r="O336" s="4"/>
      <c r="P336" s="2"/>
      <c r="Q336" s="4"/>
      <c r="R336" s="4"/>
      <c r="S336" s="4"/>
      <c r="T336" s="4"/>
      <c r="U336" s="4"/>
      <c r="V336" s="4"/>
      <c r="W336" s="900"/>
      <c r="X336" s="697"/>
    </row>
    <row r="337">
      <c r="L337" s="4"/>
      <c r="M337" s="4"/>
      <c r="N337" s="4"/>
      <c r="O337" s="4"/>
      <c r="P337" s="2"/>
      <c r="Q337" s="4"/>
      <c r="R337" s="4"/>
      <c r="S337" s="4"/>
      <c r="T337" s="4"/>
      <c r="U337" s="4"/>
      <c r="V337" s="4"/>
      <c r="W337" s="900"/>
      <c r="X337" s="697"/>
    </row>
    <row r="338">
      <c r="L338" s="4"/>
      <c r="M338" s="4"/>
      <c r="N338" s="4"/>
      <c r="O338" s="4"/>
      <c r="P338" s="2"/>
      <c r="Q338" s="4"/>
      <c r="R338" s="4"/>
      <c r="S338" s="4"/>
      <c r="T338" s="4"/>
      <c r="U338" s="4"/>
      <c r="V338" s="4"/>
      <c r="W338" s="900"/>
      <c r="X338" s="697"/>
    </row>
    <row r="339">
      <c r="L339" s="4"/>
      <c r="M339" s="4"/>
      <c r="N339" s="4"/>
      <c r="O339" s="4"/>
      <c r="P339" s="2"/>
      <c r="Q339" s="4"/>
      <c r="R339" s="4"/>
      <c r="S339" s="4"/>
      <c r="T339" s="4"/>
      <c r="U339" s="4"/>
      <c r="V339" s="4"/>
      <c r="W339" s="900"/>
      <c r="X339" s="697"/>
    </row>
    <row r="340">
      <c r="L340" s="4"/>
      <c r="M340" s="4"/>
      <c r="N340" s="4"/>
      <c r="O340" s="4"/>
      <c r="P340" s="2"/>
      <c r="Q340" s="4"/>
      <c r="R340" s="4"/>
      <c r="S340" s="4"/>
      <c r="T340" s="4"/>
      <c r="U340" s="4"/>
      <c r="V340" s="4"/>
      <c r="W340" s="900"/>
      <c r="X340" s="697"/>
    </row>
    <row r="341">
      <c r="L341" s="4"/>
      <c r="M341" s="4"/>
      <c r="N341" s="4"/>
      <c r="O341" s="4"/>
      <c r="P341" s="2"/>
      <c r="Q341" s="4"/>
      <c r="R341" s="4"/>
      <c r="S341" s="4"/>
      <c r="T341" s="4"/>
      <c r="U341" s="4"/>
      <c r="V341" s="4"/>
      <c r="W341" s="900"/>
      <c r="X341" s="697"/>
    </row>
    <row r="342">
      <c r="L342" s="4"/>
      <c r="M342" s="4"/>
      <c r="N342" s="4"/>
      <c r="O342" s="4"/>
      <c r="P342" s="2"/>
      <c r="Q342" s="4"/>
      <c r="R342" s="4"/>
      <c r="S342" s="4"/>
      <c r="T342" s="4"/>
      <c r="U342" s="4"/>
      <c r="V342" s="4"/>
      <c r="W342" s="900"/>
      <c r="X342" s="697"/>
    </row>
    <row r="343">
      <c r="L343" s="4"/>
      <c r="M343" s="4"/>
      <c r="N343" s="4"/>
      <c r="O343" s="4"/>
      <c r="P343" s="2"/>
      <c r="Q343" s="4"/>
      <c r="R343" s="4"/>
      <c r="S343" s="4"/>
      <c r="T343" s="4"/>
      <c r="U343" s="4"/>
      <c r="V343" s="4"/>
      <c r="W343" s="900"/>
      <c r="X343" s="697"/>
    </row>
    <row r="344">
      <c r="L344" s="4"/>
      <c r="M344" s="4"/>
      <c r="N344" s="4"/>
      <c r="O344" s="4"/>
      <c r="P344" s="2"/>
      <c r="Q344" s="4"/>
      <c r="R344" s="4"/>
      <c r="S344" s="4"/>
      <c r="T344" s="4"/>
      <c r="U344" s="4"/>
      <c r="V344" s="4"/>
      <c r="W344" s="900"/>
      <c r="X344" s="697"/>
    </row>
    <row r="345">
      <c r="L345" s="4"/>
      <c r="M345" s="4"/>
      <c r="N345" s="4"/>
      <c r="O345" s="4"/>
      <c r="P345" s="2"/>
      <c r="Q345" s="4"/>
      <c r="R345" s="4"/>
      <c r="S345" s="4"/>
      <c r="T345" s="4"/>
      <c r="U345" s="4"/>
      <c r="V345" s="4"/>
      <c r="W345" s="900"/>
      <c r="X345" s="697"/>
    </row>
    <row r="346">
      <c r="L346" s="4"/>
      <c r="M346" s="4"/>
      <c r="N346" s="4"/>
      <c r="O346" s="4"/>
      <c r="P346" s="2"/>
      <c r="Q346" s="4"/>
      <c r="R346" s="4"/>
      <c r="S346" s="4"/>
      <c r="T346" s="4"/>
      <c r="U346" s="4"/>
      <c r="V346" s="4"/>
      <c r="W346" s="900"/>
      <c r="X346" s="697"/>
    </row>
    <row r="347">
      <c r="L347" s="4"/>
      <c r="M347" s="4"/>
      <c r="N347" s="4"/>
      <c r="O347" s="4"/>
      <c r="P347" s="2"/>
      <c r="Q347" s="4"/>
      <c r="R347" s="4"/>
      <c r="S347" s="4"/>
      <c r="T347" s="4"/>
      <c r="U347" s="4"/>
      <c r="V347" s="4"/>
      <c r="W347" s="900"/>
      <c r="X347" s="697"/>
    </row>
    <row r="348">
      <c r="L348" s="4"/>
      <c r="M348" s="4"/>
      <c r="N348" s="4"/>
      <c r="O348" s="4"/>
      <c r="P348" s="2"/>
      <c r="Q348" s="4"/>
      <c r="R348" s="4"/>
      <c r="S348" s="4"/>
      <c r="T348" s="4"/>
      <c r="U348" s="4"/>
      <c r="V348" s="4"/>
      <c r="W348" s="900"/>
      <c r="X348" s="697"/>
    </row>
    <row r="349">
      <c r="L349" s="4"/>
      <c r="M349" s="4"/>
      <c r="N349" s="4"/>
      <c r="O349" s="4"/>
      <c r="P349" s="2"/>
      <c r="Q349" s="4"/>
      <c r="R349" s="4"/>
      <c r="S349" s="4"/>
      <c r="T349" s="4"/>
      <c r="U349" s="4"/>
      <c r="V349" s="4"/>
      <c r="W349" s="900"/>
      <c r="X349" s="697"/>
    </row>
    <row r="350">
      <c r="L350" s="4"/>
      <c r="M350" s="4"/>
      <c r="N350" s="4"/>
      <c r="O350" s="4"/>
      <c r="P350" s="2"/>
      <c r="Q350" s="4"/>
      <c r="R350" s="4"/>
      <c r="S350" s="4"/>
      <c r="T350" s="4"/>
      <c r="U350" s="4"/>
      <c r="V350" s="4"/>
      <c r="W350" s="900"/>
      <c r="X350" s="697"/>
    </row>
    <row r="351">
      <c r="L351" s="4"/>
      <c r="M351" s="4"/>
      <c r="N351" s="4"/>
      <c r="O351" s="4"/>
      <c r="P351" s="2"/>
      <c r="Q351" s="4"/>
      <c r="R351" s="4"/>
      <c r="S351" s="4"/>
      <c r="T351" s="4"/>
      <c r="U351" s="4"/>
      <c r="V351" s="4"/>
      <c r="W351" s="900"/>
      <c r="X351" s="697"/>
    </row>
    <row r="352">
      <c r="L352" s="4"/>
      <c r="M352" s="4"/>
      <c r="N352" s="4"/>
      <c r="O352" s="4"/>
      <c r="P352" s="2"/>
      <c r="Q352" s="4"/>
      <c r="R352" s="4"/>
      <c r="S352" s="4"/>
      <c r="T352" s="4"/>
      <c r="U352" s="4"/>
      <c r="V352" s="4"/>
      <c r="W352" s="900"/>
      <c r="X352" s="697"/>
    </row>
    <row r="353">
      <c r="L353" s="4"/>
      <c r="M353" s="4"/>
      <c r="N353" s="4"/>
      <c r="O353" s="4"/>
      <c r="P353" s="2"/>
      <c r="Q353" s="4"/>
      <c r="R353" s="4"/>
      <c r="S353" s="4"/>
      <c r="T353" s="4"/>
      <c r="U353" s="4"/>
      <c r="V353" s="4"/>
      <c r="W353" s="900"/>
      <c r="X353" s="697"/>
    </row>
    <row r="354">
      <c r="L354" s="4"/>
      <c r="M354" s="4"/>
      <c r="N354" s="4"/>
      <c r="O354" s="4"/>
      <c r="P354" s="2"/>
      <c r="Q354" s="4"/>
      <c r="R354" s="4"/>
      <c r="S354" s="4"/>
      <c r="T354" s="4"/>
      <c r="U354" s="4"/>
      <c r="V354" s="4"/>
      <c r="W354" s="900"/>
      <c r="X354" s="697"/>
    </row>
    <row r="355">
      <c r="L355" s="4"/>
      <c r="M355" s="4"/>
      <c r="N355" s="4"/>
      <c r="O355" s="4"/>
      <c r="P355" s="2"/>
      <c r="Q355" s="4"/>
      <c r="R355" s="4"/>
      <c r="S355" s="4"/>
      <c r="T355" s="4"/>
      <c r="U355" s="4"/>
      <c r="V355" s="4"/>
      <c r="W355" s="900"/>
      <c r="X355" s="697"/>
    </row>
    <row r="356">
      <c r="L356" s="4"/>
      <c r="M356" s="4"/>
      <c r="N356" s="4"/>
      <c r="O356" s="4"/>
      <c r="P356" s="2"/>
      <c r="Q356" s="4"/>
      <c r="R356" s="4"/>
      <c r="S356" s="4"/>
      <c r="T356" s="4"/>
      <c r="U356" s="4"/>
      <c r="V356" s="4"/>
      <c r="W356" s="900"/>
      <c r="X356" s="697"/>
    </row>
    <row r="357">
      <c r="L357" s="4"/>
      <c r="M357" s="4"/>
      <c r="N357" s="4"/>
      <c r="O357" s="4"/>
      <c r="P357" s="2"/>
      <c r="Q357" s="4"/>
      <c r="R357" s="4"/>
      <c r="S357" s="4"/>
      <c r="T357" s="4"/>
      <c r="U357" s="4"/>
      <c r="V357" s="4"/>
      <c r="W357" s="900"/>
      <c r="X357" s="697"/>
    </row>
    <row r="358">
      <c r="L358" s="4"/>
      <c r="M358" s="4"/>
      <c r="N358" s="4"/>
      <c r="O358" s="4"/>
      <c r="P358" s="2"/>
      <c r="Q358" s="4"/>
      <c r="R358" s="4"/>
      <c r="S358" s="4"/>
      <c r="T358" s="4"/>
      <c r="U358" s="4"/>
      <c r="V358" s="4"/>
      <c r="W358" s="900"/>
      <c r="X358" s="697"/>
    </row>
    <row r="359">
      <c r="L359" s="4"/>
      <c r="M359" s="4"/>
      <c r="N359" s="4"/>
      <c r="O359" s="4"/>
      <c r="P359" s="2"/>
      <c r="Q359" s="4"/>
      <c r="R359" s="4"/>
      <c r="S359" s="4"/>
      <c r="T359" s="4"/>
      <c r="U359" s="4"/>
      <c r="V359" s="4"/>
      <c r="W359" s="900"/>
      <c r="X359" s="697"/>
    </row>
    <row r="360">
      <c r="L360" s="4"/>
      <c r="M360" s="4"/>
      <c r="N360" s="4"/>
      <c r="O360" s="4"/>
      <c r="P360" s="2"/>
      <c r="Q360" s="4"/>
      <c r="R360" s="4"/>
      <c r="S360" s="4"/>
      <c r="T360" s="4"/>
      <c r="U360" s="4"/>
      <c r="V360" s="4"/>
      <c r="W360" s="900"/>
      <c r="X360" s="697"/>
    </row>
    <row r="361">
      <c r="L361" s="4"/>
      <c r="M361" s="4"/>
      <c r="N361" s="4"/>
      <c r="O361" s="4"/>
      <c r="P361" s="2"/>
      <c r="Q361" s="4"/>
      <c r="R361" s="4"/>
      <c r="S361" s="4"/>
      <c r="T361" s="4"/>
      <c r="U361" s="4"/>
      <c r="V361" s="4"/>
      <c r="W361" s="900"/>
      <c r="X361" s="697"/>
    </row>
    <row r="362">
      <c r="L362" s="4"/>
      <c r="M362" s="4"/>
      <c r="N362" s="4"/>
      <c r="O362" s="4"/>
      <c r="P362" s="2"/>
      <c r="Q362" s="4"/>
      <c r="R362" s="4"/>
      <c r="S362" s="4"/>
      <c r="T362" s="4"/>
      <c r="U362" s="4"/>
      <c r="V362" s="4"/>
      <c r="W362" s="900"/>
      <c r="X362" s="697"/>
    </row>
    <row r="363">
      <c r="L363" s="4"/>
      <c r="M363" s="4"/>
      <c r="N363" s="4"/>
      <c r="O363" s="4"/>
      <c r="P363" s="2"/>
      <c r="Q363" s="4"/>
      <c r="R363" s="4"/>
      <c r="S363" s="4"/>
      <c r="T363" s="4"/>
      <c r="U363" s="4"/>
      <c r="V363" s="4"/>
      <c r="W363" s="900"/>
      <c r="X363" s="697"/>
    </row>
    <row r="364">
      <c r="L364" s="4"/>
      <c r="M364" s="4"/>
      <c r="N364" s="4"/>
      <c r="O364" s="4"/>
      <c r="P364" s="2"/>
      <c r="Q364" s="4"/>
      <c r="R364" s="4"/>
      <c r="S364" s="4"/>
      <c r="T364" s="4"/>
      <c r="U364" s="4"/>
      <c r="V364" s="4"/>
      <c r="W364" s="900"/>
      <c r="X364" s="697"/>
    </row>
    <row r="365">
      <c r="L365" s="4"/>
      <c r="M365" s="4"/>
      <c r="N365" s="4"/>
      <c r="O365" s="4"/>
      <c r="P365" s="2"/>
      <c r="Q365" s="4"/>
      <c r="R365" s="4"/>
      <c r="S365" s="4"/>
      <c r="T365" s="4"/>
      <c r="U365" s="4"/>
      <c r="V365" s="4"/>
      <c r="W365" s="900"/>
      <c r="X365" s="697"/>
    </row>
    <row r="366">
      <c r="L366" s="4"/>
      <c r="M366" s="4"/>
      <c r="N366" s="4"/>
      <c r="O366" s="4"/>
      <c r="P366" s="2"/>
      <c r="Q366" s="4"/>
      <c r="R366" s="4"/>
      <c r="S366" s="4"/>
      <c r="T366" s="4"/>
      <c r="U366" s="4"/>
      <c r="V366" s="4"/>
      <c r="W366" s="900"/>
      <c r="X366" s="697"/>
    </row>
    <row r="367">
      <c r="L367" s="4"/>
      <c r="M367" s="4"/>
      <c r="N367" s="4"/>
      <c r="O367" s="4"/>
      <c r="P367" s="2"/>
      <c r="Q367" s="4"/>
      <c r="R367" s="4"/>
      <c r="S367" s="4"/>
      <c r="T367" s="4"/>
      <c r="U367" s="4"/>
      <c r="V367" s="4"/>
      <c r="W367" s="900"/>
      <c r="X367" s="697"/>
    </row>
    <row r="368">
      <c r="L368" s="4"/>
      <c r="M368" s="4"/>
      <c r="N368" s="4"/>
      <c r="O368" s="4"/>
      <c r="P368" s="2"/>
      <c r="Q368" s="4"/>
      <c r="R368" s="4"/>
      <c r="S368" s="4"/>
      <c r="T368" s="4"/>
      <c r="U368" s="4"/>
      <c r="V368" s="4"/>
      <c r="W368" s="900"/>
      <c r="X368" s="697"/>
    </row>
    <row r="369">
      <c r="L369" s="4"/>
      <c r="M369" s="4"/>
      <c r="N369" s="4"/>
      <c r="O369" s="4"/>
      <c r="P369" s="2"/>
      <c r="Q369" s="4"/>
      <c r="R369" s="4"/>
      <c r="S369" s="4"/>
      <c r="T369" s="4"/>
      <c r="U369" s="4"/>
      <c r="V369" s="4"/>
      <c r="W369" s="900"/>
      <c r="X369" s="697"/>
    </row>
    <row r="370">
      <c r="L370" s="4"/>
      <c r="M370" s="4"/>
      <c r="N370" s="4"/>
      <c r="O370" s="4"/>
      <c r="P370" s="2"/>
      <c r="Q370" s="4"/>
      <c r="R370" s="4"/>
      <c r="S370" s="4"/>
      <c r="T370" s="4"/>
      <c r="U370" s="4"/>
      <c r="V370" s="4"/>
      <c r="W370" s="900"/>
      <c r="X370" s="697"/>
    </row>
    <row r="371">
      <c r="L371" s="4"/>
      <c r="M371" s="4"/>
      <c r="N371" s="4"/>
      <c r="O371" s="4"/>
      <c r="P371" s="2"/>
      <c r="Q371" s="4"/>
      <c r="R371" s="4"/>
      <c r="S371" s="4"/>
      <c r="T371" s="4"/>
      <c r="U371" s="4"/>
      <c r="V371" s="4"/>
      <c r="W371" s="900"/>
      <c r="X371" s="697"/>
    </row>
    <row r="372">
      <c r="L372" s="4"/>
      <c r="M372" s="4"/>
      <c r="N372" s="4"/>
      <c r="O372" s="4"/>
      <c r="P372" s="2"/>
      <c r="Q372" s="4"/>
      <c r="R372" s="4"/>
      <c r="S372" s="4"/>
      <c r="T372" s="4"/>
      <c r="U372" s="4"/>
      <c r="V372" s="4"/>
      <c r="W372" s="900"/>
      <c r="X372" s="697"/>
    </row>
    <row r="373">
      <c r="L373" s="4"/>
      <c r="M373" s="4"/>
      <c r="N373" s="4"/>
      <c r="O373" s="4"/>
      <c r="P373" s="2"/>
      <c r="Q373" s="4"/>
      <c r="R373" s="4"/>
      <c r="S373" s="4"/>
      <c r="T373" s="4"/>
      <c r="U373" s="4"/>
      <c r="V373" s="4"/>
      <c r="W373" s="900"/>
      <c r="X373" s="697"/>
    </row>
    <row r="374">
      <c r="L374" s="4"/>
      <c r="M374" s="4"/>
      <c r="N374" s="4"/>
      <c r="O374" s="4"/>
      <c r="P374" s="2"/>
      <c r="Q374" s="4"/>
      <c r="R374" s="4"/>
      <c r="S374" s="4"/>
      <c r="T374" s="4"/>
      <c r="U374" s="4"/>
      <c r="V374" s="4"/>
      <c r="W374" s="900"/>
      <c r="X374" s="697"/>
    </row>
    <row r="375">
      <c r="L375" s="4"/>
      <c r="M375" s="4"/>
      <c r="N375" s="4"/>
      <c r="O375" s="4"/>
      <c r="P375" s="2"/>
      <c r="Q375" s="4"/>
      <c r="R375" s="4"/>
      <c r="S375" s="4"/>
      <c r="T375" s="4"/>
      <c r="U375" s="4"/>
      <c r="V375" s="4"/>
      <c r="W375" s="900"/>
      <c r="X375" s="697"/>
    </row>
    <row r="376">
      <c r="L376" s="4"/>
      <c r="M376" s="4"/>
      <c r="N376" s="4"/>
      <c r="O376" s="4"/>
      <c r="P376" s="2"/>
      <c r="Q376" s="4"/>
      <c r="R376" s="4"/>
      <c r="S376" s="4"/>
      <c r="T376" s="4"/>
      <c r="U376" s="4"/>
      <c r="V376" s="4"/>
      <c r="W376" s="900"/>
      <c r="X376" s="697"/>
    </row>
    <row r="377">
      <c r="L377" s="4"/>
      <c r="M377" s="4"/>
      <c r="N377" s="4"/>
      <c r="O377" s="4"/>
      <c r="P377" s="2"/>
      <c r="Q377" s="4"/>
      <c r="R377" s="4"/>
      <c r="S377" s="4"/>
      <c r="T377" s="4"/>
      <c r="U377" s="4"/>
      <c r="V377" s="4"/>
      <c r="W377" s="900"/>
      <c r="X377" s="697"/>
    </row>
    <row r="378">
      <c r="L378" s="4"/>
      <c r="M378" s="4"/>
      <c r="N378" s="4"/>
      <c r="O378" s="4"/>
      <c r="P378" s="2"/>
      <c r="Q378" s="4"/>
      <c r="R378" s="4"/>
      <c r="S378" s="4"/>
      <c r="T378" s="4"/>
      <c r="U378" s="4"/>
      <c r="V378" s="4"/>
      <c r="W378" s="900"/>
      <c r="X378" s="697"/>
    </row>
    <row r="379">
      <c r="L379" s="4"/>
      <c r="M379" s="4"/>
      <c r="N379" s="4"/>
      <c r="O379" s="4"/>
      <c r="P379" s="2"/>
      <c r="Q379" s="4"/>
      <c r="R379" s="4"/>
      <c r="S379" s="4"/>
      <c r="T379" s="4"/>
      <c r="U379" s="4"/>
      <c r="V379" s="4"/>
      <c r="W379" s="900"/>
      <c r="X379" s="697"/>
    </row>
    <row r="380">
      <c r="L380" s="4"/>
      <c r="M380" s="4"/>
      <c r="N380" s="4"/>
      <c r="O380" s="4"/>
      <c r="P380" s="2"/>
      <c r="Q380" s="4"/>
      <c r="R380" s="4"/>
      <c r="S380" s="4"/>
      <c r="T380" s="4"/>
      <c r="U380" s="4"/>
      <c r="V380" s="4"/>
      <c r="W380" s="900"/>
      <c r="X380" s="697"/>
    </row>
    <row r="381">
      <c r="L381" s="4"/>
      <c r="M381" s="4"/>
      <c r="N381" s="4"/>
      <c r="O381" s="4"/>
      <c r="P381" s="2"/>
      <c r="Q381" s="4"/>
      <c r="R381" s="4"/>
      <c r="S381" s="4"/>
      <c r="T381" s="4"/>
      <c r="U381" s="4"/>
      <c r="V381" s="4"/>
      <c r="W381" s="900"/>
      <c r="X381" s="697"/>
    </row>
    <row r="382">
      <c r="L382" s="4"/>
      <c r="M382" s="4"/>
      <c r="N382" s="4"/>
      <c r="O382" s="4"/>
      <c r="P382" s="2"/>
      <c r="Q382" s="4"/>
      <c r="R382" s="4"/>
      <c r="S382" s="4"/>
      <c r="T382" s="4"/>
      <c r="U382" s="4"/>
      <c r="V382" s="4"/>
      <c r="W382" s="900"/>
      <c r="X382" s="697"/>
    </row>
    <row r="383">
      <c r="L383" s="4"/>
      <c r="M383" s="4"/>
      <c r="N383" s="4"/>
      <c r="O383" s="4"/>
      <c r="P383" s="2"/>
      <c r="Q383" s="4"/>
      <c r="R383" s="4"/>
      <c r="S383" s="4"/>
      <c r="T383" s="4"/>
      <c r="U383" s="4"/>
      <c r="V383" s="4"/>
      <c r="W383" s="900"/>
      <c r="X383" s="697"/>
    </row>
    <row r="384">
      <c r="L384" s="4"/>
      <c r="M384" s="4"/>
      <c r="N384" s="4"/>
      <c r="O384" s="4"/>
      <c r="P384" s="2"/>
      <c r="Q384" s="4"/>
      <c r="R384" s="4"/>
      <c r="S384" s="4"/>
      <c r="T384" s="4"/>
      <c r="U384" s="4"/>
      <c r="V384" s="4"/>
      <c r="W384" s="900"/>
      <c r="X384" s="697"/>
    </row>
    <row r="385">
      <c r="L385" s="4"/>
      <c r="M385" s="4"/>
      <c r="N385" s="4"/>
      <c r="O385" s="4"/>
      <c r="P385" s="2"/>
      <c r="Q385" s="4"/>
      <c r="R385" s="4"/>
      <c r="S385" s="4"/>
      <c r="T385" s="4"/>
      <c r="U385" s="4"/>
      <c r="V385" s="4"/>
      <c r="W385" s="900"/>
      <c r="X385" s="697"/>
    </row>
    <row r="386">
      <c r="L386" s="4"/>
      <c r="M386" s="4"/>
      <c r="N386" s="4"/>
      <c r="O386" s="4"/>
      <c r="P386" s="2"/>
      <c r="Q386" s="4"/>
      <c r="R386" s="4"/>
      <c r="S386" s="4"/>
      <c r="T386" s="4"/>
      <c r="U386" s="4"/>
      <c r="V386" s="4"/>
      <c r="W386" s="900"/>
      <c r="X386" s="697"/>
    </row>
    <row r="387">
      <c r="L387" s="4"/>
      <c r="M387" s="4"/>
      <c r="N387" s="4"/>
      <c r="O387" s="4"/>
      <c r="P387" s="2"/>
      <c r="Q387" s="4"/>
      <c r="R387" s="4"/>
      <c r="S387" s="4"/>
      <c r="T387" s="4"/>
      <c r="U387" s="4"/>
      <c r="V387" s="4"/>
      <c r="W387" s="900"/>
      <c r="X387" s="697"/>
    </row>
    <row r="388">
      <c r="L388" s="4"/>
      <c r="M388" s="4"/>
      <c r="N388" s="4"/>
      <c r="O388" s="4"/>
      <c r="P388" s="2"/>
      <c r="Q388" s="4"/>
      <c r="R388" s="4"/>
      <c r="S388" s="4"/>
      <c r="T388" s="4"/>
      <c r="U388" s="4"/>
      <c r="V388" s="4"/>
      <c r="W388" s="900"/>
      <c r="X388" s="697"/>
    </row>
    <row r="389">
      <c r="L389" s="4"/>
      <c r="M389" s="4"/>
      <c r="N389" s="4"/>
      <c r="O389" s="4"/>
      <c r="P389" s="2"/>
      <c r="Q389" s="4"/>
      <c r="R389" s="4"/>
      <c r="S389" s="4"/>
      <c r="T389" s="4"/>
      <c r="U389" s="4"/>
      <c r="V389" s="4"/>
      <c r="W389" s="900"/>
      <c r="X389" s="697"/>
    </row>
    <row r="390">
      <c r="L390" s="4"/>
      <c r="M390" s="4"/>
      <c r="N390" s="4"/>
      <c r="O390" s="4"/>
      <c r="P390" s="2"/>
      <c r="Q390" s="4"/>
      <c r="R390" s="4"/>
      <c r="S390" s="4"/>
      <c r="T390" s="4"/>
      <c r="U390" s="4"/>
      <c r="V390" s="4"/>
      <c r="W390" s="900"/>
      <c r="X390" s="697"/>
    </row>
    <row r="391">
      <c r="L391" s="4"/>
      <c r="M391" s="4"/>
      <c r="N391" s="4"/>
      <c r="O391" s="4"/>
      <c r="P391" s="2"/>
      <c r="Q391" s="4"/>
      <c r="R391" s="4"/>
      <c r="S391" s="4"/>
      <c r="T391" s="4"/>
      <c r="U391" s="4"/>
      <c r="V391" s="4"/>
      <c r="W391" s="900"/>
      <c r="X391" s="697"/>
    </row>
    <row r="392">
      <c r="L392" s="4"/>
      <c r="M392" s="4"/>
      <c r="N392" s="4"/>
      <c r="O392" s="4"/>
      <c r="P392" s="2"/>
      <c r="Q392" s="4"/>
      <c r="R392" s="4"/>
      <c r="S392" s="4"/>
      <c r="T392" s="4"/>
      <c r="U392" s="4"/>
      <c r="V392" s="4"/>
      <c r="W392" s="900"/>
      <c r="X392" s="697"/>
    </row>
    <row r="393">
      <c r="L393" s="4"/>
      <c r="M393" s="4"/>
      <c r="N393" s="4"/>
      <c r="O393" s="4"/>
      <c r="P393" s="2"/>
      <c r="Q393" s="4"/>
      <c r="R393" s="4"/>
      <c r="S393" s="4"/>
      <c r="T393" s="4"/>
      <c r="U393" s="4"/>
      <c r="V393" s="4"/>
      <c r="W393" s="900"/>
      <c r="X393" s="697"/>
    </row>
    <row r="394">
      <c r="L394" s="4"/>
      <c r="M394" s="4"/>
      <c r="N394" s="4"/>
      <c r="O394" s="4"/>
      <c r="P394" s="2"/>
      <c r="Q394" s="4"/>
      <c r="R394" s="4"/>
      <c r="S394" s="4"/>
      <c r="T394" s="4"/>
      <c r="U394" s="4"/>
      <c r="V394" s="4"/>
      <c r="W394" s="900"/>
      <c r="X394" s="697"/>
    </row>
    <row r="395">
      <c r="L395" s="4"/>
      <c r="M395" s="4"/>
      <c r="N395" s="4"/>
      <c r="O395" s="4"/>
      <c r="P395" s="2"/>
      <c r="Q395" s="4"/>
      <c r="R395" s="4"/>
      <c r="S395" s="4"/>
      <c r="T395" s="4"/>
      <c r="U395" s="4"/>
      <c r="V395" s="4"/>
      <c r="W395" s="900"/>
      <c r="X395" s="697"/>
    </row>
    <row r="396">
      <c r="L396" s="4"/>
      <c r="M396" s="4"/>
      <c r="N396" s="4"/>
      <c r="O396" s="4"/>
      <c r="P396" s="2"/>
      <c r="Q396" s="4"/>
      <c r="R396" s="4"/>
      <c r="S396" s="4"/>
      <c r="T396" s="4"/>
      <c r="U396" s="4"/>
      <c r="V396" s="4"/>
      <c r="W396" s="900"/>
      <c r="X396" s="697"/>
    </row>
    <row r="397">
      <c r="L397" s="4"/>
      <c r="M397" s="4"/>
      <c r="N397" s="4"/>
      <c r="O397" s="4"/>
      <c r="P397" s="2"/>
      <c r="Q397" s="4"/>
      <c r="R397" s="4"/>
      <c r="S397" s="4"/>
      <c r="T397" s="4"/>
      <c r="U397" s="4"/>
      <c r="V397" s="4"/>
      <c r="W397" s="900"/>
      <c r="X397" s="697"/>
    </row>
    <row r="398">
      <c r="L398" s="4"/>
      <c r="M398" s="4"/>
      <c r="N398" s="4"/>
      <c r="O398" s="4"/>
      <c r="P398" s="2"/>
      <c r="Q398" s="4"/>
      <c r="R398" s="4"/>
      <c r="S398" s="4"/>
      <c r="T398" s="4"/>
      <c r="U398" s="4"/>
      <c r="V398" s="4"/>
      <c r="W398" s="900"/>
      <c r="X398" s="697"/>
    </row>
    <row r="399">
      <c r="L399" s="4"/>
      <c r="M399" s="4"/>
      <c r="N399" s="4"/>
      <c r="O399" s="4"/>
      <c r="P399" s="2"/>
      <c r="Q399" s="4"/>
      <c r="R399" s="4"/>
      <c r="S399" s="4"/>
      <c r="T399" s="4"/>
      <c r="U399" s="4"/>
      <c r="V399" s="4"/>
      <c r="W399" s="900"/>
      <c r="X399" s="697"/>
    </row>
    <row r="400">
      <c r="L400" s="4"/>
      <c r="M400" s="4"/>
      <c r="N400" s="4"/>
      <c r="O400" s="4"/>
      <c r="P400" s="2"/>
      <c r="Q400" s="4"/>
      <c r="R400" s="4"/>
      <c r="S400" s="4"/>
      <c r="T400" s="4"/>
      <c r="U400" s="4"/>
      <c r="V400" s="4"/>
      <c r="W400" s="900"/>
      <c r="X400" s="697"/>
    </row>
    <row r="401">
      <c r="L401" s="4"/>
      <c r="M401" s="4"/>
      <c r="N401" s="4"/>
      <c r="O401" s="4"/>
      <c r="P401" s="2"/>
      <c r="Q401" s="4"/>
      <c r="R401" s="4"/>
      <c r="S401" s="4"/>
      <c r="T401" s="4"/>
      <c r="U401" s="4"/>
      <c r="V401" s="4"/>
      <c r="W401" s="900"/>
      <c r="X401" s="697"/>
    </row>
    <row r="402">
      <c r="L402" s="4"/>
      <c r="M402" s="4"/>
      <c r="N402" s="4"/>
      <c r="O402" s="4"/>
      <c r="P402" s="2"/>
      <c r="Q402" s="4"/>
      <c r="R402" s="4"/>
      <c r="S402" s="4"/>
      <c r="T402" s="4"/>
      <c r="U402" s="4"/>
      <c r="V402" s="4"/>
      <c r="W402" s="900"/>
      <c r="X402" s="697"/>
    </row>
    <row r="403">
      <c r="L403" s="4"/>
      <c r="M403" s="4"/>
      <c r="N403" s="4"/>
      <c r="O403" s="4"/>
      <c r="P403" s="2"/>
      <c r="Q403" s="4"/>
      <c r="R403" s="4"/>
      <c r="S403" s="4"/>
      <c r="T403" s="4"/>
      <c r="U403" s="4"/>
      <c r="V403" s="4"/>
      <c r="W403" s="900"/>
      <c r="X403" s="697"/>
    </row>
    <row r="404">
      <c r="L404" s="4"/>
      <c r="M404" s="4"/>
      <c r="N404" s="4"/>
      <c r="O404" s="4"/>
      <c r="P404" s="2"/>
      <c r="Q404" s="4"/>
      <c r="R404" s="4"/>
      <c r="S404" s="4"/>
      <c r="T404" s="4"/>
      <c r="U404" s="4"/>
      <c r="V404" s="4"/>
      <c r="W404" s="900"/>
      <c r="X404" s="697"/>
    </row>
    <row r="405">
      <c r="L405" s="4"/>
      <c r="M405" s="4"/>
      <c r="N405" s="4"/>
      <c r="O405" s="4"/>
      <c r="P405" s="2"/>
      <c r="Q405" s="4"/>
      <c r="R405" s="4"/>
      <c r="S405" s="4"/>
      <c r="T405" s="4"/>
      <c r="U405" s="4"/>
      <c r="V405" s="4"/>
      <c r="W405" s="900"/>
      <c r="X405" s="697"/>
    </row>
    <row r="406">
      <c r="L406" s="4"/>
      <c r="M406" s="4"/>
      <c r="N406" s="4"/>
      <c r="O406" s="4"/>
      <c r="P406" s="2"/>
      <c r="Q406" s="4"/>
      <c r="R406" s="4"/>
      <c r="S406" s="4"/>
      <c r="T406" s="4"/>
      <c r="U406" s="4"/>
      <c r="V406" s="4"/>
      <c r="W406" s="900"/>
      <c r="X406" s="697"/>
    </row>
    <row r="407">
      <c r="L407" s="4"/>
      <c r="M407" s="4"/>
      <c r="N407" s="4"/>
      <c r="O407" s="4"/>
      <c r="P407" s="2"/>
      <c r="Q407" s="4"/>
      <c r="R407" s="4"/>
      <c r="S407" s="4"/>
      <c r="T407" s="4"/>
      <c r="U407" s="4"/>
      <c r="V407" s="4"/>
      <c r="W407" s="900"/>
      <c r="X407" s="697"/>
    </row>
    <row r="408">
      <c r="L408" s="4"/>
      <c r="M408" s="4"/>
      <c r="N408" s="4"/>
      <c r="O408" s="4"/>
      <c r="P408" s="2"/>
      <c r="Q408" s="4"/>
      <c r="R408" s="4"/>
      <c r="S408" s="4"/>
      <c r="T408" s="4"/>
      <c r="U408" s="4"/>
      <c r="V408" s="4"/>
      <c r="W408" s="900"/>
      <c r="X408" s="697"/>
    </row>
    <row r="409">
      <c r="L409" s="4"/>
      <c r="M409" s="4"/>
      <c r="N409" s="4"/>
      <c r="O409" s="4"/>
      <c r="P409" s="2"/>
      <c r="Q409" s="4"/>
      <c r="R409" s="4"/>
      <c r="S409" s="4"/>
      <c r="T409" s="4"/>
      <c r="U409" s="4"/>
      <c r="V409" s="4"/>
      <c r="W409" s="900"/>
      <c r="X409" s="697"/>
    </row>
    <row r="410">
      <c r="L410" s="4"/>
      <c r="M410" s="4"/>
      <c r="N410" s="4"/>
      <c r="O410" s="4"/>
      <c r="P410" s="2"/>
      <c r="Q410" s="4"/>
      <c r="R410" s="4"/>
      <c r="S410" s="4"/>
      <c r="T410" s="4"/>
      <c r="U410" s="4"/>
      <c r="V410" s="4"/>
      <c r="W410" s="900"/>
      <c r="X410" s="697"/>
    </row>
    <row r="411">
      <c r="L411" s="4"/>
      <c r="M411" s="4"/>
      <c r="N411" s="4"/>
      <c r="O411" s="4"/>
      <c r="P411" s="2"/>
      <c r="Q411" s="4"/>
      <c r="R411" s="4"/>
      <c r="S411" s="4"/>
      <c r="T411" s="4"/>
      <c r="U411" s="4"/>
      <c r="V411" s="4"/>
      <c r="W411" s="900"/>
      <c r="X411" s="697"/>
    </row>
    <row r="412">
      <c r="L412" s="4"/>
      <c r="M412" s="4"/>
      <c r="N412" s="4"/>
      <c r="O412" s="4"/>
      <c r="P412" s="2"/>
      <c r="Q412" s="4"/>
      <c r="R412" s="4"/>
      <c r="S412" s="4"/>
      <c r="T412" s="4"/>
      <c r="U412" s="4"/>
      <c r="V412" s="4"/>
      <c r="W412" s="900"/>
      <c r="X412" s="697"/>
    </row>
    <row r="413">
      <c r="L413" s="4"/>
      <c r="M413" s="4"/>
      <c r="N413" s="4"/>
      <c r="O413" s="4"/>
      <c r="P413" s="2"/>
      <c r="Q413" s="4"/>
      <c r="R413" s="4"/>
      <c r="S413" s="4"/>
      <c r="T413" s="4"/>
      <c r="U413" s="4"/>
      <c r="V413" s="4"/>
      <c r="W413" s="900"/>
      <c r="X413" s="697"/>
    </row>
    <row r="414">
      <c r="L414" s="4"/>
      <c r="M414" s="4"/>
      <c r="N414" s="4"/>
      <c r="O414" s="4"/>
      <c r="P414" s="2"/>
      <c r="Q414" s="4"/>
      <c r="R414" s="4"/>
      <c r="S414" s="4"/>
      <c r="T414" s="4"/>
      <c r="U414" s="4"/>
      <c r="V414" s="4"/>
      <c r="W414" s="900"/>
      <c r="X414" s="697"/>
    </row>
    <row r="415">
      <c r="L415" s="4"/>
      <c r="M415" s="4"/>
      <c r="N415" s="4"/>
      <c r="O415" s="4"/>
      <c r="P415" s="2"/>
      <c r="Q415" s="4"/>
      <c r="R415" s="4"/>
      <c r="S415" s="4"/>
      <c r="T415" s="4"/>
      <c r="U415" s="4"/>
      <c r="V415" s="4"/>
      <c r="W415" s="900"/>
      <c r="X415" s="697"/>
    </row>
    <row r="416">
      <c r="L416" s="4"/>
      <c r="M416" s="4"/>
      <c r="N416" s="4"/>
      <c r="O416" s="4"/>
      <c r="P416" s="2"/>
      <c r="Q416" s="4"/>
      <c r="R416" s="4"/>
      <c r="S416" s="4"/>
      <c r="T416" s="4"/>
      <c r="U416" s="4"/>
      <c r="V416" s="4"/>
      <c r="W416" s="900"/>
      <c r="X416" s="697"/>
    </row>
    <row r="417">
      <c r="L417" s="4"/>
      <c r="M417" s="4"/>
      <c r="N417" s="4"/>
      <c r="O417" s="4"/>
      <c r="P417" s="2"/>
      <c r="Q417" s="4"/>
      <c r="R417" s="4"/>
      <c r="S417" s="4"/>
      <c r="T417" s="4"/>
      <c r="U417" s="4"/>
      <c r="V417" s="4"/>
      <c r="W417" s="900"/>
      <c r="X417" s="697"/>
    </row>
    <row r="418">
      <c r="L418" s="4"/>
      <c r="M418" s="4"/>
      <c r="N418" s="4"/>
      <c r="O418" s="4"/>
      <c r="P418" s="2"/>
      <c r="Q418" s="4"/>
      <c r="R418" s="4"/>
      <c r="S418" s="4"/>
      <c r="T418" s="4"/>
      <c r="U418" s="4"/>
      <c r="V418" s="4"/>
      <c r="W418" s="900"/>
      <c r="X418" s="697"/>
    </row>
    <row r="419">
      <c r="L419" s="4"/>
      <c r="M419" s="4"/>
      <c r="N419" s="4"/>
      <c r="O419" s="4"/>
      <c r="P419" s="2"/>
      <c r="Q419" s="4"/>
      <c r="R419" s="4"/>
      <c r="S419" s="4"/>
      <c r="T419" s="4"/>
      <c r="U419" s="4"/>
      <c r="V419" s="4"/>
      <c r="W419" s="900"/>
      <c r="X419" s="697"/>
    </row>
    <row r="420">
      <c r="L420" s="4"/>
      <c r="M420" s="4"/>
      <c r="N420" s="4"/>
      <c r="O420" s="4"/>
      <c r="P420" s="2"/>
      <c r="Q420" s="4"/>
      <c r="R420" s="4"/>
      <c r="S420" s="4"/>
      <c r="T420" s="4"/>
      <c r="U420" s="4"/>
      <c r="V420" s="4"/>
      <c r="W420" s="900"/>
      <c r="X420" s="697"/>
    </row>
    <row r="421">
      <c r="L421" s="4"/>
      <c r="M421" s="4"/>
      <c r="N421" s="4"/>
      <c r="O421" s="4"/>
      <c r="P421" s="2"/>
      <c r="Q421" s="4"/>
      <c r="R421" s="4"/>
      <c r="S421" s="4"/>
      <c r="T421" s="4"/>
      <c r="U421" s="4"/>
      <c r="V421" s="4"/>
      <c r="W421" s="900"/>
      <c r="X421" s="697"/>
    </row>
    <row r="422">
      <c r="L422" s="4"/>
      <c r="M422" s="4"/>
      <c r="N422" s="4"/>
      <c r="O422" s="4"/>
      <c r="P422" s="2"/>
      <c r="Q422" s="4"/>
      <c r="R422" s="4"/>
      <c r="S422" s="4"/>
      <c r="T422" s="4"/>
      <c r="U422" s="4"/>
      <c r="V422" s="4"/>
      <c r="W422" s="900"/>
      <c r="X422" s="697"/>
    </row>
    <row r="423">
      <c r="L423" s="4"/>
      <c r="M423" s="4"/>
      <c r="N423" s="4"/>
      <c r="O423" s="4"/>
      <c r="P423" s="2"/>
      <c r="Q423" s="4"/>
      <c r="R423" s="4"/>
      <c r="S423" s="4"/>
      <c r="T423" s="4"/>
      <c r="U423" s="4"/>
      <c r="V423" s="4"/>
      <c r="W423" s="900"/>
      <c r="X423" s="697"/>
    </row>
    <row r="424">
      <c r="L424" s="4"/>
      <c r="M424" s="4"/>
      <c r="N424" s="4"/>
      <c r="O424" s="4"/>
      <c r="P424" s="2"/>
      <c r="Q424" s="4"/>
      <c r="R424" s="4"/>
      <c r="S424" s="4"/>
      <c r="T424" s="4"/>
      <c r="U424" s="4"/>
      <c r="V424" s="4"/>
      <c r="W424" s="900"/>
      <c r="X424" s="697"/>
    </row>
    <row r="425">
      <c r="L425" s="4"/>
      <c r="M425" s="4"/>
      <c r="N425" s="4"/>
      <c r="O425" s="4"/>
      <c r="P425" s="2"/>
      <c r="Q425" s="4"/>
      <c r="R425" s="4"/>
      <c r="S425" s="4"/>
      <c r="T425" s="4"/>
      <c r="U425" s="4"/>
      <c r="V425" s="4"/>
      <c r="W425" s="900"/>
      <c r="X425" s="697"/>
    </row>
    <row r="426">
      <c r="L426" s="4"/>
      <c r="M426" s="4"/>
      <c r="N426" s="4"/>
      <c r="O426" s="4"/>
      <c r="P426" s="2"/>
      <c r="Q426" s="4"/>
      <c r="R426" s="4"/>
      <c r="S426" s="4"/>
      <c r="T426" s="4"/>
      <c r="U426" s="4"/>
      <c r="V426" s="4"/>
      <c r="W426" s="900"/>
      <c r="X426" s="697"/>
    </row>
    <row r="427">
      <c r="L427" s="4"/>
      <c r="M427" s="4"/>
      <c r="N427" s="4"/>
      <c r="O427" s="4"/>
      <c r="P427" s="2"/>
      <c r="Q427" s="4"/>
      <c r="R427" s="4"/>
      <c r="S427" s="4"/>
      <c r="T427" s="4"/>
      <c r="U427" s="4"/>
      <c r="V427" s="4"/>
      <c r="W427" s="900"/>
      <c r="X427" s="697"/>
    </row>
    <row r="428">
      <c r="L428" s="4"/>
      <c r="M428" s="4"/>
      <c r="N428" s="4"/>
      <c r="O428" s="4"/>
      <c r="P428" s="2"/>
      <c r="Q428" s="4"/>
      <c r="R428" s="4"/>
      <c r="S428" s="4"/>
      <c r="T428" s="4"/>
      <c r="U428" s="4"/>
      <c r="V428" s="4"/>
      <c r="W428" s="900"/>
      <c r="X428" s="697"/>
    </row>
    <row r="429">
      <c r="L429" s="4"/>
      <c r="M429" s="4"/>
      <c r="N429" s="4"/>
      <c r="O429" s="4"/>
      <c r="P429" s="2"/>
      <c r="Q429" s="4"/>
      <c r="R429" s="4"/>
      <c r="S429" s="4"/>
      <c r="T429" s="4"/>
      <c r="U429" s="4"/>
      <c r="V429" s="4"/>
      <c r="W429" s="900"/>
      <c r="X429" s="697"/>
    </row>
    <row r="430">
      <c r="L430" s="4"/>
      <c r="M430" s="4"/>
      <c r="N430" s="4"/>
      <c r="O430" s="4"/>
      <c r="P430" s="2"/>
      <c r="Q430" s="4"/>
      <c r="R430" s="4"/>
      <c r="S430" s="4"/>
      <c r="T430" s="4"/>
      <c r="U430" s="4"/>
      <c r="V430" s="4"/>
      <c r="W430" s="900"/>
      <c r="X430" s="697"/>
    </row>
    <row r="431">
      <c r="L431" s="4"/>
      <c r="M431" s="4"/>
      <c r="N431" s="4"/>
      <c r="O431" s="4"/>
      <c r="P431" s="2"/>
      <c r="Q431" s="4"/>
      <c r="R431" s="4"/>
      <c r="S431" s="4"/>
      <c r="T431" s="4"/>
      <c r="U431" s="4"/>
      <c r="V431" s="4"/>
      <c r="W431" s="900"/>
      <c r="X431" s="697"/>
    </row>
    <row r="432">
      <c r="L432" s="4"/>
      <c r="M432" s="4"/>
      <c r="N432" s="4"/>
      <c r="O432" s="4"/>
      <c r="P432" s="2"/>
      <c r="Q432" s="4"/>
      <c r="R432" s="4"/>
      <c r="S432" s="4"/>
      <c r="T432" s="4"/>
      <c r="U432" s="4"/>
      <c r="V432" s="4"/>
      <c r="W432" s="900"/>
      <c r="X432" s="697"/>
    </row>
    <row r="433">
      <c r="L433" s="4"/>
      <c r="M433" s="4"/>
      <c r="N433" s="4"/>
      <c r="O433" s="4"/>
      <c r="P433" s="2"/>
      <c r="Q433" s="4"/>
      <c r="R433" s="4"/>
      <c r="S433" s="4"/>
      <c r="T433" s="4"/>
      <c r="U433" s="4"/>
      <c r="V433" s="4"/>
      <c r="W433" s="900"/>
      <c r="X433" s="697"/>
    </row>
    <row r="434">
      <c r="L434" s="4"/>
      <c r="M434" s="4"/>
      <c r="N434" s="4"/>
      <c r="O434" s="4"/>
      <c r="P434" s="2"/>
      <c r="Q434" s="4"/>
      <c r="R434" s="4"/>
      <c r="S434" s="4"/>
      <c r="T434" s="4"/>
      <c r="U434" s="4"/>
      <c r="V434" s="4"/>
      <c r="W434" s="900"/>
      <c r="X434" s="697"/>
    </row>
    <row r="435">
      <c r="L435" s="4"/>
      <c r="M435" s="4"/>
      <c r="N435" s="4"/>
      <c r="O435" s="4"/>
      <c r="P435" s="2"/>
      <c r="Q435" s="4"/>
      <c r="R435" s="4"/>
      <c r="S435" s="4"/>
      <c r="T435" s="4"/>
      <c r="U435" s="4"/>
      <c r="V435" s="4"/>
      <c r="W435" s="900"/>
      <c r="X435" s="697"/>
    </row>
    <row r="436">
      <c r="L436" s="4"/>
      <c r="M436" s="4"/>
      <c r="N436" s="4"/>
      <c r="O436" s="4"/>
      <c r="P436" s="2"/>
      <c r="Q436" s="4"/>
      <c r="R436" s="4"/>
      <c r="S436" s="4"/>
      <c r="T436" s="4"/>
      <c r="U436" s="4"/>
      <c r="V436" s="4"/>
      <c r="W436" s="900"/>
      <c r="X436" s="697"/>
    </row>
    <row r="437">
      <c r="L437" s="4"/>
      <c r="M437" s="4"/>
      <c r="N437" s="4"/>
      <c r="O437" s="4"/>
      <c r="P437" s="2"/>
      <c r="Q437" s="4"/>
      <c r="R437" s="4"/>
      <c r="S437" s="4"/>
      <c r="T437" s="4"/>
      <c r="U437" s="4"/>
      <c r="V437" s="4"/>
      <c r="W437" s="900"/>
      <c r="X437" s="697"/>
    </row>
    <row r="438">
      <c r="L438" s="4"/>
      <c r="M438" s="4"/>
      <c r="N438" s="4"/>
      <c r="O438" s="4"/>
      <c r="P438" s="2"/>
      <c r="Q438" s="4"/>
      <c r="R438" s="4"/>
      <c r="S438" s="4"/>
      <c r="T438" s="4"/>
      <c r="U438" s="4"/>
      <c r="V438" s="4"/>
      <c r="W438" s="900"/>
      <c r="X438" s="697"/>
    </row>
    <row r="439">
      <c r="L439" s="4"/>
      <c r="M439" s="4"/>
      <c r="N439" s="4"/>
      <c r="O439" s="4"/>
      <c r="P439" s="2"/>
      <c r="Q439" s="4"/>
      <c r="R439" s="4"/>
      <c r="S439" s="4"/>
      <c r="T439" s="4"/>
      <c r="U439" s="4"/>
      <c r="V439" s="4"/>
      <c r="W439" s="900"/>
      <c r="X439" s="697"/>
    </row>
    <row r="440">
      <c r="L440" s="4"/>
      <c r="M440" s="4"/>
      <c r="N440" s="4"/>
      <c r="O440" s="4"/>
      <c r="P440" s="2"/>
      <c r="Q440" s="4"/>
      <c r="R440" s="4"/>
      <c r="S440" s="4"/>
      <c r="T440" s="4"/>
      <c r="U440" s="4"/>
      <c r="V440" s="4"/>
      <c r="W440" s="900"/>
      <c r="X440" s="697"/>
    </row>
    <row r="441">
      <c r="L441" s="4"/>
      <c r="M441" s="4"/>
      <c r="N441" s="4"/>
      <c r="O441" s="4"/>
      <c r="P441" s="2"/>
      <c r="Q441" s="4"/>
      <c r="R441" s="4"/>
      <c r="S441" s="4"/>
      <c r="T441" s="4"/>
      <c r="U441" s="4"/>
      <c r="V441" s="4"/>
      <c r="W441" s="900"/>
      <c r="X441" s="697"/>
    </row>
    <row r="442">
      <c r="L442" s="4"/>
      <c r="M442" s="4"/>
      <c r="N442" s="4"/>
      <c r="O442" s="4"/>
      <c r="P442" s="2"/>
      <c r="Q442" s="4"/>
      <c r="R442" s="4"/>
      <c r="S442" s="4"/>
      <c r="T442" s="4"/>
      <c r="U442" s="4"/>
      <c r="V442" s="4"/>
      <c r="W442" s="900"/>
      <c r="X442" s="697"/>
    </row>
    <row r="443">
      <c r="L443" s="4"/>
      <c r="M443" s="4"/>
      <c r="N443" s="4"/>
      <c r="O443" s="4"/>
      <c r="P443" s="2"/>
      <c r="Q443" s="4"/>
      <c r="R443" s="4"/>
      <c r="S443" s="4"/>
      <c r="T443" s="4"/>
      <c r="U443" s="4"/>
      <c r="V443" s="4"/>
      <c r="W443" s="900"/>
      <c r="X443" s="697"/>
    </row>
    <row r="444">
      <c r="L444" s="4"/>
      <c r="M444" s="4"/>
      <c r="N444" s="4"/>
      <c r="O444" s="4"/>
      <c r="P444" s="2"/>
      <c r="Q444" s="4"/>
      <c r="R444" s="4"/>
      <c r="S444" s="4"/>
      <c r="T444" s="4"/>
      <c r="U444" s="4"/>
      <c r="V444" s="4"/>
      <c r="W444" s="900"/>
      <c r="X444" s="697"/>
    </row>
    <row r="445">
      <c r="L445" s="4"/>
      <c r="M445" s="4"/>
      <c r="N445" s="4"/>
      <c r="O445" s="4"/>
      <c r="P445" s="2"/>
      <c r="Q445" s="4"/>
      <c r="R445" s="4"/>
      <c r="S445" s="4"/>
      <c r="T445" s="4"/>
      <c r="U445" s="4"/>
      <c r="V445" s="4"/>
      <c r="W445" s="900"/>
      <c r="X445" s="697"/>
    </row>
    <row r="446">
      <c r="L446" s="4"/>
      <c r="M446" s="4"/>
      <c r="N446" s="4"/>
      <c r="O446" s="4"/>
      <c r="P446" s="2"/>
      <c r="Q446" s="4"/>
      <c r="R446" s="4"/>
      <c r="S446" s="4"/>
      <c r="T446" s="4"/>
      <c r="U446" s="4"/>
      <c r="V446" s="4"/>
      <c r="W446" s="900"/>
      <c r="X446" s="697"/>
    </row>
    <row r="447">
      <c r="L447" s="4"/>
      <c r="M447" s="4"/>
      <c r="N447" s="4"/>
      <c r="O447" s="4"/>
      <c r="P447" s="2"/>
      <c r="Q447" s="4"/>
      <c r="R447" s="4"/>
      <c r="S447" s="4"/>
      <c r="T447" s="4"/>
      <c r="U447" s="4"/>
      <c r="V447" s="4"/>
      <c r="W447" s="900"/>
      <c r="X447" s="697"/>
    </row>
    <row r="448">
      <c r="L448" s="4"/>
      <c r="M448" s="4"/>
      <c r="N448" s="4"/>
      <c r="O448" s="4"/>
      <c r="P448" s="2"/>
      <c r="Q448" s="4"/>
      <c r="R448" s="4"/>
      <c r="S448" s="4"/>
      <c r="T448" s="4"/>
      <c r="U448" s="4"/>
      <c r="V448" s="4"/>
      <c r="W448" s="900"/>
      <c r="X448" s="697"/>
    </row>
    <row r="449">
      <c r="L449" s="4"/>
      <c r="M449" s="4"/>
      <c r="N449" s="4"/>
      <c r="O449" s="4"/>
      <c r="P449" s="2"/>
      <c r="Q449" s="4"/>
      <c r="R449" s="4"/>
      <c r="S449" s="4"/>
      <c r="T449" s="4"/>
      <c r="U449" s="4"/>
      <c r="V449" s="4"/>
      <c r="W449" s="900"/>
      <c r="X449" s="697"/>
    </row>
    <row r="450">
      <c r="L450" s="4"/>
      <c r="M450" s="4"/>
      <c r="N450" s="4"/>
      <c r="O450" s="4"/>
      <c r="P450" s="2"/>
      <c r="Q450" s="4"/>
      <c r="R450" s="4"/>
      <c r="S450" s="4"/>
      <c r="T450" s="4"/>
      <c r="U450" s="4"/>
      <c r="V450" s="4"/>
      <c r="W450" s="900"/>
      <c r="X450" s="697"/>
    </row>
    <row r="451">
      <c r="L451" s="4"/>
      <c r="M451" s="4"/>
      <c r="N451" s="4"/>
      <c r="O451" s="4"/>
      <c r="P451" s="2"/>
      <c r="Q451" s="4"/>
      <c r="R451" s="4"/>
      <c r="S451" s="4"/>
      <c r="T451" s="4"/>
      <c r="U451" s="4"/>
      <c r="V451" s="4"/>
      <c r="W451" s="900"/>
      <c r="X451" s="697"/>
    </row>
    <row r="452">
      <c r="L452" s="4"/>
      <c r="M452" s="4"/>
      <c r="N452" s="4"/>
      <c r="O452" s="4"/>
      <c r="P452" s="2"/>
      <c r="Q452" s="4"/>
      <c r="R452" s="4"/>
      <c r="S452" s="4"/>
      <c r="T452" s="4"/>
      <c r="U452" s="4"/>
      <c r="V452" s="4"/>
      <c r="W452" s="900"/>
      <c r="X452" s="697"/>
    </row>
    <row r="453">
      <c r="L453" s="4"/>
      <c r="M453" s="4"/>
      <c r="N453" s="4"/>
      <c r="O453" s="4"/>
      <c r="P453" s="2"/>
      <c r="Q453" s="4"/>
      <c r="R453" s="4"/>
      <c r="S453" s="4"/>
      <c r="T453" s="4"/>
      <c r="U453" s="4"/>
      <c r="V453" s="4"/>
      <c r="W453" s="900"/>
      <c r="X453" s="697"/>
    </row>
    <row r="454">
      <c r="L454" s="4"/>
      <c r="M454" s="4"/>
      <c r="N454" s="4"/>
      <c r="O454" s="4"/>
      <c r="P454" s="2"/>
      <c r="Q454" s="4"/>
      <c r="R454" s="4"/>
      <c r="S454" s="4"/>
      <c r="T454" s="4"/>
      <c r="U454" s="4"/>
      <c r="V454" s="4"/>
      <c r="W454" s="900"/>
      <c r="X454" s="697"/>
    </row>
    <row r="455">
      <c r="L455" s="4"/>
      <c r="M455" s="4"/>
      <c r="N455" s="4"/>
      <c r="O455" s="4"/>
      <c r="P455" s="2"/>
      <c r="Q455" s="4"/>
      <c r="R455" s="4"/>
      <c r="S455" s="4"/>
      <c r="T455" s="4"/>
      <c r="U455" s="4"/>
      <c r="V455" s="4"/>
      <c r="W455" s="900"/>
      <c r="X455" s="697"/>
    </row>
    <row r="456">
      <c r="L456" s="4"/>
      <c r="M456" s="4"/>
      <c r="N456" s="4"/>
      <c r="O456" s="4"/>
      <c r="P456" s="2"/>
      <c r="Q456" s="4"/>
      <c r="R456" s="4"/>
      <c r="S456" s="4"/>
      <c r="T456" s="4"/>
      <c r="U456" s="4"/>
      <c r="V456" s="4"/>
      <c r="W456" s="900"/>
      <c r="X456" s="697"/>
    </row>
    <row r="457">
      <c r="L457" s="4"/>
      <c r="M457" s="4"/>
      <c r="N457" s="4"/>
      <c r="O457" s="4"/>
      <c r="P457" s="2"/>
      <c r="Q457" s="4"/>
      <c r="R457" s="4"/>
      <c r="S457" s="4"/>
      <c r="T457" s="4"/>
      <c r="U457" s="4"/>
      <c r="V457" s="4"/>
      <c r="W457" s="900"/>
      <c r="X457" s="697"/>
    </row>
    <row r="458">
      <c r="L458" s="4"/>
      <c r="M458" s="4"/>
      <c r="N458" s="4"/>
      <c r="O458" s="4"/>
      <c r="P458" s="2"/>
      <c r="Q458" s="4"/>
      <c r="R458" s="4"/>
      <c r="S458" s="4"/>
      <c r="T458" s="4"/>
      <c r="U458" s="4"/>
      <c r="V458" s="4"/>
      <c r="W458" s="900"/>
      <c r="X458" s="697"/>
    </row>
    <row r="459">
      <c r="L459" s="4"/>
      <c r="M459" s="4"/>
      <c r="N459" s="4"/>
      <c r="O459" s="4"/>
      <c r="P459" s="2"/>
      <c r="Q459" s="4"/>
      <c r="R459" s="4"/>
      <c r="S459" s="4"/>
      <c r="T459" s="4"/>
      <c r="U459" s="4"/>
      <c r="V459" s="4"/>
      <c r="W459" s="900"/>
      <c r="X459" s="697"/>
    </row>
    <row r="460">
      <c r="L460" s="4"/>
      <c r="M460" s="4"/>
      <c r="N460" s="4"/>
      <c r="O460" s="4"/>
      <c r="P460" s="2"/>
      <c r="Q460" s="4"/>
      <c r="R460" s="4"/>
      <c r="S460" s="4"/>
      <c r="T460" s="4"/>
      <c r="U460" s="4"/>
      <c r="V460" s="4"/>
      <c r="W460" s="900"/>
      <c r="X460" s="697"/>
    </row>
    <row r="461">
      <c r="L461" s="4"/>
      <c r="M461" s="4"/>
      <c r="N461" s="4"/>
      <c r="O461" s="4"/>
      <c r="P461" s="2"/>
      <c r="Q461" s="4"/>
      <c r="R461" s="4"/>
      <c r="S461" s="4"/>
      <c r="T461" s="4"/>
      <c r="U461" s="4"/>
      <c r="V461" s="4"/>
      <c r="W461" s="900"/>
      <c r="X461" s="697"/>
    </row>
    <row r="462">
      <c r="L462" s="4"/>
      <c r="M462" s="4"/>
      <c r="N462" s="4"/>
      <c r="O462" s="4"/>
      <c r="P462" s="2"/>
      <c r="Q462" s="4"/>
      <c r="R462" s="4"/>
      <c r="S462" s="4"/>
      <c r="T462" s="4"/>
      <c r="U462" s="4"/>
      <c r="V462" s="4"/>
      <c r="W462" s="900"/>
      <c r="X462" s="697"/>
    </row>
    <row r="463">
      <c r="L463" s="4"/>
      <c r="M463" s="4"/>
      <c r="N463" s="4"/>
      <c r="O463" s="4"/>
      <c r="P463" s="2"/>
      <c r="Q463" s="4"/>
      <c r="R463" s="4"/>
      <c r="S463" s="4"/>
      <c r="T463" s="4"/>
      <c r="U463" s="4"/>
      <c r="V463" s="4"/>
      <c r="W463" s="900"/>
      <c r="X463" s="697"/>
    </row>
    <row r="464">
      <c r="L464" s="4"/>
      <c r="M464" s="4"/>
      <c r="N464" s="4"/>
      <c r="O464" s="4"/>
      <c r="P464" s="2"/>
      <c r="Q464" s="4"/>
      <c r="R464" s="4"/>
      <c r="S464" s="4"/>
      <c r="T464" s="4"/>
      <c r="U464" s="4"/>
      <c r="V464" s="4"/>
      <c r="W464" s="900"/>
      <c r="X464" s="697"/>
    </row>
    <row r="465">
      <c r="L465" s="4"/>
      <c r="M465" s="4"/>
      <c r="N465" s="4"/>
      <c r="O465" s="4"/>
      <c r="P465" s="2"/>
      <c r="Q465" s="4"/>
      <c r="R465" s="4"/>
      <c r="S465" s="4"/>
      <c r="T465" s="4"/>
      <c r="U465" s="4"/>
      <c r="V465" s="4"/>
      <c r="W465" s="900"/>
      <c r="X465" s="697"/>
    </row>
    <row r="466">
      <c r="L466" s="4"/>
      <c r="M466" s="4"/>
      <c r="N466" s="4"/>
      <c r="O466" s="4"/>
      <c r="P466" s="2"/>
      <c r="Q466" s="4"/>
      <c r="R466" s="4"/>
      <c r="S466" s="4"/>
      <c r="T466" s="4"/>
      <c r="U466" s="4"/>
      <c r="V466" s="4"/>
      <c r="W466" s="900"/>
      <c r="X466" s="697"/>
    </row>
    <row r="467">
      <c r="L467" s="4"/>
      <c r="M467" s="4"/>
      <c r="N467" s="4"/>
      <c r="O467" s="4"/>
      <c r="P467" s="2"/>
      <c r="Q467" s="4"/>
      <c r="R467" s="4"/>
      <c r="S467" s="4"/>
      <c r="T467" s="4"/>
      <c r="U467" s="4"/>
      <c r="V467" s="4"/>
      <c r="W467" s="900"/>
      <c r="X467" s="697"/>
    </row>
    <row r="468">
      <c r="L468" s="4"/>
      <c r="M468" s="4"/>
      <c r="N468" s="4"/>
      <c r="O468" s="4"/>
      <c r="P468" s="2"/>
      <c r="Q468" s="4"/>
      <c r="R468" s="4"/>
      <c r="S468" s="4"/>
      <c r="T468" s="4"/>
      <c r="U468" s="4"/>
      <c r="V468" s="4"/>
      <c r="W468" s="900"/>
      <c r="X468" s="697"/>
    </row>
    <row r="469">
      <c r="L469" s="4"/>
      <c r="M469" s="4"/>
      <c r="N469" s="4"/>
      <c r="O469" s="4"/>
      <c r="P469" s="2"/>
      <c r="Q469" s="4"/>
      <c r="R469" s="4"/>
      <c r="S469" s="4"/>
      <c r="T469" s="4"/>
      <c r="U469" s="4"/>
      <c r="V469" s="4"/>
      <c r="W469" s="900"/>
      <c r="X469" s="697"/>
    </row>
    <row r="470">
      <c r="L470" s="4"/>
      <c r="M470" s="4"/>
      <c r="N470" s="4"/>
      <c r="O470" s="4"/>
      <c r="P470" s="2"/>
      <c r="Q470" s="4"/>
      <c r="R470" s="4"/>
      <c r="S470" s="4"/>
      <c r="T470" s="4"/>
      <c r="U470" s="4"/>
      <c r="V470" s="4"/>
      <c r="W470" s="900"/>
      <c r="X470" s="697"/>
    </row>
    <row r="471">
      <c r="L471" s="4"/>
      <c r="M471" s="4"/>
      <c r="N471" s="4"/>
      <c r="O471" s="4"/>
      <c r="P471" s="2"/>
      <c r="Q471" s="4"/>
      <c r="R471" s="4"/>
      <c r="S471" s="4"/>
      <c r="T471" s="4"/>
      <c r="U471" s="4"/>
      <c r="V471" s="4"/>
      <c r="W471" s="900"/>
      <c r="X471" s="697"/>
    </row>
    <row r="472">
      <c r="L472" s="4"/>
      <c r="M472" s="4"/>
      <c r="N472" s="4"/>
      <c r="O472" s="4"/>
      <c r="P472" s="2"/>
      <c r="Q472" s="4"/>
      <c r="R472" s="4"/>
      <c r="S472" s="4"/>
      <c r="T472" s="4"/>
      <c r="U472" s="4"/>
      <c r="V472" s="4"/>
      <c r="W472" s="900"/>
      <c r="X472" s="697"/>
    </row>
    <row r="473">
      <c r="L473" s="4"/>
      <c r="M473" s="4"/>
      <c r="N473" s="4"/>
      <c r="O473" s="4"/>
      <c r="P473" s="2"/>
      <c r="Q473" s="4"/>
      <c r="R473" s="4"/>
      <c r="S473" s="4"/>
      <c r="T473" s="4"/>
      <c r="U473" s="4"/>
      <c r="V473" s="4"/>
      <c r="W473" s="900"/>
      <c r="X473" s="697"/>
    </row>
    <row r="474">
      <c r="L474" s="4"/>
      <c r="M474" s="4"/>
      <c r="N474" s="4"/>
      <c r="O474" s="4"/>
      <c r="P474" s="2"/>
      <c r="Q474" s="4"/>
      <c r="R474" s="4"/>
      <c r="S474" s="4"/>
      <c r="T474" s="4"/>
      <c r="U474" s="4"/>
      <c r="V474" s="4"/>
      <c r="W474" s="900"/>
      <c r="X474" s="697"/>
    </row>
    <row r="475">
      <c r="L475" s="4"/>
      <c r="M475" s="4"/>
      <c r="N475" s="4"/>
      <c r="O475" s="4"/>
      <c r="P475" s="2"/>
      <c r="Q475" s="4"/>
      <c r="R475" s="4"/>
      <c r="S475" s="4"/>
      <c r="T475" s="4"/>
      <c r="U475" s="4"/>
      <c r="V475" s="4"/>
      <c r="W475" s="900"/>
      <c r="X475" s="697"/>
    </row>
    <row r="476">
      <c r="L476" s="4"/>
      <c r="M476" s="4"/>
      <c r="N476" s="4"/>
      <c r="O476" s="4"/>
      <c r="P476" s="2"/>
      <c r="Q476" s="4"/>
      <c r="R476" s="4"/>
      <c r="S476" s="4"/>
      <c r="T476" s="4"/>
      <c r="U476" s="4"/>
      <c r="V476" s="4"/>
      <c r="W476" s="900"/>
      <c r="X476" s="697"/>
    </row>
    <row r="477">
      <c r="L477" s="4"/>
      <c r="M477" s="4"/>
      <c r="N477" s="4"/>
      <c r="O477" s="4"/>
      <c r="P477" s="2"/>
      <c r="Q477" s="4"/>
      <c r="R477" s="4"/>
      <c r="S477" s="4"/>
      <c r="T477" s="4"/>
      <c r="U477" s="4"/>
      <c r="V477" s="4"/>
      <c r="W477" s="900"/>
      <c r="X477" s="697"/>
    </row>
    <row r="478">
      <c r="L478" s="4"/>
      <c r="M478" s="4"/>
      <c r="N478" s="4"/>
      <c r="O478" s="4"/>
      <c r="P478" s="2"/>
      <c r="Q478" s="4"/>
      <c r="R478" s="4"/>
      <c r="S478" s="4"/>
      <c r="T478" s="4"/>
      <c r="U478" s="4"/>
      <c r="V478" s="4"/>
      <c r="W478" s="900"/>
      <c r="X478" s="697"/>
    </row>
    <row r="479">
      <c r="L479" s="4"/>
      <c r="M479" s="4"/>
      <c r="N479" s="4"/>
      <c r="O479" s="4"/>
      <c r="P479" s="2"/>
      <c r="Q479" s="4"/>
      <c r="R479" s="4"/>
      <c r="S479" s="4"/>
      <c r="T479" s="4"/>
      <c r="U479" s="4"/>
      <c r="V479" s="4"/>
      <c r="W479" s="900"/>
      <c r="X479" s="697"/>
    </row>
    <row r="480">
      <c r="L480" s="4"/>
      <c r="M480" s="4"/>
      <c r="N480" s="4"/>
      <c r="O480" s="4"/>
      <c r="P480" s="2"/>
      <c r="Q480" s="4"/>
      <c r="R480" s="4"/>
      <c r="S480" s="4"/>
      <c r="T480" s="4"/>
      <c r="U480" s="4"/>
      <c r="V480" s="4"/>
      <c r="W480" s="900"/>
      <c r="X480" s="697"/>
    </row>
    <row r="481">
      <c r="L481" s="4"/>
      <c r="M481" s="4"/>
      <c r="N481" s="4"/>
      <c r="O481" s="4"/>
      <c r="P481" s="2"/>
      <c r="Q481" s="4"/>
      <c r="R481" s="4"/>
      <c r="S481" s="4"/>
      <c r="T481" s="4"/>
      <c r="U481" s="4"/>
      <c r="V481" s="4"/>
      <c r="W481" s="900"/>
      <c r="X481" s="697"/>
    </row>
    <row r="482">
      <c r="L482" s="4"/>
      <c r="M482" s="4"/>
      <c r="N482" s="4"/>
      <c r="O482" s="4"/>
      <c r="P482" s="2"/>
      <c r="Q482" s="4"/>
      <c r="R482" s="4"/>
      <c r="S482" s="4"/>
      <c r="T482" s="4"/>
      <c r="U482" s="4"/>
      <c r="V482" s="4"/>
      <c r="W482" s="900"/>
      <c r="X482" s="697"/>
    </row>
    <row r="483">
      <c r="L483" s="4"/>
      <c r="M483" s="4"/>
      <c r="N483" s="4"/>
      <c r="O483" s="4"/>
      <c r="P483" s="2"/>
      <c r="Q483" s="4"/>
      <c r="R483" s="4"/>
      <c r="S483" s="4"/>
      <c r="T483" s="4"/>
      <c r="U483" s="4"/>
      <c r="V483" s="4"/>
      <c r="W483" s="900"/>
      <c r="X483" s="697"/>
    </row>
    <row r="484">
      <c r="L484" s="4"/>
      <c r="M484" s="4"/>
      <c r="N484" s="4"/>
      <c r="O484" s="4"/>
      <c r="P484" s="2"/>
      <c r="Q484" s="4"/>
      <c r="R484" s="4"/>
      <c r="S484" s="4"/>
      <c r="T484" s="4"/>
      <c r="U484" s="4"/>
      <c r="V484" s="4"/>
      <c r="W484" s="900"/>
      <c r="X484" s="697"/>
    </row>
    <row r="485">
      <c r="L485" s="4"/>
      <c r="M485" s="4"/>
      <c r="N485" s="4"/>
      <c r="O485" s="4"/>
      <c r="P485" s="2"/>
      <c r="Q485" s="4"/>
      <c r="R485" s="4"/>
      <c r="S485" s="4"/>
      <c r="T485" s="4"/>
      <c r="U485" s="4"/>
      <c r="V485" s="4"/>
      <c r="W485" s="900"/>
      <c r="X485" s="697"/>
    </row>
    <row r="486">
      <c r="L486" s="4"/>
      <c r="M486" s="4"/>
      <c r="N486" s="4"/>
      <c r="O486" s="4"/>
      <c r="P486" s="2"/>
      <c r="Q486" s="4"/>
      <c r="R486" s="4"/>
      <c r="S486" s="4"/>
      <c r="T486" s="4"/>
      <c r="U486" s="4"/>
      <c r="V486" s="4"/>
      <c r="W486" s="900"/>
      <c r="X486" s="697"/>
    </row>
    <row r="487">
      <c r="L487" s="4"/>
      <c r="M487" s="4"/>
      <c r="N487" s="4"/>
      <c r="O487" s="4"/>
      <c r="P487" s="2"/>
      <c r="Q487" s="4"/>
      <c r="R487" s="4"/>
      <c r="S487" s="4"/>
      <c r="T487" s="4"/>
      <c r="U487" s="4"/>
      <c r="V487" s="4"/>
      <c r="W487" s="900"/>
      <c r="X487" s="697"/>
    </row>
    <row r="488">
      <c r="L488" s="4"/>
      <c r="M488" s="4"/>
      <c r="N488" s="4"/>
      <c r="O488" s="4"/>
      <c r="P488" s="2"/>
      <c r="Q488" s="4"/>
      <c r="R488" s="4"/>
      <c r="S488" s="4"/>
      <c r="T488" s="4"/>
      <c r="U488" s="4"/>
      <c r="V488" s="4"/>
      <c r="W488" s="900"/>
      <c r="X488" s="697"/>
    </row>
    <row r="489">
      <c r="L489" s="4"/>
      <c r="M489" s="4"/>
      <c r="N489" s="4"/>
      <c r="O489" s="4"/>
      <c r="P489" s="2"/>
      <c r="Q489" s="4"/>
      <c r="R489" s="4"/>
      <c r="S489" s="4"/>
      <c r="T489" s="4"/>
      <c r="U489" s="4"/>
      <c r="V489" s="4"/>
      <c r="W489" s="900"/>
      <c r="X489" s="697"/>
    </row>
    <row r="490">
      <c r="L490" s="4"/>
      <c r="M490" s="4"/>
      <c r="N490" s="4"/>
      <c r="O490" s="4"/>
      <c r="P490" s="2"/>
      <c r="Q490" s="4"/>
      <c r="R490" s="4"/>
      <c r="S490" s="4"/>
      <c r="T490" s="4"/>
      <c r="U490" s="4"/>
      <c r="V490" s="4"/>
      <c r="W490" s="900"/>
      <c r="X490" s="697"/>
    </row>
    <row r="491">
      <c r="L491" s="4"/>
      <c r="M491" s="4"/>
      <c r="N491" s="4"/>
      <c r="O491" s="4"/>
      <c r="P491" s="2"/>
      <c r="Q491" s="4"/>
      <c r="R491" s="4"/>
      <c r="S491" s="4"/>
      <c r="T491" s="4"/>
      <c r="U491" s="4"/>
      <c r="V491" s="4"/>
      <c r="W491" s="900"/>
      <c r="X491" s="697"/>
    </row>
    <row r="492">
      <c r="L492" s="4"/>
      <c r="M492" s="4"/>
      <c r="N492" s="4"/>
      <c r="O492" s="4"/>
      <c r="P492" s="2"/>
      <c r="Q492" s="4"/>
      <c r="R492" s="4"/>
      <c r="S492" s="4"/>
      <c r="T492" s="4"/>
      <c r="U492" s="4"/>
      <c r="V492" s="4"/>
      <c r="W492" s="900"/>
      <c r="X492" s="697"/>
    </row>
    <row r="493">
      <c r="L493" s="4"/>
      <c r="M493" s="4"/>
      <c r="N493" s="4"/>
      <c r="O493" s="4"/>
      <c r="P493" s="2"/>
      <c r="Q493" s="4"/>
      <c r="R493" s="4"/>
      <c r="S493" s="4"/>
      <c r="T493" s="4"/>
      <c r="U493" s="4"/>
      <c r="V493" s="4"/>
      <c r="W493" s="900"/>
      <c r="X493" s="697"/>
    </row>
    <row r="494">
      <c r="L494" s="4"/>
      <c r="M494" s="4"/>
      <c r="N494" s="4"/>
      <c r="O494" s="4"/>
      <c r="P494" s="2"/>
      <c r="Q494" s="4"/>
      <c r="R494" s="4"/>
      <c r="S494" s="4"/>
      <c r="T494" s="4"/>
      <c r="U494" s="4"/>
      <c r="V494" s="4"/>
      <c r="W494" s="900"/>
      <c r="X494" s="697"/>
    </row>
    <row r="495">
      <c r="L495" s="4"/>
      <c r="M495" s="4"/>
      <c r="N495" s="4"/>
      <c r="O495" s="4"/>
      <c r="P495" s="2"/>
      <c r="Q495" s="4"/>
      <c r="R495" s="4"/>
      <c r="S495" s="4"/>
      <c r="T495" s="4"/>
      <c r="U495" s="4"/>
      <c r="V495" s="4"/>
      <c r="W495" s="900"/>
      <c r="X495" s="697"/>
    </row>
    <row r="496">
      <c r="L496" s="4"/>
      <c r="M496" s="4"/>
      <c r="N496" s="4"/>
      <c r="O496" s="4"/>
      <c r="P496" s="2"/>
      <c r="Q496" s="4"/>
      <c r="R496" s="4"/>
      <c r="S496" s="4"/>
      <c r="T496" s="4"/>
      <c r="U496" s="4"/>
      <c r="V496" s="4"/>
      <c r="W496" s="900"/>
      <c r="X496" s="697"/>
    </row>
    <row r="497">
      <c r="L497" s="4"/>
      <c r="M497" s="4"/>
      <c r="N497" s="4"/>
      <c r="O497" s="4"/>
      <c r="P497" s="2"/>
      <c r="Q497" s="4"/>
      <c r="R497" s="4"/>
      <c r="S497" s="4"/>
      <c r="T497" s="4"/>
      <c r="U497" s="4"/>
      <c r="V497" s="4"/>
      <c r="W497" s="900"/>
      <c r="X497" s="697"/>
    </row>
    <row r="498">
      <c r="L498" s="4"/>
      <c r="M498" s="4"/>
      <c r="N498" s="4"/>
      <c r="O498" s="4"/>
      <c r="P498" s="2"/>
      <c r="Q498" s="4"/>
      <c r="R498" s="4"/>
      <c r="S498" s="4"/>
      <c r="T498" s="4"/>
      <c r="U498" s="4"/>
      <c r="V498" s="4"/>
      <c r="W498" s="900"/>
      <c r="X498" s="697"/>
    </row>
    <row r="499">
      <c r="L499" s="4"/>
      <c r="M499" s="4"/>
      <c r="N499" s="4"/>
      <c r="O499" s="4"/>
      <c r="P499" s="2"/>
      <c r="Q499" s="4"/>
      <c r="R499" s="4"/>
      <c r="S499" s="4"/>
      <c r="T499" s="4"/>
      <c r="U499" s="4"/>
      <c r="V499" s="4"/>
      <c r="W499" s="900"/>
      <c r="X499" s="697"/>
    </row>
    <row r="500">
      <c r="L500" s="4"/>
      <c r="M500" s="4"/>
      <c r="N500" s="4"/>
      <c r="O500" s="4"/>
      <c r="P500" s="2"/>
      <c r="Q500" s="4"/>
      <c r="R500" s="4"/>
      <c r="S500" s="4"/>
      <c r="T500" s="4"/>
      <c r="U500" s="4"/>
      <c r="V500" s="4"/>
      <c r="W500" s="900"/>
      <c r="X500" s="697"/>
    </row>
    <row r="501">
      <c r="L501" s="4"/>
      <c r="M501" s="4"/>
      <c r="N501" s="4"/>
      <c r="O501" s="4"/>
      <c r="P501" s="2"/>
      <c r="Q501" s="4"/>
      <c r="R501" s="4"/>
      <c r="S501" s="4"/>
      <c r="T501" s="4"/>
      <c r="U501" s="4"/>
      <c r="V501" s="4"/>
      <c r="W501" s="900"/>
      <c r="X501" s="697"/>
    </row>
    <row r="502">
      <c r="L502" s="4"/>
      <c r="M502" s="4"/>
      <c r="N502" s="4"/>
      <c r="O502" s="4"/>
      <c r="P502" s="2"/>
      <c r="Q502" s="4"/>
      <c r="R502" s="4"/>
      <c r="S502" s="4"/>
      <c r="T502" s="4"/>
      <c r="U502" s="4"/>
      <c r="V502" s="4"/>
      <c r="W502" s="900"/>
      <c r="X502" s="697"/>
    </row>
    <row r="503">
      <c r="L503" s="4"/>
      <c r="M503" s="4"/>
      <c r="N503" s="4"/>
      <c r="O503" s="4"/>
      <c r="P503" s="2"/>
      <c r="Q503" s="4"/>
      <c r="R503" s="4"/>
      <c r="S503" s="4"/>
      <c r="T503" s="4"/>
      <c r="U503" s="4"/>
      <c r="V503" s="4"/>
      <c r="W503" s="900"/>
      <c r="X503" s="697"/>
    </row>
    <row r="504">
      <c r="L504" s="4"/>
      <c r="M504" s="4"/>
      <c r="N504" s="4"/>
      <c r="O504" s="4"/>
      <c r="P504" s="2"/>
      <c r="Q504" s="4"/>
      <c r="R504" s="4"/>
      <c r="S504" s="4"/>
      <c r="T504" s="4"/>
      <c r="U504" s="4"/>
      <c r="V504" s="4"/>
      <c r="W504" s="900"/>
      <c r="X504" s="697"/>
    </row>
    <row r="505">
      <c r="L505" s="4"/>
      <c r="M505" s="4"/>
      <c r="N505" s="4"/>
      <c r="O505" s="4"/>
      <c r="P505" s="2"/>
      <c r="Q505" s="4"/>
      <c r="R505" s="4"/>
      <c r="S505" s="4"/>
      <c r="T505" s="4"/>
      <c r="U505" s="4"/>
      <c r="V505" s="4"/>
      <c r="W505" s="900"/>
      <c r="X505" s="697"/>
    </row>
    <row r="506">
      <c r="L506" s="4"/>
      <c r="M506" s="4"/>
      <c r="N506" s="4"/>
      <c r="O506" s="4"/>
      <c r="P506" s="2"/>
      <c r="Q506" s="4"/>
      <c r="R506" s="4"/>
      <c r="S506" s="4"/>
      <c r="T506" s="4"/>
      <c r="U506" s="4"/>
      <c r="V506" s="4"/>
      <c r="W506" s="900"/>
      <c r="X506" s="697"/>
    </row>
    <row r="507">
      <c r="L507" s="4"/>
      <c r="M507" s="4"/>
      <c r="N507" s="4"/>
      <c r="O507" s="4"/>
      <c r="P507" s="2"/>
      <c r="Q507" s="4"/>
      <c r="R507" s="4"/>
      <c r="S507" s="4"/>
      <c r="T507" s="4"/>
      <c r="U507" s="4"/>
      <c r="V507" s="4"/>
      <c r="W507" s="900"/>
      <c r="X507" s="697"/>
    </row>
    <row r="508">
      <c r="L508" s="4"/>
      <c r="M508" s="4"/>
      <c r="N508" s="4"/>
      <c r="O508" s="4"/>
      <c r="P508" s="2"/>
      <c r="Q508" s="4"/>
      <c r="R508" s="4"/>
      <c r="S508" s="4"/>
      <c r="T508" s="4"/>
      <c r="U508" s="4"/>
      <c r="V508" s="4"/>
      <c r="W508" s="900"/>
      <c r="X508" s="697"/>
    </row>
    <row r="509">
      <c r="L509" s="4"/>
      <c r="M509" s="4"/>
      <c r="N509" s="4"/>
      <c r="O509" s="4"/>
      <c r="P509" s="2"/>
      <c r="Q509" s="4"/>
      <c r="R509" s="4"/>
      <c r="S509" s="4"/>
      <c r="T509" s="4"/>
      <c r="U509" s="4"/>
      <c r="V509" s="4"/>
      <c r="W509" s="900"/>
      <c r="X509" s="697"/>
    </row>
    <row r="510">
      <c r="L510" s="4"/>
      <c r="M510" s="4"/>
      <c r="N510" s="4"/>
      <c r="O510" s="4"/>
      <c r="P510" s="2"/>
      <c r="Q510" s="4"/>
      <c r="R510" s="4"/>
      <c r="S510" s="4"/>
      <c r="T510" s="4"/>
      <c r="U510" s="4"/>
      <c r="V510" s="4"/>
      <c r="W510" s="900"/>
      <c r="X510" s="697"/>
    </row>
    <row r="511">
      <c r="L511" s="4"/>
      <c r="M511" s="4"/>
      <c r="N511" s="4"/>
      <c r="O511" s="4"/>
      <c r="P511" s="2"/>
      <c r="Q511" s="4"/>
      <c r="R511" s="4"/>
      <c r="S511" s="4"/>
      <c r="T511" s="4"/>
      <c r="U511" s="4"/>
      <c r="V511" s="4"/>
      <c r="W511" s="900"/>
      <c r="X511" s="697"/>
    </row>
    <row r="512">
      <c r="L512" s="4"/>
      <c r="M512" s="4"/>
      <c r="N512" s="4"/>
      <c r="O512" s="4"/>
      <c r="P512" s="2"/>
      <c r="Q512" s="4"/>
      <c r="R512" s="4"/>
      <c r="S512" s="4"/>
      <c r="T512" s="4"/>
      <c r="U512" s="4"/>
      <c r="V512" s="4"/>
      <c r="W512" s="900"/>
      <c r="X512" s="697"/>
    </row>
    <row r="513">
      <c r="L513" s="4"/>
      <c r="M513" s="4"/>
      <c r="N513" s="4"/>
      <c r="O513" s="4"/>
      <c r="P513" s="2"/>
      <c r="Q513" s="4"/>
      <c r="R513" s="4"/>
      <c r="S513" s="4"/>
      <c r="T513" s="4"/>
      <c r="U513" s="4"/>
      <c r="V513" s="4"/>
      <c r="W513" s="900"/>
      <c r="X513" s="697"/>
    </row>
    <row r="514">
      <c r="L514" s="4"/>
      <c r="M514" s="4"/>
      <c r="N514" s="4"/>
      <c r="O514" s="4"/>
      <c r="P514" s="2"/>
      <c r="Q514" s="4"/>
      <c r="R514" s="4"/>
      <c r="S514" s="4"/>
      <c r="T514" s="4"/>
      <c r="U514" s="4"/>
      <c r="V514" s="4"/>
      <c r="W514" s="900"/>
      <c r="X514" s="697"/>
    </row>
    <row r="515">
      <c r="L515" s="4"/>
      <c r="M515" s="4"/>
      <c r="N515" s="4"/>
      <c r="O515" s="4"/>
      <c r="P515" s="2"/>
      <c r="Q515" s="4"/>
      <c r="R515" s="4"/>
      <c r="S515" s="4"/>
      <c r="T515" s="4"/>
      <c r="U515" s="4"/>
      <c r="V515" s="4"/>
      <c r="W515" s="900"/>
      <c r="X515" s="697"/>
    </row>
    <row r="516">
      <c r="L516" s="4"/>
      <c r="M516" s="4"/>
      <c r="N516" s="4"/>
      <c r="O516" s="4"/>
      <c r="P516" s="2"/>
      <c r="Q516" s="4"/>
      <c r="R516" s="4"/>
      <c r="S516" s="4"/>
      <c r="T516" s="4"/>
      <c r="U516" s="4"/>
      <c r="V516" s="4"/>
      <c r="W516" s="900"/>
      <c r="X516" s="697"/>
    </row>
    <row r="517">
      <c r="L517" s="4"/>
      <c r="M517" s="4"/>
      <c r="N517" s="4"/>
      <c r="O517" s="4"/>
      <c r="P517" s="2"/>
      <c r="Q517" s="4"/>
      <c r="R517" s="4"/>
      <c r="S517" s="4"/>
      <c r="T517" s="4"/>
      <c r="U517" s="4"/>
      <c r="V517" s="4"/>
      <c r="W517" s="900"/>
      <c r="X517" s="697"/>
    </row>
    <row r="518">
      <c r="L518" s="4"/>
      <c r="M518" s="4"/>
      <c r="N518" s="4"/>
      <c r="O518" s="4"/>
      <c r="P518" s="2"/>
      <c r="Q518" s="4"/>
      <c r="R518" s="4"/>
      <c r="S518" s="4"/>
      <c r="T518" s="4"/>
      <c r="U518" s="4"/>
      <c r="V518" s="4"/>
      <c r="W518" s="900"/>
      <c r="X518" s="697"/>
    </row>
    <row r="519">
      <c r="L519" s="4"/>
      <c r="M519" s="4"/>
      <c r="N519" s="4"/>
      <c r="O519" s="4"/>
      <c r="P519" s="2"/>
      <c r="Q519" s="4"/>
      <c r="R519" s="4"/>
      <c r="S519" s="4"/>
      <c r="T519" s="4"/>
      <c r="U519" s="4"/>
      <c r="V519" s="4"/>
      <c r="W519" s="900"/>
      <c r="X519" s="697"/>
    </row>
    <row r="520">
      <c r="L520" s="4"/>
      <c r="M520" s="4"/>
      <c r="N520" s="4"/>
      <c r="O520" s="4"/>
      <c r="P520" s="2"/>
      <c r="Q520" s="4"/>
      <c r="R520" s="4"/>
      <c r="S520" s="4"/>
      <c r="T520" s="4"/>
      <c r="U520" s="4"/>
      <c r="V520" s="4"/>
      <c r="W520" s="900"/>
      <c r="X520" s="697"/>
    </row>
    <row r="521">
      <c r="L521" s="4"/>
      <c r="M521" s="4"/>
      <c r="N521" s="4"/>
      <c r="O521" s="4"/>
      <c r="P521" s="2"/>
      <c r="Q521" s="4"/>
      <c r="R521" s="4"/>
      <c r="S521" s="4"/>
      <c r="T521" s="4"/>
      <c r="U521" s="4"/>
      <c r="V521" s="4"/>
      <c r="W521" s="900"/>
      <c r="X521" s="697"/>
    </row>
    <row r="522">
      <c r="L522" s="4"/>
      <c r="M522" s="4"/>
      <c r="N522" s="4"/>
      <c r="O522" s="4"/>
      <c r="P522" s="2"/>
      <c r="Q522" s="4"/>
      <c r="R522" s="4"/>
      <c r="S522" s="4"/>
      <c r="T522" s="4"/>
      <c r="U522" s="4"/>
      <c r="V522" s="4"/>
      <c r="W522" s="900"/>
      <c r="X522" s="697"/>
    </row>
    <row r="523">
      <c r="L523" s="4"/>
      <c r="M523" s="4"/>
      <c r="N523" s="4"/>
      <c r="O523" s="4"/>
      <c r="P523" s="2"/>
      <c r="Q523" s="4"/>
      <c r="R523" s="4"/>
      <c r="S523" s="4"/>
      <c r="T523" s="4"/>
      <c r="U523" s="4"/>
      <c r="V523" s="4"/>
      <c r="W523" s="900"/>
      <c r="X523" s="697"/>
    </row>
    <row r="524">
      <c r="L524" s="4"/>
      <c r="M524" s="4"/>
      <c r="N524" s="4"/>
      <c r="O524" s="4"/>
      <c r="P524" s="2"/>
      <c r="Q524" s="4"/>
      <c r="R524" s="4"/>
      <c r="S524" s="4"/>
      <c r="T524" s="4"/>
      <c r="U524" s="4"/>
      <c r="V524" s="4"/>
      <c r="W524" s="900"/>
      <c r="X524" s="697"/>
    </row>
    <row r="525">
      <c r="L525" s="4"/>
      <c r="M525" s="4"/>
      <c r="N525" s="4"/>
      <c r="O525" s="4"/>
      <c r="P525" s="2"/>
      <c r="Q525" s="4"/>
      <c r="R525" s="4"/>
      <c r="S525" s="4"/>
      <c r="T525" s="4"/>
      <c r="U525" s="4"/>
      <c r="V525" s="4"/>
      <c r="W525" s="900"/>
      <c r="X525" s="697"/>
    </row>
    <row r="526">
      <c r="L526" s="4"/>
      <c r="M526" s="4"/>
      <c r="N526" s="4"/>
      <c r="O526" s="4"/>
      <c r="P526" s="2"/>
      <c r="Q526" s="4"/>
      <c r="R526" s="4"/>
      <c r="S526" s="4"/>
      <c r="T526" s="4"/>
      <c r="U526" s="4"/>
      <c r="V526" s="4"/>
      <c r="W526" s="900"/>
      <c r="X526" s="697"/>
    </row>
    <row r="527">
      <c r="L527" s="4"/>
      <c r="M527" s="4"/>
      <c r="N527" s="4"/>
      <c r="O527" s="4"/>
      <c r="P527" s="2"/>
      <c r="Q527" s="4"/>
      <c r="R527" s="4"/>
      <c r="S527" s="4"/>
      <c r="T527" s="4"/>
      <c r="U527" s="4"/>
      <c r="V527" s="4"/>
      <c r="W527" s="900"/>
      <c r="X527" s="697"/>
    </row>
    <row r="528">
      <c r="L528" s="4"/>
      <c r="M528" s="4"/>
      <c r="N528" s="4"/>
      <c r="O528" s="4"/>
      <c r="P528" s="2"/>
      <c r="Q528" s="4"/>
      <c r="R528" s="4"/>
      <c r="S528" s="4"/>
      <c r="T528" s="4"/>
      <c r="U528" s="4"/>
      <c r="V528" s="4"/>
      <c r="W528" s="900"/>
      <c r="X528" s="697"/>
    </row>
    <row r="529">
      <c r="L529" s="4"/>
      <c r="M529" s="4"/>
      <c r="N529" s="4"/>
      <c r="O529" s="4"/>
      <c r="P529" s="2"/>
      <c r="Q529" s="4"/>
      <c r="R529" s="4"/>
      <c r="S529" s="4"/>
      <c r="T529" s="4"/>
      <c r="U529" s="4"/>
      <c r="V529" s="4"/>
      <c r="W529" s="900"/>
      <c r="X529" s="697"/>
    </row>
    <row r="530">
      <c r="L530" s="4"/>
      <c r="M530" s="4"/>
      <c r="N530" s="4"/>
      <c r="O530" s="4"/>
      <c r="P530" s="2"/>
      <c r="Q530" s="4"/>
      <c r="R530" s="4"/>
      <c r="S530" s="4"/>
      <c r="T530" s="4"/>
      <c r="U530" s="4"/>
      <c r="V530" s="4"/>
      <c r="W530" s="900"/>
      <c r="X530" s="697"/>
    </row>
    <row r="531">
      <c r="L531" s="4"/>
      <c r="M531" s="4"/>
      <c r="N531" s="4"/>
      <c r="O531" s="4"/>
      <c r="P531" s="2"/>
      <c r="Q531" s="4"/>
      <c r="R531" s="4"/>
      <c r="S531" s="4"/>
      <c r="T531" s="4"/>
      <c r="U531" s="4"/>
      <c r="V531" s="4"/>
      <c r="W531" s="900"/>
      <c r="X531" s="697"/>
    </row>
    <row r="532">
      <c r="L532" s="4"/>
      <c r="M532" s="4"/>
      <c r="N532" s="4"/>
      <c r="O532" s="4"/>
      <c r="P532" s="2"/>
      <c r="Q532" s="4"/>
      <c r="R532" s="4"/>
      <c r="S532" s="4"/>
      <c r="T532" s="4"/>
      <c r="U532" s="4"/>
      <c r="V532" s="4"/>
      <c r="W532" s="900"/>
      <c r="X532" s="697"/>
    </row>
    <row r="533">
      <c r="L533" s="4"/>
      <c r="M533" s="4"/>
      <c r="N533" s="4"/>
      <c r="O533" s="4"/>
      <c r="P533" s="2"/>
      <c r="Q533" s="4"/>
      <c r="R533" s="4"/>
      <c r="S533" s="4"/>
      <c r="T533" s="4"/>
      <c r="U533" s="4"/>
      <c r="V533" s="4"/>
      <c r="W533" s="900"/>
      <c r="X533" s="697"/>
    </row>
    <row r="534">
      <c r="L534" s="4"/>
      <c r="M534" s="4"/>
      <c r="N534" s="4"/>
      <c r="O534" s="4"/>
      <c r="P534" s="2"/>
      <c r="Q534" s="4"/>
      <c r="R534" s="4"/>
      <c r="S534" s="4"/>
      <c r="T534" s="4"/>
      <c r="U534" s="4"/>
      <c r="V534" s="4"/>
      <c r="W534" s="900"/>
      <c r="X534" s="697"/>
    </row>
    <row r="535">
      <c r="L535" s="4"/>
      <c r="M535" s="4"/>
      <c r="N535" s="4"/>
      <c r="O535" s="4"/>
      <c r="P535" s="2"/>
      <c r="Q535" s="4"/>
      <c r="R535" s="4"/>
      <c r="S535" s="4"/>
      <c r="T535" s="4"/>
      <c r="U535" s="4"/>
      <c r="V535" s="4"/>
      <c r="W535" s="900"/>
      <c r="X535" s="697"/>
    </row>
    <row r="536">
      <c r="L536" s="4"/>
      <c r="M536" s="4"/>
      <c r="N536" s="4"/>
      <c r="O536" s="4"/>
      <c r="P536" s="2"/>
      <c r="Q536" s="4"/>
      <c r="R536" s="4"/>
      <c r="S536" s="4"/>
      <c r="T536" s="4"/>
      <c r="U536" s="4"/>
      <c r="V536" s="4"/>
      <c r="W536" s="900"/>
      <c r="X536" s="697"/>
    </row>
    <row r="537">
      <c r="L537" s="4"/>
      <c r="M537" s="4"/>
      <c r="N537" s="4"/>
      <c r="O537" s="4"/>
      <c r="P537" s="2"/>
      <c r="Q537" s="4"/>
      <c r="R537" s="4"/>
      <c r="S537" s="4"/>
      <c r="T537" s="4"/>
      <c r="U537" s="4"/>
      <c r="V537" s="4"/>
      <c r="W537" s="900"/>
      <c r="X537" s="697"/>
    </row>
    <row r="538">
      <c r="L538" s="4"/>
      <c r="M538" s="4"/>
      <c r="N538" s="4"/>
      <c r="O538" s="4"/>
      <c r="P538" s="2"/>
      <c r="Q538" s="4"/>
      <c r="R538" s="4"/>
      <c r="S538" s="4"/>
      <c r="T538" s="4"/>
      <c r="U538" s="4"/>
      <c r="V538" s="4"/>
      <c r="W538" s="900"/>
      <c r="X538" s="697"/>
    </row>
    <row r="539">
      <c r="L539" s="4"/>
      <c r="M539" s="4"/>
      <c r="N539" s="4"/>
      <c r="O539" s="4"/>
      <c r="P539" s="2"/>
      <c r="Q539" s="4"/>
      <c r="R539" s="4"/>
      <c r="S539" s="4"/>
      <c r="T539" s="4"/>
      <c r="U539" s="4"/>
      <c r="V539" s="4"/>
      <c r="W539" s="900"/>
      <c r="X539" s="697"/>
    </row>
    <row r="540">
      <c r="L540" s="4"/>
      <c r="M540" s="4"/>
      <c r="N540" s="4"/>
      <c r="O540" s="4"/>
      <c r="P540" s="2"/>
      <c r="Q540" s="4"/>
      <c r="R540" s="4"/>
      <c r="S540" s="4"/>
      <c r="T540" s="4"/>
      <c r="U540" s="4"/>
      <c r="V540" s="4"/>
      <c r="W540" s="900"/>
      <c r="X540" s="697"/>
    </row>
    <row r="541">
      <c r="L541" s="4"/>
      <c r="M541" s="4"/>
      <c r="N541" s="4"/>
      <c r="O541" s="4"/>
      <c r="P541" s="2"/>
      <c r="Q541" s="4"/>
      <c r="R541" s="4"/>
      <c r="S541" s="4"/>
      <c r="T541" s="4"/>
      <c r="U541" s="4"/>
      <c r="V541" s="4"/>
      <c r="W541" s="900"/>
      <c r="X541" s="697"/>
    </row>
    <row r="542">
      <c r="L542" s="4"/>
      <c r="M542" s="4"/>
      <c r="N542" s="4"/>
      <c r="O542" s="4"/>
      <c r="P542" s="2"/>
      <c r="Q542" s="4"/>
      <c r="R542" s="4"/>
      <c r="S542" s="4"/>
      <c r="T542" s="4"/>
      <c r="U542" s="4"/>
      <c r="V542" s="4"/>
      <c r="W542" s="900"/>
      <c r="X542" s="697"/>
    </row>
    <row r="543">
      <c r="L543" s="4"/>
      <c r="M543" s="4"/>
      <c r="N543" s="4"/>
      <c r="O543" s="4"/>
      <c r="P543" s="2"/>
      <c r="Q543" s="4"/>
      <c r="R543" s="4"/>
      <c r="S543" s="4"/>
      <c r="T543" s="4"/>
      <c r="U543" s="4"/>
      <c r="V543" s="4"/>
      <c r="W543" s="900"/>
      <c r="X543" s="697"/>
    </row>
    <row r="544">
      <c r="L544" s="4"/>
      <c r="M544" s="4"/>
      <c r="N544" s="4"/>
      <c r="O544" s="4"/>
      <c r="P544" s="2"/>
      <c r="Q544" s="4"/>
      <c r="R544" s="4"/>
      <c r="S544" s="4"/>
      <c r="T544" s="4"/>
      <c r="U544" s="4"/>
      <c r="V544" s="4"/>
      <c r="W544" s="900"/>
      <c r="X544" s="697"/>
    </row>
    <row r="545">
      <c r="L545" s="4"/>
      <c r="M545" s="4"/>
      <c r="N545" s="4"/>
      <c r="O545" s="4"/>
      <c r="P545" s="2"/>
      <c r="Q545" s="4"/>
      <c r="R545" s="4"/>
      <c r="S545" s="4"/>
      <c r="T545" s="4"/>
      <c r="U545" s="4"/>
      <c r="V545" s="4"/>
      <c r="W545" s="900"/>
      <c r="X545" s="697"/>
    </row>
    <row r="546">
      <c r="L546" s="4"/>
      <c r="M546" s="4"/>
      <c r="N546" s="4"/>
      <c r="O546" s="4"/>
      <c r="P546" s="2"/>
      <c r="Q546" s="4"/>
      <c r="R546" s="4"/>
      <c r="S546" s="4"/>
      <c r="T546" s="4"/>
      <c r="U546" s="4"/>
      <c r="V546" s="4"/>
      <c r="W546" s="900"/>
      <c r="X546" s="697"/>
    </row>
    <row r="547">
      <c r="L547" s="4"/>
      <c r="M547" s="4"/>
      <c r="N547" s="4"/>
      <c r="O547" s="4"/>
      <c r="P547" s="2"/>
      <c r="Q547" s="4"/>
      <c r="R547" s="4"/>
      <c r="S547" s="4"/>
      <c r="T547" s="4"/>
      <c r="U547" s="4"/>
      <c r="V547" s="4"/>
      <c r="W547" s="900"/>
      <c r="X547" s="697"/>
    </row>
    <row r="548">
      <c r="L548" s="4"/>
      <c r="M548" s="4"/>
      <c r="N548" s="4"/>
      <c r="O548" s="4"/>
      <c r="P548" s="2"/>
      <c r="Q548" s="4"/>
      <c r="R548" s="4"/>
      <c r="S548" s="4"/>
      <c r="T548" s="4"/>
      <c r="U548" s="4"/>
      <c r="V548" s="4"/>
      <c r="W548" s="900"/>
      <c r="X548" s="697"/>
    </row>
    <row r="549">
      <c r="L549" s="4"/>
      <c r="M549" s="4"/>
      <c r="N549" s="4"/>
      <c r="O549" s="4"/>
      <c r="P549" s="2"/>
      <c r="Q549" s="4"/>
      <c r="R549" s="4"/>
      <c r="S549" s="4"/>
      <c r="T549" s="4"/>
      <c r="U549" s="4"/>
      <c r="V549" s="4"/>
      <c r="W549" s="900"/>
      <c r="X549" s="697"/>
    </row>
    <row r="550">
      <c r="L550" s="4"/>
      <c r="M550" s="4"/>
      <c r="N550" s="4"/>
      <c r="O550" s="4"/>
      <c r="P550" s="2"/>
      <c r="Q550" s="4"/>
      <c r="R550" s="4"/>
      <c r="S550" s="4"/>
      <c r="T550" s="4"/>
      <c r="U550" s="4"/>
      <c r="V550" s="4"/>
      <c r="W550" s="900"/>
      <c r="X550" s="697"/>
    </row>
    <row r="551">
      <c r="L551" s="4"/>
      <c r="M551" s="4"/>
      <c r="N551" s="4"/>
      <c r="O551" s="4"/>
      <c r="P551" s="2"/>
      <c r="Q551" s="4"/>
      <c r="R551" s="4"/>
      <c r="S551" s="4"/>
      <c r="T551" s="4"/>
      <c r="U551" s="4"/>
      <c r="V551" s="4"/>
      <c r="W551" s="900"/>
      <c r="X551" s="697"/>
    </row>
    <row r="552">
      <c r="L552" s="4"/>
      <c r="M552" s="4"/>
      <c r="N552" s="4"/>
      <c r="O552" s="4"/>
      <c r="P552" s="2"/>
      <c r="Q552" s="4"/>
      <c r="R552" s="4"/>
      <c r="S552" s="4"/>
      <c r="T552" s="4"/>
      <c r="U552" s="4"/>
      <c r="V552" s="4"/>
      <c r="W552" s="900"/>
      <c r="X552" s="697"/>
    </row>
    <row r="553">
      <c r="L553" s="4"/>
      <c r="M553" s="4"/>
      <c r="N553" s="4"/>
      <c r="O553" s="4"/>
      <c r="P553" s="2"/>
      <c r="Q553" s="4"/>
      <c r="R553" s="4"/>
      <c r="S553" s="4"/>
      <c r="T553" s="4"/>
      <c r="U553" s="4"/>
      <c r="V553" s="4"/>
      <c r="W553" s="900"/>
      <c r="X553" s="697"/>
    </row>
    <row r="554">
      <c r="L554" s="4"/>
      <c r="M554" s="4"/>
      <c r="N554" s="4"/>
      <c r="O554" s="4"/>
      <c r="P554" s="2"/>
      <c r="Q554" s="4"/>
      <c r="R554" s="4"/>
      <c r="S554" s="4"/>
      <c r="T554" s="4"/>
      <c r="U554" s="4"/>
      <c r="V554" s="4"/>
      <c r="W554" s="900"/>
      <c r="X554" s="697"/>
    </row>
    <row r="555">
      <c r="L555" s="4"/>
      <c r="M555" s="4"/>
      <c r="N555" s="4"/>
      <c r="O555" s="4"/>
      <c r="P555" s="2"/>
      <c r="Q555" s="4"/>
      <c r="R555" s="4"/>
      <c r="S555" s="4"/>
      <c r="T555" s="4"/>
      <c r="U555" s="4"/>
      <c r="V555" s="4"/>
      <c r="W555" s="900"/>
      <c r="X555" s="697"/>
    </row>
    <row r="556">
      <c r="L556" s="4"/>
      <c r="M556" s="4"/>
      <c r="N556" s="4"/>
      <c r="O556" s="4"/>
      <c r="P556" s="2"/>
      <c r="Q556" s="4"/>
      <c r="R556" s="4"/>
      <c r="S556" s="4"/>
      <c r="T556" s="4"/>
      <c r="U556" s="4"/>
      <c r="V556" s="4"/>
      <c r="W556" s="900"/>
      <c r="X556" s="697"/>
    </row>
    <row r="557">
      <c r="L557" s="4"/>
      <c r="M557" s="4"/>
      <c r="N557" s="4"/>
      <c r="O557" s="4"/>
      <c r="P557" s="2"/>
      <c r="Q557" s="4"/>
      <c r="R557" s="4"/>
      <c r="S557" s="4"/>
      <c r="T557" s="4"/>
      <c r="U557" s="4"/>
      <c r="V557" s="4"/>
      <c r="W557" s="900"/>
      <c r="X557" s="697"/>
    </row>
    <row r="558">
      <c r="L558" s="4"/>
      <c r="M558" s="4"/>
      <c r="N558" s="4"/>
      <c r="O558" s="4"/>
      <c r="P558" s="2"/>
      <c r="Q558" s="4"/>
      <c r="R558" s="4"/>
      <c r="S558" s="4"/>
      <c r="T558" s="4"/>
      <c r="U558" s="4"/>
      <c r="V558" s="4"/>
      <c r="W558" s="900"/>
      <c r="X558" s="697"/>
    </row>
    <row r="559">
      <c r="L559" s="4"/>
      <c r="M559" s="4"/>
      <c r="N559" s="4"/>
      <c r="O559" s="4"/>
      <c r="P559" s="2"/>
      <c r="Q559" s="4"/>
      <c r="R559" s="4"/>
      <c r="S559" s="4"/>
      <c r="T559" s="4"/>
      <c r="U559" s="4"/>
      <c r="V559" s="4"/>
      <c r="W559" s="900"/>
      <c r="X559" s="697"/>
    </row>
    <row r="560">
      <c r="L560" s="4"/>
      <c r="M560" s="4"/>
      <c r="N560" s="4"/>
      <c r="O560" s="4"/>
      <c r="P560" s="2"/>
      <c r="Q560" s="4"/>
      <c r="R560" s="4"/>
      <c r="S560" s="4"/>
      <c r="T560" s="4"/>
      <c r="U560" s="4"/>
      <c r="V560" s="4"/>
      <c r="W560" s="900"/>
      <c r="X560" s="697"/>
    </row>
    <row r="561">
      <c r="L561" s="4"/>
      <c r="M561" s="4"/>
      <c r="N561" s="4"/>
      <c r="O561" s="4"/>
      <c r="P561" s="2"/>
      <c r="Q561" s="4"/>
      <c r="R561" s="4"/>
      <c r="S561" s="4"/>
      <c r="T561" s="4"/>
      <c r="U561" s="4"/>
      <c r="V561" s="4"/>
      <c r="W561" s="900"/>
      <c r="X561" s="697"/>
    </row>
    <row r="562">
      <c r="L562" s="4"/>
      <c r="M562" s="4"/>
      <c r="N562" s="4"/>
      <c r="O562" s="4"/>
      <c r="P562" s="2"/>
      <c r="Q562" s="4"/>
      <c r="R562" s="4"/>
      <c r="S562" s="4"/>
      <c r="T562" s="4"/>
      <c r="U562" s="4"/>
      <c r="V562" s="4"/>
      <c r="W562" s="900"/>
      <c r="X562" s="697"/>
    </row>
    <row r="563">
      <c r="L563" s="4"/>
      <c r="M563" s="4"/>
      <c r="N563" s="4"/>
      <c r="O563" s="4"/>
      <c r="P563" s="2"/>
      <c r="Q563" s="4"/>
      <c r="R563" s="4"/>
      <c r="S563" s="4"/>
      <c r="T563" s="4"/>
      <c r="U563" s="4"/>
      <c r="V563" s="4"/>
      <c r="W563" s="900"/>
      <c r="X563" s="697"/>
    </row>
    <row r="564">
      <c r="L564" s="4"/>
      <c r="M564" s="4"/>
      <c r="N564" s="4"/>
      <c r="O564" s="4"/>
      <c r="P564" s="2"/>
      <c r="Q564" s="4"/>
      <c r="R564" s="4"/>
      <c r="S564" s="4"/>
      <c r="T564" s="4"/>
      <c r="U564" s="4"/>
      <c r="V564" s="4"/>
      <c r="W564" s="900"/>
      <c r="X564" s="697"/>
    </row>
    <row r="565">
      <c r="L565" s="4"/>
      <c r="M565" s="4"/>
      <c r="N565" s="4"/>
      <c r="O565" s="4"/>
      <c r="P565" s="2"/>
      <c r="Q565" s="4"/>
      <c r="R565" s="4"/>
      <c r="S565" s="4"/>
      <c r="T565" s="4"/>
      <c r="U565" s="4"/>
      <c r="V565" s="4"/>
      <c r="W565" s="900"/>
      <c r="X565" s="697"/>
    </row>
    <row r="566">
      <c r="L566" s="4"/>
      <c r="M566" s="4"/>
      <c r="N566" s="4"/>
      <c r="O566" s="4"/>
      <c r="P566" s="2"/>
      <c r="Q566" s="4"/>
      <c r="R566" s="4"/>
      <c r="S566" s="4"/>
      <c r="T566" s="4"/>
      <c r="U566" s="4"/>
      <c r="V566" s="4"/>
      <c r="W566" s="900"/>
      <c r="X566" s="697"/>
    </row>
    <row r="567">
      <c r="L567" s="4"/>
      <c r="M567" s="4"/>
      <c r="N567" s="4"/>
      <c r="O567" s="4"/>
      <c r="P567" s="2"/>
      <c r="Q567" s="4"/>
      <c r="R567" s="4"/>
      <c r="S567" s="4"/>
      <c r="T567" s="4"/>
      <c r="U567" s="4"/>
      <c r="V567" s="4"/>
      <c r="W567" s="900"/>
      <c r="X567" s="697"/>
    </row>
    <row r="568">
      <c r="L568" s="4"/>
      <c r="M568" s="4"/>
      <c r="N568" s="4"/>
      <c r="O568" s="4"/>
      <c r="P568" s="2"/>
      <c r="Q568" s="4"/>
      <c r="R568" s="4"/>
      <c r="S568" s="4"/>
      <c r="T568" s="4"/>
      <c r="U568" s="4"/>
      <c r="V568" s="4"/>
      <c r="W568" s="900"/>
      <c r="X568" s="697"/>
    </row>
    <row r="569">
      <c r="L569" s="4"/>
      <c r="M569" s="4"/>
      <c r="N569" s="4"/>
      <c r="O569" s="4"/>
      <c r="P569" s="2"/>
      <c r="Q569" s="4"/>
      <c r="R569" s="4"/>
      <c r="S569" s="4"/>
      <c r="T569" s="4"/>
      <c r="U569" s="4"/>
      <c r="V569" s="4"/>
      <c r="W569" s="900"/>
      <c r="X569" s="697"/>
    </row>
    <row r="570">
      <c r="L570" s="4"/>
      <c r="M570" s="4"/>
      <c r="N570" s="4"/>
      <c r="O570" s="4"/>
      <c r="P570" s="2"/>
      <c r="Q570" s="4"/>
      <c r="R570" s="4"/>
      <c r="S570" s="4"/>
      <c r="T570" s="4"/>
      <c r="U570" s="4"/>
      <c r="V570" s="4"/>
      <c r="W570" s="900"/>
      <c r="X570" s="697"/>
    </row>
    <row r="571">
      <c r="L571" s="4"/>
      <c r="M571" s="4"/>
      <c r="N571" s="4"/>
      <c r="O571" s="4"/>
      <c r="P571" s="2"/>
      <c r="Q571" s="4"/>
      <c r="R571" s="4"/>
      <c r="S571" s="4"/>
      <c r="T571" s="4"/>
      <c r="U571" s="4"/>
      <c r="V571" s="4"/>
      <c r="W571" s="900"/>
      <c r="X571" s="697"/>
    </row>
    <row r="572">
      <c r="L572" s="4"/>
      <c r="M572" s="4"/>
      <c r="N572" s="4"/>
      <c r="O572" s="4"/>
      <c r="P572" s="2"/>
      <c r="Q572" s="4"/>
      <c r="R572" s="4"/>
      <c r="S572" s="4"/>
      <c r="T572" s="4"/>
      <c r="U572" s="4"/>
      <c r="V572" s="4"/>
      <c r="W572" s="900"/>
      <c r="X572" s="697"/>
    </row>
    <row r="573">
      <c r="L573" s="4"/>
      <c r="M573" s="4"/>
      <c r="N573" s="4"/>
      <c r="O573" s="4"/>
      <c r="P573" s="2"/>
      <c r="Q573" s="4"/>
      <c r="R573" s="4"/>
      <c r="S573" s="4"/>
      <c r="T573" s="4"/>
      <c r="U573" s="4"/>
      <c r="V573" s="4"/>
      <c r="W573" s="900"/>
      <c r="X573" s="697"/>
    </row>
    <row r="574">
      <c r="L574" s="4"/>
      <c r="M574" s="4"/>
      <c r="N574" s="4"/>
      <c r="O574" s="4"/>
      <c r="P574" s="2"/>
      <c r="Q574" s="4"/>
      <c r="R574" s="4"/>
      <c r="S574" s="4"/>
      <c r="T574" s="4"/>
      <c r="U574" s="4"/>
      <c r="V574" s="4"/>
      <c r="W574" s="900"/>
      <c r="X574" s="697"/>
    </row>
    <row r="575">
      <c r="L575" s="4"/>
      <c r="M575" s="4"/>
      <c r="N575" s="4"/>
      <c r="O575" s="4"/>
      <c r="P575" s="2"/>
      <c r="Q575" s="4"/>
      <c r="R575" s="4"/>
      <c r="S575" s="4"/>
      <c r="T575" s="4"/>
      <c r="U575" s="4"/>
      <c r="V575" s="4"/>
      <c r="W575" s="900"/>
      <c r="X575" s="697"/>
    </row>
    <row r="576">
      <c r="L576" s="4"/>
      <c r="M576" s="4"/>
      <c r="N576" s="4"/>
      <c r="O576" s="4"/>
      <c r="P576" s="2"/>
      <c r="Q576" s="4"/>
      <c r="R576" s="4"/>
      <c r="S576" s="4"/>
      <c r="T576" s="4"/>
      <c r="U576" s="4"/>
      <c r="V576" s="4"/>
      <c r="W576" s="900"/>
      <c r="X576" s="697"/>
    </row>
    <row r="577">
      <c r="L577" s="4"/>
      <c r="M577" s="4"/>
      <c r="N577" s="4"/>
      <c r="O577" s="4"/>
      <c r="P577" s="2"/>
      <c r="Q577" s="4"/>
      <c r="R577" s="4"/>
      <c r="S577" s="4"/>
      <c r="T577" s="4"/>
      <c r="U577" s="4"/>
      <c r="V577" s="4"/>
      <c r="W577" s="900"/>
      <c r="X577" s="697"/>
    </row>
    <row r="578">
      <c r="L578" s="4"/>
      <c r="M578" s="4"/>
      <c r="N578" s="4"/>
      <c r="O578" s="4"/>
      <c r="P578" s="2"/>
      <c r="Q578" s="4"/>
      <c r="R578" s="4"/>
      <c r="S578" s="4"/>
      <c r="T578" s="4"/>
      <c r="U578" s="4"/>
      <c r="V578" s="4"/>
      <c r="W578" s="900"/>
      <c r="X578" s="697"/>
    </row>
    <row r="579">
      <c r="L579" s="4"/>
      <c r="M579" s="4"/>
      <c r="N579" s="4"/>
      <c r="O579" s="4"/>
      <c r="P579" s="2"/>
      <c r="Q579" s="4"/>
      <c r="R579" s="4"/>
      <c r="S579" s="4"/>
      <c r="T579" s="4"/>
      <c r="U579" s="4"/>
      <c r="V579" s="4"/>
      <c r="W579" s="900"/>
      <c r="X579" s="697"/>
    </row>
    <row r="580">
      <c r="L580" s="4"/>
      <c r="M580" s="4"/>
      <c r="N580" s="4"/>
      <c r="O580" s="4"/>
      <c r="P580" s="2"/>
      <c r="Q580" s="4"/>
      <c r="R580" s="4"/>
      <c r="S580" s="4"/>
      <c r="T580" s="4"/>
      <c r="U580" s="4"/>
      <c r="V580" s="4"/>
      <c r="W580" s="900"/>
      <c r="X580" s="697"/>
    </row>
    <row r="581">
      <c r="L581" s="4"/>
      <c r="M581" s="4"/>
      <c r="N581" s="4"/>
      <c r="O581" s="4"/>
      <c r="P581" s="2"/>
      <c r="Q581" s="4"/>
      <c r="R581" s="4"/>
      <c r="S581" s="4"/>
      <c r="T581" s="4"/>
      <c r="U581" s="4"/>
      <c r="V581" s="4"/>
      <c r="W581" s="900"/>
      <c r="X581" s="697"/>
    </row>
    <row r="582">
      <c r="L582" s="4"/>
      <c r="M582" s="4"/>
      <c r="N582" s="4"/>
      <c r="O582" s="4"/>
      <c r="P582" s="2"/>
      <c r="Q582" s="4"/>
      <c r="R582" s="4"/>
      <c r="S582" s="4"/>
      <c r="T582" s="4"/>
      <c r="U582" s="4"/>
      <c r="V582" s="4"/>
      <c r="W582" s="900"/>
      <c r="X582" s="697"/>
    </row>
    <row r="583">
      <c r="L583" s="4"/>
      <c r="M583" s="4"/>
      <c r="N583" s="4"/>
      <c r="O583" s="4"/>
      <c r="P583" s="2"/>
      <c r="Q583" s="4"/>
      <c r="R583" s="4"/>
      <c r="S583" s="4"/>
      <c r="T583" s="4"/>
      <c r="U583" s="4"/>
      <c r="V583" s="4"/>
      <c r="W583" s="900"/>
      <c r="X583" s="697"/>
    </row>
    <row r="584">
      <c r="L584" s="4"/>
      <c r="M584" s="4"/>
      <c r="N584" s="4"/>
      <c r="O584" s="4"/>
      <c r="P584" s="2"/>
      <c r="Q584" s="4"/>
      <c r="R584" s="4"/>
      <c r="S584" s="4"/>
      <c r="T584" s="4"/>
      <c r="U584" s="4"/>
      <c r="V584" s="4"/>
      <c r="W584" s="900"/>
      <c r="X584" s="697"/>
    </row>
    <row r="585">
      <c r="L585" s="4"/>
      <c r="M585" s="4"/>
      <c r="N585" s="4"/>
      <c r="O585" s="4"/>
      <c r="P585" s="2"/>
      <c r="Q585" s="4"/>
      <c r="R585" s="4"/>
      <c r="S585" s="4"/>
      <c r="T585" s="4"/>
      <c r="U585" s="4"/>
      <c r="V585" s="4"/>
      <c r="W585" s="900"/>
      <c r="X585" s="697"/>
    </row>
    <row r="586">
      <c r="L586" s="4"/>
      <c r="M586" s="4"/>
      <c r="N586" s="4"/>
      <c r="O586" s="4"/>
      <c r="P586" s="2"/>
      <c r="Q586" s="4"/>
      <c r="R586" s="4"/>
      <c r="S586" s="4"/>
      <c r="T586" s="4"/>
      <c r="U586" s="4"/>
      <c r="V586" s="4"/>
      <c r="W586" s="900"/>
      <c r="X586" s="697"/>
    </row>
    <row r="587">
      <c r="L587" s="4"/>
      <c r="M587" s="4"/>
      <c r="N587" s="4"/>
      <c r="O587" s="4"/>
      <c r="P587" s="2"/>
      <c r="Q587" s="4"/>
      <c r="R587" s="4"/>
      <c r="S587" s="4"/>
      <c r="T587" s="4"/>
      <c r="U587" s="4"/>
      <c r="V587" s="4"/>
      <c r="W587" s="900"/>
      <c r="X587" s="697"/>
    </row>
    <row r="588">
      <c r="L588" s="4"/>
      <c r="M588" s="4"/>
      <c r="N588" s="4"/>
      <c r="O588" s="4"/>
      <c r="P588" s="2"/>
      <c r="Q588" s="4"/>
      <c r="R588" s="4"/>
      <c r="S588" s="4"/>
      <c r="T588" s="4"/>
      <c r="U588" s="4"/>
      <c r="V588" s="4"/>
      <c r="W588" s="900"/>
      <c r="X588" s="697"/>
    </row>
    <row r="589">
      <c r="L589" s="4"/>
      <c r="M589" s="4"/>
      <c r="N589" s="4"/>
      <c r="O589" s="4"/>
      <c r="P589" s="2"/>
      <c r="Q589" s="4"/>
      <c r="R589" s="4"/>
      <c r="S589" s="4"/>
      <c r="T589" s="4"/>
      <c r="U589" s="4"/>
      <c r="V589" s="4"/>
      <c r="W589" s="900"/>
      <c r="X589" s="697"/>
    </row>
    <row r="590">
      <c r="L590" s="4"/>
      <c r="M590" s="4"/>
      <c r="N590" s="4"/>
      <c r="O590" s="4"/>
      <c r="P590" s="2"/>
      <c r="Q590" s="4"/>
      <c r="R590" s="4"/>
      <c r="S590" s="4"/>
      <c r="T590" s="4"/>
      <c r="U590" s="4"/>
      <c r="V590" s="4"/>
      <c r="W590" s="900"/>
      <c r="X590" s="697"/>
    </row>
    <row r="591">
      <c r="L591" s="4"/>
      <c r="M591" s="4"/>
      <c r="N591" s="4"/>
      <c r="O591" s="4"/>
      <c r="P591" s="2"/>
      <c r="Q591" s="4"/>
      <c r="R591" s="4"/>
      <c r="S591" s="4"/>
      <c r="T591" s="4"/>
      <c r="U591" s="4"/>
      <c r="V591" s="4"/>
      <c r="W591" s="900"/>
      <c r="X591" s="697"/>
    </row>
    <row r="592">
      <c r="L592" s="4"/>
      <c r="M592" s="4"/>
      <c r="N592" s="4"/>
      <c r="O592" s="4"/>
      <c r="P592" s="2"/>
      <c r="Q592" s="4"/>
      <c r="R592" s="4"/>
      <c r="S592" s="4"/>
      <c r="T592" s="4"/>
      <c r="U592" s="4"/>
      <c r="V592" s="4"/>
      <c r="W592" s="900"/>
      <c r="X592" s="697"/>
    </row>
    <row r="593">
      <c r="L593" s="4"/>
      <c r="M593" s="4"/>
      <c r="N593" s="4"/>
      <c r="O593" s="4"/>
      <c r="P593" s="2"/>
      <c r="Q593" s="4"/>
      <c r="R593" s="4"/>
      <c r="S593" s="4"/>
      <c r="T593" s="4"/>
      <c r="U593" s="4"/>
      <c r="V593" s="4"/>
      <c r="W593" s="900"/>
      <c r="X593" s="697"/>
    </row>
    <row r="594">
      <c r="L594" s="4"/>
      <c r="M594" s="4"/>
      <c r="N594" s="4"/>
      <c r="O594" s="4"/>
      <c r="P594" s="2"/>
      <c r="Q594" s="4"/>
      <c r="R594" s="4"/>
      <c r="S594" s="4"/>
      <c r="T594" s="4"/>
      <c r="U594" s="4"/>
      <c r="V594" s="4"/>
      <c r="W594" s="900"/>
      <c r="X594" s="697"/>
    </row>
    <row r="595">
      <c r="L595" s="4"/>
      <c r="M595" s="4"/>
      <c r="N595" s="4"/>
      <c r="O595" s="4"/>
      <c r="P595" s="2"/>
      <c r="Q595" s="4"/>
      <c r="R595" s="4"/>
      <c r="S595" s="4"/>
      <c r="T595" s="4"/>
      <c r="U595" s="4"/>
      <c r="V595" s="4"/>
      <c r="W595" s="900"/>
      <c r="X595" s="697"/>
    </row>
    <row r="596">
      <c r="L596" s="4"/>
      <c r="M596" s="4"/>
      <c r="N596" s="4"/>
      <c r="O596" s="4"/>
      <c r="P596" s="2"/>
      <c r="Q596" s="4"/>
      <c r="R596" s="4"/>
      <c r="S596" s="4"/>
      <c r="T596" s="4"/>
      <c r="U596" s="4"/>
      <c r="V596" s="4"/>
      <c r="W596" s="900"/>
      <c r="X596" s="697"/>
    </row>
    <row r="597">
      <c r="L597" s="4"/>
      <c r="M597" s="4"/>
      <c r="N597" s="4"/>
      <c r="O597" s="4"/>
      <c r="P597" s="2"/>
      <c r="Q597" s="4"/>
      <c r="R597" s="4"/>
      <c r="S597" s="4"/>
      <c r="T597" s="4"/>
      <c r="U597" s="4"/>
      <c r="V597" s="4"/>
      <c r="W597" s="900"/>
      <c r="X597" s="697"/>
    </row>
    <row r="598">
      <c r="L598" s="4"/>
      <c r="M598" s="4"/>
      <c r="N598" s="4"/>
      <c r="O598" s="4"/>
      <c r="P598" s="2"/>
      <c r="Q598" s="4"/>
      <c r="R598" s="4"/>
      <c r="S598" s="4"/>
      <c r="T598" s="4"/>
      <c r="U598" s="4"/>
      <c r="V598" s="4"/>
      <c r="W598" s="900"/>
      <c r="X598" s="697"/>
    </row>
    <row r="599">
      <c r="L599" s="4"/>
      <c r="M599" s="4"/>
      <c r="N599" s="4"/>
      <c r="O599" s="4"/>
      <c r="P599" s="2"/>
      <c r="Q599" s="4"/>
      <c r="R599" s="4"/>
      <c r="S599" s="4"/>
      <c r="T599" s="4"/>
      <c r="U599" s="4"/>
      <c r="V599" s="4"/>
      <c r="W599" s="900"/>
      <c r="X599" s="697"/>
    </row>
    <row r="600">
      <c r="L600" s="4"/>
      <c r="M600" s="4"/>
      <c r="N600" s="4"/>
      <c r="O600" s="4"/>
      <c r="P600" s="2"/>
      <c r="Q600" s="4"/>
      <c r="R600" s="4"/>
      <c r="S600" s="4"/>
      <c r="T600" s="4"/>
      <c r="U600" s="4"/>
      <c r="V600" s="4"/>
      <c r="W600" s="900"/>
      <c r="X600" s="697"/>
    </row>
    <row r="601">
      <c r="L601" s="4"/>
      <c r="M601" s="4"/>
      <c r="N601" s="4"/>
      <c r="O601" s="4"/>
      <c r="P601" s="2"/>
      <c r="Q601" s="4"/>
      <c r="R601" s="4"/>
      <c r="S601" s="4"/>
      <c r="T601" s="4"/>
      <c r="U601" s="4"/>
      <c r="V601" s="4"/>
      <c r="W601" s="900"/>
      <c r="X601" s="697"/>
    </row>
    <row r="602">
      <c r="L602" s="4"/>
      <c r="M602" s="4"/>
      <c r="N602" s="4"/>
      <c r="O602" s="4"/>
      <c r="P602" s="2"/>
      <c r="Q602" s="4"/>
      <c r="R602" s="4"/>
      <c r="S602" s="4"/>
      <c r="T602" s="4"/>
      <c r="U602" s="4"/>
      <c r="V602" s="4"/>
      <c r="W602" s="900"/>
      <c r="X602" s="697"/>
    </row>
    <row r="603">
      <c r="L603" s="4"/>
      <c r="M603" s="4"/>
      <c r="N603" s="4"/>
      <c r="O603" s="4"/>
      <c r="P603" s="2"/>
      <c r="Q603" s="4"/>
      <c r="R603" s="4"/>
      <c r="S603" s="4"/>
      <c r="T603" s="4"/>
      <c r="U603" s="4"/>
      <c r="V603" s="4"/>
      <c r="W603" s="900"/>
      <c r="X603" s="697"/>
    </row>
    <row r="604">
      <c r="L604" s="4"/>
      <c r="M604" s="4"/>
      <c r="N604" s="4"/>
      <c r="O604" s="4"/>
      <c r="P604" s="2"/>
      <c r="Q604" s="4"/>
      <c r="R604" s="4"/>
      <c r="S604" s="4"/>
      <c r="T604" s="4"/>
      <c r="U604" s="4"/>
      <c r="V604" s="4"/>
      <c r="W604" s="900"/>
      <c r="X604" s="697"/>
    </row>
    <row r="605">
      <c r="L605" s="4"/>
      <c r="M605" s="4"/>
      <c r="N605" s="4"/>
      <c r="O605" s="4"/>
      <c r="P605" s="2"/>
      <c r="Q605" s="4"/>
      <c r="R605" s="4"/>
      <c r="S605" s="4"/>
      <c r="T605" s="4"/>
      <c r="U605" s="4"/>
      <c r="V605" s="4"/>
      <c r="W605" s="900"/>
      <c r="X605" s="697"/>
    </row>
    <row r="606">
      <c r="L606" s="4"/>
      <c r="M606" s="4"/>
      <c r="N606" s="4"/>
      <c r="O606" s="4"/>
      <c r="P606" s="2"/>
      <c r="Q606" s="4"/>
      <c r="R606" s="4"/>
      <c r="S606" s="4"/>
      <c r="T606" s="4"/>
      <c r="U606" s="4"/>
      <c r="V606" s="4"/>
      <c r="W606" s="900"/>
      <c r="X606" s="697"/>
    </row>
    <row r="607">
      <c r="L607" s="4"/>
      <c r="M607" s="4"/>
      <c r="N607" s="4"/>
      <c r="O607" s="4"/>
      <c r="P607" s="2"/>
      <c r="Q607" s="4"/>
      <c r="R607" s="4"/>
      <c r="S607" s="4"/>
      <c r="T607" s="4"/>
      <c r="U607" s="4"/>
      <c r="V607" s="4"/>
      <c r="W607" s="900"/>
      <c r="X607" s="697"/>
    </row>
    <row r="608">
      <c r="L608" s="4"/>
      <c r="M608" s="4"/>
      <c r="N608" s="4"/>
      <c r="O608" s="4"/>
      <c r="P608" s="2"/>
      <c r="Q608" s="4"/>
      <c r="R608" s="4"/>
      <c r="S608" s="4"/>
      <c r="T608" s="4"/>
      <c r="U608" s="4"/>
      <c r="V608" s="4"/>
      <c r="W608" s="900"/>
      <c r="X608" s="697"/>
    </row>
    <row r="609">
      <c r="L609" s="4"/>
      <c r="M609" s="4"/>
      <c r="N609" s="4"/>
      <c r="O609" s="4"/>
      <c r="P609" s="2"/>
      <c r="Q609" s="4"/>
      <c r="R609" s="4"/>
      <c r="S609" s="4"/>
      <c r="T609" s="4"/>
      <c r="U609" s="4"/>
      <c r="V609" s="4"/>
      <c r="W609" s="900"/>
      <c r="X609" s="697"/>
    </row>
    <row r="610">
      <c r="L610" s="4"/>
      <c r="M610" s="4"/>
      <c r="N610" s="4"/>
      <c r="O610" s="4"/>
      <c r="P610" s="2"/>
      <c r="Q610" s="4"/>
      <c r="R610" s="4"/>
      <c r="S610" s="4"/>
      <c r="T610" s="4"/>
      <c r="U610" s="4"/>
      <c r="V610" s="4"/>
      <c r="W610" s="900"/>
      <c r="X610" s="697"/>
    </row>
    <row r="611">
      <c r="L611" s="4"/>
      <c r="M611" s="4"/>
      <c r="N611" s="4"/>
      <c r="O611" s="4"/>
      <c r="P611" s="2"/>
      <c r="Q611" s="4"/>
      <c r="R611" s="4"/>
      <c r="S611" s="4"/>
      <c r="T611" s="4"/>
      <c r="U611" s="4"/>
      <c r="V611" s="4"/>
      <c r="W611" s="900"/>
      <c r="X611" s="697"/>
    </row>
    <row r="612">
      <c r="L612" s="4"/>
      <c r="M612" s="4"/>
      <c r="N612" s="4"/>
      <c r="O612" s="4"/>
      <c r="P612" s="2"/>
      <c r="Q612" s="4"/>
      <c r="R612" s="4"/>
      <c r="S612" s="4"/>
      <c r="T612" s="4"/>
      <c r="U612" s="4"/>
      <c r="V612" s="4"/>
      <c r="W612" s="900"/>
      <c r="X612" s="697"/>
    </row>
    <row r="613">
      <c r="L613" s="4"/>
      <c r="M613" s="4"/>
      <c r="N613" s="4"/>
      <c r="O613" s="4"/>
      <c r="P613" s="2"/>
      <c r="Q613" s="4"/>
      <c r="R613" s="4"/>
      <c r="S613" s="4"/>
      <c r="T613" s="4"/>
      <c r="U613" s="4"/>
      <c r="V613" s="4"/>
      <c r="W613" s="900"/>
      <c r="X613" s="697"/>
    </row>
    <row r="614">
      <c r="L614" s="4"/>
      <c r="M614" s="4"/>
      <c r="N614" s="4"/>
      <c r="O614" s="4"/>
      <c r="P614" s="2"/>
      <c r="Q614" s="4"/>
      <c r="R614" s="4"/>
      <c r="S614" s="4"/>
      <c r="T614" s="4"/>
      <c r="U614" s="4"/>
      <c r="V614" s="4"/>
      <c r="W614" s="900"/>
      <c r="X614" s="697"/>
    </row>
    <row r="615">
      <c r="L615" s="4"/>
      <c r="M615" s="4"/>
      <c r="N615" s="4"/>
      <c r="O615" s="4"/>
      <c r="P615" s="2"/>
      <c r="Q615" s="4"/>
      <c r="R615" s="4"/>
      <c r="S615" s="4"/>
      <c r="T615" s="4"/>
      <c r="U615" s="4"/>
      <c r="V615" s="4"/>
      <c r="W615" s="900"/>
      <c r="X615" s="697"/>
    </row>
    <row r="616">
      <c r="L616" s="4"/>
      <c r="M616" s="4"/>
      <c r="N616" s="4"/>
      <c r="O616" s="4"/>
      <c r="P616" s="2"/>
      <c r="Q616" s="4"/>
      <c r="R616" s="4"/>
      <c r="S616" s="4"/>
      <c r="T616" s="4"/>
      <c r="U616" s="4"/>
      <c r="V616" s="4"/>
      <c r="W616" s="900"/>
      <c r="X616" s="697"/>
    </row>
    <row r="617">
      <c r="L617" s="4"/>
      <c r="M617" s="4"/>
      <c r="N617" s="4"/>
      <c r="O617" s="4"/>
      <c r="P617" s="2"/>
      <c r="Q617" s="4"/>
      <c r="R617" s="4"/>
      <c r="S617" s="4"/>
      <c r="T617" s="4"/>
      <c r="U617" s="4"/>
      <c r="V617" s="4"/>
      <c r="W617" s="900"/>
      <c r="X617" s="697"/>
    </row>
    <row r="618">
      <c r="L618" s="4"/>
      <c r="M618" s="4"/>
      <c r="N618" s="4"/>
      <c r="O618" s="4"/>
      <c r="P618" s="2"/>
      <c r="Q618" s="4"/>
      <c r="R618" s="4"/>
      <c r="S618" s="4"/>
      <c r="T618" s="4"/>
      <c r="U618" s="4"/>
      <c r="V618" s="4"/>
      <c r="W618" s="900"/>
      <c r="X618" s="697"/>
    </row>
    <row r="619">
      <c r="L619" s="4"/>
      <c r="M619" s="4"/>
      <c r="N619" s="4"/>
      <c r="O619" s="4"/>
      <c r="P619" s="2"/>
      <c r="Q619" s="4"/>
      <c r="R619" s="4"/>
      <c r="S619" s="4"/>
      <c r="T619" s="4"/>
      <c r="U619" s="4"/>
      <c r="V619" s="4"/>
      <c r="W619" s="900"/>
      <c r="X619" s="697"/>
    </row>
    <row r="620">
      <c r="L620" s="4"/>
      <c r="M620" s="4"/>
      <c r="N620" s="4"/>
      <c r="O620" s="4"/>
      <c r="P620" s="2"/>
      <c r="Q620" s="4"/>
      <c r="R620" s="4"/>
      <c r="S620" s="4"/>
      <c r="T620" s="4"/>
      <c r="U620" s="4"/>
      <c r="V620" s="4"/>
      <c r="W620" s="900"/>
      <c r="X620" s="697"/>
    </row>
    <row r="621">
      <c r="L621" s="4"/>
      <c r="M621" s="4"/>
      <c r="N621" s="4"/>
      <c r="O621" s="4"/>
      <c r="P621" s="2"/>
      <c r="Q621" s="4"/>
      <c r="R621" s="4"/>
      <c r="S621" s="4"/>
      <c r="T621" s="4"/>
      <c r="U621" s="4"/>
      <c r="V621" s="4"/>
      <c r="W621" s="900"/>
      <c r="X621" s="697"/>
    </row>
    <row r="622">
      <c r="L622" s="4"/>
      <c r="M622" s="4"/>
      <c r="N622" s="4"/>
      <c r="O622" s="4"/>
      <c r="P622" s="2"/>
      <c r="Q622" s="4"/>
      <c r="R622" s="4"/>
      <c r="S622" s="4"/>
      <c r="T622" s="4"/>
      <c r="U622" s="4"/>
      <c r="V622" s="4"/>
      <c r="W622" s="900"/>
      <c r="X622" s="697"/>
    </row>
    <row r="623">
      <c r="L623" s="4"/>
      <c r="M623" s="4"/>
      <c r="N623" s="4"/>
      <c r="O623" s="4"/>
      <c r="P623" s="2"/>
      <c r="Q623" s="4"/>
      <c r="R623" s="4"/>
      <c r="S623" s="4"/>
      <c r="T623" s="4"/>
      <c r="U623" s="4"/>
      <c r="V623" s="4"/>
      <c r="W623" s="900"/>
      <c r="X623" s="697"/>
    </row>
    <row r="624">
      <c r="L624" s="4"/>
      <c r="M624" s="4"/>
      <c r="N624" s="4"/>
      <c r="O624" s="4"/>
      <c r="P624" s="2"/>
      <c r="Q624" s="4"/>
      <c r="R624" s="4"/>
      <c r="S624" s="4"/>
      <c r="T624" s="4"/>
      <c r="U624" s="4"/>
      <c r="V624" s="4"/>
      <c r="W624" s="900"/>
      <c r="X624" s="697"/>
    </row>
    <row r="625">
      <c r="L625" s="4"/>
      <c r="M625" s="4"/>
      <c r="N625" s="4"/>
      <c r="O625" s="4"/>
      <c r="P625" s="2"/>
      <c r="Q625" s="4"/>
      <c r="R625" s="4"/>
      <c r="S625" s="4"/>
      <c r="T625" s="4"/>
      <c r="U625" s="4"/>
      <c r="V625" s="4"/>
      <c r="W625" s="900"/>
      <c r="X625" s="697"/>
    </row>
    <row r="626">
      <c r="L626" s="4"/>
      <c r="M626" s="4"/>
      <c r="N626" s="4"/>
      <c r="O626" s="4"/>
      <c r="P626" s="2"/>
      <c r="Q626" s="4"/>
      <c r="R626" s="4"/>
      <c r="S626" s="4"/>
      <c r="T626" s="4"/>
      <c r="U626" s="4"/>
      <c r="V626" s="4"/>
      <c r="W626" s="900"/>
      <c r="X626" s="697"/>
    </row>
    <row r="627">
      <c r="L627" s="4"/>
      <c r="M627" s="4"/>
      <c r="N627" s="4"/>
      <c r="O627" s="4"/>
      <c r="P627" s="2"/>
      <c r="Q627" s="4"/>
      <c r="R627" s="4"/>
      <c r="S627" s="4"/>
      <c r="T627" s="4"/>
      <c r="U627" s="4"/>
      <c r="V627" s="4"/>
      <c r="W627" s="900"/>
      <c r="X627" s="697"/>
    </row>
    <row r="628">
      <c r="L628" s="4"/>
      <c r="M628" s="4"/>
      <c r="N628" s="4"/>
      <c r="O628" s="4"/>
      <c r="P628" s="2"/>
      <c r="Q628" s="4"/>
      <c r="R628" s="4"/>
      <c r="S628" s="4"/>
      <c r="T628" s="4"/>
      <c r="U628" s="4"/>
      <c r="V628" s="4"/>
      <c r="W628" s="900"/>
      <c r="X628" s="697"/>
    </row>
    <row r="629">
      <c r="L629" s="4"/>
      <c r="M629" s="4"/>
      <c r="N629" s="4"/>
      <c r="O629" s="4"/>
      <c r="P629" s="2"/>
      <c r="Q629" s="4"/>
      <c r="R629" s="4"/>
      <c r="S629" s="4"/>
      <c r="T629" s="4"/>
      <c r="U629" s="4"/>
      <c r="V629" s="4"/>
      <c r="W629" s="900"/>
      <c r="X629" s="697"/>
    </row>
    <row r="630">
      <c r="L630" s="4"/>
      <c r="M630" s="4"/>
      <c r="N630" s="4"/>
      <c r="O630" s="4"/>
      <c r="P630" s="2"/>
      <c r="Q630" s="4"/>
      <c r="R630" s="4"/>
      <c r="S630" s="4"/>
      <c r="T630" s="4"/>
      <c r="U630" s="4"/>
      <c r="V630" s="4"/>
      <c r="W630" s="900"/>
      <c r="X630" s="697"/>
    </row>
    <row r="631">
      <c r="L631" s="4"/>
      <c r="M631" s="4"/>
      <c r="N631" s="4"/>
      <c r="O631" s="4"/>
      <c r="P631" s="2"/>
      <c r="Q631" s="4"/>
      <c r="R631" s="4"/>
      <c r="S631" s="4"/>
      <c r="T631" s="4"/>
      <c r="U631" s="4"/>
      <c r="V631" s="4"/>
      <c r="W631" s="900"/>
      <c r="X631" s="697"/>
    </row>
    <row r="632">
      <c r="L632" s="4"/>
      <c r="M632" s="4"/>
      <c r="N632" s="4"/>
      <c r="O632" s="4"/>
      <c r="P632" s="2"/>
      <c r="Q632" s="4"/>
      <c r="R632" s="4"/>
      <c r="S632" s="4"/>
      <c r="T632" s="4"/>
      <c r="U632" s="4"/>
      <c r="V632" s="4"/>
      <c r="W632" s="900"/>
      <c r="X632" s="697"/>
    </row>
    <row r="633">
      <c r="L633" s="4"/>
      <c r="M633" s="4"/>
      <c r="N633" s="4"/>
      <c r="O633" s="4"/>
      <c r="P633" s="2"/>
      <c r="Q633" s="4"/>
      <c r="R633" s="4"/>
      <c r="S633" s="4"/>
      <c r="T633" s="4"/>
      <c r="U633" s="4"/>
      <c r="V633" s="4"/>
      <c r="W633" s="900"/>
      <c r="X633" s="697"/>
    </row>
    <row r="634">
      <c r="L634" s="4"/>
      <c r="M634" s="4"/>
      <c r="N634" s="4"/>
      <c r="O634" s="4"/>
      <c r="P634" s="2"/>
      <c r="Q634" s="4"/>
      <c r="R634" s="4"/>
      <c r="S634" s="4"/>
      <c r="T634" s="4"/>
      <c r="U634" s="4"/>
      <c r="V634" s="4"/>
      <c r="W634" s="900"/>
      <c r="X634" s="697"/>
    </row>
    <row r="635">
      <c r="L635" s="4"/>
      <c r="M635" s="4"/>
      <c r="N635" s="4"/>
      <c r="O635" s="4"/>
      <c r="P635" s="2"/>
      <c r="Q635" s="4"/>
      <c r="R635" s="4"/>
      <c r="S635" s="4"/>
      <c r="T635" s="4"/>
      <c r="U635" s="4"/>
      <c r="V635" s="4"/>
      <c r="W635" s="900"/>
      <c r="X635" s="697"/>
    </row>
    <row r="636">
      <c r="L636" s="4"/>
      <c r="M636" s="4"/>
      <c r="N636" s="4"/>
      <c r="O636" s="4"/>
      <c r="P636" s="2"/>
      <c r="Q636" s="4"/>
      <c r="R636" s="4"/>
      <c r="S636" s="4"/>
      <c r="T636" s="4"/>
      <c r="U636" s="4"/>
      <c r="V636" s="4"/>
      <c r="W636" s="900"/>
      <c r="X636" s="697"/>
    </row>
    <row r="637">
      <c r="L637" s="4"/>
      <c r="M637" s="4"/>
      <c r="N637" s="4"/>
      <c r="O637" s="4"/>
      <c r="P637" s="2"/>
      <c r="Q637" s="4"/>
      <c r="R637" s="4"/>
      <c r="S637" s="4"/>
      <c r="T637" s="4"/>
      <c r="U637" s="4"/>
      <c r="V637" s="4"/>
      <c r="W637" s="900"/>
      <c r="X637" s="697"/>
    </row>
    <row r="638">
      <c r="L638" s="4"/>
      <c r="M638" s="4"/>
      <c r="N638" s="4"/>
      <c r="O638" s="4"/>
      <c r="P638" s="2"/>
      <c r="Q638" s="4"/>
      <c r="R638" s="4"/>
      <c r="S638" s="4"/>
      <c r="T638" s="4"/>
      <c r="U638" s="4"/>
      <c r="V638" s="4"/>
      <c r="W638" s="900"/>
      <c r="X638" s="697"/>
    </row>
    <row r="639">
      <c r="L639" s="4"/>
      <c r="M639" s="4"/>
      <c r="N639" s="4"/>
      <c r="O639" s="4"/>
      <c r="P639" s="2"/>
      <c r="Q639" s="4"/>
      <c r="R639" s="4"/>
      <c r="S639" s="4"/>
      <c r="T639" s="4"/>
      <c r="U639" s="4"/>
      <c r="V639" s="4"/>
      <c r="W639" s="900"/>
      <c r="X639" s="697"/>
    </row>
    <row r="640">
      <c r="L640" s="4"/>
      <c r="M640" s="4"/>
      <c r="N640" s="4"/>
      <c r="O640" s="4"/>
      <c r="P640" s="2"/>
      <c r="Q640" s="4"/>
      <c r="R640" s="4"/>
      <c r="S640" s="4"/>
      <c r="T640" s="4"/>
      <c r="U640" s="4"/>
      <c r="V640" s="4"/>
      <c r="W640" s="900"/>
      <c r="X640" s="697"/>
    </row>
    <row r="641">
      <c r="L641" s="4"/>
      <c r="M641" s="4"/>
      <c r="N641" s="4"/>
      <c r="O641" s="4"/>
      <c r="P641" s="2"/>
      <c r="Q641" s="4"/>
      <c r="R641" s="4"/>
      <c r="S641" s="4"/>
      <c r="T641" s="4"/>
      <c r="U641" s="4"/>
      <c r="V641" s="4"/>
      <c r="W641" s="900"/>
      <c r="X641" s="697"/>
    </row>
    <row r="642">
      <c r="L642" s="4"/>
      <c r="M642" s="4"/>
      <c r="N642" s="4"/>
      <c r="O642" s="4"/>
      <c r="P642" s="2"/>
      <c r="Q642" s="4"/>
      <c r="R642" s="4"/>
      <c r="S642" s="4"/>
      <c r="T642" s="4"/>
      <c r="U642" s="4"/>
      <c r="V642" s="4"/>
      <c r="W642" s="900"/>
      <c r="X642" s="697"/>
    </row>
    <row r="643">
      <c r="L643" s="4"/>
      <c r="M643" s="4"/>
      <c r="N643" s="4"/>
      <c r="O643" s="4"/>
      <c r="P643" s="2"/>
      <c r="Q643" s="4"/>
      <c r="R643" s="4"/>
      <c r="S643" s="4"/>
      <c r="T643" s="4"/>
      <c r="U643" s="4"/>
      <c r="V643" s="4"/>
      <c r="W643" s="900"/>
      <c r="X643" s="697"/>
    </row>
    <row r="644">
      <c r="L644" s="4"/>
      <c r="M644" s="4"/>
      <c r="N644" s="4"/>
      <c r="O644" s="4"/>
      <c r="P644" s="2"/>
      <c r="Q644" s="4"/>
      <c r="R644" s="4"/>
      <c r="S644" s="4"/>
      <c r="T644" s="4"/>
      <c r="U644" s="4"/>
      <c r="V644" s="4"/>
      <c r="W644" s="900"/>
      <c r="X644" s="697"/>
    </row>
    <row r="645">
      <c r="L645" s="4"/>
      <c r="M645" s="4"/>
      <c r="N645" s="4"/>
      <c r="O645" s="4"/>
      <c r="P645" s="2"/>
      <c r="Q645" s="4"/>
      <c r="R645" s="4"/>
      <c r="S645" s="4"/>
      <c r="T645" s="4"/>
      <c r="U645" s="4"/>
      <c r="V645" s="4"/>
      <c r="W645" s="900"/>
      <c r="X645" s="697"/>
    </row>
    <row r="646">
      <c r="L646" s="4"/>
      <c r="M646" s="4"/>
      <c r="N646" s="4"/>
      <c r="O646" s="4"/>
      <c r="P646" s="2"/>
      <c r="Q646" s="4"/>
      <c r="R646" s="4"/>
      <c r="S646" s="4"/>
      <c r="T646" s="4"/>
      <c r="U646" s="4"/>
      <c r="V646" s="4"/>
      <c r="W646" s="900"/>
      <c r="X646" s="697"/>
    </row>
    <row r="647">
      <c r="L647" s="4"/>
      <c r="M647" s="4"/>
      <c r="N647" s="4"/>
      <c r="O647" s="4"/>
      <c r="P647" s="2"/>
      <c r="Q647" s="4"/>
      <c r="R647" s="4"/>
      <c r="S647" s="4"/>
      <c r="T647" s="4"/>
      <c r="U647" s="4"/>
      <c r="V647" s="4"/>
      <c r="W647" s="900"/>
      <c r="X647" s="697"/>
    </row>
    <row r="648">
      <c r="L648" s="4"/>
      <c r="M648" s="4"/>
      <c r="N648" s="4"/>
      <c r="O648" s="4"/>
      <c r="P648" s="2"/>
      <c r="Q648" s="4"/>
      <c r="R648" s="4"/>
      <c r="S648" s="4"/>
      <c r="T648" s="4"/>
      <c r="U648" s="4"/>
      <c r="V648" s="4"/>
      <c r="W648" s="900"/>
      <c r="X648" s="697"/>
    </row>
    <row r="649">
      <c r="L649" s="4"/>
      <c r="M649" s="4"/>
      <c r="N649" s="4"/>
      <c r="O649" s="4"/>
      <c r="P649" s="2"/>
      <c r="Q649" s="4"/>
      <c r="R649" s="4"/>
      <c r="S649" s="4"/>
      <c r="T649" s="4"/>
      <c r="U649" s="4"/>
      <c r="V649" s="4"/>
      <c r="W649" s="900"/>
      <c r="X649" s="697"/>
    </row>
    <row r="650">
      <c r="L650" s="4"/>
      <c r="M650" s="4"/>
      <c r="N650" s="4"/>
      <c r="O650" s="4"/>
      <c r="P650" s="2"/>
      <c r="Q650" s="4"/>
      <c r="R650" s="4"/>
      <c r="S650" s="4"/>
      <c r="T650" s="4"/>
      <c r="U650" s="4"/>
      <c r="V650" s="4"/>
      <c r="W650" s="900"/>
      <c r="X650" s="697"/>
    </row>
    <row r="651">
      <c r="L651" s="4"/>
      <c r="M651" s="4"/>
      <c r="N651" s="4"/>
      <c r="O651" s="4"/>
      <c r="P651" s="2"/>
      <c r="Q651" s="4"/>
      <c r="R651" s="4"/>
      <c r="S651" s="4"/>
      <c r="T651" s="4"/>
      <c r="U651" s="4"/>
      <c r="V651" s="4"/>
      <c r="W651" s="900"/>
      <c r="X651" s="697"/>
    </row>
    <row r="652">
      <c r="L652" s="4"/>
      <c r="M652" s="4"/>
      <c r="N652" s="4"/>
      <c r="O652" s="4"/>
      <c r="P652" s="2"/>
      <c r="Q652" s="4"/>
      <c r="R652" s="4"/>
      <c r="S652" s="4"/>
      <c r="T652" s="4"/>
      <c r="U652" s="4"/>
      <c r="V652" s="4"/>
      <c r="W652" s="900"/>
      <c r="X652" s="697"/>
    </row>
    <row r="653">
      <c r="L653" s="4"/>
      <c r="M653" s="4"/>
      <c r="N653" s="4"/>
      <c r="O653" s="4"/>
      <c r="P653" s="2"/>
      <c r="Q653" s="4"/>
      <c r="R653" s="4"/>
      <c r="S653" s="4"/>
      <c r="T653" s="4"/>
      <c r="U653" s="4"/>
      <c r="V653" s="4"/>
      <c r="W653" s="900"/>
      <c r="X653" s="697"/>
    </row>
    <row r="654">
      <c r="L654" s="4"/>
      <c r="M654" s="4"/>
      <c r="N654" s="4"/>
      <c r="O654" s="4"/>
      <c r="P654" s="2"/>
      <c r="Q654" s="4"/>
      <c r="R654" s="4"/>
      <c r="S654" s="4"/>
      <c r="T654" s="4"/>
      <c r="U654" s="4"/>
      <c r="V654" s="4"/>
      <c r="W654" s="900"/>
      <c r="X654" s="697"/>
    </row>
    <row r="655">
      <c r="L655" s="4"/>
      <c r="M655" s="4"/>
      <c r="N655" s="4"/>
      <c r="O655" s="4"/>
      <c r="P655" s="2"/>
      <c r="Q655" s="4"/>
      <c r="R655" s="4"/>
      <c r="S655" s="4"/>
      <c r="T655" s="4"/>
      <c r="U655" s="4"/>
      <c r="V655" s="4"/>
      <c r="W655" s="900"/>
      <c r="X655" s="697"/>
    </row>
    <row r="656">
      <c r="L656" s="4"/>
      <c r="M656" s="4"/>
      <c r="N656" s="4"/>
      <c r="O656" s="4"/>
      <c r="P656" s="2"/>
      <c r="Q656" s="4"/>
      <c r="R656" s="4"/>
      <c r="S656" s="4"/>
      <c r="T656" s="4"/>
      <c r="U656" s="4"/>
      <c r="V656" s="4"/>
      <c r="W656" s="900"/>
      <c r="X656" s="697"/>
    </row>
    <row r="657">
      <c r="L657" s="4"/>
      <c r="M657" s="4"/>
      <c r="N657" s="4"/>
      <c r="O657" s="4"/>
      <c r="P657" s="2"/>
      <c r="Q657" s="4"/>
      <c r="R657" s="4"/>
      <c r="S657" s="4"/>
      <c r="T657" s="4"/>
      <c r="U657" s="4"/>
      <c r="V657" s="4"/>
      <c r="W657" s="900"/>
      <c r="X657" s="697"/>
    </row>
    <row r="658">
      <c r="L658" s="4"/>
      <c r="M658" s="4"/>
      <c r="N658" s="4"/>
      <c r="O658" s="4"/>
      <c r="P658" s="2"/>
      <c r="Q658" s="4"/>
      <c r="R658" s="4"/>
      <c r="S658" s="4"/>
      <c r="T658" s="4"/>
      <c r="U658" s="4"/>
      <c r="V658" s="4"/>
      <c r="W658" s="900"/>
      <c r="X658" s="697"/>
    </row>
    <row r="659">
      <c r="L659" s="4"/>
      <c r="M659" s="4"/>
      <c r="N659" s="4"/>
      <c r="O659" s="4"/>
      <c r="P659" s="2"/>
      <c r="Q659" s="4"/>
      <c r="R659" s="4"/>
      <c r="S659" s="4"/>
      <c r="T659" s="4"/>
      <c r="U659" s="4"/>
      <c r="V659" s="4"/>
      <c r="W659" s="900"/>
      <c r="X659" s="697"/>
    </row>
    <row r="660">
      <c r="L660" s="4"/>
      <c r="M660" s="4"/>
      <c r="N660" s="4"/>
      <c r="O660" s="4"/>
      <c r="P660" s="2"/>
      <c r="Q660" s="4"/>
      <c r="R660" s="4"/>
      <c r="S660" s="4"/>
      <c r="T660" s="4"/>
      <c r="U660" s="4"/>
      <c r="V660" s="4"/>
      <c r="W660" s="900"/>
      <c r="X660" s="697"/>
    </row>
    <row r="661">
      <c r="L661" s="4"/>
      <c r="M661" s="4"/>
      <c r="N661" s="4"/>
      <c r="O661" s="4"/>
      <c r="P661" s="2"/>
      <c r="Q661" s="4"/>
      <c r="R661" s="4"/>
      <c r="S661" s="4"/>
      <c r="T661" s="4"/>
      <c r="U661" s="4"/>
      <c r="V661" s="4"/>
      <c r="W661" s="900"/>
      <c r="X661" s="697"/>
    </row>
    <row r="662">
      <c r="L662" s="4"/>
      <c r="M662" s="4"/>
      <c r="N662" s="4"/>
      <c r="O662" s="4"/>
      <c r="P662" s="2"/>
      <c r="Q662" s="4"/>
      <c r="R662" s="4"/>
      <c r="S662" s="4"/>
      <c r="T662" s="4"/>
      <c r="U662" s="4"/>
      <c r="V662" s="4"/>
      <c r="W662" s="900"/>
      <c r="X662" s="697"/>
    </row>
    <row r="663">
      <c r="L663" s="4"/>
      <c r="M663" s="4"/>
      <c r="N663" s="4"/>
      <c r="O663" s="4"/>
      <c r="P663" s="2"/>
      <c r="Q663" s="4"/>
      <c r="R663" s="4"/>
      <c r="S663" s="4"/>
      <c r="T663" s="4"/>
      <c r="U663" s="4"/>
      <c r="V663" s="4"/>
      <c r="W663" s="900"/>
      <c r="X663" s="697"/>
    </row>
    <row r="664">
      <c r="L664" s="4"/>
      <c r="M664" s="4"/>
      <c r="N664" s="4"/>
      <c r="O664" s="4"/>
      <c r="P664" s="2"/>
      <c r="Q664" s="4"/>
      <c r="R664" s="4"/>
      <c r="S664" s="4"/>
      <c r="T664" s="4"/>
      <c r="U664" s="4"/>
      <c r="V664" s="4"/>
      <c r="W664" s="900"/>
      <c r="X664" s="697"/>
    </row>
    <row r="665">
      <c r="L665" s="4"/>
      <c r="M665" s="4"/>
      <c r="N665" s="4"/>
      <c r="O665" s="4"/>
      <c r="P665" s="2"/>
      <c r="Q665" s="4"/>
      <c r="R665" s="4"/>
      <c r="S665" s="4"/>
      <c r="T665" s="4"/>
      <c r="U665" s="4"/>
      <c r="V665" s="4"/>
      <c r="W665" s="900"/>
      <c r="X665" s="697"/>
    </row>
    <row r="666">
      <c r="L666" s="4"/>
      <c r="M666" s="4"/>
      <c r="N666" s="4"/>
      <c r="O666" s="4"/>
      <c r="P666" s="2"/>
      <c r="Q666" s="4"/>
      <c r="R666" s="4"/>
      <c r="S666" s="4"/>
      <c r="T666" s="4"/>
      <c r="U666" s="4"/>
      <c r="V666" s="4"/>
      <c r="W666" s="900"/>
      <c r="X666" s="697"/>
    </row>
    <row r="667">
      <c r="L667" s="4"/>
      <c r="M667" s="4"/>
      <c r="N667" s="4"/>
      <c r="O667" s="4"/>
      <c r="P667" s="2"/>
      <c r="Q667" s="4"/>
      <c r="R667" s="4"/>
      <c r="S667" s="4"/>
      <c r="T667" s="4"/>
      <c r="U667" s="4"/>
      <c r="V667" s="4"/>
      <c r="W667" s="900"/>
      <c r="X667" s="697"/>
    </row>
    <row r="668">
      <c r="L668" s="4"/>
      <c r="M668" s="4"/>
      <c r="N668" s="4"/>
      <c r="O668" s="4"/>
      <c r="P668" s="2"/>
      <c r="Q668" s="4"/>
      <c r="R668" s="4"/>
      <c r="S668" s="4"/>
      <c r="T668" s="4"/>
      <c r="U668" s="4"/>
      <c r="V668" s="4"/>
      <c r="W668" s="900"/>
      <c r="X668" s="697"/>
    </row>
    <row r="669">
      <c r="L669" s="4"/>
      <c r="M669" s="4"/>
      <c r="N669" s="4"/>
      <c r="O669" s="4"/>
      <c r="P669" s="2"/>
      <c r="Q669" s="4"/>
      <c r="R669" s="4"/>
      <c r="S669" s="4"/>
      <c r="T669" s="4"/>
      <c r="U669" s="4"/>
      <c r="V669" s="4"/>
      <c r="W669" s="900"/>
      <c r="X669" s="697"/>
    </row>
    <row r="670">
      <c r="L670" s="4"/>
      <c r="M670" s="4"/>
      <c r="N670" s="4"/>
      <c r="O670" s="4"/>
      <c r="P670" s="2"/>
      <c r="Q670" s="4"/>
      <c r="R670" s="4"/>
      <c r="S670" s="4"/>
      <c r="T670" s="4"/>
      <c r="U670" s="4"/>
      <c r="V670" s="4"/>
      <c r="W670" s="900"/>
      <c r="X670" s="697"/>
    </row>
    <row r="671">
      <c r="L671" s="4"/>
      <c r="M671" s="4"/>
      <c r="N671" s="4"/>
      <c r="O671" s="4"/>
      <c r="P671" s="2"/>
      <c r="Q671" s="4"/>
      <c r="R671" s="4"/>
      <c r="S671" s="4"/>
      <c r="T671" s="4"/>
      <c r="U671" s="4"/>
      <c r="V671" s="4"/>
      <c r="W671" s="900"/>
      <c r="X671" s="697"/>
    </row>
    <row r="672">
      <c r="L672" s="4"/>
      <c r="M672" s="4"/>
      <c r="N672" s="4"/>
      <c r="O672" s="4"/>
      <c r="P672" s="2"/>
      <c r="Q672" s="4"/>
      <c r="R672" s="4"/>
      <c r="S672" s="4"/>
      <c r="T672" s="4"/>
      <c r="U672" s="4"/>
      <c r="V672" s="4"/>
      <c r="W672" s="900"/>
      <c r="X672" s="697"/>
    </row>
    <row r="673">
      <c r="L673" s="4"/>
      <c r="M673" s="4"/>
      <c r="N673" s="4"/>
      <c r="O673" s="4"/>
      <c r="P673" s="2"/>
      <c r="Q673" s="4"/>
      <c r="R673" s="4"/>
      <c r="S673" s="4"/>
      <c r="T673" s="4"/>
      <c r="U673" s="4"/>
      <c r="V673" s="4"/>
      <c r="W673" s="900"/>
      <c r="X673" s="697"/>
    </row>
    <row r="674">
      <c r="L674" s="4"/>
      <c r="M674" s="4"/>
      <c r="N674" s="4"/>
      <c r="O674" s="4"/>
      <c r="P674" s="2"/>
      <c r="Q674" s="4"/>
      <c r="R674" s="4"/>
      <c r="S674" s="4"/>
      <c r="T674" s="4"/>
      <c r="U674" s="4"/>
      <c r="V674" s="4"/>
      <c r="W674" s="900"/>
      <c r="X674" s="697"/>
    </row>
    <row r="675">
      <c r="L675" s="4"/>
      <c r="M675" s="4"/>
      <c r="N675" s="4"/>
      <c r="O675" s="4"/>
      <c r="P675" s="2"/>
      <c r="Q675" s="4"/>
      <c r="R675" s="4"/>
      <c r="S675" s="4"/>
      <c r="T675" s="4"/>
      <c r="U675" s="4"/>
      <c r="V675" s="4"/>
      <c r="W675" s="900"/>
      <c r="X675" s="697"/>
    </row>
    <row r="676">
      <c r="L676" s="4"/>
      <c r="M676" s="4"/>
      <c r="N676" s="4"/>
      <c r="O676" s="4"/>
      <c r="P676" s="2"/>
      <c r="Q676" s="4"/>
      <c r="R676" s="4"/>
      <c r="S676" s="4"/>
      <c r="T676" s="4"/>
      <c r="U676" s="4"/>
      <c r="V676" s="4"/>
      <c r="W676" s="900"/>
      <c r="X676" s="697"/>
    </row>
    <row r="677">
      <c r="L677" s="4"/>
      <c r="M677" s="4"/>
      <c r="N677" s="4"/>
      <c r="O677" s="4"/>
      <c r="P677" s="2"/>
      <c r="Q677" s="4"/>
      <c r="R677" s="4"/>
      <c r="S677" s="4"/>
      <c r="T677" s="4"/>
      <c r="U677" s="4"/>
      <c r="V677" s="4"/>
      <c r="W677" s="900"/>
      <c r="X677" s="697"/>
    </row>
    <row r="678">
      <c r="L678" s="4"/>
      <c r="M678" s="4"/>
      <c r="N678" s="4"/>
      <c r="O678" s="4"/>
      <c r="P678" s="2"/>
      <c r="Q678" s="4"/>
      <c r="R678" s="4"/>
      <c r="S678" s="4"/>
      <c r="T678" s="4"/>
      <c r="U678" s="4"/>
      <c r="V678" s="4"/>
      <c r="W678" s="900"/>
      <c r="X678" s="697"/>
    </row>
    <row r="679">
      <c r="L679" s="4"/>
      <c r="M679" s="4"/>
      <c r="N679" s="4"/>
      <c r="O679" s="4"/>
      <c r="P679" s="2"/>
      <c r="Q679" s="4"/>
      <c r="R679" s="4"/>
      <c r="S679" s="4"/>
      <c r="T679" s="4"/>
      <c r="U679" s="4"/>
      <c r="V679" s="4"/>
      <c r="W679" s="900"/>
      <c r="X679" s="697"/>
    </row>
    <row r="680">
      <c r="L680" s="4"/>
      <c r="M680" s="4"/>
      <c r="N680" s="4"/>
      <c r="O680" s="4"/>
      <c r="P680" s="2"/>
      <c r="Q680" s="4"/>
      <c r="R680" s="4"/>
      <c r="S680" s="4"/>
      <c r="T680" s="4"/>
      <c r="U680" s="4"/>
      <c r="V680" s="4"/>
      <c r="W680" s="900"/>
      <c r="X680" s="697"/>
    </row>
    <row r="681">
      <c r="L681" s="4"/>
      <c r="M681" s="4"/>
      <c r="N681" s="4"/>
      <c r="O681" s="4"/>
      <c r="P681" s="2"/>
      <c r="Q681" s="4"/>
      <c r="R681" s="4"/>
      <c r="S681" s="4"/>
      <c r="T681" s="4"/>
      <c r="U681" s="4"/>
      <c r="V681" s="4"/>
      <c r="W681" s="900"/>
      <c r="X681" s="697"/>
    </row>
    <row r="682">
      <c r="L682" s="4"/>
      <c r="M682" s="4"/>
      <c r="N682" s="4"/>
      <c r="O682" s="4"/>
      <c r="P682" s="2"/>
      <c r="Q682" s="4"/>
      <c r="R682" s="4"/>
      <c r="S682" s="4"/>
      <c r="T682" s="4"/>
      <c r="U682" s="4"/>
      <c r="V682" s="4"/>
      <c r="W682" s="900"/>
      <c r="X682" s="697"/>
    </row>
    <row r="683">
      <c r="L683" s="4"/>
      <c r="M683" s="4"/>
      <c r="N683" s="4"/>
      <c r="O683" s="4"/>
      <c r="P683" s="2"/>
      <c r="Q683" s="4"/>
      <c r="R683" s="4"/>
      <c r="S683" s="4"/>
      <c r="T683" s="4"/>
      <c r="U683" s="4"/>
      <c r="V683" s="4"/>
      <c r="W683" s="900"/>
      <c r="X683" s="697"/>
    </row>
    <row r="684">
      <c r="L684" s="4"/>
      <c r="M684" s="4"/>
      <c r="N684" s="4"/>
      <c r="O684" s="4"/>
      <c r="P684" s="2"/>
      <c r="Q684" s="4"/>
      <c r="R684" s="4"/>
      <c r="S684" s="4"/>
      <c r="T684" s="4"/>
      <c r="U684" s="4"/>
      <c r="V684" s="4"/>
      <c r="W684" s="900"/>
      <c r="X684" s="697"/>
    </row>
    <row r="685">
      <c r="L685" s="4"/>
      <c r="M685" s="4"/>
      <c r="N685" s="4"/>
      <c r="O685" s="4"/>
      <c r="P685" s="2"/>
      <c r="Q685" s="4"/>
      <c r="R685" s="4"/>
      <c r="S685" s="4"/>
      <c r="T685" s="4"/>
      <c r="U685" s="4"/>
      <c r="V685" s="4"/>
      <c r="W685" s="900"/>
      <c r="X685" s="697"/>
    </row>
    <row r="686">
      <c r="L686" s="4"/>
      <c r="M686" s="4"/>
      <c r="N686" s="4"/>
      <c r="O686" s="4"/>
      <c r="P686" s="2"/>
      <c r="Q686" s="4"/>
      <c r="R686" s="4"/>
      <c r="S686" s="4"/>
      <c r="T686" s="4"/>
      <c r="U686" s="4"/>
      <c r="V686" s="4"/>
      <c r="W686" s="900"/>
      <c r="X686" s="697"/>
    </row>
    <row r="687">
      <c r="L687" s="4"/>
      <c r="M687" s="4"/>
      <c r="N687" s="4"/>
      <c r="O687" s="4"/>
      <c r="P687" s="2"/>
      <c r="Q687" s="4"/>
      <c r="R687" s="4"/>
      <c r="S687" s="4"/>
      <c r="T687" s="4"/>
      <c r="U687" s="4"/>
      <c r="V687" s="4"/>
      <c r="W687" s="900"/>
      <c r="X687" s="697"/>
    </row>
    <row r="688">
      <c r="L688" s="4"/>
      <c r="M688" s="4"/>
      <c r="N688" s="4"/>
      <c r="O688" s="4"/>
      <c r="P688" s="2"/>
      <c r="Q688" s="4"/>
      <c r="R688" s="4"/>
      <c r="S688" s="4"/>
      <c r="T688" s="4"/>
      <c r="U688" s="4"/>
      <c r="V688" s="4"/>
      <c r="W688" s="900"/>
      <c r="X688" s="697"/>
    </row>
    <row r="689">
      <c r="L689" s="4"/>
      <c r="M689" s="4"/>
      <c r="N689" s="4"/>
      <c r="O689" s="4"/>
      <c r="P689" s="2"/>
      <c r="Q689" s="4"/>
      <c r="R689" s="4"/>
      <c r="S689" s="4"/>
      <c r="T689" s="4"/>
      <c r="U689" s="4"/>
      <c r="V689" s="4"/>
      <c r="W689" s="900"/>
      <c r="X689" s="697"/>
    </row>
    <row r="690">
      <c r="L690" s="4"/>
      <c r="M690" s="4"/>
      <c r="N690" s="4"/>
      <c r="O690" s="4"/>
      <c r="P690" s="2"/>
      <c r="Q690" s="4"/>
      <c r="R690" s="4"/>
      <c r="S690" s="4"/>
      <c r="T690" s="4"/>
      <c r="U690" s="4"/>
      <c r="V690" s="4"/>
      <c r="W690" s="900"/>
      <c r="X690" s="697"/>
    </row>
    <row r="691">
      <c r="L691" s="4"/>
      <c r="M691" s="4"/>
      <c r="N691" s="4"/>
      <c r="O691" s="4"/>
      <c r="P691" s="2"/>
      <c r="Q691" s="4"/>
      <c r="R691" s="4"/>
      <c r="S691" s="4"/>
      <c r="T691" s="4"/>
      <c r="U691" s="4"/>
      <c r="V691" s="4"/>
      <c r="W691" s="900"/>
      <c r="X691" s="697"/>
    </row>
    <row r="692">
      <c r="L692" s="4"/>
      <c r="M692" s="4"/>
      <c r="N692" s="4"/>
      <c r="O692" s="4"/>
      <c r="P692" s="2"/>
      <c r="Q692" s="4"/>
      <c r="R692" s="4"/>
      <c r="S692" s="4"/>
      <c r="T692" s="4"/>
      <c r="U692" s="4"/>
      <c r="V692" s="4"/>
      <c r="W692" s="900"/>
      <c r="X692" s="697"/>
    </row>
    <row r="693">
      <c r="L693" s="4"/>
      <c r="M693" s="4"/>
      <c r="N693" s="4"/>
      <c r="O693" s="4"/>
      <c r="P693" s="2"/>
      <c r="Q693" s="4"/>
      <c r="R693" s="4"/>
      <c r="S693" s="4"/>
      <c r="T693" s="4"/>
      <c r="U693" s="4"/>
      <c r="V693" s="4"/>
      <c r="W693" s="900"/>
      <c r="X693" s="697"/>
    </row>
    <row r="694">
      <c r="L694" s="4"/>
      <c r="M694" s="4"/>
      <c r="N694" s="4"/>
      <c r="O694" s="4"/>
      <c r="P694" s="2"/>
      <c r="Q694" s="4"/>
      <c r="R694" s="4"/>
      <c r="S694" s="4"/>
      <c r="T694" s="4"/>
      <c r="U694" s="4"/>
      <c r="V694" s="4"/>
      <c r="W694" s="900"/>
      <c r="X694" s="697"/>
    </row>
    <row r="695">
      <c r="L695" s="4"/>
      <c r="M695" s="4"/>
      <c r="N695" s="4"/>
      <c r="O695" s="4"/>
      <c r="P695" s="2"/>
      <c r="Q695" s="4"/>
      <c r="R695" s="4"/>
      <c r="S695" s="4"/>
      <c r="T695" s="4"/>
      <c r="U695" s="4"/>
      <c r="V695" s="4"/>
      <c r="W695" s="900"/>
      <c r="X695" s="697"/>
    </row>
    <row r="696">
      <c r="L696" s="4"/>
      <c r="M696" s="4"/>
      <c r="N696" s="4"/>
      <c r="O696" s="4"/>
      <c r="P696" s="2"/>
      <c r="Q696" s="4"/>
      <c r="R696" s="4"/>
      <c r="S696" s="4"/>
      <c r="T696" s="4"/>
      <c r="U696" s="4"/>
      <c r="V696" s="4"/>
      <c r="W696" s="900"/>
      <c r="X696" s="697"/>
    </row>
    <row r="697">
      <c r="L697" s="4"/>
      <c r="M697" s="4"/>
      <c r="N697" s="4"/>
      <c r="O697" s="4"/>
      <c r="P697" s="2"/>
      <c r="Q697" s="4"/>
      <c r="R697" s="4"/>
      <c r="S697" s="4"/>
      <c r="T697" s="4"/>
      <c r="U697" s="4"/>
      <c r="V697" s="4"/>
      <c r="W697" s="900"/>
      <c r="X697" s="697"/>
    </row>
    <row r="698">
      <c r="L698" s="4"/>
      <c r="M698" s="4"/>
      <c r="N698" s="4"/>
      <c r="O698" s="4"/>
      <c r="P698" s="2"/>
      <c r="Q698" s="4"/>
      <c r="R698" s="4"/>
      <c r="S698" s="4"/>
      <c r="T698" s="4"/>
      <c r="U698" s="4"/>
      <c r="V698" s="4"/>
      <c r="W698" s="900"/>
      <c r="X698" s="697"/>
    </row>
    <row r="699">
      <c r="L699" s="4"/>
      <c r="M699" s="4"/>
      <c r="N699" s="4"/>
      <c r="O699" s="4"/>
      <c r="P699" s="2"/>
      <c r="Q699" s="4"/>
      <c r="R699" s="4"/>
      <c r="S699" s="4"/>
      <c r="T699" s="4"/>
      <c r="U699" s="4"/>
      <c r="V699" s="4"/>
      <c r="W699" s="900"/>
      <c r="X699" s="697"/>
    </row>
    <row r="700">
      <c r="L700" s="4"/>
      <c r="M700" s="4"/>
      <c r="N700" s="4"/>
      <c r="O700" s="4"/>
      <c r="P700" s="2"/>
      <c r="Q700" s="4"/>
      <c r="R700" s="4"/>
      <c r="S700" s="4"/>
      <c r="T700" s="4"/>
      <c r="U700" s="4"/>
      <c r="V700" s="4"/>
      <c r="W700" s="900"/>
      <c r="X700" s="697"/>
    </row>
    <row r="701">
      <c r="L701" s="4"/>
      <c r="M701" s="4"/>
      <c r="N701" s="4"/>
      <c r="O701" s="4"/>
      <c r="P701" s="2"/>
      <c r="Q701" s="4"/>
      <c r="R701" s="4"/>
      <c r="S701" s="4"/>
      <c r="T701" s="4"/>
      <c r="U701" s="4"/>
      <c r="V701" s="4"/>
      <c r="W701" s="900"/>
      <c r="X701" s="697"/>
    </row>
    <row r="702">
      <c r="L702" s="4"/>
      <c r="M702" s="4"/>
      <c r="N702" s="4"/>
      <c r="O702" s="4"/>
      <c r="P702" s="2"/>
      <c r="Q702" s="4"/>
      <c r="R702" s="4"/>
      <c r="S702" s="4"/>
      <c r="T702" s="4"/>
      <c r="U702" s="4"/>
      <c r="V702" s="4"/>
      <c r="W702" s="900"/>
      <c r="X702" s="697"/>
    </row>
    <row r="703">
      <c r="L703" s="4"/>
      <c r="M703" s="4"/>
      <c r="N703" s="4"/>
      <c r="O703" s="4"/>
      <c r="P703" s="2"/>
      <c r="Q703" s="4"/>
      <c r="R703" s="4"/>
      <c r="S703" s="4"/>
      <c r="T703" s="4"/>
      <c r="U703" s="4"/>
      <c r="V703" s="4"/>
      <c r="W703" s="900"/>
      <c r="X703" s="697"/>
    </row>
    <row r="704">
      <c r="L704" s="4"/>
      <c r="M704" s="4"/>
      <c r="N704" s="4"/>
      <c r="O704" s="4"/>
      <c r="P704" s="2"/>
      <c r="Q704" s="4"/>
      <c r="R704" s="4"/>
      <c r="S704" s="4"/>
      <c r="T704" s="4"/>
      <c r="U704" s="4"/>
      <c r="V704" s="4"/>
      <c r="W704" s="900"/>
      <c r="X704" s="697"/>
    </row>
    <row r="705">
      <c r="L705" s="4"/>
      <c r="M705" s="4"/>
      <c r="N705" s="4"/>
      <c r="O705" s="4"/>
      <c r="P705" s="2"/>
      <c r="Q705" s="4"/>
      <c r="R705" s="4"/>
      <c r="S705" s="4"/>
      <c r="T705" s="4"/>
      <c r="U705" s="4"/>
      <c r="V705" s="4"/>
      <c r="W705" s="900"/>
      <c r="X705" s="697"/>
    </row>
    <row r="706">
      <c r="L706" s="4"/>
      <c r="M706" s="4"/>
      <c r="N706" s="4"/>
      <c r="O706" s="4"/>
      <c r="P706" s="2"/>
      <c r="Q706" s="4"/>
      <c r="R706" s="4"/>
      <c r="S706" s="4"/>
      <c r="T706" s="4"/>
      <c r="U706" s="4"/>
      <c r="V706" s="4"/>
      <c r="W706" s="900"/>
      <c r="X706" s="697"/>
    </row>
    <row r="707">
      <c r="L707" s="4"/>
      <c r="M707" s="4"/>
      <c r="N707" s="4"/>
      <c r="O707" s="4"/>
      <c r="P707" s="2"/>
      <c r="Q707" s="4"/>
      <c r="R707" s="4"/>
      <c r="S707" s="4"/>
      <c r="T707" s="4"/>
      <c r="U707" s="4"/>
      <c r="V707" s="4"/>
      <c r="W707" s="900"/>
      <c r="X707" s="697"/>
    </row>
    <row r="708">
      <c r="L708" s="4"/>
      <c r="M708" s="4"/>
      <c r="N708" s="4"/>
      <c r="O708" s="4"/>
      <c r="P708" s="2"/>
      <c r="Q708" s="4"/>
      <c r="R708" s="4"/>
      <c r="S708" s="4"/>
      <c r="T708" s="4"/>
      <c r="U708" s="4"/>
      <c r="V708" s="4"/>
      <c r="W708" s="900"/>
      <c r="X708" s="697"/>
    </row>
    <row r="709">
      <c r="L709" s="4"/>
      <c r="M709" s="4"/>
      <c r="N709" s="4"/>
      <c r="O709" s="4"/>
      <c r="P709" s="2"/>
      <c r="Q709" s="4"/>
      <c r="R709" s="4"/>
      <c r="S709" s="4"/>
      <c r="T709" s="4"/>
      <c r="U709" s="4"/>
      <c r="V709" s="4"/>
      <c r="W709" s="900"/>
      <c r="X709" s="697"/>
    </row>
    <row r="710">
      <c r="L710" s="4"/>
      <c r="M710" s="4"/>
      <c r="N710" s="4"/>
      <c r="O710" s="4"/>
      <c r="P710" s="2"/>
      <c r="Q710" s="4"/>
      <c r="R710" s="4"/>
      <c r="S710" s="4"/>
      <c r="T710" s="4"/>
      <c r="U710" s="4"/>
      <c r="V710" s="4"/>
      <c r="W710" s="900"/>
      <c r="X710" s="697"/>
    </row>
    <row r="711">
      <c r="L711" s="4"/>
      <c r="M711" s="4"/>
      <c r="N711" s="4"/>
      <c r="O711" s="4"/>
      <c r="P711" s="2"/>
      <c r="Q711" s="4"/>
      <c r="R711" s="4"/>
      <c r="S711" s="4"/>
      <c r="T711" s="4"/>
      <c r="U711" s="4"/>
      <c r="V711" s="4"/>
      <c r="W711" s="900"/>
      <c r="X711" s="697"/>
    </row>
    <row r="712">
      <c r="L712" s="4"/>
      <c r="M712" s="4"/>
      <c r="N712" s="4"/>
      <c r="O712" s="4"/>
      <c r="P712" s="2"/>
      <c r="Q712" s="4"/>
      <c r="R712" s="4"/>
      <c r="S712" s="4"/>
      <c r="T712" s="4"/>
      <c r="U712" s="4"/>
      <c r="V712" s="4"/>
      <c r="W712" s="900"/>
      <c r="X712" s="697"/>
    </row>
    <row r="713">
      <c r="L713" s="4"/>
      <c r="M713" s="4"/>
      <c r="N713" s="4"/>
      <c r="O713" s="4"/>
      <c r="P713" s="2"/>
      <c r="Q713" s="4"/>
      <c r="R713" s="4"/>
      <c r="S713" s="4"/>
      <c r="T713" s="4"/>
      <c r="U713" s="4"/>
      <c r="V713" s="4"/>
      <c r="W713" s="900"/>
      <c r="X713" s="697"/>
    </row>
    <row r="714">
      <c r="L714" s="4"/>
      <c r="M714" s="4"/>
      <c r="N714" s="4"/>
      <c r="O714" s="4"/>
      <c r="P714" s="2"/>
      <c r="Q714" s="4"/>
      <c r="R714" s="4"/>
      <c r="S714" s="4"/>
      <c r="T714" s="4"/>
      <c r="U714" s="4"/>
      <c r="V714" s="4"/>
      <c r="W714" s="900"/>
      <c r="X714" s="697"/>
    </row>
    <row r="715">
      <c r="L715" s="4"/>
      <c r="M715" s="4"/>
      <c r="N715" s="4"/>
      <c r="O715" s="4"/>
      <c r="P715" s="2"/>
      <c r="Q715" s="4"/>
      <c r="R715" s="4"/>
      <c r="S715" s="4"/>
      <c r="T715" s="4"/>
      <c r="U715" s="4"/>
      <c r="V715" s="4"/>
      <c r="W715" s="900"/>
      <c r="X715" s="697"/>
    </row>
    <row r="716">
      <c r="L716" s="4"/>
      <c r="M716" s="4"/>
      <c r="N716" s="4"/>
      <c r="O716" s="4"/>
      <c r="P716" s="2"/>
      <c r="Q716" s="4"/>
      <c r="R716" s="4"/>
      <c r="S716" s="4"/>
      <c r="T716" s="4"/>
      <c r="U716" s="4"/>
      <c r="V716" s="4"/>
      <c r="W716" s="900"/>
      <c r="X716" s="697"/>
    </row>
    <row r="717">
      <c r="L717" s="4"/>
      <c r="M717" s="4"/>
      <c r="N717" s="4"/>
      <c r="O717" s="4"/>
      <c r="P717" s="2"/>
      <c r="Q717" s="4"/>
      <c r="R717" s="4"/>
      <c r="S717" s="4"/>
      <c r="T717" s="4"/>
      <c r="U717" s="4"/>
      <c r="V717" s="4"/>
      <c r="W717" s="900"/>
      <c r="X717" s="697"/>
    </row>
    <row r="718">
      <c r="L718" s="4"/>
      <c r="M718" s="4"/>
      <c r="N718" s="4"/>
      <c r="O718" s="4"/>
      <c r="P718" s="2"/>
      <c r="Q718" s="4"/>
      <c r="R718" s="4"/>
      <c r="S718" s="4"/>
      <c r="T718" s="4"/>
      <c r="U718" s="4"/>
      <c r="V718" s="4"/>
      <c r="W718" s="900"/>
      <c r="X718" s="697"/>
    </row>
    <row r="719">
      <c r="L719" s="4"/>
      <c r="M719" s="4"/>
      <c r="N719" s="4"/>
      <c r="O719" s="4"/>
      <c r="P719" s="2"/>
      <c r="Q719" s="4"/>
      <c r="R719" s="4"/>
      <c r="S719" s="4"/>
      <c r="T719" s="4"/>
      <c r="U719" s="4"/>
      <c r="V719" s="4"/>
      <c r="W719" s="900"/>
      <c r="X719" s="697"/>
    </row>
    <row r="720">
      <c r="L720" s="4"/>
      <c r="M720" s="4"/>
      <c r="N720" s="4"/>
      <c r="O720" s="4"/>
      <c r="P720" s="2"/>
      <c r="Q720" s="4"/>
      <c r="R720" s="4"/>
      <c r="S720" s="4"/>
      <c r="T720" s="4"/>
      <c r="U720" s="4"/>
      <c r="V720" s="4"/>
      <c r="W720" s="900"/>
      <c r="X720" s="697"/>
    </row>
    <row r="721">
      <c r="L721" s="4"/>
      <c r="M721" s="4"/>
      <c r="N721" s="4"/>
      <c r="O721" s="4"/>
      <c r="P721" s="2"/>
      <c r="Q721" s="4"/>
      <c r="R721" s="4"/>
      <c r="S721" s="4"/>
      <c r="T721" s="4"/>
      <c r="U721" s="4"/>
      <c r="V721" s="4"/>
      <c r="W721" s="900"/>
      <c r="X721" s="697"/>
    </row>
    <row r="722">
      <c r="L722" s="4"/>
      <c r="M722" s="4"/>
      <c r="N722" s="4"/>
      <c r="O722" s="4"/>
      <c r="P722" s="2"/>
      <c r="Q722" s="4"/>
      <c r="R722" s="4"/>
      <c r="S722" s="4"/>
      <c r="T722" s="4"/>
      <c r="U722" s="4"/>
      <c r="V722" s="4"/>
      <c r="W722" s="900"/>
      <c r="X722" s="697"/>
    </row>
    <row r="723">
      <c r="L723" s="4"/>
      <c r="M723" s="4"/>
      <c r="N723" s="4"/>
      <c r="O723" s="4"/>
      <c r="P723" s="2"/>
      <c r="Q723" s="4"/>
      <c r="R723" s="4"/>
      <c r="S723" s="4"/>
      <c r="T723" s="4"/>
      <c r="U723" s="4"/>
      <c r="V723" s="4"/>
      <c r="W723" s="900"/>
      <c r="X723" s="697"/>
    </row>
    <row r="724">
      <c r="L724" s="4"/>
      <c r="M724" s="4"/>
      <c r="N724" s="4"/>
      <c r="O724" s="4"/>
      <c r="P724" s="2"/>
      <c r="Q724" s="4"/>
      <c r="R724" s="4"/>
      <c r="S724" s="4"/>
      <c r="T724" s="4"/>
      <c r="U724" s="4"/>
      <c r="V724" s="4"/>
      <c r="W724" s="900"/>
      <c r="X724" s="697"/>
    </row>
    <row r="725">
      <c r="L725" s="4"/>
      <c r="M725" s="4"/>
      <c r="N725" s="4"/>
      <c r="O725" s="4"/>
      <c r="P725" s="2"/>
      <c r="Q725" s="4"/>
      <c r="R725" s="4"/>
      <c r="S725" s="4"/>
      <c r="T725" s="4"/>
      <c r="U725" s="4"/>
      <c r="V725" s="4"/>
      <c r="W725" s="900"/>
      <c r="X725" s="697"/>
    </row>
    <row r="726">
      <c r="L726" s="4"/>
      <c r="M726" s="4"/>
      <c r="N726" s="4"/>
      <c r="O726" s="4"/>
      <c r="P726" s="2"/>
      <c r="Q726" s="4"/>
      <c r="R726" s="4"/>
      <c r="S726" s="4"/>
      <c r="T726" s="4"/>
      <c r="U726" s="4"/>
      <c r="V726" s="4"/>
      <c r="W726" s="900"/>
      <c r="X726" s="697"/>
    </row>
    <row r="727">
      <c r="L727" s="4"/>
      <c r="M727" s="4"/>
      <c r="N727" s="4"/>
      <c r="O727" s="4"/>
      <c r="P727" s="2"/>
      <c r="Q727" s="4"/>
      <c r="R727" s="4"/>
      <c r="S727" s="4"/>
      <c r="T727" s="4"/>
      <c r="U727" s="4"/>
      <c r="V727" s="4"/>
      <c r="W727" s="900"/>
      <c r="X727" s="697"/>
    </row>
    <row r="728">
      <c r="L728" s="4"/>
      <c r="M728" s="4"/>
      <c r="N728" s="4"/>
      <c r="O728" s="4"/>
      <c r="P728" s="2"/>
      <c r="Q728" s="4"/>
      <c r="R728" s="4"/>
      <c r="S728" s="4"/>
      <c r="T728" s="4"/>
      <c r="U728" s="4"/>
      <c r="V728" s="4"/>
      <c r="W728" s="900"/>
      <c r="X728" s="697"/>
    </row>
    <row r="729">
      <c r="L729" s="4"/>
      <c r="M729" s="4"/>
      <c r="N729" s="4"/>
      <c r="O729" s="4"/>
      <c r="P729" s="2"/>
      <c r="Q729" s="4"/>
      <c r="R729" s="4"/>
      <c r="S729" s="4"/>
      <c r="T729" s="4"/>
      <c r="U729" s="4"/>
      <c r="V729" s="4"/>
      <c r="W729" s="900"/>
      <c r="X729" s="697"/>
    </row>
    <row r="730">
      <c r="L730" s="4"/>
      <c r="M730" s="4"/>
      <c r="N730" s="4"/>
      <c r="O730" s="4"/>
      <c r="P730" s="2"/>
      <c r="Q730" s="4"/>
      <c r="R730" s="4"/>
      <c r="S730" s="4"/>
      <c r="T730" s="4"/>
      <c r="U730" s="4"/>
      <c r="V730" s="4"/>
      <c r="W730" s="900"/>
      <c r="X730" s="697"/>
    </row>
    <row r="731">
      <c r="L731" s="4"/>
      <c r="M731" s="4"/>
      <c r="N731" s="4"/>
      <c r="O731" s="4"/>
      <c r="P731" s="2"/>
      <c r="Q731" s="4"/>
      <c r="R731" s="4"/>
      <c r="S731" s="4"/>
      <c r="T731" s="4"/>
      <c r="U731" s="4"/>
      <c r="V731" s="4"/>
      <c r="W731" s="900"/>
      <c r="X731" s="697"/>
    </row>
    <row r="732">
      <c r="L732" s="4"/>
      <c r="M732" s="4"/>
      <c r="N732" s="4"/>
      <c r="O732" s="4"/>
      <c r="P732" s="2"/>
      <c r="Q732" s="4"/>
      <c r="R732" s="4"/>
      <c r="S732" s="4"/>
      <c r="T732" s="4"/>
      <c r="U732" s="4"/>
      <c r="V732" s="4"/>
      <c r="W732" s="900"/>
      <c r="X732" s="697"/>
    </row>
    <row r="733">
      <c r="L733" s="4"/>
      <c r="M733" s="4"/>
      <c r="N733" s="4"/>
      <c r="O733" s="4"/>
      <c r="P733" s="2"/>
      <c r="Q733" s="4"/>
      <c r="R733" s="4"/>
      <c r="S733" s="4"/>
      <c r="T733" s="4"/>
      <c r="U733" s="4"/>
      <c r="V733" s="4"/>
      <c r="W733" s="900"/>
      <c r="X733" s="697"/>
    </row>
    <row r="734">
      <c r="L734" s="4"/>
      <c r="M734" s="4"/>
      <c r="N734" s="4"/>
      <c r="O734" s="4"/>
      <c r="P734" s="2"/>
      <c r="Q734" s="4"/>
      <c r="R734" s="4"/>
      <c r="S734" s="4"/>
      <c r="T734" s="4"/>
      <c r="U734" s="4"/>
      <c r="V734" s="4"/>
      <c r="W734" s="900"/>
      <c r="X734" s="697"/>
    </row>
    <row r="735">
      <c r="L735" s="4"/>
      <c r="M735" s="4"/>
      <c r="N735" s="4"/>
      <c r="O735" s="4"/>
      <c r="P735" s="2"/>
      <c r="Q735" s="4"/>
      <c r="R735" s="4"/>
      <c r="S735" s="4"/>
      <c r="T735" s="4"/>
      <c r="U735" s="4"/>
      <c r="V735" s="4"/>
      <c r="W735" s="900"/>
      <c r="X735" s="697"/>
    </row>
    <row r="736">
      <c r="L736" s="4"/>
      <c r="M736" s="4"/>
      <c r="N736" s="4"/>
      <c r="O736" s="4"/>
      <c r="P736" s="2"/>
      <c r="Q736" s="4"/>
      <c r="R736" s="4"/>
      <c r="S736" s="4"/>
      <c r="T736" s="4"/>
      <c r="U736" s="4"/>
      <c r="V736" s="4"/>
      <c r="W736" s="900"/>
      <c r="X736" s="697"/>
    </row>
    <row r="737">
      <c r="L737" s="4"/>
      <c r="M737" s="4"/>
      <c r="N737" s="4"/>
      <c r="O737" s="4"/>
      <c r="P737" s="2"/>
      <c r="Q737" s="4"/>
      <c r="R737" s="4"/>
      <c r="S737" s="4"/>
      <c r="T737" s="4"/>
      <c r="U737" s="4"/>
      <c r="V737" s="4"/>
      <c r="W737" s="900"/>
      <c r="X737" s="697"/>
    </row>
    <row r="738">
      <c r="L738" s="4"/>
      <c r="M738" s="4"/>
      <c r="N738" s="4"/>
      <c r="O738" s="4"/>
      <c r="P738" s="2"/>
      <c r="Q738" s="4"/>
      <c r="R738" s="4"/>
      <c r="S738" s="4"/>
      <c r="T738" s="4"/>
      <c r="U738" s="4"/>
      <c r="V738" s="4"/>
      <c r="W738" s="900"/>
      <c r="X738" s="697"/>
    </row>
    <row r="739">
      <c r="L739" s="4"/>
      <c r="M739" s="4"/>
      <c r="N739" s="4"/>
      <c r="O739" s="4"/>
      <c r="P739" s="2"/>
      <c r="Q739" s="4"/>
      <c r="R739" s="4"/>
      <c r="S739" s="4"/>
      <c r="T739" s="4"/>
      <c r="U739" s="4"/>
      <c r="V739" s="4"/>
      <c r="W739" s="900"/>
      <c r="X739" s="697"/>
    </row>
    <row r="740">
      <c r="L740" s="4"/>
      <c r="M740" s="4"/>
      <c r="N740" s="4"/>
      <c r="O740" s="4"/>
      <c r="P740" s="2"/>
      <c r="Q740" s="4"/>
      <c r="R740" s="4"/>
      <c r="S740" s="4"/>
      <c r="T740" s="4"/>
      <c r="U740" s="4"/>
      <c r="V740" s="4"/>
      <c r="W740" s="900"/>
      <c r="X740" s="697"/>
    </row>
    <row r="741">
      <c r="L741" s="4"/>
      <c r="M741" s="4"/>
      <c r="N741" s="4"/>
      <c r="O741" s="4"/>
      <c r="P741" s="2"/>
      <c r="Q741" s="4"/>
      <c r="R741" s="4"/>
      <c r="S741" s="4"/>
      <c r="T741" s="4"/>
      <c r="U741" s="4"/>
      <c r="V741" s="4"/>
      <c r="W741" s="900"/>
      <c r="X741" s="697"/>
    </row>
    <row r="742">
      <c r="L742" s="4"/>
      <c r="M742" s="4"/>
      <c r="N742" s="4"/>
      <c r="O742" s="4"/>
      <c r="P742" s="2"/>
      <c r="Q742" s="4"/>
      <c r="R742" s="4"/>
      <c r="S742" s="4"/>
      <c r="T742" s="4"/>
      <c r="U742" s="4"/>
      <c r="V742" s="4"/>
      <c r="W742" s="900"/>
      <c r="X742" s="697"/>
    </row>
    <row r="743">
      <c r="L743" s="4"/>
      <c r="M743" s="4"/>
      <c r="N743" s="4"/>
      <c r="O743" s="4"/>
      <c r="P743" s="2"/>
      <c r="Q743" s="4"/>
      <c r="R743" s="4"/>
      <c r="S743" s="4"/>
      <c r="T743" s="4"/>
      <c r="U743" s="4"/>
      <c r="V743" s="4"/>
      <c r="W743" s="900"/>
      <c r="X743" s="697"/>
    </row>
    <row r="744">
      <c r="L744" s="4"/>
      <c r="M744" s="4"/>
      <c r="N744" s="4"/>
      <c r="O744" s="4"/>
      <c r="P744" s="2"/>
      <c r="Q744" s="4"/>
      <c r="R744" s="4"/>
      <c r="S744" s="4"/>
      <c r="T744" s="4"/>
      <c r="U744" s="4"/>
      <c r="V744" s="4"/>
      <c r="W744" s="900"/>
      <c r="X744" s="697"/>
    </row>
    <row r="745">
      <c r="L745" s="4"/>
      <c r="M745" s="4"/>
      <c r="N745" s="4"/>
      <c r="O745" s="4"/>
      <c r="P745" s="2"/>
      <c r="Q745" s="4"/>
      <c r="R745" s="4"/>
      <c r="S745" s="4"/>
      <c r="T745" s="4"/>
      <c r="U745" s="4"/>
      <c r="V745" s="4"/>
      <c r="W745" s="900"/>
      <c r="X745" s="697"/>
    </row>
    <row r="746">
      <c r="L746" s="4"/>
      <c r="M746" s="4"/>
      <c r="N746" s="4"/>
      <c r="O746" s="4"/>
      <c r="P746" s="2"/>
      <c r="Q746" s="4"/>
      <c r="R746" s="4"/>
      <c r="S746" s="4"/>
      <c r="T746" s="4"/>
      <c r="U746" s="4"/>
      <c r="V746" s="4"/>
      <c r="W746" s="900"/>
      <c r="X746" s="697"/>
    </row>
    <row r="747">
      <c r="L747" s="4"/>
      <c r="M747" s="4"/>
      <c r="N747" s="4"/>
      <c r="O747" s="4"/>
      <c r="P747" s="2"/>
      <c r="Q747" s="4"/>
      <c r="R747" s="4"/>
      <c r="S747" s="4"/>
      <c r="T747" s="4"/>
      <c r="U747" s="4"/>
      <c r="V747" s="4"/>
      <c r="W747" s="900"/>
      <c r="X747" s="697"/>
    </row>
    <row r="748">
      <c r="L748" s="4"/>
      <c r="M748" s="4"/>
      <c r="N748" s="4"/>
      <c r="O748" s="4"/>
      <c r="P748" s="2"/>
      <c r="Q748" s="4"/>
      <c r="R748" s="4"/>
      <c r="S748" s="4"/>
      <c r="T748" s="4"/>
      <c r="U748" s="4"/>
      <c r="V748" s="4"/>
      <c r="W748" s="900"/>
      <c r="X748" s="697"/>
    </row>
    <row r="749">
      <c r="L749" s="4"/>
      <c r="M749" s="4"/>
      <c r="N749" s="4"/>
      <c r="O749" s="4"/>
      <c r="P749" s="2"/>
      <c r="Q749" s="4"/>
      <c r="R749" s="4"/>
      <c r="S749" s="4"/>
      <c r="T749" s="4"/>
      <c r="U749" s="4"/>
      <c r="V749" s="4"/>
      <c r="W749" s="900"/>
      <c r="X749" s="697"/>
    </row>
    <row r="750">
      <c r="L750" s="4"/>
      <c r="M750" s="4"/>
      <c r="N750" s="4"/>
      <c r="O750" s="4"/>
      <c r="P750" s="2"/>
      <c r="Q750" s="4"/>
      <c r="R750" s="4"/>
      <c r="S750" s="4"/>
      <c r="T750" s="4"/>
      <c r="U750" s="4"/>
      <c r="V750" s="4"/>
      <c r="W750" s="900"/>
      <c r="X750" s="697"/>
    </row>
    <row r="751">
      <c r="L751" s="4"/>
      <c r="M751" s="4"/>
      <c r="N751" s="4"/>
      <c r="O751" s="4"/>
      <c r="P751" s="2"/>
      <c r="Q751" s="4"/>
      <c r="R751" s="4"/>
      <c r="S751" s="4"/>
      <c r="T751" s="4"/>
      <c r="U751" s="4"/>
      <c r="V751" s="4"/>
      <c r="W751" s="900"/>
      <c r="X751" s="697"/>
    </row>
    <row r="752">
      <c r="L752" s="4"/>
      <c r="M752" s="4"/>
      <c r="N752" s="4"/>
      <c r="O752" s="4"/>
      <c r="P752" s="2"/>
      <c r="Q752" s="4"/>
      <c r="R752" s="4"/>
      <c r="S752" s="4"/>
      <c r="T752" s="4"/>
      <c r="U752" s="4"/>
      <c r="V752" s="4"/>
      <c r="W752" s="900"/>
      <c r="X752" s="697"/>
    </row>
    <row r="753">
      <c r="L753" s="4"/>
      <c r="M753" s="4"/>
      <c r="N753" s="4"/>
      <c r="O753" s="4"/>
      <c r="P753" s="2"/>
      <c r="Q753" s="4"/>
      <c r="R753" s="4"/>
      <c r="S753" s="4"/>
      <c r="T753" s="4"/>
      <c r="U753" s="4"/>
      <c r="V753" s="4"/>
      <c r="W753" s="900"/>
      <c r="X753" s="697"/>
    </row>
    <row r="754">
      <c r="L754" s="4"/>
      <c r="M754" s="4"/>
      <c r="N754" s="4"/>
      <c r="O754" s="4"/>
      <c r="P754" s="2"/>
      <c r="Q754" s="4"/>
      <c r="R754" s="4"/>
      <c r="S754" s="4"/>
      <c r="T754" s="4"/>
      <c r="U754" s="4"/>
      <c r="V754" s="4"/>
      <c r="W754" s="900"/>
      <c r="X754" s="697"/>
    </row>
    <row r="755">
      <c r="L755" s="4"/>
      <c r="M755" s="4"/>
      <c r="N755" s="4"/>
      <c r="O755" s="4"/>
      <c r="P755" s="2"/>
      <c r="Q755" s="4"/>
      <c r="R755" s="4"/>
      <c r="S755" s="4"/>
      <c r="T755" s="4"/>
      <c r="U755" s="4"/>
      <c r="V755" s="4"/>
      <c r="W755" s="900"/>
      <c r="X755" s="697"/>
    </row>
    <row r="756">
      <c r="L756" s="4"/>
      <c r="M756" s="4"/>
      <c r="N756" s="4"/>
      <c r="O756" s="4"/>
      <c r="P756" s="2"/>
      <c r="Q756" s="4"/>
      <c r="R756" s="4"/>
      <c r="S756" s="4"/>
      <c r="T756" s="4"/>
      <c r="U756" s="4"/>
      <c r="V756" s="4"/>
      <c r="W756" s="900"/>
      <c r="X756" s="697"/>
    </row>
    <row r="757">
      <c r="L757" s="4"/>
      <c r="M757" s="4"/>
      <c r="N757" s="4"/>
      <c r="O757" s="4"/>
      <c r="P757" s="2"/>
      <c r="Q757" s="4"/>
      <c r="R757" s="4"/>
      <c r="S757" s="4"/>
      <c r="T757" s="4"/>
      <c r="U757" s="4"/>
      <c r="V757" s="4"/>
      <c r="W757" s="900"/>
      <c r="X757" s="697"/>
    </row>
    <row r="758">
      <c r="L758" s="4"/>
      <c r="M758" s="4"/>
      <c r="N758" s="4"/>
      <c r="O758" s="4"/>
      <c r="P758" s="2"/>
      <c r="Q758" s="4"/>
      <c r="R758" s="4"/>
      <c r="S758" s="4"/>
      <c r="T758" s="4"/>
      <c r="U758" s="4"/>
      <c r="V758" s="4"/>
      <c r="W758" s="900"/>
      <c r="X758" s="697"/>
    </row>
    <row r="759">
      <c r="L759" s="4"/>
      <c r="M759" s="4"/>
      <c r="N759" s="4"/>
      <c r="O759" s="4"/>
      <c r="P759" s="2"/>
      <c r="Q759" s="4"/>
      <c r="R759" s="4"/>
      <c r="S759" s="4"/>
      <c r="T759" s="4"/>
      <c r="U759" s="4"/>
      <c r="V759" s="4"/>
      <c r="W759" s="900"/>
      <c r="X759" s="697"/>
    </row>
    <row r="760">
      <c r="L760" s="4"/>
      <c r="M760" s="4"/>
      <c r="N760" s="4"/>
      <c r="O760" s="4"/>
      <c r="P760" s="2"/>
      <c r="Q760" s="4"/>
      <c r="R760" s="4"/>
      <c r="S760" s="4"/>
      <c r="T760" s="4"/>
      <c r="U760" s="4"/>
      <c r="V760" s="4"/>
      <c r="W760" s="900"/>
      <c r="X760" s="697"/>
    </row>
    <row r="761">
      <c r="L761" s="4"/>
      <c r="M761" s="4"/>
      <c r="N761" s="4"/>
      <c r="O761" s="4"/>
      <c r="P761" s="2"/>
      <c r="Q761" s="4"/>
      <c r="R761" s="4"/>
      <c r="S761" s="4"/>
      <c r="T761" s="4"/>
      <c r="U761" s="4"/>
      <c r="V761" s="4"/>
      <c r="W761" s="900"/>
      <c r="X761" s="697"/>
    </row>
    <row r="762">
      <c r="L762" s="4"/>
      <c r="M762" s="4"/>
      <c r="N762" s="4"/>
      <c r="O762" s="4"/>
      <c r="P762" s="2"/>
      <c r="Q762" s="4"/>
      <c r="R762" s="4"/>
      <c r="S762" s="4"/>
      <c r="T762" s="4"/>
      <c r="U762" s="4"/>
      <c r="V762" s="4"/>
      <c r="W762" s="900"/>
      <c r="X762" s="697"/>
    </row>
    <row r="763">
      <c r="L763" s="4"/>
      <c r="M763" s="4"/>
      <c r="N763" s="4"/>
      <c r="O763" s="4"/>
      <c r="P763" s="2"/>
      <c r="Q763" s="4"/>
      <c r="R763" s="4"/>
      <c r="S763" s="4"/>
      <c r="T763" s="4"/>
      <c r="U763" s="4"/>
      <c r="V763" s="4"/>
      <c r="W763" s="900"/>
      <c r="X763" s="697"/>
    </row>
    <row r="764">
      <c r="L764" s="4"/>
      <c r="M764" s="4"/>
      <c r="N764" s="4"/>
      <c r="O764" s="4"/>
      <c r="P764" s="2"/>
      <c r="Q764" s="4"/>
      <c r="R764" s="4"/>
      <c r="S764" s="4"/>
      <c r="T764" s="4"/>
      <c r="U764" s="4"/>
      <c r="V764" s="4"/>
      <c r="W764" s="900"/>
      <c r="X764" s="697"/>
    </row>
    <row r="765">
      <c r="L765" s="4"/>
      <c r="M765" s="4"/>
      <c r="N765" s="4"/>
      <c r="O765" s="4"/>
      <c r="P765" s="2"/>
      <c r="Q765" s="4"/>
      <c r="R765" s="4"/>
      <c r="S765" s="4"/>
      <c r="T765" s="4"/>
      <c r="U765" s="4"/>
      <c r="V765" s="4"/>
      <c r="W765" s="900"/>
      <c r="X765" s="697"/>
    </row>
    <row r="766">
      <c r="L766" s="4"/>
      <c r="M766" s="4"/>
      <c r="N766" s="4"/>
      <c r="O766" s="4"/>
      <c r="P766" s="2"/>
      <c r="Q766" s="4"/>
      <c r="R766" s="4"/>
      <c r="S766" s="4"/>
      <c r="T766" s="4"/>
      <c r="U766" s="4"/>
      <c r="V766" s="4"/>
      <c r="W766" s="900"/>
      <c r="X766" s="697"/>
    </row>
    <row r="767">
      <c r="L767" s="4"/>
      <c r="M767" s="4"/>
      <c r="N767" s="4"/>
      <c r="O767" s="4"/>
      <c r="P767" s="2"/>
      <c r="Q767" s="4"/>
      <c r="R767" s="4"/>
      <c r="S767" s="4"/>
      <c r="T767" s="4"/>
      <c r="U767" s="4"/>
      <c r="V767" s="4"/>
      <c r="W767" s="900"/>
      <c r="X767" s="697"/>
    </row>
    <row r="768">
      <c r="L768" s="4"/>
      <c r="M768" s="4"/>
      <c r="N768" s="4"/>
      <c r="O768" s="4"/>
      <c r="P768" s="2"/>
      <c r="Q768" s="4"/>
      <c r="R768" s="4"/>
      <c r="S768" s="4"/>
      <c r="T768" s="4"/>
      <c r="U768" s="4"/>
      <c r="V768" s="4"/>
      <c r="W768" s="900"/>
      <c r="X768" s="697"/>
    </row>
    <row r="769">
      <c r="L769" s="4"/>
      <c r="M769" s="4"/>
      <c r="N769" s="4"/>
      <c r="O769" s="4"/>
      <c r="P769" s="2"/>
      <c r="Q769" s="4"/>
      <c r="R769" s="4"/>
      <c r="S769" s="4"/>
      <c r="T769" s="4"/>
      <c r="U769" s="4"/>
      <c r="V769" s="4"/>
      <c r="W769" s="900"/>
      <c r="X769" s="697"/>
    </row>
    <row r="770">
      <c r="L770" s="4"/>
      <c r="M770" s="4"/>
      <c r="N770" s="4"/>
      <c r="O770" s="4"/>
      <c r="P770" s="2"/>
      <c r="Q770" s="4"/>
      <c r="R770" s="4"/>
      <c r="S770" s="4"/>
      <c r="T770" s="4"/>
      <c r="U770" s="4"/>
      <c r="V770" s="4"/>
      <c r="W770" s="900"/>
      <c r="X770" s="697"/>
    </row>
    <row r="771">
      <c r="L771" s="4"/>
      <c r="M771" s="4"/>
      <c r="N771" s="4"/>
      <c r="O771" s="4"/>
      <c r="P771" s="2"/>
      <c r="Q771" s="4"/>
      <c r="R771" s="4"/>
      <c r="S771" s="4"/>
      <c r="T771" s="4"/>
      <c r="U771" s="4"/>
      <c r="V771" s="4"/>
      <c r="W771" s="900"/>
      <c r="X771" s="697"/>
    </row>
    <row r="772">
      <c r="L772" s="4"/>
      <c r="M772" s="4"/>
      <c r="N772" s="4"/>
      <c r="O772" s="4"/>
      <c r="P772" s="2"/>
      <c r="Q772" s="4"/>
      <c r="R772" s="4"/>
      <c r="S772" s="4"/>
      <c r="T772" s="4"/>
      <c r="U772" s="4"/>
      <c r="V772" s="4"/>
      <c r="W772" s="900"/>
      <c r="X772" s="697"/>
    </row>
    <row r="773">
      <c r="L773" s="4"/>
      <c r="M773" s="4"/>
      <c r="N773" s="4"/>
      <c r="O773" s="4"/>
      <c r="P773" s="2"/>
      <c r="Q773" s="4"/>
      <c r="R773" s="4"/>
      <c r="S773" s="4"/>
      <c r="T773" s="4"/>
      <c r="U773" s="4"/>
      <c r="V773" s="4"/>
      <c r="W773" s="900"/>
      <c r="X773" s="697"/>
    </row>
    <row r="774">
      <c r="L774" s="4"/>
      <c r="M774" s="4"/>
      <c r="N774" s="4"/>
      <c r="O774" s="4"/>
      <c r="P774" s="2"/>
      <c r="Q774" s="4"/>
      <c r="R774" s="4"/>
      <c r="S774" s="4"/>
      <c r="T774" s="4"/>
      <c r="U774" s="4"/>
      <c r="V774" s="4"/>
      <c r="W774" s="900"/>
      <c r="X774" s="697"/>
    </row>
    <row r="775">
      <c r="L775" s="4"/>
      <c r="M775" s="4"/>
      <c r="N775" s="4"/>
      <c r="O775" s="4"/>
      <c r="P775" s="2"/>
      <c r="Q775" s="4"/>
      <c r="R775" s="4"/>
      <c r="S775" s="4"/>
      <c r="T775" s="4"/>
      <c r="U775" s="4"/>
      <c r="V775" s="4"/>
      <c r="W775" s="900"/>
      <c r="X775" s="697"/>
    </row>
    <row r="776">
      <c r="L776" s="4"/>
      <c r="M776" s="4"/>
      <c r="N776" s="4"/>
      <c r="O776" s="4"/>
      <c r="P776" s="2"/>
      <c r="Q776" s="4"/>
      <c r="R776" s="4"/>
      <c r="S776" s="4"/>
      <c r="T776" s="4"/>
      <c r="U776" s="4"/>
      <c r="V776" s="4"/>
      <c r="W776" s="900"/>
      <c r="X776" s="697"/>
    </row>
    <row r="777">
      <c r="L777" s="4"/>
      <c r="M777" s="4"/>
      <c r="N777" s="4"/>
      <c r="O777" s="4"/>
      <c r="P777" s="2"/>
      <c r="Q777" s="4"/>
      <c r="R777" s="4"/>
      <c r="S777" s="4"/>
      <c r="T777" s="4"/>
      <c r="U777" s="4"/>
      <c r="V777" s="4"/>
      <c r="W777" s="900"/>
      <c r="X777" s="697"/>
    </row>
    <row r="778">
      <c r="L778" s="4"/>
      <c r="M778" s="4"/>
      <c r="N778" s="4"/>
      <c r="O778" s="4"/>
      <c r="P778" s="2"/>
      <c r="Q778" s="4"/>
      <c r="R778" s="4"/>
      <c r="S778" s="4"/>
      <c r="T778" s="4"/>
      <c r="U778" s="4"/>
      <c r="V778" s="4"/>
      <c r="W778" s="900"/>
      <c r="X778" s="697"/>
    </row>
    <row r="779">
      <c r="L779" s="4"/>
      <c r="M779" s="4"/>
      <c r="N779" s="4"/>
      <c r="O779" s="4"/>
      <c r="P779" s="2"/>
      <c r="Q779" s="4"/>
      <c r="R779" s="4"/>
      <c r="S779" s="4"/>
      <c r="T779" s="4"/>
      <c r="U779" s="4"/>
      <c r="V779" s="4"/>
      <c r="W779" s="900"/>
      <c r="X779" s="697"/>
    </row>
    <row r="780">
      <c r="L780" s="4"/>
      <c r="M780" s="4"/>
      <c r="N780" s="4"/>
      <c r="O780" s="4"/>
      <c r="P780" s="2"/>
      <c r="Q780" s="4"/>
      <c r="R780" s="4"/>
      <c r="S780" s="4"/>
      <c r="T780" s="4"/>
      <c r="U780" s="4"/>
      <c r="V780" s="4"/>
      <c r="W780" s="900"/>
      <c r="X780" s="697"/>
    </row>
    <row r="781">
      <c r="L781" s="4"/>
      <c r="M781" s="4"/>
      <c r="N781" s="4"/>
      <c r="O781" s="4"/>
      <c r="P781" s="2"/>
      <c r="Q781" s="4"/>
      <c r="R781" s="4"/>
      <c r="S781" s="4"/>
      <c r="T781" s="4"/>
      <c r="U781" s="4"/>
      <c r="V781" s="4"/>
      <c r="W781" s="900"/>
      <c r="X781" s="697"/>
    </row>
    <row r="782">
      <c r="L782" s="4"/>
      <c r="M782" s="4"/>
      <c r="N782" s="4"/>
      <c r="O782" s="4"/>
      <c r="P782" s="2"/>
      <c r="Q782" s="4"/>
      <c r="R782" s="4"/>
      <c r="S782" s="4"/>
      <c r="T782" s="4"/>
      <c r="U782" s="4"/>
      <c r="V782" s="4"/>
      <c r="W782" s="900"/>
      <c r="X782" s="697"/>
    </row>
    <row r="783">
      <c r="L783" s="4"/>
      <c r="M783" s="4"/>
      <c r="N783" s="4"/>
      <c r="O783" s="4"/>
      <c r="P783" s="2"/>
      <c r="Q783" s="4"/>
      <c r="R783" s="4"/>
      <c r="S783" s="4"/>
      <c r="T783" s="4"/>
      <c r="U783" s="4"/>
      <c r="V783" s="4"/>
      <c r="W783" s="900"/>
      <c r="X783" s="697"/>
    </row>
    <row r="784">
      <c r="L784" s="4"/>
      <c r="M784" s="4"/>
      <c r="N784" s="4"/>
      <c r="O784" s="4"/>
      <c r="P784" s="2"/>
      <c r="Q784" s="4"/>
      <c r="R784" s="4"/>
      <c r="S784" s="4"/>
      <c r="T784" s="4"/>
      <c r="U784" s="4"/>
      <c r="V784" s="4"/>
      <c r="W784" s="900"/>
      <c r="X784" s="697"/>
    </row>
    <row r="785">
      <c r="L785" s="4"/>
      <c r="M785" s="4"/>
      <c r="N785" s="4"/>
      <c r="O785" s="4"/>
      <c r="P785" s="2"/>
      <c r="Q785" s="4"/>
      <c r="R785" s="4"/>
      <c r="S785" s="4"/>
      <c r="T785" s="4"/>
      <c r="U785" s="4"/>
      <c r="V785" s="4"/>
      <c r="W785" s="900"/>
      <c r="X785" s="697"/>
    </row>
    <row r="786">
      <c r="L786" s="4"/>
      <c r="M786" s="4"/>
      <c r="N786" s="4"/>
      <c r="O786" s="4"/>
      <c r="P786" s="2"/>
      <c r="Q786" s="4"/>
      <c r="R786" s="4"/>
      <c r="S786" s="4"/>
      <c r="T786" s="4"/>
      <c r="U786" s="4"/>
      <c r="V786" s="4"/>
      <c r="W786" s="900"/>
      <c r="X786" s="697"/>
    </row>
    <row r="787">
      <c r="L787" s="4"/>
      <c r="M787" s="4"/>
      <c r="N787" s="4"/>
      <c r="O787" s="4"/>
      <c r="P787" s="2"/>
      <c r="Q787" s="4"/>
      <c r="R787" s="4"/>
      <c r="S787" s="4"/>
      <c r="T787" s="4"/>
      <c r="U787" s="4"/>
      <c r="V787" s="4"/>
      <c r="W787" s="900"/>
      <c r="X787" s="697"/>
    </row>
    <row r="788">
      <c r="L788" s="4"/>
      <c r="M788" s="4"/>
      <c r="N788" s="4"/>
      <c r="O788" s="4"/>
      <c r="P788" s="2"/>
      <c r="Q788" s="4"/>
      <c r="R788" s="4"/>
      <c r="S788" s="4"/>
      <c r="T788" s="4"/>
      <c r="U788" s="4"/>
      <c r="V788" s="4"/>
      <c r="W788" s="900"/>
      <c r="X788" s="697"/>
    </row>
    <row r="789">
      <c r="L789" s="4"/>
      <c r="M789" s="4"/>
      <c r="N789" s="4"/>
      <c r="O789" s="4"/>
      <c r="P789" s="2"/>
      <c r="Q789" s="4"/>
      <c r="R789" s="4"/>
      <c r="S789" s="4"/>
      <c r="T789" s="4"/>
      <c r="U789" s="4"/>
      <c r="V789" s="4"/>
      <c r="W789" s="900"/>
      <c r="X789" s="697"/>
    </row>
    <row r="790">
      <c r="L790" s="4"/>
      <c r="M790" s="4"/>
      <c r="N790" s="4"/>
      <c r="O790" s="4"/>
      <c r="P790" s="2"/>
      <c r="Q790" s="4"/>
      <c r="R790" s="4"/>
      <c r="S790" s="4"/>
      <c r="T790" s="4"/>
      <c r="U790" s="4"/>
      <c r="V790" s="4"/>
      <c r="W790" s="900"/>
      <c r="X790" s="697"/>
    </row>
    <row r="791">
      <c r="L791" s="4"/>
      <c r="M791" s="4"/>
      <c r="N791" s="4"/>
      <c r="O791" s="4"/>
      <c r="P791" s="2"/>
      <c r="Q791" s="4"/>
      <c r="R791" s="4"/>
      <c r="S791" s="4"/>
      <c r="T791" s="4"/>
      <c r="U791" s="4"/>
      <c r="V791" s="4"/>
      <c r="W791" s="900"/>
      <c r="X791" s="697"/>
    </row>
    <row r="792">
      <c r="L792" s="4"/>
      <c r="M792" s="4"/>
      <c r="N792" s="4"/>
      <c r="O792" s="4"/>
      <c r="P792" s="2"/>
      <c r="Q792" s="4"/>
      <c r="R792" s="4"/>
      <c r="S792" s="4"/>
      <c r="T792" s="4"/>
      <c r="U792" s="4"/>
      <c r="V792" s="4"/>
      <c r="W792" s="900"/>
      <c r="X792" s="697"/>
    </row>
    <row r="793">
      <c r="L793" s="4"/>
      <c r="M793" s="4"/>
      <c r="N793" s="4"/>
      <c r="O793" s="4"/>
      <c r="P793" s="2"/>
      <c r="Q793" s="4"/>
      <c r="R793" s="4"/>
      <c r="S793" s="4"/>
      <c r="T793" s="4"/>
      <c r="U793" s="4"/>
      <c r="V793" s="4"/>
      <c r="W793" s="900"/>
      <c r="X793" s="697"/>
    </row>
    <row r="794">
      <c r="L794" s="4"/>
      <c r="M794" s="4"/>
      <c r="N794" s="4"/>
      <c r="O794" s="4"/>
      <c r="P794" s="2"/>
      <c r="Q794" s="4"/>
      <c r="R794" s="4"/>
      <c r="S794" s="4"/>
      <c r="T794" s="4"/>
      <c r="U794" s="4"/>
      <c r="V794" s="4"/>
      <c r="W794" s="900"/>
      <c r="X794" s="697"/>
    </row>
    <row r="795">
      <c r="L795" s="4"/>
      <c r="M795" s="4"/>
      <c r="N795" s="4"/>
      <c r="O795" s="4"/>
      <c r="P795" s="2"/>
      <c r="Q795" s="4"/>
      <c r="R795" s="4"/>
      <c r="S795" s="4"/>
      <c r="T795" s="4"/>
      <c r="U795" s="4"/>
      <c r="V795" s="4"/>
      <c r="W795" s="900"/>
      <c r="X795" s="697"/>
    </row>
    <row r="796">
      <c r="L796" s="4"/>
      <c r="M796" s="4"/>
      <c r="N796" s="4"/>
      <c r="O796" s="4"/>
      <c r="P796" s="2"/>
      <c r="Q796" s="4"/>
      <c r="R796" s="4"/>
      <c r="S796" s="4"/>
      <c r="T796" s="4"/>
      <c r="U796" s="4"/>
      <c r="V796" s="4"/>
      <c r="W796" s="900"/>
      <c r="X796" s="697"/>
    </row>
    <row r="797">
      <c r="L797" s="4"/>
      <c r="M797" s="4"/>
      <c r="N797" s="4"/>
      <c r="O797" s="4"/>
      <c r="P797" s="2"/>
      <c r="Q797" s="4"/>
      <c r="R797" s="4"/>
      <c r="S797" s="4"/>
      <c r="T797" s="4"/>
      <c r="U797" s="4"/>
      <c r="V797" s="4"/>
      <c r="W797" s="900"/>
      <c r="X797" s="697"/>
    </row>
    <row r="798">
      <c r="L798" s="4"/>
      <c r="M798" s="4"/>
      <c r="N798" s="4"/>
      <c r="O798" s="4"/>
      <c r="P798" s="2"/>
      <c r="Q798" s="4"/>
      <c r="R798" s="4"/>
      <c r="S798" s="4"/>
      <c r="T798" s="4"/>
      <c r="U798" s="4"/>
      <c r="V798" s="4"/>
      <c r="W798" s="900"/>
      <c r="X798" s="697"/>
    </row>
    <row r="799">
      <c r="L799" s="4"/>
      <c r="M799" s="4"/>
      <c r="N799" s="4"/>
      <c r="O799" s="4"/>
      <c r="P799" s="2"/>
      <c r="Q799" s="4"/>
      <c r="R799" s="4"/>
      <c r="S799" s="4"/>
      <c r="T799" s="4"/>
      <c r="U799" s="4"/>
      <c r="V799" s="4"/>
      <c r="W799" s="900"/>
      <c r="X799" s="697"/>
    </row>
    <row r="800">
      <c r="L800" s="4"/>
      <c r="M800" s="4"/>
      <c r="N800" s="4"/>
      <c r="O800" s="4"/>
      <c r="P800" s="2"/>
      <c r="Q800" s="4"/>
      <c r="R800" s="4"/>
      <c r="S800" s="4"/>
      <c r="T800" s="4"/>
      <c r="U800" s="4"/>
      <c r="V800" s="4"/>
      <c r="W800" s="900"/>
      <c r="X800" s="697"/>
    </row>
    <row r="801">
      <c r="L801" s="4"/>
      <c r="M801" s="4"/>
      <c r="N801" s="4"/>
      <c r="O801" s="4"/>
      <c r="P801" s="2"/>
      <c r="Q801" s="4"/>
      <c r="R801" s="4"/>
      <c r="S801" s="4"/>
      <c r="T801" s="4"/>
      <c r="U801" s="4"/>
      <c r="V801" s="4"/>
      <c r="W801" s="900"/>
      <c r="X801" s="697"/>
    </row>
    <row r="802">
      <c r="L802" s="4"/>
      <c r="M802" s="4"/>
      <c r="N802" s="4"/>
      <c r="O802" s="4"/>
      <c r="P802" s="2"/>
      <c r="Q802" s="4"/>
      <c r="R802" s="4"/>
      <c r="S802" s="4"/>
      <c r="T802" s="4"/>
      <c r="U802" s="4"/>
      <c r="V802" s="4"/>
      <c r="W802" s="900"/>
      <c r="X802" s="697"/>
    </row>
    <row r="803">
      <c r="L803" s="4"/>
      <c r="M803" s="4"/>
      <c r="N803" s="4"/>
      <c r="O803" s="4"/>
      <c r="P803" s="2"/>
      <c r="Q803" s="4"/>
      <c r="R803" s="4"/>
      <c r="S803" s="4"/>
      <c r="T803" s="4"/>
      <c r="U803" s="4"/>
      <c r="V803" s="4"/>
      <c r="W803" s="900"/>
      <c r="X803" s="697"/>
    </row>
    <row r="804">
      <c r="L804" s="4"/>
      <c r="M804" s="4"/>
      <c r="N804" s="4"/>
      <c r="O804" s="4"/>
      <c r="P804" s="2"/>
      <c r="Q804" s="4"/>
      <c r="R804" s="4"/>
      <c r="S804" s="4"/>
      <c r="T804" s="4"/>
      <c r="U804" s="4"/>
      <c r="V804" s="4"/>
      <c r="W804" s="900"/>
      <c r="X804" s="697"/>
    </row>
    <row r="805">
      <c r="L805" s="4"/>
      <c r="M805" s="4"/>
      <c r="N805" s="4"/>
      <c r="O805" s="4"/>
      <c r="P805" s="2"/>
      <c r="Q805" s="4"/>
      <c r="R805" s="4"/>
      <c r="S805" s="4"/>
      <c r="T805" s="4"/>
      <c r="U805" s="4"/>
      <c r="V805" s="4"/>
      <c r="W805" s="900"/>
      <c r="X805" s="697"/>
    </row>
    <row r="806">
      <c r="L806" s="4"/>
      <c r="M806" s="4"/>
      <c r="N806" s="4"/>
      <c r="O806" s="4"/>
      <c r="P806" s="2"/>
      <c r="Q806" s="4"/>
      <c r="R806" s="4"/>
      <c r="S806" s="4"/>
      <c r="T806" s="4"/>
      <c r="U806" s="4"/>
      <c r="V806" s="4"/>
      <c r="W806" s="900"/>
      <c r="X806" s="697"/>
    </row>
    <row r="807">
      <c r="L807" s="4"/>
      <c r="M807" s="4"/>
      <c r="N807" s="4"/>
      <c r="O807" s="4"/>
      <c r="P807" s="2"/>
      <c r="Q807" s="4"/>
      <c r="R807" s="4"/>
      <c r="S807" s="4"/>
      <c r="T807" s="4"/>
      <c r="U807" s="4"/>
      <c r="V807" s="4"/>
      <c r="W807" s="900"/>
      <c r="X807" s="697"/>
    </row>
    <row r="808">
      <c r="L808" s="4"/>
      <c r="M808" s="4"/>
      <c r="N808" s="4"/>
      <c r="O808" s="4"/>
      <c r="P808" s="2"/>
      <c r="Q808" s="4"/>
      <c r="R808" s="4"/>
      <c r="S808" s="4"/>
      <c r="T808" s="4"/>
      <c r="U808" s="4"/>
      <c r="V808" s="4"/>
      <c r="W808" s="900"/>
      <c r="X808" s="697"/>
    </row>
    <row r="809">
      <c r="L809" s="4"/>
      <c r="M809" s="4"/>
      <c r="N809" s="4"/>
      <c r="O809" s="4"/>
      <c r="P809" s="2"/>
      <c r="Q809" s="4"/>
      <c r="R809" s="4"/>
      <c r="S809" s="4"/>
      <c r="T809" s="4"/>
      <c r="U809" s="4"/>
      <c r="V809" s="4"/>
      <c r="W809" s="900"/>
      <c r="X809" s="697"/>
    </row>
    <row r="810">
      <c r="L810" s="4"/>
      <c r="M810" s="4"/>
      <c r="N810" s="4"/>
      <c r="O810" s="4"/>
      <c r="P810" s="2"/>
      <c r="Q810" s="4"/>
      <c r="R810" s="4"/>
      <c r="S810" s="4"/>
      <c r="T810" s="4"/>
      <c r="U810" s="4"/>
      <c r="V810" s="4"/>
      <c r="W810" s="900"/>
      <c r="X810" s="697"/>
    </row>
    <row r="811">
      <c r="L811" s="4"/>
      <c r="M811" s="4"/>
      <c r="N811" s="4"/>
      <c r="O811" s="4"/>
      <c r="P811" s="2"/>
      <c r="Q811" s="4"/>
      <c r="R811" s="4"/>
      <c r="S811" s="4"/>
      <c r="T811" s="4"/>
      <c r="U811" s="4"/>
      <c r="V811" s="4"/>
      <c r="W811" s="900"/>
      <c r="X811" s="697"/>
    </row>
    <row r="812">
      <c r="L812" s="4"/>
      <c r="M812" s="4"/>
      <c r="N812" s="4"/>
      <c r="O812" s="4"/>
      <c r="P812" s="2"/>
      <c r="Q812" s="4"/>
      <c r="R812" s="4"/>
      <c r="S812" s="4"/>
      <c r="T812" s="4"/>
      <c r="U812" s="4"/>
      <c r="V812" s="4"/>
      <c r="W812" s="900"/>
      <c r="X812" s="697"/>
    </row>
    <row r="813">
      <c r="L813" s="4"/>
      <c r="M813" s="4"/>
      <c r="N813" s="4"/>
      <c r="O813" s="4"/>
      <c r="P813" s="2"/>
      <c r="Q813" s="4"/>
      <c r="R813" s="4"/>
      <c r="S813" s="4"/>
      <c r="T813" s="4"/>
      <c r="U813" s="4"/>
      <c r="V813" s="4"/>
      <c r="W813" s="900"/>
      <c r="X813" s="697"/>
    </row>
    <row r="814">
      <c r="L814" s="4"/>
      <c r="M814" s="4"/>
      <c r="N814" s="4"/>
      <c r="O814" s="4"/>
      <c r="P814" s="2"/>
      <c r="Q814" s="4"/>
      <c r="R814" s="4"/>
      <c r="S814" s="4"/>
      <c r="T814" s="4"/>
      <c r="U814" s="4"/>
      <c r="V814" s="4"/>
      <c r="W814" s="900"/>
      <c r="X814" s="697"/>
    </row>
    <row r="815">
      <c r="L815" s="4"/>
      <c r="M815" s="4"/>
      <c r="N815" s="4"/>
      <c r="O815" s="4"/>
      <c r="P815" s="2"/>
      <c r="Q815" s="4"/>
      <c r="R815" s="4"/>
      <c r="S815" s="4"/>
      <c r="T815" s="4"/>
      <c r="U815" s="4"/>
      <c r="V815" s="4"/>
      <c r="W815" s="900"/>
      <c r="X815" s="697"/>
    </row>
    <row r="816">
      <c r="L816" s="4"/>
      <c r="M816" s="4"/>
      <c r="N816" s="4"/>
      <c r="O816" s="4"/>
      <c r="P816" s="2"/>
      <c r="Q816" s="4"/>
      <c r="R816" s="4"/>
      <c r="S816" s="4"/>
      <c r="T816" s="4"/>
      <c r="U816" s="4"/>
      <c r="V816" s="4"/>
      <c r="W816" s="900"/>
      <c r="X816" s="697"/>
    </row>
    <row r="817">
      <c r="L817" s="4"/>
      <c r="M817" s="4"/>
      <c r="N817" s="4"/>
      <c r="O817" s="4"/>
      <c r="P817" s="2"/>
      <c r="Q817" s="4"/>
      <c r="R817" s="4"/>
      <c r="S817" s="4"/>
      <c r="T817" s="4"/>
      <c r="U817" s="4"/>
      <c r="V817" s="4"/>
      <c r="W817" s="900"/>
      <c r="X817" s="697"/>
    </row>
    <row r="818">
      <c r="L818" s="4"/>
      <c r="M818" s="4"/>
      <c r="N818" s="4"/>
      <c r="O818" s="4"/>
      <c r="P818" s="2"/>
      <c r="Q818" s="4"/>
      <c r="R818" s="4"/>
      <c r="S818" s="4"/>
      <c r="T818" s="4"/>
      <c r="U818" s="4"/>
      <c r="V818" s="4"/>
      <c r="W818" s="900"/>
      <c r="X818" s="697"/>
    </row>
    <row r="819">
      <c r="L819" s="4"/>
      <c r="M819" s="4"/>
      <c r="N819" s="4"/>
      <c r="O819" s="4"/>
      <c r="P819" s="2"/>
      <c r="Q819" s="4"/>
      <c r="R819" s="4"/>
      <c r="S819" s="4"/>
      <c r="T819" s="4"/>
      <c r="U819" s="4"/>
      <c r="V819" s="4"/>
      <c r="W819" s="900"/>
      <c r="X819" s="697"/>
    </row>
    <row r="820">
      <c r="L820" s="4"/>
      <c r="M820" s="4"/>
      <c r="N820" s="4"/>
      <c r="O820" s="4"/>
      <c r="P820" s="2"/>
      <c r="Q820" s="4"/>
      <c r="R820" s="4"/>
      <c r="S820" s="4"/>
      <c r="T820" s="4"/>
      <c r="U820" s="4"/>
      <c r="V820" s="4"/>
      <c r="W820" s="900"/>
      <c r="X820" s="697"/>
    </row>
    <row r="821">
      <c r="L821" s="4"/>
      <c r="M821" s="4"/>
      <c r="N821" s="4"/>
      <c r="O821" s="4"/>
      <c r="P821" s="2"/>
      <c r="Q821" s="4"/>
      <c r="R821" s="4"/>
      <c r="S821" s="4"/>
      <c r="T821" s="4"/>
      <c r="U821" s="4"/>
      <c r="V821" s="4"/>
      <c r="W821" s="900"/>
      <c r="X821" s="697"/>
    </row>
    <row r="822">
      <c r="L822" s="4"/>
      <c r="M822" s="4"/>
      <c r="N822" s="4"/>
      <c r="O822" s="4"/>
      <c r="P822" s="2"/>
      <c r="Q822" s="4"/>
      <c r="R822" s="4"/>
      <c r="S822" s="4"/>
      <c r="T822" s="4"/>
      <c r="U822" s="4"/>
      <c r="V822" s="4"/>
      <c r="W822" s="900"/>
      <c r="X822" s="697"/>
    </row>
    <row r="823">
      <c r="L823" s="4"/>
      <c r="M823" s="4"/>
      <c r="N823" s="4"/>
      <c r="O823" s="4"/>
      <c r="P823" s="2"/>
      <c r="Q823" s="4"/>
      <c r="R823" s="4"/>
      <c r="S823" s="4"/>
      <c r="T823" s="4"/>
      <c r="U823" s="4"/>
      <c r="V823" s="4"/>
      <c r="W823" s="900"/>
      <c r="X823" s="697"/>
    </row>
    <row r="824">
      <c r="L824" s="4"/>
      <c r="M824" s="4"/>
      <c r="N824" s="4"/>
      <c r="O824" s="4"/>
      <c r="P824" s="2"/>
      <c r="Q824" s="4"/>
      <c r="R824" s="4"/>
      <c r="S824" s="4"/>
      <c r="T824" s="4"/>
      <c r="U824" s="4"/>
      <c r="V824" s="4"/>
      <c r="W824" s="900"/>
      <c r="X824" s="697"/>
    </row>
    <row r="825">
      <c r="L825" s="4"/>
      <c r="M825" s="4"/>
      <c r="N825" s="4"/>
      <c r="O825" s="4"/>
      <c r="P825" s="2"/>
      <c r="Q825" s="4"/>
      <c r="R825" s="4"/>
      <c r="S825" s="4"/>
      <c r="T825" s="4"/>
      <c r="U825" s="4"/>
      <c r="V825" s="4"/>
      <c r="W825" s="900"/>
      <c r="X825" s="697"/>
    </row>
    <row r="826">
      <c r="L826" s="4"/>
      <c r="M826" s="4"/>
      <c r="N826" s="4"/>
      <c r="O826" s="4"/>
      <c r="P826" s="2"/>
      <c r="Q826" s="4"/>
      <c r="R826" s="4"/>
      <c r="S826" s="4"/>
      <c r="T826" s="4"/>
      <c r="U826" s="4"/>
      <c r="V826" s="4"/>
      <c r="W826" s="900"/>
      <c r="X826" s="697"/>
    </row>
    <row r="827">
      <c r="L827" s="4"/>
      <c r="M827" s="4"/>
      <c r="N827" s="4"/>
      <c r="O827" s="4"/>
      <c r="P827" s="2"/>
      <c r="Q827" s="4"/>
      <c r="R827" s="4"/>
      <c r="S827" s="4"/>
      <c r="T827" s="4"/>
      <c r="U827" s="4"/>
      <c r="V827" s="4"/>
      <c r="W827" s="900"/>
      <c r="X827" s="697"/>
    </row>
    <row r="828">
      <c r="L828" s="4"/>
      <c r="M828" s="4"/>
      <c r="N828" s="4"/>
      <c r="O828" s="4"/>
      <c r="P828" s="2"/>
      <c r="Q828" s="4"/>
      <c r="R828" s="4"/>
      <c r="S828" s="4"/>
      <c r="T828" s="4"/>
      <c r="U828" s="4"/>
      <c r="V828" s="4"/>
      <c r="W828" s="900"/>
      <c r="X828" s="697"/>
    </row>
    <row r="829">
      <c r="L829" s="4"/>
      <c r="M829" s="4"/>
      <c r="N829" s="4"/>
      <c r="O829" s="4"/>
      <c r="P829" s="2"/>
      <c r="Q829" s="4"/>
      <c r="R829" s="4"/>
      <c r="S829" s="4"/>
      <c r="T829" s="4"/>
      <c r="U829" s="4"/>
      <c r="V829" s="4"/>
      <c r="W829" s="900"/>
      <c r="X829" s="697"/>
    </row>
    <row r="830">
      <c r="L830" s="4"/>
      <c r="M830" s="4"/>
      <c r="N830" s="4"/>
      <c r="O830" s="4"/>
      <c r="P830" s="2"/>
      <c r="Q830" s="4"/>
      <c r="R830" s="4"/>
      <c r="S830" s="4"/>
      <c r="T830" s="4"/>
      <c r="U830" s="4"/>
      <c r="V830" s="4"/>
      <c r="W830" s="900"/>
      <c r="X830" s="697"/>
    </row>
    <row r="831">
      <c r="L831" s="4"/>
      <c r="M831" s="4"/>
      <c r="N831" s="4"/>
      <c r="O831" s="4"/>
      <c r="P831" s="2"/>
      <c r="Q831" s="4"/>
      <c r="R831" s="4"/>
      <c r="S831" s="4"/>
      <c r="T831" s="4"/>
      <c r="U831" s="4"/>
      <c r="V831" s="4"/>
      <c r="W831" s="900"/>
      <c r="X831" s="697"/>
    </row>
    <row r="832">
      <c r="L832" s="4"/>
      <c r="M832" s="4"/>
      <c r="N832" s="4"/>
      <c r="O832" s="4"/>
      <c r="P832" s="2"/>
      <c r="Q832" s="4"/>
      <c r="R832" s="4"/>
      <c r="S832" s="4"/>
      <c r="T832" s="4"/>
      <c r="U832" s="4"/>
      <c r="V832" s="4"/>
      <c r="W832" s="900"/>
      <c r="X832" s="697"/>
    </row>
    <row r="833">
      <c r="L833" s="4"/>
      <c r="M833" s="4"/>
      <c r="N833" s="4"/>
      <c r="O833" s="4"/>
      <c r="P833" s="2"/>
      <c r="Q833" s="4"/>
      <c r="R833" s="4"/>
      <c r="S833" s="4"/>
      <c r="T833" s="4"/>
      <c r="U833" s="4"/>
      <c r="V833" s="4"/>
      <c r="W833" s="900"/>
      <c r="X833" s="697"/>
    </row>
    <row r="834">
      <c r="L834" s="4"/>
      <c r="M834" s="4"/>
      <c r="N834" s="4"/>
      <c r="O834" s="4"/>
      <c r="P834" s="2"/>
      <c r="Q834" s="4"/>
      <c r="R834" s="4"/>
      <c r="S834" s="4"/>
      <c r="T834" s="4"/>
      <c r="U834" s="4"/>
      <c r="V834" s="4"/>
      <c r="W834" s="900"/>
      <c r="X834" s="697"/>
    </row>
    <row r="835">
      <c r="L835" s="4"/>
      <c r="M835" s="4"/>
      <c r="N835" s="4"/>
      <c r="O835" s="4"/>
      <c r="P835" s="2"/>
      <c r="Q835" s="4"/>
      <c r="R835" s="4"/>
      <c r="S835" s="4"/>
      <c r="T835" s="4"/>
      <c r="U835" s="4"/>
      <c r="V835" s="4"/>
      <c r="W835" s="900"/>
      <c r="X835" s="697"/>
    </row>
    <row r="836">
      <c r="L836" s="4"/>
      <c r="M836" s="4"/>
      <c r="N836" s="4"/>
      <c r="O836" s="4"/>
      <c r="P836" s="2"/>
      <c r="Q836" s="4"/>
      <c r="R836" s="4"/>
      <c r="S836" s="4"/>
      <c r="T836" s="4"/>
      <c r="U836" s="4"/>
      <c r="V836" s="4"/>
      <c r="W836" s="900"/>
      <c r="X836" s="697"/>
    </row>
    <row r="837">
      <c r="L837" s="4"/>
      <c r="M837" s="4"/>
      <c r="N837" s="4"/>
      <c r="O837" s="4"/>
      <c r="P837" s="2"/>
      <c r="Q837" s="4"/>
      <c r="R837" s="4"/>
      <c r="S837" s="4"/>
      <c r="T837" s="4"/>
      <c r="U837" s="4"/>
      <c r="V837" s="4"/>
      <c r="W837" s="900"/>
      <c r="X837" s="697"/>
    </row>
    <row r="838">
      <c r="L838" s="4"/>
      <c r="M838" s="4"/>
      <c r="N838" s="4"/>
      <c r="O838" s="4"/>
      <c r="P838" s="2"/>
      <c r="Q838" s="4"/>
      <c r="R838" s="4"/>
      <c r="S838" s="4"/>
      <c r="T838" s="4"/>
      <c r="U838" s="4"/>
      <c r="V838" s="4"/>
      <c r="W838" s="900"/>
      <c r="X838" s="697"/>
    </row>
    <row r="839">
      <c r="L839" s="4"/>
      <c r="M839" s="4"/>
      <c r="N839" s="4"/>
      <c r="O839" s="4"/>
      <c r="P839" s="2"/>
      <c r="Q839" s="4"/>
      <c r="R839" s="4"/>
      <c r="S839" s="4"/>
      <c r="T839" s="4"/>
      <c r="U839" s="4"/>
      <c r="V839" s="4"/>
      <c r="W839" s="900"/>
      <c r="X839" s="697"/>
    </row>
    <row r="840">
      <c r="L840" s="4"/>
      <c r="M840" s="4"/>
      <c r="N840" s="4"/>
      <c r="O840" s="4"/>
      <c r="P840" s="2"/>
      <c r="Q840" s="4"/>
      <c r="R840" s="4"/>
      <c r="S840" s="4"/>
      <c r="T840" s="4"/>
      <c r="U840" s="4"/>
      <c r="V840" s="4"/>
      <c r="W840" s="900"/>
      <c r="X840" s="697"/>
    </row>
    <row r="841">
      <c r="L841" s="4"/>
      <c r="M841" s="4"/>
      <c r="N841" s="4"/>
      <c r="O841" s="4"/>
      <c r="P841" s="2"/>
      <c r="Q841" s="4"/>
      <c r="R841" s="4"/>
      <c r="S841" s="4"/>
      <c r="T841" s="4"/>
      <c r="U841" s="4"/>
      <c r="V841" s="4"/>
      <c r="W841" s="900"/>
      <c r="X841" s="697"/>
    </row>
    <row r="842">
      <c r="L842" s="4"/>
      <c r="M842" s="4"/>
      <c r="N842" s="4"/>
      <c r="O842" s="4"/>
      <c r="P842" s="2"/>
      <c r="Q842" s="4"/>
      <c r="R842" s="4"/>
      <c r="S842" s="4"/>
      <c r="T842" s="4"/>
      <c r="U842" s="4"/>
      <c r="V842" s="4"/>
      <c r="W842" s="900"/>
      <c r="X842" s="697"/>
    </row>
    <row r="843">
      <c r="L843" s="4"/>
      <c r="M843" s="4"/>
      <c r="N843" s="4"/>
      <c r="O843" s="4"/>
      <c r="P843" s="2"/>
      <c r="Q843" s="4"/>
      <c r="R843" s="4"/>
      <c r="S843" s="4"/>
      <c r="T843" s="4"/>
      <c r="U843" s="4"/>
      <c r="V843" s="4"/>
      <c r="W843" s="900"/>
      <c r="X843" s="697"/>
    </row>
    <row r="844">
      <c r="L844" s="4"/>
      <c r="M844" s="4"/>
      <c r="N844" s="4"/>
      <c r="O844" s="4"/>
      <c r="P844" s="2"/>
      <c r="Q844" s="4"/>
      <c r="R844" s="4"/>
      <c r="S844" s="4"/>
      <c r="T844" s="4"/>
      <c r="U844" s="4"/>
      <c r="V844" s="4"/>
      <c r="W844" s="900"/>
      <c r="X844" s="697"/>
    </row>
    <row r="845">
      <c r="L845" s="4"/>
      <c r="M845" s="4"/>
      <c r="N845" s="4"/>
      <c r="O845" s="4"/>
      <c r="P845" s="2"/>
      <c r="Q845" s="4"/>
      <c r="R845" s="4"/>
      <c r="S845" s="4"/>
      <c r="T845" s="4"/>
      <c r="U845" s="4"/>
      <c r="V845" s="4"/>
      <c r="W845" s="900"/>
      <c r="X845" s="697"/>
    </row>
    <row r="846">
      <c r="L846" s="4"/>
      <c r="M846" s="4"/>
      <c r="N846" s="4"/>
      <c r="O846" s="4"/>
      <c r="P846" s="2"/>
      <c r="Q846" s="4"/>
      <c r="R846" s="4"/>
      <c r="S846" s="4"/>
      <c r="T846" s="4"/>
      <c r="U846" s="4"/>
      <c r="V846" s="4"/>
      <c r="W846" s="900"/>
      <c r="X846" s="697"/>
    </row>
    <row r="847">
      <c r="L847" s="4"/>
      <c r="M847" s="4"/>
      <c r="N847" s="4"/>
      <c r="O847" s="4"/>
      <c r="P847" s="2"/>
      <c r="Q847" s="4"/>
      <c r="R847" s="4"/>
      <c r="S847" s="4"/>
      <c r="T847" s="4"/>
      <c r="U847" s="4"/>
      <c r="V847" s="4"/>
      <c r="W847" s="900"/>
      <c r="X847" s="697"/>
    </row>
    <row r="848">
      <c r="L848" s="4"/>
      <c r="M848" s="4"/>
      <c r="N848" s="4"/>
      <c r="O848" s="4"/>
      <c r="P848" s="2"/>
      <c r="Q848" s="4"/>
      <c r="R848" s="4"/>
      <c r="S848" s="4"/>
      <c r="T848" s="4"/>
      <c r="U848" s="4"/>
      <c r="V848" s="4"/>
      <c r="W848" s="900"/>
      <c r="X848" s="697"/>
    </row>
    <row r="849">
      <c r="L849" s="4"/>
      <c r="M849" s="4"/>
      <c r="N849" s="4"/>
      <c r="O849" s="4"/>
      <c r="P849" s="2"/>
      <c r="Q849" s="4"/>
      <c r="R849" s="4"/>
      <c r="S849" s="4"/>
      <c r="T849" s="4"/>
      <c r="U849" s="4"/>
      <c r="V849" s="4"/>
      <c r="W849" s="900"/>
      <c r="X849" s="697"/>
    </row>
    <row r="850">
      <c r="L850" s="4"/>
      <c r="M850" s="4"/>
      <c r="N850" s="4"/>
      <c r="O850" s="4"/>
      <c r="P850" s="2"/>
      <c r="Q850" s="4"/>
      <c r="R850" s="4"/>
      <c r="S850" s="4"/>
      <c r="T850" s="4"/>
      <c r="U850" s="4"/>
      <c r="V850" s="4"/>
      <c r="W850" s="900"/>
      <c r="X850" s="697"/>
    </row>
    <row r="851">
      <c r="L851" s="4"/>
      <c r="M851" s="4"/>
      <c r="N851" s="4"/>
      <c r="O851" s="4"/>
      <c r="P851" s="2"/>
      <c r="Q851" s="4"/>
      <c r="R851" s="4"/>
      <c r="S851" s="4"/>
      <c r="T851" s="4"/>
      <c r="U851" s="4"/>
      <c r="V851" s="4"/>
      <c r="W851" s="900"/>
      <c r="X851" s="697"/>
    </row>
    <row r="852">
      <c r="L852" s="4"/>
      <c r="M852" s="4"/>
      <c r="N852" s="4"/>
      <c r="O852" s="4"/>
      <c r="P852" s="2"/>
      <c r="Q852" s="4"/>
      <c r="R852" s="4"/>
      <c r="S852" s="4"/>
      <c r="T852" s="4"/>
      <c r="U852" s="4"/>
      <c r="V852" s="4"/>
      <c r="W852" s="900"/>
      <c r="X852" s="697"/>
    </row>
    <row r="853">
      <c r="L853" s="4"/>
      <c r="M853" s="4"/>
      <c r="N853" s="4"/>
      <c r="O853" s="4"/>
      <c r="P853" s="2"/>
      <c r="Q853" s="4"/>
      <c r="R853" s="4"/>
      <c r="S853" s="4"/>
      <c r="T853" s="4"/>
      <c r="U853" s="4"/>
      <c r="V853" s="4"/>
      <c r="W853" s="900"/>
      <c r="X853" s="697"/>
    </row>
    <row r="854">
      <c r="L854" s="4"/>
      <c r="M854" s="4"/>
      <c r="N854" s="4"/>
      <c r="O854" s="4"/>
      <c r="P854" s="2"/>
      <c r="Q854" s="4"/>
      <c r="R854" s="4"/>
      <c r="S854" s="4"/>
      <c r="T854" s="4"/>
      <c r="U854" s="4"/>
      <c r="V854" s="4"/>
      <c r="W854" s="900"/>
      <c r="X854" s="697"/>
    </row>
    <row r="855">
      <c r="L855" s="4"/>
      <c r="M855" s="4"/>
      <c r="N855" s="4"/>
      <c r="O855" s="4"/>
      <c r="P855" s="2"/>
      <c r="Q855" s="4"/>
      <c r="R855" s="4"/>
      <c r="S855" s="4"/>
      <c r="T855" s="4"/>
      <c r="U855" s="4"/>
      <c r="V855" s="4"/>
      <c r="W855" s="900"/>
      <c r="X855" s="697"/>
    </row>
    <row r="856">
      <c r="L856" s="4"/>
      <c r="M856" s="4"/>
      <c r="N856" s="4"/>
      <c r="O856" s="4"/>
      <c r="P856" s="2"/>
      <c r="Q856" s="4"/>
      <c r="R856" s="4"/>
      <c r="S856" s="4"/>
      <c r="T856" s="4"/>
      <c r="U856" s="4"/>
      <c r="V856" s="4"/>
      <c r="W856" s="900"/>
      <c r="X856" s="697"/>
    </row>
    <row r="857">
      <c r="L857" s="4"/>
      <c r="M857" s="4"/>
      <c r="N857" s="4"/>
      <c r="O857" s="4"/>
      <c r="P857" s="2"/>
      <c r="Q857" s="4"/>
      <c r="R857" s="4"/>
      <c r="S857" s="4"/>
      <c r="T857" s="4"/>
      <c r="U857" s="4"/>
      <c r="V857" s="4"/>
      <c r="W857" s="900"/>
      <c r="X857" s="697"/>
    </row>
    <row r="858">
      <c r="L858" s="4"/>
      <c r="M858" s="4"/>
      <c r="N858" s="4"/>
      <c r="O858" s="4"/>
      <c r="P858" s="2"/>
      <c r="Q858" s="4"/>
      <c r="R858" s="4"/>
      <c r="S858" s="4"/>
      <c r="T858" s="4"/>
      <c r="U858" s="4"/>
      <c r="V858" s="4"/>
      <c r="W858" s="900"/>
      <c r="X858" s="697"/>
    </row>
    <row r="859">
      <c r="L859" s="4"/>
      <c r="M859" s="4"/>
      <c r="N859" s="4"/>
      <c r="O859" s="4"/>
      <c r="P859" s="2"/>
      <c r="Q859" s="4"/>
      <c r="R859" s="4"/>
      <c r="S859" s="4"/>
      <c r="T859" s="4"/>
      <c r="U859" s="4"/>
      <c r="V859" s="4"/>
      <c r="W859" s="900"/>
      <c r="X859" s="697"/>
    </row>
    <row r="860">
      <c r="L860" s="4"/>
      <c r="M860" s="4"/>
      <c r="N860" s="4"/>
      <c r="O860" s="4"/>
      <c r="P860" s="2"/>
      <c r="Q860" s="4"/>
      <c r="R860" s="4"/>
      <c r="S860" s="4"/>
      <c r="T860" s="4"/>
      <c r="U860" s="4"/>
      <c r="V860" s="4"/>
      <c r="W860" s="900"/>
      <c r="X860" s="697"/>
    </row>
    <row r="861">
      <c r="L861" s="4"/>
      <c r="M861" s="4"/>
      <c r="N861" s="4"/>
      <c r="O861" s="4"/>
      <c r="P861" s="2"/>
      <c r="Q861" s="4"/>
      <c r="R861" s="4"/>
      <c r="S861" s="4"/>
      <c r="T861" s="4"/>
      <c r="U861" s="4"/>
      <c r="V861" s="4"/>
      <c r="W861" s="900"/>
      <c r="X861" s="697"/>
    </row>
    <row r="862">
      <c r="L862" s="4"/>
      <c r="M862" s="4"/>
      <c r="N862" s="4"/>
      <c r="O862" s="4"/>
      <c r="P862" s="2"/>
      <c r="Q862" s="4"/>
      <c r="R862" s="4"/>
      <c r="S862" s="4"/>
      <c r="T862" s="4"/>
      <c r="U862" s="4"/>
      <c r="V862" s="4"/>
      <c r="W862" s="900"/>
      <c r="X862" s="697"/>
    </row>
    <row r="863">
      <c r="L863" s="4"/>
      <c r="M863" s="4"/>
      <c r="N863" s="4"/>
      <c r="O863" s="4"/>
      <c r="P863" s="2"/>
      <c r="Q863" s="4"/>
      <c r="R863" s="4"/>
      <c r="S863" s="4"/>
      <c r="T863" s="4"/>
      <c r="U863" s="4"/>
      <c r="V863" s="4"/>
      <c r="W863" s="900"/>
      <c r="X863" s="697"/>
    </row>
    <row r="864">
      <c r="L864" s="4"/>
      <c r="M864" s="4"/>
      <c r="N864" s="4"/>
      <c r="O864" s="4"/>
      <c r="P864" s="2"/>
      <c r="Q864" s="4"/>
      <c r="R864" s="4"/>
      <c r="S864" s="4"/>
      <c r="T864" s="4"/>
      <c r="U864" s="4"/>
      <c r="V864" s="4"/>
      <c r="W864" s="900"/>
      <c r="X864" s="697"/>
    </row>
    <row r="865">
      <c r="L865" s="4"/>
      <c r="M865" s="4"/>
      <c r="N865" s="4"/>
      <c r="O865" s="4"/>
      <c r="P865" s="2"/>
      <c r="Q865" s="4"/>
      <c r="R865" s="4"/>
      <c r="S865" s="4"/>
      <c r="T865" s="4"/>
      <c r="U865" s="4"/>
      <c r="V865" s="4"/>
      <c r="W865" s="900"/>
      <c r="X865" s="697"/>
    </row>
    <row r="866">
      <c r="L866" s="4"/>
      <c r="M866" s="4"/>
      <c r="N866" s="4"/>
      <c r="O866" s="4"/>
      <c r="P866" s="2"/>
      <c r="Q866" s="4"/>
      <c r="R866" s="4"/>
      <c r="S866" s="4"/>
      <c r="T866" s="4"/>
      <c r="U866" s="4"/>
      <c r="V866" s="4"/>
      <c r="W866" s="900"/>
      <c r="X866" s="697"/>
    </row>
    <row r="867">
      <c r="L867" s="4"/>
      <c r="M867" s="4"/>
      <c r="N867" s="4"/>
      <c r="O867" s="4"/>
      <c r="P867" s="2"/>
      <c r="Q867" s="4"/>
      <c r="R867" s="4"/>
      <c r="S867" s="4"/>
      <c r="T867" s="4"/>
      <c r="U867" s="4"/>
      <c r="V867" s="4"/>
      <c r="W867" s="900"/>
      <c r="X867" s="697"/>
    </row>
    <row r="868">
      <c r="L868" s="4"/>
      <c r="M868" s="4"/>
      <c r="N868" s="4"/>
      <c r="O868" s="4"/>
      <c r="P868" s="2"/>
      <c r="Q868" s="4"/>
      <c r="R868" s="4"/>
      <c r="S868" s="4"/>
      <c r="T868" s="4"/>
      <c r="U868" s="4"/>
      <c r="V868" s="4"/>
      <c r="W868" s="900"/>
      <c r="X868" s="697"/>
    </row>
    <row r="869">
      <c r="L869" s="4"/>
      <c r="M869" s="4"/>
      <c r="N869" s="4"/>
      <c r="O869" s="4"/>
      <c r="P869" s="2"/>
      <c r="Q869" s="4"/>
      <c r="R869" s="4"/>
      <c r="S869" s="4"/>
      <c r="T869" s="4"/>
      <c r="U869" s="4"/>
      <c r="V869" s="4"/>
      <c r="W869" s="900"/>
      <c r="X869" s="697"/>
    </row>
    <row r="870">
      <c r="L870" s="4"/>
      <c r="M870" s="4"/>
      <c r="N870" s="4"/>
      <c r="O870" s="4"/>
      <c r="P870" s="2"/>
      <c r="Q870" s="4"/>
      <c r="R870" s="4"/>
      <c r="S870" s="4"/>
      <c r="T870" s="4"/>
      <c r="U870" s="4"/>
      <c r="V870" s="4"/>
      <c r="W870" s="900"/>
      <c r="X870" s="697"/>
    </row>
    <row r="871">
      <c r="L871" s="4"/>
      <c r="M871" s="4"/>
      <c r="N871" s="4"/>
      <c r="O871" s="4"/>
      <c r="P871" s="2"/>
      <c r="Q871" s="4"/>
      <c r="R871" s="4"/>
      <c r="S871" s="4"/>
      <c r="T871" s="4"/>
      <c r="U871" s="4"/>
      <c r="V871" s="4"/>
      <c r="W871" s="900"/>
      <c r="X871" s="697"/>
    </row>
    <row r="872">
      <c r="L872" s="4"/>
      <c r="M872" s="4"/>
      <c r="N872" s="4"/>
      <c r="O872" s="4"/>
      <c r="P872" s="2"/>
      <c r="Q872" s="4"/>
      <c r="R872" s="4"/>
      <c r="S872" s="4"/>
      <c r="T872" s="4"/>
      <c r="U872" s="4"/>
      <c r="V872" s="4"/>
      <c r="W872" s="900"/>
      <c r="X872" s="697"/>
    </row>
    <row r="873">
      <c r="L873" s="4"/>
      <c r="M873" s="4"/>
      <c r="N873" s="4"/>
      <c r="O873" s="4"/>
      <c r="P873" s="2"/>
      <c r="Q873" s="4"/>
      <c r="R873" s="4"/>
      <c r="S873" s="4"/>
      <c r="T873" s="4"/>
      <c r="U873" s="4"/>
      <c r="V873" s="4"/>
      <c r="W873" s="900"/>
      <c r="X873" s="697"/>
    </row>
    <row r="874">
      <c r="L874" s="4"/>
      <c r="M874" s="4"/>
      <c r="N874" s="4"/>
      <c r="O874" s="4"/>
      <c r="P874" s="2"/>
      <c r="Q874" s="4"/>
      <c r="R874" s="4"/>
      <c r="S874" s="4"/>
      <c r="T874" s="4"/>
      <c r="U874" s="4"/>
      <c r="V874" s="4"/>
      <c r="W874" s="900"/>
      <c r="X874" s="697"/>
    </row>
    <row r="875">
      <c r="L875" s="4"/>
      <c r="M875" s="4"/>
      <c r="N875" s="4"/>
      <c r="O875" s="4"/>
      <c r="P875" s="2"/>
      <c r="Q875" s="4"/>
      <c r="R875" s="4"/>
      <c r="S875" s="4"/>
      <c r="T875" s="4"/>
      <c r="U875" s="4"/>
      <c r="V875" s="4"/>
      <c r="W875" s="900"/>
      <c r="X875" s="697"/>
    </row>
    <row r="876">
      <c r="L876" s="4"/>
      <c r="M876" s="4"/>
      <c r="N876" s="4"/>
      <c r="O876" s="4"/>
      <c r="P876" s="2"/>
      <c r="Q876" s="4"/>
      <c r="R876" s="4"/>
      <c r="S876" s="4"/>
      <c r="T876" s="4"/>
      <c r="U876" s="4"/>
      <c r="V876" s="4"/>
      <c r="W876" s="900"/>
      <c r="X876" s="697"/>
    </row>
    <row r="877">
      <c r="L877" s="4"/>
      <c r="M877" s="4"/>
      <c r="N877" s="4"/>
      <c r="O877" s="4"/>
      <c r="P877" s="2"/>
      <c r="Q877" s="4"/>
      <c r="R877" s="4"/>
      <c r="S877" s="4"/>
      <c r="T877" s="4"/>
      <c r="U877" s="4"/>
      <c r="V877" s="4"/>
      <c r="W877" s="900"/>
      <c r="X877" s="697"/>
    </row>
    <row r="878">
      <c r="L878" s="4"/>
      <c r="M878" s="4"/>
      <c r="N878" s="4"/>
      <c r="O878" s="4"/>
      <c r="P878" s="2"/>
      <c r="Q878" s="4"/>
      <c r="R878" s="4"/>
      <c r="S878" s="4"/>
      <c r="T878" s="4"/>
      <c r="U878" s="4"/>
      <c r="V878" s="4"/>
      <c r="W878" s="900"/>
      <c r="X878" s="697"/>
    </row>
    <row r="879">
      <c r="L879" s="4"/>
      <c r="M879" s="4"/>
      <c r="N879" s="4"/>
      <c r="O879" s="4"/>
      <c r="P879" s="2"/>
      <c r="Q879" s="4"/>
      <c r="R879" s="4"/>
      <c r="S879" s="4"/>
      <c r="T879" s="4"/>
      <c r="U879" s="4"/>
      <c r="V879" s="4"/>
      <c r="W879" s="900"/>
      <c r="X879" s="697"/>
    </row>
    <row r="880">
      <c r="L880" s="4"/>
      <c r="M880" s="4"/>
      <c r="N880" s="4"/>
      <c r="O880" s="4"/>
      <c r="P880" s="2"/>
      <c r="Q880" s="4"/>
      <c r="R880" s="4"/>
      <c r="S880" s="4"/>
      <c r="T880" s="4"/>
      <c r="U880" s="4"/>
      <c r="V880" s="4"/>
      <c r="W880" s="900"/>
      <c r="X880" s="697"/>
    </row>
    <row r="881">
      <c r="L881" s="4"/>
      <c r="M881" s="4"/>
      <c r="N881" s="4"/>
      <c r="O881" s="4"/>
      <c r="P881" s="2"/>
      <c r="Q881" s="4"/>
      <c r="R881" s="4"/>
      <c r="S881" s="4"/>
      <c r="T881" s="4"/>
      <c r="U881" s="4"/>
      <c r="V881" s="4"/>
      <c r="W881" s="900"/>
      <c r="X881" s="697"/>
    </row>
    <row r="882">
      <c r="L882" s="4"/>
      <c r="M882" s="4"/>
      <c r="N882" s="4"/>
      <c r="O882" s="4"/>
      <c r="P882" s="2"/>
      <c r="Q882" s="4"/>
      <c r="R882" s="4"/>
      <c r="S882" s="4"/>
      <c r="T882" s="4"/>
      <c r="U882" s="4"/>
      <c r="V882" s="4"/>
      <c r="W882" s="900"/>
      <c r="X882" s="697"/>
    </row>
    <row r="883">
      <c r="L883" s="4"/>
      <c r="M883" s="4"/>
      <c r="N883" s="4"/>
      <c r="O883" s="4"/>
      <c r="P883" s="2"/>
      <c r="Q883" s="4"/>
      <c r="R883" s="4"/>
      <c r="S883" s="4"/>
      <c r="T883" s="4"/>
      <c r="U883" s="4"/>
      <c r="V883" s="4"/>
      <c r="W883" s="900"/>
      <c r="X883" s="697"/>
    </row>
    <row r="884">
      <c r="L884" s="4"/>
      <c r="M884" s="4"/>
      <c r="N884" s="4"/>
      <c r="O884" s="4"/>
      <c r="P884" s="2"/>
      <c r="Q884" s="4"/>
      <c r="R884" s="4"/>
      <c r="S884" s="4"/>
      <c r="T884" s="4"/>
      <c r="U884" s="4"/>
      <c r="V884" s="4"/>
      <c r="W884" s="900"/>
      <c r="X884" s="697"/>
    </row>
    <row r="885">
      <c r="L885" s="4"/>
      <c r="M885" s="4"/>
      <c r="N885" s="4"/>
      <c r="O885" s="4"/>
      <c r="P885" s="2"/>
      <c r="Q885" s="4"/>
      <c r="R885" s="4"/>
      <c r="S885" s="4"/>
      <c r="T885" s="4"/>
      <c r="U885" s="4"/>
      <c r="V885" s="4"/>
      <c r="W885" s="900"/>
      <c r="X885" s="697"/>
    </row>
    <row r="886">
      <c r="L886" s="4"/>
      <c r="M886" s="4"/>
      <c r="N886" s="4"/>
      <c r="O886" s="4"/>
      <c r="P886" s="2"/>
      <c r="Q886" s="4"/>
      <c r="R886" s="4"/>
      <c r="S886" s="4"/>
      <c r="T886" s="4"/>
      <c r="U886" s="4"/>
      <c r="V886" s="4"/>
      <c r="W886" s="900"/>
      <c r="X886" s="697"/>
    </row>
    <row r="887">
      <c r="L887" s="4"/>
      <c r="M887" s="4"/>
      <c r="N887" s="4"/>
      <c r="O887" s="4"/>
      <c r="P887" s="2"/>
      <c r="Q887" s="4"/>
      <c r="R887" s="4"/>
      <c r="S887" s="4"/>
      <c r="T887" s="4"/>
      <c r="U887" s="4"/>
      <c r="V887" s="4"/>
      <c r="W887" s="900"/>
      <c r="X887" s="697"/>
    </row>
    <row r="888">
      <c r="L888" s="4"/>
      <c r="M888" s="4"/>
      <c r="N888" s="4"/>
      <c r="O888" s="4"/>
      <c r="P888" s="2"/>
      <c r="Q888" s="4"/>
      <c r="R888" s="4"/>
      <c r="S888" s="4"/>
      <c r="T888" s="4"/>
      <c r="U888" s="4"/>
      <c r="V888" s="4"/>
      <c r="W888" s="900"/>
      <c r="X888" s="697"/>
    </row>
    <row r="889">
      <c r="L889" s="4"/>
      <c r="M889" s="4"/>
      <c r="N889" s="4"/>
      <c r="O889" s="4"/>
      <c r="P889" s="2"/>
      <c r="Q889" s="4"/>
      <c r="R889" s="4"/>
      <c r="S889" s="4"/>
      <c r="T889" s="4"/>
      <c r="U889" s="4"/>
      <c r="V889" s="4"/>
      <c r="W889" s="900"/>
      <c r="X889" s="697"/>
    </row>
    <row r="890">
      <c r="L890" s="4"/>
      <c r="M890" s="4"/>
      <c r="N890" s="4"/>
      <c r="O890" s="4"/>
      <c r="P890" s="2"/>
      <c r="Q890" s="4"/>
      <c r="R890" s="4"/>
      <c r="S890" s="4"/>
      <c r="T890" s="4"/>
      <c r="U890" s="4"/>
      <c r="V890" s="4"/>
      <c r="W890" s="900"/>
      <c r="X890" s="697"/>
    </row>
    <row r="891">
      <c r="L891" s="4"/>
      <c r="M891" s="4"/>
      <c r="N891" s="4"/>
      <c r="O891" s="4"/>
      <c r="P891" s="2"/>
      <c r="Q891" s="4"/>
      <c r="R891" s="4"/>
      <c r="S891" s="4"/>
      <c r="T891" s="4"/>
      <c r="U891" s="4"/>
      <c r="V891" s="4"/>
      <c r="W891" s="900"/>
      <c r="X891" s="697"/>
    </row>
    <row r="892">
      <c r="L892" s="4"/>
      <c r="M892" s="4"/>
      <c r="N892" s="4"/>
      <c r="O892" s="4"/>
      <c r="P892" s="2"/>
      <c r="Q892" s="4"/>
      <c r="R892" s="4"/>
      <c r="S892" s="4"/>
      <c r="T892" s="4"/>
      <c r="U892" s="4"/>
      <c r="V892" s="4"/>
      <c r="W892" s="900"/>
      <c r="X892" s="697"/>
    </row>
    <row r="893">
      <c r="L893" s="4"/>
      <c r="M893" s="4"/>
      <c r="N893" s="4"/>
      <c r="O893" s="4"/>
      <c r="P893" s="2"/>
      <c r="Q893" s="4"/>
      <c r="R893" s="4"/>
      <c r="S893" s="4"/>
      <c r="T893" s="4"/>
      <c r="U893" s="4"/>
      <c r="V893" s="4"/>
      <c r="W893" s="900"/>
      <c r="X893" s="697"/>
    </row>
    <row r="894">
      <c r="L894" s="4"/>
      <c r="M894" s="4"/>
      <c r="N894" s="4"/>
      <c r="O894" s="4"/>
      <c r="P894" s="2"/>
      <c r="Q894" s="4"/>
      <c r="R894" s="4"/>
      <c r="S894" s="4"/>
      <c r="T894" s="4"/>
      <c r="U894" s="4"/>
      <c r="V894" s="4"/>
      <c r="W894" s="900"/>
      <c r="X894" s="697"/>
    </row>
    <row r="895">
      <c r="L895" s="4"/>
      <c r="M895" s="4"/>
      <c r="N895" s="4"/>
      <c r="O895" s="4"/>
      <c r="P895" s="2"/>
      <c r="Q895" s="4"/>
      <c r="R895" s="4"/>
      <c r="S895" s="4"/>
      <c r="T895" s="4"/>
      <c r="U895" s="4"/>
      <c r="V895" s="4"/>
      <c r="W895" s="900"/>
      <c r="X895" s="697"/>
    </row>
    <row r="896">
      <c r="L896" s="4"/>
      <c r="M896" s="4"/>
      <c r="N896" s="4"/>
      <c r="O896" s="4"/>
      <c r="P896" s="2"/>
      <c r="Q896" s="4"/>
      <c r="R896" s="4"/>
      <c r="S896" s="4"/>
      <c r="T896" s="4"/>
      <c r="U896" s="4"/>
      <c r="V896" s="4"/>
      <c r="W896" s="900"/>
      <c r="X896" s="697"/>
    </row>
    <row r="897">
      <c r="L897" s="4"/>
      <c r="M897" s="4"/>
      <c r="N897" s="4"/>
      <c r="O897" s="4"/>
      <c r="P897" s="2"/>
      <c r="Q897" s="4"/>
      <c r="R897" s="4"/>
      <c r="S897" s="4"/>
      <c r="T897" s="4"/>
      <c r="U897" s="4"/>
      <c r="V897" s="4"/>
      <c r="W897" s="900"/>
      <c r="X897" s="697"/>
    </row>
    <row r="898">
      <c r="L898" s="4"/>
      <c r="M898" s="4"/>
      <c r="N898" s="4"/>
      <c r="O898" s="4"/>
      <c r="P898" s="2"/>
      <c r="Q898" s="4"/>
      <c r="R898" s="4"/>
      <c r="S898" s="4"/>
      <c r="T898" s="4"/>
      <c r="U898" s="4"/>
      <c r="V898" s="4"/>
      <c r="W898" s="900"/>
      <c r="X898" s="697"/>
    </row>
    <row r="899">
      <c r="L899" s="4"/>
      <c r="M899" s="4"/>
      <c r="N899" s="4"/>
      <c r="O899" s="4"/>
      <c r="P899" s="2"/>
      <c r="Q899" s="4"/>
      <c r="R899" s="4"/>
      <c r="S899" s="4"/>
      <c r="T899" s="4"/>
      <c r="U899" s="4"/>
      <c r="V899" s="4"/>
      <c r="W899" s="900"/>
      <c r="X899" s="697"/>
    </row>
    <row r="900">
      <c r="L900" s="4"/>
      <c r="M900" s="4"/>
      <c r="N900" s="4"/>
      <c r="O900" s="4"/>
      <c r="P900" s="2"/>
      <c r="Q900" s="4"/>
      <c r="R900" s="4"/>
      <c r="S900" s="4"/>
      <c r="T900" s="4"/>
      <c r="U900" s="4"/>
      <c r="V900" s="4"/>
      <c r="W900" s="900"/>
      <c r="X900" s="697"/>
    </row>
    <row r="901">
      <c r="L901" s="4"/>
      <c r="M901" s="4"/>
      <c r="N901" s="4"/>
      <c r="O901" s="4"/>
      <c r="P901" s="2"/>
      <c r="Q901" s="4"/>
      <c r="R901" s="4"/>
      <c r="S901" s="4"/>
      <c r="T901" s="4"/>
      <c r="U901" s="4"/>
      <c r="V901" s="4"/>
      <c r="W901" s="900"/>
      <c r="X901" s="697"/>
    </row>
    <row r="902">
      <c r="L902" s="4"/>
      <c r="M902" s="4"/>
      <c r="N902" s="4"/>
      <c r="O902" s="4"/>
      <c r="P902" s="2"/>
      <c r="Q902" s="4"/>
      <c r="R902" s="4"/>
      <c r="S902" s="4"/>
      <c r="T902" s="4"/>
      <c r="U902" s="4"/>
      <c r="V902" s="4"/>
      <c r="W902" s="900"/>
      <c r="X902" s="697"/>
    </row>
    <row r="903">
      <c r="L903" s="4"/>
      <c r="M903" s="4"/>
      <c r="N903" s="4"/>
      <c r="O903" s="4"/>
      <c r="P903" s="2"/>
      <c r="Q903" s="4"/>
      <c r="R903" s="4"/>
      <c r="S903" s="4"/>
      <c r="T903" s="4"/>
      <c r="U903" s="4"/>
      <c r="V903" s="4"/>
      <c r="W903" s="900"/>
      <c r="X903" s="697"/>
    </row>
    <row r="904">
      <c r="L904" s="4"/>
      <c r="M904" s="4"/>
      <c r="N904" s="4"/>
      <c r="O904" s="4"/>
      <c r="P904" s="2"/>
      <c r="Q904" s="4"/>
      <c r="R904" s="4"/>
      <c r="S904" s="4"/>
      <c r="T904" s="4"/>
      <c r="U904" s="4"/>
      <c r="V904" s="4"/>
      <c r="W904" s="900"/>
      <c r="X904" s="697"/>
    </row>
    <row r="905">
      <c r="L905" s="4"/>
      <c r="M905" s="4"/>
      <c r="N905" s="4"/>
      <c r="O905" s="4"/>
      <c r="P905" s="2"/>
      <c r="Q905" s="4"/>
      <c r="R905" s="4"/>
      <c r="S905" s="4"/>
      <c r="T905" s="4"/>
      <c r="U905" s="4"/>
      <c r="V905" s="4"/>
      <c r="W905" s="900"/>
      <c r="X905" s="697"/>
    </row>
    <row r="906">
      <c r="L906" s="4"/>
      <c r="M906" s="4"/>
      <c r="N906" s="4"/>
      <c r="O906" s="4"/>
      <c r="P906" s="2"/>
      <c r="Q906" s="4"/>
      <c r="R906" s="4"/>
      <c r="S906" s="4"/>
      <c r="T906" s="4"/>
      <c r="U906" s="4"/>
      <c r="V906" s="4"/>
      <c r="W906" s="900"/>
      <c r="X906" s="697"/>
    </row>
    <row r="907">
      <c r="L907" s="4"/>
      <c r="M907" s="4"/>
      <c r="N907" s="4"/>
      <c r="O907" s="4"/>
      <c r="P907" s="2"/>
      <c r="Q907" s="4"/>
      <c r="R907" s="4"/>
      <c r="S907" s="4"/>
      <c r="T907" s="4"/>
      <c r="U907" s="4"/>
      <c r="V907" s="4"/>
      <c r="W907" s="900"/>
      <c r="X907" s="697"/>
    </row>
    <row r="908">
      <c r="L908" s="4"/>
      <c r="M908" s="4"/>
      <c r="N908" s="4"/>
      <c r="O908" s="4"/>
      <c r="P908" s="2"/>
      <c r="Q908" s="4"/>
      <c r="R908" s="4"/>
      <c r="S908" s="4"/>
      <c r="T908" s="4"/>
      <c r="U908" s="4"/>
      <c r="V908" s="4"/>
      <c r="W908" s="900"/>
      <c r="X908" s="697"/>
    </row>
    <row r="909">
      <c r="L909" s="4"/>
      <c r="M909" s="4"/>
      <c r="N909" s="4"/>
      <c r="O909" s="4"/>
      <c r="P909" s="2"/>
      <c r="Q909" s="4"/>
      <c r="R909" s="4"/>
      <c r="S909" s="4"/>
      <c r="T909" s="4"/>
      <c r="U909" s="4"/>
      <c r="V909" s="4"/>
      <c r="W909" s="900"/>
      <c r="X909" s="697"/>
    </row>
    <row r="910">
      <c r="L910" s="4"/>
      <c r="M910" s="4"/>
      <c r="N910" s="4"/>
      <c r="O910" s="4"/>
      <c r="P910" s="2"/>
      <c r="Q910" s="4"/>
      <c r="R910" s="4"/>
      <c r="S910" s="4"/>
      <c r="T910" s="4"/>
      <c r="U910" s="4"/>
      <c r="V910" s="4"/>
      <c r="W910" s="900"/>
      <c r="X910" s="697"/>
    </row>
    <row r="911">
      <c r="L911" s="4"/>
      <c r="M911" s="4"/>
      <c r="N911" s="4"/>
      <c r="O911" s="4"/>
      <c r="P911" s="2"/>
      <c r="Q911" s="4"/>
      <c r="R911" s="4"/>
      <c r="S911" s="4"/>
      <c r="T911" s="4"/>
      <c r="U911" s="4"/>
      <c r="V911" s="4"/>
      <c r="W911" s="900"/>
      <c r="X911" s="697"/>
    </row>
    <row r="912">
      <c r="L912" s="4"/>
      <c r="M912" s="4"/>
      <c r="N912" s="4"/>
      <c r="O912" s="4"/>
      <c r="P912" s="2"/>
      <c r="Q912" s="4"/>
      <c r="R912" s="4"/>
      <c r="S912" s="4"/>
      <c r="T912" s="4"/>
      <c r="U912" s="4"/>
      <c r="V912" s="4"/>
      <c r="W912" s="900"/>
      <c r="X912" s="697"/>
    </row>
    <row r="913">
      <c r="L913" s="4"/>
      <c r="M913" s="4"/>
      <c r="N913" s="4"/>
      <c r="O913" s="4"/>
      <c r="P913" s="2"/>
      <c r="Q913" s="4"/>
      <c r="R913" s="4"/>
      <c r="S913" s="4"/>
      <c r="T913" s="4"/>
      <c r="U913" s="4"/>
      <c r="V913" s="4"/>
      <c r="W913" s="900"/>
      <c r="X913" s="697"/>
    </row>
    <row r="914">
      <c r="L914" s="4"/>
      <c r="M914" s="4"/>
      <c r="N914" s="4"/>
      <c r="O914" s="4"/>
      <c r="P914" s="2"/>
      <c r="Q914" s="4"/>
      <c r="R914" s="4"/>
      <c r="S914" s="4"/>
      <c r="T914" s="4"/>
      <c r="U914" s="4"/>
      <c r="V914" s="4"/>
      <c r="W914" s="900"/>
      <c r="X914" s="697"/>
    </row>
    <row r="915">
      <c r="L915" s="4"/>
      <c r="M915" s="4"/>
      <c r="N915" s="4"/>
      <c r="O915" s="4"/>
      <c r="P915" s="2"/>
      <c r="Q915" s="4"/>
      <c r="R915" s="4"/>
      <c r="S915" s="4"/>
      <c r="T915" s="4"/>
      <c r="U915" s="4"/>
      <c r="V915" s="4"/>
      <c r="W915" s="900"/>
      <c r="X915" s="697"/>
    </row>
    <row r="916">
      <c r="L916" s="4"/>
      <c r="M916" s="4"/>
      <c r="N916" s="4"/>
      <c r="O916" s="4"/>
      <c r="P916" s="2"/>
      <c r="Q916" s="4"/>
      <c r="R916" s="4"/>
      <c r="S916" s="4"/>
      <c r="T916" s="4"/>
      <c r="U916" s="4"/>
      <c r="V916" s="4"/>
      <c r="W916" s="900"/>
      <c r="X916" s="697"/>
    </row>
    <row r="917">
      <c r="L917" s="4"/>
      <c r="M917" s="4"/>
      <c r="N917" s="4"/>
      <c r="O917" s="4"/>
      <c r="P917" s="2"/>
      <c r="Q917" s="4"/>
      <c r="R917" s="4"/>
      <c r="S917" s="4"/>
      <c r="T917" s="4"/>
      <c r="U917" s="4"/>
      <c r="V917" s="4"/>
      <c r="W917" s="900"/>
      <c r="X917" s="697"/>
    </row>
    <row r="918">
      <c r="L918" s="4"/>
      <c r="M918" s="4"/>
      <c r="N918" s="4"/>
      <c r="O918" s="4"/>
      <c r="P918" s="2"/>
      <c r="Q918" s="4"/>
      <c r="R918" s="4"/>
      <c r="S918" s="4"/>
      <c r="T918" s="4"/>
      <c r="U918" s="4"/>
      <c r="V918" s="4"/>
      <c r="W918" s="900"/>
      <c r="X918" s="697"/>
    </row>
    <row r="919">
      <c r="L919" s="4"/>
      <c r="M919" s="4"/>
      <c r="N919" s="4"/>
      <c r="O919" s="4"/>
      <c r="P919" s="2"/>
      <c r="Q919" s="4"/>
      <c r="R919" s="4"/>
      <c r="S919" s="4"/>
      <c r="T919" s="4"/>
      <c r="U919" s="4"/>
      <c r="V919" s="4"/>
      <c r="W919" s="900"/>
      <c r="X919" s="697"/>
    </row>
    <row r="920">
      <c r="L920" s="4"/>
      <c r="M920" s="4"/>
      <c r="N920" s="4"/>
      <c r="O920" s="4"/>
      <c r="P920" s="2"/>
      <c r="Q920" s="4"/>
      <c r="R920" s="4"/>
      <c r="S920" s="4"/>
      <c r="T920" s="4"/>
      <c r="U920" s="4"/>
      <c r="V920" s="4"/>
      <c r="W920" s="900"/>
      <c r="X920" s="697"/>
    </row>
    <row r="921">
      <c r="L921" s="4"/>
      <c r="M921" s="4"/>
      <c r="N921" s="4"/>
      <c r="O921" s="4"/>
      <c r="P921" s="2"/>
      <c r="Q921" s="4"/>
      <c r="R921" s="4"/>
      <c r="S921" s="4"/>
      <c r="T921" s="4"/>
      <c r="U921" s="4"/>
      <c r="V921" s="4"/>
      <c r="W921" s="900"/>
      <c r="X921" s="697"/>
    </row>
    <row r="922">
      <c r="L922" s="4"/>
      <c r="M922" s="4"/>
      <c r="N922" s="4"/>
      <c r="O922" s="4"/>
      <c r="P922" s="2"/>
      <c r="Q922" s="4"/>
      <c r="R922" s="4"/>
      <c r="S922" s="4"/>
      <c r="T922" s="4"/>
      <c r="U922" s="4"/>
      <c r="V922" s="4"/>
      <c r="W922" s="900"/>
      <c r="X922" s="697"/>
    </row>
    <row r="923">
      <c r="L923" s="4"/>
      <c r="M923" s="4"/>
      <c r="N923" s="4"/>
      <c r="O923" s="4"/>
      <c r="P923" s="2"/>
      <c r="Q923" s="4"/>
      <c r="R923" s="4"/>
      <c r="S923" s="4"/>
      <c r="T923" s="4"/>
      <c r="U923" s="4"/>
      <c r="V923" s="4"/>
      <c r="W923" s="900"/>
      <c r="X923" s="697"/>
    </row>
    <row r="924">
      <c r="L924" s="4"/>
      <c r="M924" s="4"/>
      <c r="N924" s="4"/>
      <c r="O924" s="4"/>
      <c r="P924" s="2"/>
      <c r="Q924" s="4"/>
      <c r="R924" s="4"/>
      <c r="S924" s="4"/>
      <c r="T924" s="4"/>
      <c r="U924" s="4"/>
      <c r="V924" s="4"/>
      <c r="W924" s="900"/>
      <c r="X924" s="697"/>
    </row>
    <row r="925">
      <c r="L925" s="4"/>
      <c r="M925" s="4"/>
      <c r="N925" s="4"/>
      <c r="O925" s="4"/>
      <c r="P925" s="2"/>
      <c r="Q925" s="4"/>
      <c r="R925" s="4"/>
      <c r="S925" s="4"/>
      <c r="T925" s="4"/>
      <c r="U925" s="4"/>
      <c r="V925" s="4"/>
      <c r="W925" s="900"/>
      <c r="X925" s="697"/>
    </row>
    <row r="926">
      <c r="L926" s="4"/>
      <c r="M926" s="4"/>
      <c r="N926" s="4"/>
      <c r="O926" s="4"/>
      <c r="P926" s="2"/>
      <c r="Q926" s="4"/>
      <c r="R926" s="4"/>
      <c r="S926" s="4"/>
      <c r="T926" s="4"/>
      <c r="U926" s="4"/>
      <c r="V926" s="4"/>
      <c r="W926" s="900"/>
      <c r="X926" s="697"/>
    </row>
    <row r="927">
      <c r="L927" s="4"/>
      <c r="M927" s="4"/>
      <c r="N927" s="4"/>
      <c r="O927" s="4"/>
      <c r="P927" s="2"/>
      <c r="Q927" s="4"/>
      <c r="R927" s="4"/>
      <c r="S927" s="4"/>
      <c r="T927" s="4"/>
      <c r="U927" s="4"/>
      <c r="V927" s="4"/>
      <c r="W927" s="900"/>
      <c r="X927" s="697"/>
    </row>
    <row r="928">
      <c r="L928" s="4"/>
      <c r="M928" s="4"/>
      <c r="N928" s="4"/>
      <c r="O928" s="4"/>
      <c r="P928" s="2"/>
      <c r="Q928" s="4"/>
      <c r="R928" s="4"/>
      <c r="S928" s="4"/>
      <c r="T928" s="4"/>
      <c r="U928" s="4"/>
      <c r="V928" s="4"/>
      <c r="W928" s="900"/>
      <c r="X928" s="697"/>
    </row>
    <row r="929">
      <c r="L929" s="4"/>
      <c r="M929" s="4"/>
      <c r="N929" s="4"/>
      <c r="O929" s="4"/>
      <c r="P929" s="2"/>
      <c r="Q929" s="4"/>
      <c r="R929" s="4"/>
      <c r="S929" s="4"/>
      <c r="T929" s="4"/>
      <c r="U929" s="4"/>
      <c r="V929" s="4"/>
      <c r="W929" s="900"/>
      <c r="X929" s="697"/>
    </row>
    <row r="930">
      <c r="L930" s="4"/>
      <c r="M930" s="4"/>
      <c r="N930" s="4"/>
      <c r="O930" s="4"/>
      <c r="P930" s="2"/>
      <c r="Q930" s="4"/>
      <c r="R930" s="4"/>
      <c r="S930" s="4"/>
      <c r="T930" s="4"/>
      <c r="U930" s="4"/>
      <c r="V930" s="4"/>
      <c r="W930" s="900"/>
      <c r="X930" s="697"/>
    </row>
    <row r="931">
      <c r="L931" s="4"/>
      <c r="M931" s="4"/>
      <c r="N931" s="4"/>
      <c r="O931" s="4"/>
      <c r="P931" s="2"/>
      <c r="Q931" s="4"/>
      <c r="R931" s="4"/>
      <c r="S931" s="4"/>
      <c r="T931" s="4"/>
      <c r="U931" s="4"/>
      <c r="V931" s="4"/>
      <c r="W931" s="900"/>
      <c r="X931" s="697"/>
    </row>
    <row r="932">
      <c r="L932" s="4"/>
      <c r="M932" s="4"/>
      <c r="N932" s="4"/>
      <c r="O932" s="4"/>
      <c r="P932" s="2"/>
      <c r="Q932" s="4"/>
      <c r="R932" s="4"/>
      <c r="S932" s="4"/>
      <c r="T932" s="4"/>
      <c r="U932" s="4"/>
      <c r="V932" s="4"/>
      <c r="W932" s="900"/>
      <c r="X932" s="697"/>
    </row>
    <row r="933">
      <c r="L933" s="4"/>
      <c r="M933" s="4"/>
      <c r="N933" s="4"/>
      <c r="O933" s="4"/>
      <c r="P933" s="2"/>
      <c r="Q933" s="4"/>
      <c r="R933" s="4"/>
      <c r="S933" s="4"/>
      <c r="T933" s="4"/>
      <c r="U933" s="4"/>
      <c r="V933" s="4"/>
      <c r="W933" s="900"/>
      <c r="X933" s="697"/>
    </row>
    <row r="934">
      <c r="L934" s="4"/>
      <c r="M934" s="4"/>
      <c r="N934" s="4"/>
      <c r="O934" s="4"/>
      <c r="P934" s="2"/>
      <c r="Q934" s="4"/>
      <c r="R934" s="4"/>
      <c r="S934" s="4"/>
      <c r="T934" s="4"/>
      <c r="U934" s="4"/>
      <c r="V934" s="4"/>
      <c r="W934" s="900"/>
      <c r="X934" s="697"/>
    </row>
    <row r="935">
      <c r="L935" s="4"/>
      <c r="M935" s="4"/>
      <c r="N935" s="4"/>
      <c r="O935" s="4"/>
      <c r="P935" s="2"/>
      <c r="Q935" s="4"/>
      <c r="R935" s="4"/>
      <c r="S935" s="4"/>
      <c r="T935" s="4"/>
      <c r="U935" s="4"/>
      <c r="V935" s="4"/>
      <c r="W935" s="900"/>
      <c r="X935" s="697"/>
    </row>
    <row r="936">
      <c r="L936" s="4"/>
      <c r="M936" s="4"/>
      <c r="N936" s="4"/>
      <c r="O936" s="4"/>
      <c r="P936" s="2"/>
      <c r="Q936" s="4"/>
      <c r="R936" s="4"/>
      <c r="S936" s="4"/>
      <c r="T936" s="4"/>
      <c r="U936" s="4"/>
      <c r="V936" s="4"/>
      <c r="W936" s="900"/>
      <c r="X936" s="697"/>
    </row>
    <row r="937">
      <c r="L937" s="4"/>
      <c r="M937" s="4"/>
      <c r="N937" s="4"/>
      <c r="O937" s="4"/>
      <c r="P937" s="2"/>
      <c r="Q937" s="4"/>
      <c r="R937" s="4"/>
      <c r="S937" s="4"/>
      <c r="T937" s="4"/>
      <c r="U937" s="4"/>
      <c r="V937" s="4"/>
      <c r="W937" s="900"/>
      <c r="X937" s="697"/>
    </row>
    <row r="938">
      <c r="L938" s="4"/>
      <c r="M938" s="4"/>
      <c r="N938" s="4"/>
      <c r="O938" s="4"/>
      <c r="P938" s="2"/>
      <c r="Q938" s="4"/>
      <c r="R938" s="4"/>
      <c r="S938" s="4"/>
      <c r="T938" s="4"/>
      <c r="U938" s="4"/>
      <c r="V938" s="4"/>
      <c r="W938" s="900"/>
      <c r="X938" s="697"/>
    </row>
    <row r="939">
      <c r="L939" s="4"/>
      <c r="M939" s="4"/>
      <c r="N939" s="4"/>
      <c r="O939" s="4"/>
      <c r="P939" s="2"/>
      <c r="Q939" s="4"/>
      <c r="R939" s="4"/>
      <c r="S939" s="4"/>
      <c r="T939" s="4"/>
      <c r="U939" s="4"/>
      <c r="V939" s="4"/>
      <c r="W939" s="900"/>
      <c r="X939" s="697"/>
    </row>
    <row r="940">
      <c r="L940" s="4"/>
      <c r="M940" s="4"/>
      <c r="N940" s="4"/>
      <c r="O940" s="4"/>
      <c r="P940" s="2"/>
      <c r="Q940" s="4"/>
      <c r="R940" s="4"/>
      <c r="S940" s="4"/>
      <c r="T940" s="4"/>
      <c r="U940" s="4"/>
      <c r="V940" s="4"/>
      <c r="W940" s="900"/>
      <c r="X940" s="697"/>
    </row>
    <row r="941">
      <c r="L941" s="4"/>
      <c r="M941" s="4"/>
      <c r="N941" s="4"/>
      <c r="O941" s="4"/>
      <c r="P941" s="2"/>
      <c r="Q941" s="4"/>
      <c r="R941" s="4"/>
      <c r="S941" s="4"/>
      <c r="T941" s="4"/>
      <c r="U941" s="4"/>
      <c r="V941" s="4"/>
      <c r="W941" s="900"/>
      <c r="X941" s="697"/>
    </row>
    <row r="942">
      <c r="L942" s="4"/>
      <c r="M942" s="4"/>
      <c r="N942" s="4"/>
      <c r="O942" s="4"/>
      <c r="P942" s="2"/>
      <c r="Q942" s="4"/>
      <c r="R942" s="4"/>
      <c r="S942" s="4"/>
      <c r="T942" s="4"/>
      <c r="U942" s="4"/>
      <c r="V942" s="4"/>
      <c r="W942" s="900"/>
      <c r="X942" s="697"/>
    </row>
    <row r="943">
      <c r="L943" s="4"/>
      <c r="M943" s="4"/>
      <c r="N943" s="4"/>
      <c r="O943" s="4"/>
      <c r="P943" s="2"/>
      <c r="Q943" s="4"/>
      <c r="R943" s="4"/>
      <c r="S943" s="4"/>
      <c r="T943" s="4"/>
      <c r="U943" s="4"/>
      <c r="V943" s="4"/>
      <c r="W943" s="900"/>
      <c r="X943" s="697"/>
    </row>
    <row r="944">
      <c r="L944" s="4"/>
      <c r="M944" s="4"/>
      <c r="N944" s="4"/>
      <c r="O944" s="4"/>
      <c r="P944" s="2"/>
      <c r="Q944" s="4"/>
      <c r="R944" s="4"/>
      <c r="S944" s="4"/>
      <c r="T944" s="4"/>
      <c r="U944" s="4"/>
      <c r="V944" s="4"/>
      <c r="W944" s="900"/>
      <c r="X944" s="697"/>
    </row>
    <row r="945">
      <c r="L945" s="4"/>
      <c r="M945" s="4"/>
      <c r="N945" s="4"/>
      <c r="O945" s="4"/>
      <c r="P945" s="2"/>
      <c r="Q945" s="4"/>
      <c r="R945" s="4"/>
      <c r="S945" s="4"/>
      <c r="T945" s="4"/>
      <c r="U945" s="4"/>
      <c r="V945" s="4"/>
      <c r="W945" s="900"/>
      <c r="X945" s="697"/>
    </row>
    <row r="946">
      <c r="L946" s="4"/>
      <c r="M946" s="4"/>
      <c r="N946" s="4"/>
      <c r="O946" s="4"/>
      <c r="P946" s="2"/>
      <c r="Q946" s="4"/>
      <c r="R946" s="4"/>
      <c r="S946" s="4"/>
      <c r="T946" s="4"/>
      <c r="U946" s="4"/>
      <c r="V946" s="4"/>
      <c r="W946" s="900"/>
      <c r="X946" s="697"/>
    </row>
    <row r="947">
      <c r="L947" s="4"/>
      <c r="M947" s="4"/>
      <c r="N947" s="4"/>
      <c r="O947" s="4"/>
      <c r="P947" s="2"/>
      <c r="Q947" s="4"/>
      <c r="R947" s="4"/>
      <c r="S947" s="4"/>
      <c r="T947" s="4"/>
      <c r="U947" s="4"/>
      <c r="V947" s="4"/>
      <c r="W947" s="900"/>
      <c r="X947" s="697"/>
    </row>
    <row r="948">
      <c r="L948" s="4"/>
      <c r="M948" s="4"/>
      <c r="N948" s="4"/>
      <c r="O948" s="4"/>
      <c r="P948" s="2"/>
      <c r="Q948" s="4"/>
      <c r="R948" s="4"/>
      <c r="S948" s="4"/>
      <c r="T948" s="4"/>
      <c r="U948" s="4"/>
      <c r="V948" s="4"/>
      <c r="W948" s="900"/>
      <c r="X948" s="697"/>
    </row>
    <row r="949">
      <c r="L949" s="4"/>
      <c r="M949" s="4"/>
      <c r="N949" s="4"/>
      <c r="O949" s="4"/>
      <c r="P949" s="2"/>
      <c r="Q949" s="4"/>
      <c r="R949" s="4"/>
      <c r="S949" s="4"/>
      <c r="T949" s="4"/>
      <c r="U949" s="4"/>
      <c r="V949" s="4"/>
      <c r="W949" s="900"/>
      <c r="X949" s="697"/>
    </row>
    <row r="950">
      <c r="L950" s="4"/>
      <c r="M950" s="4"/>
      <c r="N950" s="4"/>
      <c r="O950" s="4"/>
      <c r="P950" s="2"/>
      <c r="Q950" s="4"/>
      <c r="R950" s="4"/>
      <c r="S950" s="4"/>
      <c r="T950" s="4"/>
      <c r="U950" s="4"/>
      <c r="V950" s="4"/>
      <c r="W950" s="900"/>
      <c r="X950" s="697"/>
    </row>
    <row r="951">
      <c r="L951" s="4"/>
      <c r="M951" s="4"/>
      <c r="N951" s="4"/>
      <c r="O951" s="4"/>
      <c r="P951" s="2"/>
      <c r="Q951" s="4"/>
      <c r="R951" s="4"/>
      <c r="S951" s="4"/>
      <c r="T951" s="4"/>
      <c r="U951" s="4"/>
      <c r="V951" s="4"/>
      <c r="W951" s="900"/>
      <c r="X951" s="697"/>
    </row>
    <row r="952">
      <c r="L952" s="4"/>
      <c r="M952" s="4"/>
      <c r="N952" s="4"/>
      <c r="O952" s="4"/>
      <c r="P952" s="2"/>
      <c r="Q952" s="4"/>
      <c r="R952" s="4"/>
      <c r="S952" s="4"/>
      <c r="T952" s="4"/>
      <c r="U952" s="4"/>
      <c r="V952" s="4"/>
      <c r="W952" s="900"/>
      <c r="X952" s="697"/>
    </row>
    <row r="953">
      <c r="L953" s="4"/>
      <c r="M953" s="4"/>
      <c r="N953" s="4"/>
      <c r="O953" s="4"/>
      <c r="P953" s="2"/>
      <c r="Q953" s="4"/>
      <c r="R953" s="4"/>
      <c r="S953" s="4"/>
      <c r="T953" s="4"/>
      <c r="U953" s="4"/>
      <c r="V953" s="4"/>
      <c r="W953" s="900"/>
      <c r="X953" s="697"/>
    </row>
    <row r="954">
      <c r="L954" s="4"/>
      <c r="M954" s="4"/>
      <c r="N954" s="4"/>
      <c r="O954" s="4"/>
      <c r="P954" s="2"/>
      <c r="Q954" s="4"/>
      <c r="R954" s="4"/>
      <c r="S954" s="4"/>
      <c r="T954" s="4"/>
      <c r="U954" s="4"/>
      <c r="V954" s="4"/>
      <c r="W954" s="900"/>
      <c r="X954" s="697"/>
    </row>
    <row r="955">
      <c r="L955" s="4"/>
      <c r="M955" s="4"/>
      <c r="N955" s="4"/>
      <c r="O955" s="4"/>
      <c r="P955" s="2"/>
      <c r="Q955" s="4"/>
      <c r="R955" s="4"/>
      <c r="S955" s="4"/>
      <c r="T955" s="4"/>
      <c r="U955" s="4"/>
      <c r="V955" s="4"/>
      <c r="W955" s="900"/>
      <c r="X955" s="697"/>
    </row>
    <row r="956">
      <c r="L956" s="4"/>
      <c r="M956" s="4"/>
      <c r="N956" s="4"/>
      <c r="O956" s="4"/>
      <c r="P956" s="2"/>
      <c r="Q956" s="4"/>
      <c r="R956" s="4"/>
      <c r="S956" s="4"/>
      <c r="T956" s="4"/>
      <c r="U956" s="4"/>
      <c r="V956" s="4"/>
      <c r="W956" s="900"/>
      <c r="X956" s="697"/>
    </row>
    <row r="957">
      <c r="L957" s="4"/>
      <c r="M957" s="4"/>
      <c r="N957" s="4"/>
      <c r="O957" s="4"/>
      <c r="P957" s="2"/>
      <c r="Q957" s="4"/>
      <c r="R957" s="4"/>
      <c r="S957" s="4"/>
      <c r="T957" s="4"/>
      <c r="U957" s="4"/>
      <c r="V957" s="4"/>
      <c r="W957" s="900"/>
      <c r="X957" s="697"/>
    </row>
    <row r="958">
      <c r="L958" s="4"/>
      <c r="M958" s="4"/>
      <c r="N958" s="4"/>
      <c r="O958" s="4"/>
      <c r="P958" s="2"/>
      <c r="Q958" s="4"/>
      <c r="R958" s="4"/>
      <c r="S958" s="4"/>
      <c r="T958" s="4"/>
      <c r="U958" s="4"/>
      <c r="V958" s="4"/>
      <c r="W958" s="900"/>
      <c r="X958" s="697"/>
    </row>
    <row r="959">
      <c r="L959" s="4"/>
      <c r="M959" s="4"/>
      <c r="N959" s="4"/>
      <c r="O959" s="4"/>
      <c r="P959" s="2"/>
      <c r="Q959" s="4"/>
      <c r="R959" s="4"/>
      <c r="S959" s="4"/>
      <c r="T959" s="4"/>
      <c r="U959" s="4"/>
      <c r="V959" s="4"/>
      <c r="W959" s="900"/>
      <c r="X959" s="697"/>
    </row>
    <row r="960">
      <c r="L960" s="4"/>
      <c r="M960" s="4"/>
      <c r="N960" s="4"/>
      <c r="O960" s="4"/>
      <c r="P960" s="2"/>
      <c r="Q960" s="4"/>
      <c r="R960" s="4"/>
      <c r="S960" s="4"/>
      <c r="T960" s="4"/>
      <c r="U960" s="4"/>
      <c r="V960" s="4"/>
      <c r="W960" s="900"/>
      <c r="X960" s="697"/>
    </row>
    <row r="961">
      <c r="L961" s="4"/>
      <c r="M961" s="4"/>
      <c r="N961" s="4"/>
      <c r="O961" s="4"/>
      <c r="P961" s="2"/>
      <c r="Q961" s="4"/>
      <c r="R961" s="4"/>
      <c r="S961" s="4"/>
      <c r="T961" s="4"/>
      <c r="U961" s="4"/>
      <c r="V961" s="4"/>
      <c r="W961" s="900"/>
      <c r="X961" s="697"/>
    </row>
    <row r="962">
      <c r="L962" s="4"/>
      <c r="M962" s="4"/>
      <c r="N962" s="4"/>
      <c r="O962" s="4"/>
      <c r="P962" s="2"/>
      <c r="Q962" s="4"/>
      <c r="R962" s="4"/>
      <c r="S962" s="4"/>
      <c r="T962" s="4"/>
      <c r="U962" s="4"/>
      <c r="V962" s="4"/>
      <c r="W962" s="900"/>
      <c r="X962" s="697"/>
    </row>
    <row r="963">
      <c r="L963" s="4"/>
      <c r="M963" s="4"/>
      <c r="N963" s="4"/>
      <c r="O963" s="4"/>
      <c r="P963" s="2"/>
      <c r="Q963" s="4"/>
      <c r="R963" s="4"/>
      <c r="S963" s="4"/>
      <c r="T963" s="4"/>
      <c r="U963" s="4"/>
      <c r="V963" s="4"/>
      <c r="W963" s="900"/>
      <c r="X963" s="697"/>
    </row>
    <row r="964">
      <c r="L964" s="4"/>
      <c r="M964" s="4"/>
      <c r="N964" s="4"/>
      <c r="O964" s="4"/>
      <c r="P964" s="2"/>
      <c r="Q964" s="4"/>
      <c r="R964" s="4"/>
      <c r="S964" s="4"/>
      <c r="T964" s="4"/>
      <c r="U964" s="4"/>
      <c r="V964" s="4"/>
      <c r="W964" s="900"/>
      <c r="X964" s="697"/>
    </row>
    <row r="965">
      <c r="L965" s="4"/>
      <c r="M965" s="4"/>
      <c r="N965" s="4"/>
      <c r="O965" s="4"/>
      <c r="P965" s="2"/>
      <c r="Q965" s="4"/>
      <c r="R965" s="4"/>
      <c r="S965" s="4"/>
      <c r="T965" s="4"/>
      <c r="U965" s="4"/>
      <c r="V965" s="4"/>
      <c r="W965" s="900"/>
      <c r="X965" s="697"/>
    </row>
    <row r="966">
      <c r="L966" s="4"/>
      <c r="M966" s="4"/>
      <c r="N966" s="4"/>
      <c r="O966" s="4"/>
      <c r="P966" s="2"/>
      <c r="Q966" s="4"/>
      <c r="R966" s="4"/>
      <c r="S966" s="4"/>
      <c r="T966" s="4"/>
      <c r="U966" s="4"/>
      <c r="V966" s="4"/>
      <c r="W966" s="900"/>
      <c r="X966" s="697"/>
    </row>
    <row r="967">
      <c r="L967" s="4"/>
      <c r="M967" s="4"/>
      <c r="N967" s="4"/>
      <c r="O967" s="4"/>
      <c r="P967" s="2"/>
      <c r="Q967" s="4"/>
      <c r="R967" s="4"/>
      <c r="S967" s="4"/>
      <c r="T967" s="4"/>
      <c r="U967" s="4"/>
      <c r="V967" s="4"/>
      <c r="W967" s="900"/>
      <c r="X967" s="697"/>
    </row>
    <row r="968">
      <c r="L968" s="4"/>
      <c r="M968" s="4"/>
      <c r="N968" s="4"/>
      <c r="O968" s="4"/>
      <c r="P968" s="2"/>
      <c r="Q968" s="4"/>
      <c r="R968" s="4"/>
      <c r="S968" s="4"/>
      <c r="T968" s="4"/>
      <c r="U968" s="4"/>
      <c r="V968" s="4"/>
      <c r="W968" s="900"/>
      <c r="X968" s="697"/>
    </row>
    <row r="969">
      <c r="L969" s="4"/>
      <c r="M969" s="4"/>
      <c r="N969" s="4"/>
      <c r="O969" s="4"/>
      <c r="P969" s="2"/>
      <c r="Q969" s="4"/>
      <c r="R969" s="4"/>
      <c r="S969" s="4"/>
      <c r="T969" s="4"/>
      <c r="U969" s="4"/>
      <c r="V969" s="4"/>
      <c r="W969" s="900"/>
      <c r="X969" s="697"/>
    </row>
    <row r="970">
      <c r="L970" s="4"/>
      <c r="M970" s="4"/>
      <c r="N970" s="4"/>
      <c r="O970" s="4"/>
      <c r="P970" s="2"/>
      <c r="Q970" s="4"/>
      <c r="R970" s="4"/>
      <c r="S970" s="4"/>
      <c r="T970" s="4"/>
      <c r="U970" s="4"/>
      <c r="V970" s="4"/>
      <c r="W970" s="900"/>
      <c r="X970" s="697"/>
    </row>
    <row r="971">
      <c r="L971" s="4"/>
      <c r="M971" s="4"/>
      <c r="N971" s="4"/>
      <c r="O971" s="4"/>
      <c r="P971" s="2"/>
      <c r="Q971" s="4"/>
      <c r="R971" s="4"/>
      <c r="S971" s="4"/>
      <c r="T971" s="4"/>
      <c r="U971" s="4"/>
      <c r="V971" s="4"/>
      <c r="W971" s="900"/>
      <c r="X971" s="697"/>
    </row>
    <row r="972">
      <c r="L972" s="4"/>
      <c r="M972" s="4"/>
      <c r="N972" s="4"/>
      <c r="O972" s="4"/>
      <c r="P972" s="2"/>
      <c r="Q972" s="4"/>
      <c r="R972" s="4"/>
      <c r="S972" s="4"/>
      <c r="T972" s="4"/>
      <c r="U972" s="4"/>
      <c r="V972" s="4"/>
      <c r="W972" s="900"/>
      <c r="X972" s="697"/>
    </row>
    <row r="973">
      <c r="L973" s="4"/>
      <c r="M973" s="4"/>
      <c r="N973" s="4"/>
      <c r="O973" s="4"/>
      <c r="P973" s="2"/>
      <c r="Q973" s="4"/>
      <c r="R973" s="4"/>
      <c r="S973" s="4"/>
      <c r="T973" s="4"/>
      <c r="U973" s="4"/>
      <c r="V973" s="4"/>
      <c r="W973" s="900"/>
      <c r="X973" s="697"/>
    </row>
    <row r="974">
      <c r="L974" s="4"/>
      <c r="M974" s="4"/>
      <c r="N974" s="4"/>
      <c r="O974" s="4"/>
      <c r="P974" s="2"/>
      <c r="Q974" s="4"/>
      <c r="R974" s="4"/>
      <c r="S974" s="4"/>
      <c r="T974" s="4"/>
      <c r="U974" s="4"/>
      <c r="V974" s="4"/>
      <c r="W974" s="900"/>
      <c r="X974" s="697"/>
    </row>
    <row r="975">
      <c r="L975" s="4"/>
      <c r="M975" s="4"/>
      <c r="N975" s="4"/>
      <c r="O975" s="4"/>
      <c r="P975" s="2"/>
      <c r="Q975" s="4"/>
      <c r="R975" s="4"/>
      <c r="S975" s="4"/>
      <c r="T975" s="4"/>
      <c r="U975" s="4"/>
      <c r="V975" s="4"/>
      <c r="W975" s="900"/>
      <c r="X975" s="697"/>
    </row>
    <row r="976">
      <c r="L976" s="4"/>
      <c r="M976" s="4"/>
      <c r="N976" s="4"/>
      <c r="O976" s="4"/>
      <c r="P976" s="2"/>
      <c r="Q976" s="4"/>
      <c r="R976" s="4"/>
      <c r="S976" s="4"/>
      <c r="T976" s="4"/>
      <c r="U976" s="4"/>
      <c r="V976" s="4"/>
      <c r="W976" s="900"/>
      <c r="X976" s="697"/>
    </row>
    <row r="977">
      <c r="L977" s="4"/>
      <c r="M977" s="4"/>
      <c r="N977" s="4"/>
      <c r="O977" s="4"/>
      <c r="P977" s="2"/>
      <c r="Q977" s="4"/>
      <c r="R977" s="4"/>
      <c r="S977" s="4"/>
      <c r="T977" s="4"/>
      <c r="U977" s="4"/>
      <c r="V977" s="4"/>
      <c r="W977" s="900"/>
      <c r="X977" s="697"/>
    </row>
    <row r="978">
      <c r="L978" s="4"/>
      <c r="M978" s="4"/>
      <c r="N978" s="4"/>
      <c r="O978" s="4"/>
      <c r="P978" s="2"/>
      <c r="Q978" s="4"/>
      <c r="R978" s="4"/>
      <c r="S978" s="4"/>
      <c r="T978" s="4"/>
      <c r="U978" s="4"/>
      <c r="V978" s="4"/>
      <c r="W978" s="900"/>
      <c r="X978" s="697"/>
    </row>
    <row r="979">
      <c r="L979" s="4"/>
      <c r="M979" s="4"/>
      <c r="N979" s="4"/>
      <c r="O979" s="4"/>
      <c r="P979" s="2"/>
      <c r="Q979" s="4"/>
      <c r="R979" s="4"/>
      <c r="S979" s="4"/>
      <c r="T979" s="4"/>
      <c r="U979" s="4"/>
      <c r="V979" s="4"/>
      <c r="W979" s="900"/>
      <c r="X979" s="697"/>
    </row>
    <row r="980">
      <c r="L980" s="4"/>
      <c r="M980" s="4"/>
      <c r="N980" s="4"/>
      <c r="O980" s="4"/>
      <c r="P980" s="2"/>
      <c r="Q980" s="4"/>
      <c r="R980" s="4"/>
      <c r="S980" s="4"/>
      <c r="T980" s="4"/>
      <c r="U980" s="4"/>
      <c r="V980" s="4"/>
      <c r="W980" s="900"/>
      <c r="X980" s="697"/>
    </row>
    <row r="981">
      <c r="L981" s="4"/>
      <c r="M981" s="4"/>
      <c r="N981" s="4"/>
      <c r="O981" s="4"/>
      <c r="P981" s="2"/>
      <c r="Q981" s="4"/>
      <c r="R981" s="4"/>
      <c r="S981" s="4"/>
      <c r="T981" s="4"/>
      <c r="U981" s="4"/>
      <c r="V981" s="4"/>
      <c r="W981" s="900"/>
      <c r="X981" s="697"/>
    </row>
    <row r="982">
      <c r="L982" s="4"/>
      <c r="M982" s="4"/>
      <c r="N982" s="4"/>
      <c r="O982" s="4"/>
      <c r="P982" s="2"/>
      <c r="Q982" s="4"/>
      <c r="R982" s="4"/>
      <c r="S982" s="4"/>
      <c r="T982" s="4"/>
      <c r="U982" s="4"/>
      <c r="V982" s="4"/>
      <c r="W982" s="900"/>
      <c r="X982" s="697"/>
    </row>
    <row r="983">
      <c r="L983" s="4"/>
      <c r="M983" s="4"/>
      <c r="N983" s="4"/>
      <c r="O983" s="4"/>
      <c r="P983" s="2"/>
      <c r="Q983" s="4"/>
      <c r="R983" s="4"/>
      <c r="S983" s="4"/>
      <c r="T983" s="4"/>
      <c r="U983" s="4"/>
      <c r="V983" s="4"/>
      <c r="W983" s="900"/>
      <c r="X983" s="697"/>
    </row>
    <row r="984">
      <c r="L984" s="4"/>
      <c r="M984" s="4"/>
      <c r="N984" s="4"/>
      <c r="O984" s="4"/>
      <c r="P984" s="2"/>
      <c r="Q984" s="4"/>
      <c r="R984" s="4"/>
      <c r="S984" s="4"/>
      <c r="T984" s="4"/>
      <c r="U984" s="4"/>
      <c r="V984" s="4"/>
      <c r="W984" s="900"/>
      <c r="X984" s="697"/>
    </row>
    <row r="985">
      <c r="L985" s="4"/>
      <c r="M985" s="4"/>
      <c r="N985" s="4"/>
      <c r="O985" s="4"/>
      <c r="P985" s="2"/>
      <c r="Q985" s="4"/>
      <c r="R985" s="4"/>
      <c r="S985" s="4"/>
      <c r="T985" s="4"/>
      <c r="U985" s="4"/>
      <c r="V985" s="4"/>
      <c r="W985" s="900"/>
      <c r="X985" s="697"/>
    </row>
    <row r="986">
      <c r="L986" s="4"/>
      <c r="M986" s="4"/>
      <c r="N986" s="4"/>
      <c r="O986" s="4"/>
      <c r="P986" s="2"/>
      <c r="Q986" s="4"/>
      <c r="R986" s="4"/>
      <c r="S986" s="4"/>
      <c r="T986" s="4"/>
      <c r="U986" s="4"/>
      <c r="V986" s="4"/>
      <c r="W986" s="900"/>
      <c r="X986" s="697"/>
    </row>
    <row r="987">
      <c r="L987" s="4"/>
      <c r="M987" s="4"/>
      <c r="N987" s="4"/>
      <c r="O987" s="4"/>
      <c r="P987" s="2"/>
      <c r="Q987" s="4"/>
      <c r="R987" s="4"/>
      <c r="S987" s="4"/>
      <c r="T987" s="4"/>
      <c r="U987" s="4"/>
      <c r="V987" s="4"/>
      <c r="W987" s="900"/>
      <c r="X987" s="697"/>
    </row>
    <row r="988">
      <c r="L988" s="4"/>
      <c r="M988" s="4"/>
      <c r="N988" s="4"/>
      <c r="O988" s="4"/>
      <c r="P988" s="2"/>
      <c r="Q988" s="4"/>
      <c r="R988" s="4"/>
      <c r="S988" s="4"/>
      <c r="T988" s="4"/>
      <c r="U988" s="4"/>
      <c r="V988" s="4"/>
      <c r="W988" s="900"/>
      <c r="X988" s="697"/>
    </row>
    <row r="989">
      <c r="L989" s="4"/>
      <c r="M989" s="4"/>
      <c r="N989" s="4"/>
      <c r="O989" s="4"/>
      <c r="P989" s="2"/>
      <c r="Q989" s="4"/>
      <c r="R989" s="4"/>
      <c r="S989" s="4"/>
      <c r="T989" s="4"/>
      <c r="U989" s="4"/>
      <c r="V989" s="4"/>
      <c r="W989" s="900"/>
      <c r="X989" s="697"/>
    </row>
    <row r="990">
      <c r="L990" s="4"/>
      <c r="M990" s="4"/>
      <c r="N990" s="4"/>
      <c r="O990" s="4"/>
      <c r="P990" s="2"/>
      <c r="Q990" s="4"/>
      <c r="R990" s="4"/>
      <c r="S990" s="4"/>
      <c r="T990" s="4"/>
      <c r="U990" s="4"/>
      <c r="V990" s="4"/>
      <c r="W990" s="900"/>
      <c r="X990" s="697"/>
    </row>
    <row r="991">
      <c r="L991" s="4"/>
      <c r="M991" s="4"/>
      <c r="N991" s="4"/>
      <c r="O991" s="4"/>
      <c r="P991" s="2"/>
      <c r="Q991" s="4"/>
      <c r="R991" s="4"/>
      <c r="S991" s="4"/>
      <c r="T991" s="4"/>
      <c r="U991" s="4"/>
      <c r="V991" s="4"/>
      <c r="W991" s="900"/>
      <c r="X991" s="697"/>
    </row>
  </sheetData>
  <dataValidations>
    <dataValidation type="custom" allowBlank="1" showDropDown="1" sqref="AI4:AI39">
      <formula1>OR(NOT(ISERROR(DATEVALUE(AI4))), AND(ISNUMBER(AI4), LEFT(CELL("format", AI4))="D"))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13"/>
    <col hidden="1" min="2" max="17" width="12.63"/>
    <col customWidth="1" min="26" max="26" width="14.0"/>
    <col customWidth="1" min="27" max="27" width="12.63"/>
    <col customWidth="1" min="30" max="30" width="13.38"/>
    <col customWidth="1" min="31" max="39" width="16.25"/>
  </cols>
  <sheetData>
    <row r="1">
      <c r="A1" s="799" t="s">
        <v>1</v>
      </c>
      <c r="B1" s="674" t="s">
        <v>288</v>
      </c>
      <c r="C1" s="674" t="s">
        <v>288</v>
      </c>
      <c r="D1" s="674" t="s">
        <v>288</v>
      </c>
      <c r="E1" s="674" t="s">
        <v>288</v>
      </c>
      <c r="F1" s="674" t="s">
        <v>288</v>
      </c>
      <c r="G1" s="674" t="s">
        <v>288</v>
      </c>
      <c r="H1" s="674" t="s">
        <v>288</v>
      </c>
      <c r="I1" s="674" t="s">
        <v>288</v>
      </c>
      <c r="J1" s="674" t="s">
        <v>288</v>
      </c>
      <c r="K1" s="674" t="s">
        <v>288</v>
      </c>
      <c r="L1" s="674" t="s">
        <v>288</v>
      </c>
      <c r="M1" s="674" t="s">
        <v>288</v>
      </c>
      <c r="N1" s="674" t="s">
        <v>288</v>
      </c>
      <c r="O1" s="721" t="s">
        <v>288</v>
      </c>
      <c r="P1" s="721" t="s">
        <v>288</v>
      </c>
      <c r="Q1" s="721" t="s">
        <v>288</v>
      </c>
      <c r="R1" s="721" t="s">
        <v>288</v>
      </c>
      <c r="S1" s="901" t="s">
        <v>288</v>
      </c>
      <c r="T1" s="901" t="s">
        <v>288</v>
      </c>
      <c r="U1" s="723" t="s">
        <v>288</v>
      </c>
      <c r="V1" s="723" t="s">
        <v>288</v>
      </c>
      <c r="W1" s="723" t="s">
        <v>288</v>
      </c>
      <c r="X1" s="723" t="s">
        <v>288</v>
      </c>
      <c r="Y1" s="723" t="s">
        <v>288</v>
      </c>
      <c r="Z1" s="723" t="s">
        <v>288</v>
      </c>
      <c r="AA1" s="902" t="s">
        <v>288</v>
      </c>
      <c r="AB1" s="902" t="s">
        <v>288</v>
      </c>
      <c r="AC1" s="902" t="s">
        <v>288</v>
      </c>
      <c r="AD1" s="902" t="s">
        <v>288</v>
      </c>
      <c r="AE1" s="902" t="s">
        <v>288</v>
      </c>
      <c r="AF1" s="902" t="s">
        <v>288</v>
      </c>
      <c r="AG1" s="902" t="s">
        <v>288</v>
      </c>
      <c r="AH1" s="902" t="s">
        <v>288</v>
      </c>
      <c r="AI1" s="902" t="s">
        <v>288</v>
      </c>
      <c r="AJ1" s="902" t="s">
        <v>288</v>
      </c>
      <c r="AK1" s="902" t="s">
        <v>288</v>
      </c>
      <c r="AL1" s="902" t="s">
        <v>288</v>
      </c>
      <c r="AM1" s="902" t="s">
        <v>288</v>
      </c>
    </row>
    <row r="2">
      <c r="A2" s="727"/>
      <c r="B2" s="693" t="s">
        <v>7098</v>
      </c>
      <c r="C2" s="689"/>
      <c r="D2" s="727" t="s">
        <v>7099</v>
      </c>
      <c r="E2" s="727"/>
      <c r="F2" s="727"/>
      <c r="G2" s="727"/>
      <c r="H2" s="727"/>
      <c r="I2" s="727"/>
      <c r="J2" s="727"/>
      <c r="K2" s="727"/>
      <c r="L2" s="727"/>
      <c r="M2" s="726"/>
      <c r="N2" s="726"/>
      <c r="O2" s="729"/>
      <c r="P2" s="729"/>
      <c r="Q2" s="729"/>
      <c r="R2" s="903"/>
      <c r="S2" s="904"/>
      <c r="T2" s="904"/>
      <c r="U2" s="732"/>
      <c r="V2" s="732"/>
      <c r="W2" s="732"/>
      <c r="X2" s="732"/>
      <c r="Y2" s="905"/>
      <c r="Z2" s="905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</row>
    <row r="3">
      <c r="A3" s="608"/>
      <c r="B3" s="605">
        <v>45779.0</v>
      </c>
      <c r="C3" s="735">
        <v>45787.0</v>
      </c>
      <c r="D3" s="605">
        <v>45794.0</v>
      </c>
      <c r="E3" s="906">
        <v>45807.0</v>
      </c>
      <c r="F3" s="605">
        <v>45814.0</v>
      </c>
      <c r="G3" s="605">
        <v>45822.0</v>
      </c>
      <c r="H3" s="605">
        <v>45828.0</v>
      </c>
      <c r="I3" s="735">
        <v>45835.0</v>
      </c>
      <c r="J3" s="735">
        <v>45842.0</v>
      </c>
      <c r="K3" s="735">
        <v>45870.0</v>
      </c>
      <c r="L3" s="735">
        <v>45877.0</v>
      </c>
      <c r="M3" s="735">
        <v>45886.0</v>
      </c>
      <c r="N3" s="735">
        <v>45891.0</v>
      </c>
      <c r="O3" s="739">
        <v>45898.0</v>
      </c>
      <c r="P3" s="739">
        <v>45905.0</v>
      </c>
      <c r="Q3" s="739">
        <v>45912.0</v>
      </c>
      <c r="R3" s="739">
        <v>46045.0</v>
      </c>
      <c r="S3" s="907">
        <v>46053.0</v>
      </c>
      <c r="T3" s="907">
        <v>46059.0</v>
      </c>
      <c r="U3" s="739">
        <v>46062.0</v>
      </c>
      <c r="V3" s="739">
        <v>46066.0</v>
      </c>
      <c r="W3" s="739">
        <v>46195.0</v>
      </c>
      <c r="X3" s="739">
        <v>46073.0</v>
      </c>
      <c r="Y3" s="739">
        <v>46081.0</v>
      </c>
      <c r="Z3" s="739">
        <v>46087.0</v>
      </c>
      <c r="AA3" s="739">
        <v>46094.0</v>
      </c>
      <c r="AB3" s="739">
        <v>46101.0</v>
      </c>
      <c r="AC3" s="739">
        <v>46108.0</v>
      </c>
      <c r="AD3" s="908">
        <v>46115.0</v>
      </c>
      <c r="AE3" s="739"/>
      <c r="AF3" s="909"/>
      <c r="AG3" s="909"/>
      <c r="AH3" s="909"/>
      <c r="AI3" s="909"/>
      <c r="AJ3" s="909"/>
      <c r="AK3" s="909"/>
      <c r="AL3" s="909"/>
      <c r="AM3" s="909"/>
    </row>
    <row r="4">
      <c r="A4" s="746" t="s">
        <v>6951</v>
      </c>
      <c r="B4" s="748"/>
      <c r="C4" s="541"/>
      <c r="D4" s="512"/>
      <c r="E4" s="748"/>
      <c r="F4" s="748"/>
      <c r="G4" s="748"/>
      <c r="H4" s="512"/>
      <c r="I4" s="817"/>
      <c r="J4" s="817"/>
      <c r="K4" s="809"/>
      <c r="L4" s="817"/>
      <c r="M4" s="817"/>
      <c r="N4" s="817"/>
      <c r="O4" s="782"/>
      <c r="P4" s="782"/>
      <c r="Q4" s="782"/>
      <c r="R4" s="755" t="s">
        <v>7100</v>
      </c>
      <c r="S4" s="755" t="s">
        <v>7100</v>
      </c>
      <c r="T4" s="755" t="s">
        <v>7101</v>
      </c>
      <c r="U4" s="755" t="s">
        <v>7100</v>
      </c>
      <c r="V4" s="755" t="s">
        <v>7100</v>
      </c>
      <c r="W4" s="755" t="s">
        <v>7100</v>
      </c>
      <c r="X4" s="755" t="s">
        <v>220</v>
      </c>
      <c r="Y4" s="755" t="s">
        <v>220</v>
      </c>
      <c r="Z4" s="910" t="s">
        <v>7100</v>
      </c>
      <c r="AA4" s="911" t="s">
        <v>7100</v>
      </c>
      <c r="AB4" s="912" t="s">
        <v>220</v>
      </c>
      <c r="AC4" s="913" t="s">
        <v>7102</v>
      </c>
      <c r="AD4" s="914"/>
      <c r="AE4" s="914"/>
      <c r="AF4" s="914"/>
      <c r="AG4" s="914"/>
      <c r="AH4" s="914"/>
      <c r="AI4" s="914"/>
      <c r="AJ4" s="914"/>
      <c r="AK4" s="914"/>
      <c r="AL4" s="914"/>
      <c r="AM4" s="914"/>
    </row>
    <row r="5">
      <c r="A5" s="758" t="s">
        <v>6955</v>
      </c>
      <c r="B5" s="915"/>
      <c r="C5" s="759"/>
      <c r="D5" s="623"/>
      <c r="E5" s="916"/>
      <c r="F5" s="759"/>
      <c r="G5" s="759"/>
      <c r="H5" s="606"/>
      <c r="I5" s="817"/>
      <c r="J5" s="817"/>
      <c r="K5" s="809"/>
      <c r="L5" s="817"/>
      <c r="M5" s="817"/>
      <c r="N5" s="817"/>
      <c r="O5" s="782"/>
      <c r="P5" s="782"/>
      <c r="Q5" s="782"/>
      <c r="R5" s="781" t="s">
        <v>7075</v>
      </c>
      <c r="S5" s="781" t="s">
        <v>7075</v>
      </c>
      <c r="T5" s="781" t="s">
        <v>7075</v>
      </c>
      <c r="U5" s="782"/>
      <c r="V5" s="782"/>
      <c r="W5" s="781" t="s">
        <v>7075</v>
      </c>
      <c r="X5" s="781" t="s">
        <v>7103</v>
      </c>
      <c r="Y5" s="781"/>
      <c r="Z5" s="769"/>
      <c r="AA5" s="917" t="s">
        <v>7075</v>
      </c>
      <c r="AB5" s="513"/>
      <c r="AC5" s="561"/>
      <c r="AD5" s="513"/>
      <c r="AE5" s="513"/>
      <c r="AF5" s="918"/>
      <c r="AG5" s="918"/>
      <c r="AH5" s="918"/>
      <c r="AI5" s="918"/>
      <c r="AJ5" s="918"/>
      <c r="AK5" s="918"/>
      <c r="AL5" s="918"/>
      <c r="AM5" s="918"/>
    </row>
    <row r="6">
      <c r="A6" s="608" t="s">
        <v>6961</v>
      </c>
      <c r="B6" s="512"/>
      <c r="C6" s="605"/>
      <c r="D6" s="512"/>
      <c r="E6" s="748"/>
      <c r="F6" s="748"/>
      <c r="G6" s="748"/>
      <c r="H6" s="512"/>
      <c r="I6" s="817"/>
      <c r="J6" s="817"/>
      <c r="K6" s="919"/>
      <c r="L6" s="538" t="s">
        <v>6956</v>
      </c>
      <c r="M6" s="817"/>
      <c r="N6" s="817"/>
      <c r="O6" s="765" t="s">
        <v>6956</v>
      </c>
      <c r="P6" s="782"/>
      <c r="Q6" s="782"/>
      <c r="R6" s="782"/>
      <c r="S6" s="782"/>
      <c r="T6" s="782"/>
      <c r="U6" s="782"/>
      <c r="V6" s="782"/>
      <c r="W6" s="782"/>
      <c r="X6" s="782"/>
      <c r="Y6" s="782"/>
      <c r="Z6" s="513" t="s">
        <v>6964</v>
      </c>
      <c r="AA6" s="539"/>
      <c r="AB6" s="539"/>
      <c r="AC6" s="561"/>
      <c r="AD6" s="539"/>
      <c r="AE6" s="539"/>
      <c r="AF6" s="823"/>
      <c r="AG6" s="823"/>
      <c r="AH6" s="823"/>
      <c r="AI6" s="823"/>
      <c r="AJ6" s="823"/>
      <c r="AK6" s="823"/>
      <c r="AL6" s="823"/>
      <c r="AM6" s="823"/>
    </row>
    <row r="7">
      <c r="A7" s="758" t="s">
        <v>6965</v>
      </c>
      <c r="B7" s="512"/>
      <c r="C7" s="541"/>
      <c r="D7" s="512"/>
      <c r="E7" s="748"/>
      <c r="F7" s="748"/>
      <c r="G7" s="748"/>
      <c r="H7" s="512"/>
      <c r="I7" s="817"/>
      <c r="J7" s="817"/>
      <c r="K7" s="809"/>
      <c r="L7" s="699"/>
      <c r="M7" s="817"/>
      <c r="N7" s="817"/>
      <c r="O7" s="782"/>
      <c r="P7" s="782"/>
      <c r="Q7" s="782"/>
      <c r="R7" s="782"/>
      <c r="S7" s="782"/>
      <c r="T7" s="782"/>
      <c r="U7" s="782"/>
      <c r="V7" s="782"/>
      <c r="W7" s="782"/>
      <c r="X7" s="782"/>
      <c r="Y7" s="782"/>
      <c r="Z7" s="513" t="s">
        <v>6964</v>
      </c>
      <c r="AA7" s="539"/>
      <c r="AB7" s="539"/>
      <c r="AC7" s="314"/>
      <c r="AD7" s="539"/>
      <c r="AE7" s="539"/>
      <c r="AF7" s="539"/>
      <c r="AG7" s="539"/>
      <c r="AH7" s="539"/>
      <c r="AI7" s="539"/>
      <c r="AJ7" s="539"/>
      <c r="AK7" s="539"/>
      <c r="AL7" s="539"/>
      <c r="AM7" s="539"/>
    </row>
    <row r="8">
      <c r="A8" s="758" t="s">
        <v>6966</v>
      </c>
      <c r="B8" s="512"/>
      <c r="C8" s="541"/>
      <c r="D8" s="512"/>
      <c r="E8" s="748"/>
      <c r="F8" s="767"/>
      <c r="G8" s="767"/>
      <c r="H8" s="525"/>
      <c r="I8" s="817"/>
      <c r="J8" s="817"/>
      <c r="K8" s="809"/>
      <c r="L8" s="699"/>
      <c r="M8" s="817"/>
      <c r="N8" s="817"/>
      <c r="O8" s="782"/>
      <c r="P8" s="782"/>
      <c r="Q8" s="782"/>
      <c r="R8" s="782"/>
      <c r="S8" s="782"/>
      <c r="T8" s="782"/>
      <c r="U8" s="782"/>
      <c r="V8" s="920" t="s">
        <v>7024</v>
      </c>
      <c r="W8" s="782"/>
      <c r="X8" s="782"/>
      <c r="Y8" s="782"/>
      <c r="Z8" s="539"/>
      <c r="AA8" s="539"/>
      <c r="AB8" s="539"/>
      <c r="AC8" s="314"/>
      <c r="AD8" s="539"/>
      <c r="AE8" s="539"/>
      <c r="AF8" s="539"/>
      <c r="AG8" s="539"/>
      <c r="AH8" s="539"/>
      <c r="AI8" s="539"/>
      <c r="AJ8" s="539"/>
      <c r="AK8" s="539"/>
      <c r="AL8" s="539"/>
      <c r="AM8" s="539"/>
    </row>
    <row r="9">
      <c r="A9" s="758" t="s">
        <v>6967</v>
      </c>
      <c r="B9" s="512"/>
      <c r="C9" s="541"/>
      <c r="D9" s="512"/>
      <c r="E9" s="748"/>
      <c r="F9" s="767"/>
      <c r="G9" s="767"/>
      <c r="H9" s="525"/>
      <c r="I9" s="817"/>
      <c r="J9" s="817"/>
      <c r="K9" s="809"/>
      <c r="L9" s="699"/>
      <c r="M9" s="817"/>
      <c r="N9" s="817"/>
      <c r="O9" s="782"/>
      <c r="P9" s="782"/>
      <c r="Q9" s="782"/>
      <c r="R9" s="782"/>
      <c r="S9" s="782"/>
      <c r="T9" s="782"/>
      <c r="U9" s="782"/>
      <c r="V9" s="782"/>
      <c r="W9" s="782"/>
      <c r="X9" s="782"/>
      <c r="Y9" s="781"/>
      <c r="Z9" s="769"/>
      <c r="AA9" s="513"/>
      <c r="AB9" s="513" t="s">
        <v>6964</v>
      </c>
      <c r="AC9" s="561"/>
      <c r="AD9" s="513"/>
      <c r="AE9" s="513"/>
      <c r="AF9" s="823"/>
      <c r="AG9" s="823"/>
      <c r="AH9" s="823"/>
      <c r="AI9" s="823"/>
      <c r="AJ9" s="823"/>
      <c r="AK9" s="823"/>
      <c r="AL9" s="823"/>
      <c r="AM9" s="823"/>
    </row>
    <row r="10">
      <c r="A10" s="758" t="s">
        <v>6970</v>
      </c>
      <c r="B10" s="539"/>
      <c r="C10" s="539"/>
      <c r="D10" s="539"/>
      <c r="E10" s="771"/>
      <c r="F10" s="771"/>
      <c r="G10" s="771"/>
      <c r="H10" s="777"/>
      <c r="I10" s="830"/>
      <c r="J10" s="830"/>
      <c r="K10" s="831"/>
      <c r="L10" s="699"/>
      <c r="M10" s="830"/>
      <c r="N10" s="830"/>
      <c r="O10" s="782"/>
      <c r="P10" s="782"/>
      <c r="Q10" s="782"/>
      <c r="R10" s="782"/>
      <c r="S10" s="782"/>
      <c r="T10" s="782"/>
      <c r="U10" s="782"/>
      <c r="V10" s="782"/>
      <c r="W10" s="782"/>
      <c r="X10" s="782"/>
      <c r="Y10" s="782"/>
      <c r="Z10" s="539"/>
      <c r="AA10" s="539"/>
      <c r="AB10" s="513" t="s">
        <v>6964</v>
      </c>
      <c r="AC10" s="314"/>
      <c r="AD10" s="539"/>
      <c r="AE10" s="539"/>
      <c r="AF10" s="539"/>
      <c r="AG10" s="539"/>
      <c r="AH10" s="539"/>
      <c r="AI10" s="539"/>
      <c r="AJ10" s="539"/>
      <c r="AK10" s="539"/>
      <c r="AL10" s="539"/>
      <c r="AM10" s="539"/>
    </row>
    <row r="11">
      <c r="A11" s="758" t="s">
        <v>6971</v>
      </c>
      <c r="B11" s="539"/>
      <c r="C11" s="539"/>
      <c r="D11" s="539"/>
      <c r="E11" s="771"/>
      <c r="F11" s="771"/>
      <c r="G11" s="771"/>
      <c r="H11" s="777"/>
      <c r="I11" s="921" t="s">
        <v>7104</v>
      </c>
      <c r="J11" s="830"/>
      <c r="K11" s="831"/>
      <c r="L11" s="699"/>
      <c r="M11" s="830"/>
      <c r="N11" s="830"/>
      <c r="O11" s="782"/>
      <c r="P11" s="782"/>
      <c r="Q11" s="782"/>
      <c r="R11" s="782"/>
      <c r="S11" s="782"/>
      <c r="T11" s="782"/>
      <c r="U11" s="782"/>
      <c r="V11" s="781" t="s">
        <v>7105</v>
      </c>
      <c r="W11" s="782"/>
      <c r="X11" s="782"/>
      <c r="Y11" s="782"/>
      <c r="Z11" s="513" t="s">
        <v>7106</v>
      </c>
      <c r="AA11" s="769"/>
      <c r="AB11" s="539"/>
      <c r="AC11" s="314"/>
      <c r="AD11" s="539"/>
      <c r="AE11" s="539"/>
      <c r="AF11" s="539"/>
      <c r="AG11" s="539"/>
      <c r="AH11" s="539"/>
      <c r="AI11" s="539"/>
      <c r="AJ11" s="539"/>
      <c r="AK11" s="539"/>
      <c r="AL11" s="539"/>
      <c r="AM11" s="539"/>
    </row>
    <row r="12">
      <c r="A12" s="775" t="s">
        <v>6972</v>
      </c>
      <c r="B12" s="513"/>
      <c r="C12" s="539"/>
      <c r="D12" s="539"/>
      <c r="E12" s="771"/>
      <c r="F12" s="771"/>
      <c r="G12" s="771"/>
      <c r="H12" s="777"/>
      <c r="I12" s="830"/>
      <c r="J12" s="830"/>
      <c r="K12" s="922"/>
      <c r="L12" s="538" t="s">
        <v>6956</v>
      </c>
      <c r="M12" s="830"/>
      <c r="N12" s="830"/>
      <c r="O12" s="782"/>
      <c r="P12" s="782"/>
      <c r="Q12" s="782"/>
      <c r="R12" s="782"/>
      <c r="S12" s="782"/>
      <c r="T12" s="782"/>
      <c r="U12" s="782"/>
      <c r="V12" s="782"/>
      <c r="W12" s="782"/>
      <c r="X12" s="923"/>
      <c r="Y12" s="782"/>
      <c r="Z12" s="539"/>
      <c r="AA12" s="539"/>
      <c r="AB12" s="539"/>
      <c r="AC12" s="314"/>
      <c r="AD12" s="539"/>
      <c r="AE12" s="539"/>
      <c r="AF12" s="539"/>
      <c r="AG12" s="539"/>
      <c r="AH12" s="539"/>
      <c r="AI12" s="539"/>
      <c r="AJ12" s="539"/>
      <c r="AK12" s="539"/>
      <c r="AL12" s="539"/>
      <c r="AM12" s="539"/>
    </row>
    <row r="13">
      <c r="A13" s="758" t="s">
        <v>6974</v>
      </c>
      <c r="B13" s="539"/>
      <c r="C13" s="539"/>
      <c r="D13" s="539"/>
      <c r="E13" s="771"/>
      <c r="F13" s="789"/>
      <c r="G13" s="771"/>
      <c r="H13" s="777"/>
      <c r="I13" s="921"/>
      <c r="J13" s="830"/>
      <c r="K13" s="831"/>
      <c r="L13" s="681"/>
      <c r="M13" s="538" t="s">
        <v>6956</v>
      </c>
      <c r="N13" s="830"/>
      <c r="O13" s="782"/>
      <c r="P13" s="782"/>
      <c r="Q13" s="782"/>
      <c r="R13" s="782"/>
      <c r="S13" s="782"/>
      <c r="T13" s="782"/>
      <c r="U13" s="782"/>
      <c r="V13" s="782"/>
      <c r="W13" s="782"/>
      <c r="X13" s="782"/>
      <c r="Y13" s="781" t="s">
        <v>7107</v>
      </c>
      <c r="Z13" s="513" t="s">
        <v>7106</v>
      </c>
      <c r="AA13" s="769"/>
      <c r="AB13" s="513" t="s">
        <v>6964</v>
      </c>
      <c r="AC13" s="314"/>
      <c r="AD13" s="539"/>
      <c r="AE13" s="539"/>
      <c r="AF13" s="539"/>
      <c r="AG13" s="539"/>
      <c r="AH13" s="539"/>
      <c r="AI13" s="539"/>
      <c r="AJ13" s="539"/>
      <c r="AK13" s="539"/>
      <c r="AL13" s="539"/>
      <c r="AM13" s="539"/>
    </row>
    <row r="14">
      <c r="A14" s="758" t="s">
        <v>6976</v>
      </c>
      <c r="B14" s="539"/>
      <c r="C14" s="539"/>
      <c r="D14" s="539"/>
      <c r="E14" s="771"/>
      <c r="F14" s="771"/>
      <c r="G14" s="771"/>
      <c r="H14" s="777"/>
      <c r="I14" s="830"/>
      <c r="J14" s="830"/>
      <c r="K14" s="831"/>
      <c r="L14" s="699"/>
      <c r="M14" s="830"/>
      <c r="N14" s="830"/>
      <c r="O14" s="782"/>
      <c r="P14" s="782"/>
      <c r="Q14" s="782"/>
      <c r="R14" s="782"/>
      <c r="S14" s="782"/>
      <c r="T14" s="782"/>
      <c r="U14" s="782"/>
      <c r="V14" s="782"/>
      <c r="W14" s="782"/>
      <c r="X14" s="782"/>
      <c r="Y14" s="782"/>
      <c r="Z14" s="539"/>
      <c r="AA14" s="539"/>
      <c r="AB14" s="539"/>
      <c r="AC14" s="314"/>
      <c r="AD14" s="539"/>
      <c r="AE14" s="539"/>
      <c r="AF14" s="539"/>
      <c r="AG14" s="539"/>
      <c r="AH14" s="539"/>
      <c r="AI14" s="539"/>
      <c r="AJ14" s="539"/>
      <c r="AK14" s="539"/>
      <c r="AL14" s="539"/>
      <c r="AM14" s="539"/>
    </row>
    <row r="15">
      <c r="A15" s="608" t="s">
        <v>6977</v>
      </c>
      <c r="B15" s="539"/>
      <c r="C15" s="539"/>
      <c r="D15" s="539"/>
      <c r="E15" s="771"/>
      <c r="F15" s="771"/>
      <c r="G15" s="771"/>
      <c r="H15" s="777"/>
      <c r="I15" s="830"/>
      <c r="J15" s="830"/>
      <c r="K15" s="831"/>
      <c r="L15" s="699"/>
      <c r="M15" s="830"/>
      <c r="N15" s="830"/>
      <c r="O15" s="782"/>
      <c r="P15" s="782"/>
      <c r="Q15" s="782"/>
      <c r="R15" s="782"/>
      <c r="S15" s="782"/>
      <c r="T15" s="782"/>
      <c r="U15" s="782"/>
      <c r="V15" s="782"/>
      <c r="W15" s="782"/>
      <c r="X15" s="782"/>
      <c r="Y15" s="782"/>
      <c r="Z15" s="539"/>
      <c r="AA15" s="539"/>
      <c r="AB15" s="539"/>
      <c r="AC15" s="314"/>
      <c r="AD15" s="539"/>
      <c r="AE15" s="539"/>
      <c r="AF15" s="823"/>
      <c r="AG15" s="823"/>
      <c r="AH15" s="823"/>
      <c r="AI15" s="823"/>
      <c r="AJ15" s="823"/>
      <c r="AK15" s="823"/>
      <c r="AL15" s="823"/>
      <c r="AM15" s="823"/>
    </row>
    <row r="16">
      <c r="A16" s="608" t="s">
        <v>6979</v>
      </c>
      <c r="B16" s="539"/>
      <c r="C16" s="539"/>
      <c r="D16" s="539"/>
      <c r="E16" s="771"/>
      <c r="F16" s="771"/>
      <c r="G16" s="771"/>
      <c r="H16" s="777"/>
      <c r="I16" s="830"/>
      <c r="J16" s="830"/>
      <c r="K16" s="831"/>
      <c r="L16" s="699"/>
      <c r="M16" s="830"/>
      <c r="N16" s="830"/>
      <c r="O16" s="782"/>
      <c r="P16" s="782"/>
      <c r="Q16" s="782"/>
      <c r="R16" s="782"/>
      <c r="S16" s="782"/>
      <c r="T16" s="782"/>
      <c r="U16" s="782"/>
      <c r="V16" s="782"/>
      <c r="W16" s="782"/>
      <c r="X16" s="782"/>
      <c r="Y16" s="782"/>
      <c r="Z16" s="513" t="s">
        <v>7106</v>
      </c>
      <c r="AA16" s="539"/>
      <c r="AB16" s="539"/>
      <c r="AC16" s="518" t="s">
        <v>7023</v>
      </c>
      <c r="AD16" s="539"/>
      <c r="AE16" s="513"/>
      <c r="AF16" s="513"/>
      <c r="AG16" s="513"/>
      <c r="AH16" s="513"/>
      <c r="AI16" s="513"/>
      <c r="AJ16" s="513"/>
      <c r="AK16" s="513"/>
      <c r="AL16" s="513"/>
      <c r="AM16" s="513"/>
    </row>
    <row r="17">
      <c r="A17" s="608" t="s">
        <v>6980</v>
      </c>
      <c r="B17" s="539"/>
      <c r="C17" s="539"/>
      <c r="D17" s="539"/>
      <c r="E17" s="771"/>
      <c r="F17" s="771"/>
      <c r="G17" s="771"/>
      <c r="H17" s="777"/>
      <c r="I17" s="830"/>
      <c r="J17" s="830"/>
      <c r="K17" s="831"/>
      <c r="L17" s="699"/>
      <c r="M17" s="830"/>
      <c r="N17" s="830"/>
      <c r="O17" s="782"/>
      <c r="P17" s="782"/>
      <c r="Q17" s="782"/>
      <c r="R17" s="782"/>
      <c r="S17" s="782"/>
      <c r="T17" s="782"/>
      <c r="U17" s="782"/>
      <c r="V17" s="782"/>
      <c r="W17" s="782"/>
      <c r="X17" s="782"/>
      <c r="Y17" s="781" t="s">
        <v>7106</v>
      </c>
      <c r="Z17" s="539"/>
      <c r="AA17" s="539"/>
      <c r="AB17" s="539"/>
      <c r="AC17" s="314"/>
      <c r="AD17" s="539"/>
      <c r="AE17" s="539"/>
      <c r="AF17" s="539"/>
      <c r="AG17" s="539"/>
      <c r="AH17" s="539"/>
      <c r="AI17" s="539"/>
      <c r="AJ17" s="539"/>
      <c r="AK17" s="539"/>
      <c r="AL17" s="539"/>
      <c r="AM17" s="539"/>
    </row>
    <row r="18">
      <c r="A18" s="608" t="s">
        <v>6981</v>
      </c>
      <c r="B18" s="539"/>
      <c r="C18" s="539"/>
      <c r="D18" s="539"/>
      <c r="E18" s="771"/>
      <c r="F18" s="771"/>
      <c r="G18" s="771"/>
      <c r="H18" s="777"/>
      <c r="I18" s="830"/>
      <c r="J18" s="830"/>
      <c r="K18" s="831"/>
      <c r="L18" s="699"/>
      <c r="M18" s="830"/>
      <c r="N18" s="830"/>
      <c r="O18" s="782"/>
      <c r="P18" s="782"/>
      <c r="Q18" s="782"/>
      <c r="R18" s="782"/>
      <c r="S18" s="782"/>
      <c r="T18" s="782"/>
      <c r="U18" s="782"/>
      <c r="V18" s="782"/>
      <c r="W18" s="782"/>
      <c r="X18" s="782"/>
      <c r="Y18" s="782"/>
      <c r="Z18" s="539"/>
      <c r="AA18" s="539"/>
      <c r="AB18" s="539"/>
      <c r="AC18" s="314"/>
      <c r="AD18" s="539"/>
      <c r="AE18" s="513"/>
      <c r="AF18" s="513"/>
      <c r="AG18" s="513"/>
      <c r="AH18" s="513"/>
      <c r="AI18" s="513"/>
      <c r="AJ18" s="513"/>
      <c r="AK18" s="513"/>
      <c r="AL18" s="513"/>
      <c r="AM18" s="513"/>
    </row>
    <row r="19">
      <c r="A19" s="608" t="s">
        <v>6982</v>
      </c>
      <c r="B19" s="539"/>
      <c r="C19" s="539"/>
      <c r="D19" s="539"/>
      <c r="E19" s="771"/>
      <c r="F19" s="771"/>
      <c r="G19" s="771"/>
      <c r="H19" s="777"/>
      <c r="I19" s="830"/>
      <c r="J19" s="830"/>
      <c r="K19" s="831"/>
      <c r="L19" s="699"/>
      <c r="M19" s="830"/>
      <c r="N19" s="830"/>
      <c r="O19" s="782"/>
      <c r="P19" s="782"/>
      <c r="Q19" s="782"/>
      <c r="R19" s="782"/>
      <c r="S19" s="782"/>
      <c r="T19" s="782"/>
      <c r="U19" s="782"/>
      <c r="V19" s="782"/>
      <c r="W19" s="782"/>
      <c r="X19" s="782"/>
      <c r="Y19" s="782"/>
      <c r="Z19" s="539"/>
      <c r="AA19" s="539"/>
      <c r="AB19" s="539"/>
      <c r="AC19" s="314"/>
      <c r="AD19" s="539"/>
      <c r="AE19" s="561"/>
      <c r="AF19" s="561"/>
      <c r="AG19" s="561"/>
      <c r="AH19" s="561"/>
      <c r="AI19" s="561"/>
      <c r="AJ19" s="561"/>
      <c r="AK19" s="561"/>
      <c r="AL19" s="561"/>
      <c r="AM19" s="561"/>
    </row>
    <row r="20">
      <c r="A20" s="758" t="s">
        <v>6983</v>
      </c>
      <c r="B20" s="539"/>
      <c r="C20" s="513"/>
      <c r="D20" s="561" t="s">
        <v>6993</v>
      </c>
      <c r="E20" s="810" t="s">
        <v>6956</v>
      </c>
      <c r="F20" s="771"/>
      <c r="G20" s="771"/>
      <c r="H20" s="777"/>
      <c r="I20" s="830"/>
      <c r="J20" s="830"/>
      <c r="K20" s="922"/>
      <c r="L20" s="538" t="s">
        <v>6956</v>
      </c>
      <c r="M20" s="830"/>
      <c r="N20" s="830"/>
      <c r="O20" s="782"/>
      <c r="P20" s="765" t="s">
        <v>6956</v>
      </c>
      <c r="Q20" s="782"/>
      <c r="R20" s="782"/>
      <c r="S20" s="782"/>
      <c r="T20" s="781"/>
      <c r="U20" s="781" t="s">
        <v>6993</v>
      </c>
      <c r="V20" s="782"/>
      <c r="W20" s="782"/>
      <c r="X20" s="782"/>
      <c r="Y20" s="782"/>
      <c r="Z20" s="539"/>
      <c r="AA20" s="539"/>
      <c r="AB20" s="539"/>
      <c r="AC20" s="314"/>
      <c r="AD20" s="561"/>
      <c r="AE20" s="539"/>
      <c r="AF20" s="539"/>
      <c r="AG20" s="539"/>
      <c r="AH20" s="539"/>
      <c r="AI20" s="539"/>
      <c r="AJ20" s="539"/>
      <c r="AK20" s="539"/>
      <c r="AL20" s="539"/>
      <c r="AM20" s="539"/>
    </row>
    <row r="21">
      <c r="A21" s="758" t="s">
        <v>6985</v>
      </c>
      <c r="B21" s="539"/>
      <c r="C21" s="539"/>
      <c r="D21" s="513"/>
      <c r="E21" s="771"/>
      <c r="F21" s="771"/>
      <c r="G21" s="771"/>
      <c r="H21" s="777"/>
      <c r="I21" s="539"/>
      <c r="J21" s="539"/>
      <c r="K21" s="314"/>
      <c r="L21" s="777"/>
      <c r="M21" s="539"/>
      <c r="N21" s="539"/>
      <c r="O21" s="768"/>
      <c r="P21" s="768"/>
      <c r="Q21" s="768"/>
      <c r="R21" s="768"/>
      <c r="S21" s="782"/>
      <c r="T21" s="782"/>
      <c r="U21" s="782"/>
      <c r="V21" s="782"/>
      <c r="W21" s="782"/>
      <c r="X21" s="782"/>
      <c r="Y21" s="782"/>
      <c r="Z21" s="539"/>
      <c r="AA21" s="539"/>
      <c r="AB21" s="539"/>
      <c r="AC21" s="314"/>
      <c r="AD21" s="539"/>
      <c r="AE21" s="539"/>
      <c r="AF21" s="539"/>
      <c r="AG21" s="539"/>
      <c r="AH21" s="539"/>
      <c r="AI21" s="539"/>
      <c r="AJ21" s="539"/>
      <c r="AK21" s="539"/>
      <c r="AL21" s="539"/>
      <c r="AM21" s="539"/>
    </row>
    <row r="22">
      <c r="A22" s="758" t="s">
        <v>6986</v>
      </c>
      <c r="B22" s="561"/>
      <c r="C22" s="539"/>
      <c r="D22" s="561" t="s">
        <v>6993</v>
      </c>
      <c r="E22" s="571" t="s">
        <v>7108</v>
      </c>
      <c r="F22" s="771"/>
      <c r="G22" s="771"/>
      <c r="H22" s="777"/>
      <c r="I22" s="539"/>
      <c r="J22" s="539"/>
      <c r="K22" s="314"/>
      <c r="L22" s="777"/>
      <c r="M22" s="539"/>
      <c r="N22" s="539"/>
      <c r="O22" s="768"/>
      <c r="P22" s="768"/>
      <c r="Q22" s="768"/>
      <c r="R22" s="768"/>
      <c r="S22" s="782"/>
      <c r="T22" s="782"/>
      <c r="U22" s="782"/>
      <c r="V22" s="782"/>
      <c r="W22" s="782"/>
      <c r="X22" s="782"/>
      <c r="Y22" s="782"/>
      <c r="Z22" s="539"/>
      <c r="AA22" s="539"/>
      <c r="AB22" s="539"/>
      <c r="AC22" s="314"/>
      <c r="AD22" s="539"/>
      <c r="AE22" s="539"/>
      <c r="AF22" s="823"/>
      <c r="AG22" s="823"/>
      <c r="AH22" s="823"/>
      <c r="AI22" s="823"/>
      <c r="AJ22" s="823"/>
      <c r="AK22" s="823"/>
      <c r="AL22" s="823"/>
      <c r="AM22" s="823"/>
    </row>
    <row r="23">
      <c r="A23" s="758" t="s">
        <v>6988</v>
      </c>
      <c r="B23" s="513"/>
      <c r="C23" s="539"/>
      <c r="D23" s="539"/>
      <c r="E23" s="771"/>
      <c r="F23" s="771"/>
      <c r="G23" s="771"/>
      <c r="H23" s="777"/>
      <c r="I23" s="539"/>
      <c r="J23" s="539"/>
      <c r="K23" s="314"/>
      <c r="L23" s="777"/>
      <c r="M23" s="539"/>
      <c r="N23" s="539"/>
      <c r="O23" s="768"/>
      <c r="P23" s="768"/>
      <c r="Q23" s="768"/>
      <c r="R23" s="768"/>
      <c r="S23" s="782"/>
      <c r="T23" s="782"/>
      <c r="U23" s="781"/>
      <c r="V23" s="781"/>
      <c r="W23" s="782"/>
      <c r="X23" s="782"/>
      <c r="Y23" s="782"/>
      <c r="Z23" s="539"/>
      <c r="AA23" s="539"/>
      <c r="AB23" s="539"/>
      <c r="AC23" s="314"/>
      <c r="AD23" s="539"/>
      <c r="AE23" s="539"/>
      <c r="AF23" s="539"/>
      <c r="AG23" s="539"/>
      <c r="AH23" s="539"/>
      <c r="AI23" s="539"/>
      <c r="AJ23" s="539"/>
      <c r="AK23" s="539"/>
      <c r="AL23" s="539"/>
      <c r="AM23" s="539"/>
    </row>
    <row r="24">
      <c r="A24" s="758" t="s">
        <v>6990</v>
      </c>
      <c r="B24" s="539"/>
      <c r="C24" s="539"/>
      <c r="D24" s="539"/>
      <c r="E24" s="771"/>
      <c r="F24" s="771"/>
      <c r="G24" s="771"/>
      <c r="H24" s="777"/>
      <c r="I24" s="539"/>
      <c r="J24" s="539"/>
      <c r="K24" s="702"/>
      <c r="L24" s="702"/>
      <c r="M24" s="539"/>
      <c r="N24" s="539"/>
      <c r="O24" s="768"/>
      <c r="P24" s="768"/>
      <c r="Q24" s="768"/>
      <c r="R24" s="768"/>
      <c r="S24" s="782"/>
      <c r="T24" s="782"/>
      <c r="U24" s="782"/>
      <c r="V24" s="782"/>
      <c r="W24" s="782"/>
      <c r="X24" s="782"/>
      <c r="Y24" s="782"/>
      <c r="Z24" s="539"/>
      <c r="AA24" s="539"/>
      <c r="AB24" s="539"/>
      <c r="AC24" s="314"/>
      <c r="AD24" s="561"/>
      <c r="AE24" s="539"/>
      <c r="AF24" s="539"/>
      <c r="AG24" s="539"/>
      <c r="AH24" s="539"/>
      <c r="AI24" s="539"/>
      <c r="AJ24" s="539"/>
      <c r="AK24" s="539"/>
      <c r="AL24" s="539"/>
      <c r="AM24" s="539"/>
    </row>
    <row r="25">
      <c r="A25" s="758" t="s">
        <v>6991</v>
      </c>
      <c r="B25" s="539"/>
      <c r="C25" s="539"/>
      <c r="D25" s="539"/>
      <c r="E25" s="771"/>
      <c r="F25" s="771"/>
      <c r="G25" s="771"/>
      <c r="H25" s="777"/>
      <c r="I25" s="539"/>
      <c r="J25" s="571" t="s">
        <v>7005</v>
      </c>
      <c r="K25" s="314"/>
      <c r="L25" s="539"/>
      <c r="M25" s="539"/>
      <c r="N25" s="539"/>
      <c r="O25" s="768"/>
      <c r="P25" s="768"/>
      <c r="Q25" s="768"/>
      <c r="R25" s="768"/>
      <c r="S25" s="782"/>
      <c r="T25" s="782"/>
      <c r="U25" s="782"/>
      <c r="V25" s="782"/>
      <c r="W25" s="782"/>
      <c r="X25" s="782"/>
      <c r="Y25" s="781"/>
      <c r="Z25" s="769"/>
      <c r="AA25" s="513"/>
      <c r="AB25" s="513"/>
      <c r="AC25" s="561"/>
      <c r="AD25" s="513"/>
      <c r="AE25" s="513"/>
      <c r="AF25" s="513"/>
      <c r="AG25" s="513"/>
      <c r="AH25" s="513"/>
      <c r="AI25" s="513"/>
      <c r="AJ25" s="513"/>
      <c r="AK25" s="513"/>
      <c r="AL25" s="513"/>
      <c r="AM25" s="513"/>
    </row>
    <row r="26">
      <c r="A26" s="758" t="s">
        <v>6992</v>
      </c>
      <c r="B26" s="513"/>
      <c r="C26" s="539"/>
      <c r="D26" s="789"/>
      <c r="E26" s="793" t="s">
        <v>6993</v>
      </c>
      <c r="F26" s="771"/>
      <c r="G26" s="771"/>
      <c r="H26" s="777"/>
      <c r="I26" s="539"/>
      <c r="J26" s="924" t="s">
        <v>6956</v>
      </c>
      <c r="K26" s="314"/>
      <c r="L26" s="539"/>
      <c r="M26" s="539"/>
      <c r="N26" s="539"/>
      <c r="O26" s="752"/>
      <c r="P26" s="765" t="s">
        <v>6956</v>
      </c>
      <c r="Q26" s="768"/>
      <c r="R26" s="768"/>
      <c r="S26" s="782"/>
      <c r="T26" s="782"/>
      <c r="U26" s="782"/>
      <c r="V26" s="782"/>
      <c r="W26" s="781"/>
      <c r="X26" s="782"/>
      <c r="Y26" s="781" t="s">
        <v>6993</v>
      </c>
      <c r="Z26" s="513" t="s">
        <v>6964</v>
      </c>
      <c r="AA26" s="539"/>
      <c r="AB26" s="539"/>
      <c r="AC26" s="561"/>
      <c r="AD26" s="539"/>
      <c r="AE26" s="539"/>
      <c r="AF26" s="539"/>
      <c r="AG26" s="539"/>
      <c r="AH26" s="539"/>
      <c r="AI26" s="539"/>
      <c r="AJ26" s="539"/>
      <c r="AK26" s="539"/>
      <c r="AL26" s="539"/>
      <c r="AM26" s="539"/>
    </row>
    <row r="27">
      <c r="A27" s="758" t="s">
        <v>6997</v>
      </c>
      <c r="B27" s="539"/>
      <c r="C27" s="539"/>
      <c r="D27" s="539"/>
      <c r="E27" s="771"/>
      <c r="F27" s="771"/>
      <c r="G27" s="771"/>
      <c r="H27" s="777"/>
      <c r="I27" s="539"/>
      <c r="J27" s="539"/>
      <c r="K27" s="314"/>
      <c r="L27" s="539"/>
      <c r="M27" s="539"/>
      <c r="N27" s="539"/>
      <c r="O27" s="768"/>
      <c r="P27" s="768"/>
      <c r="Q27" s="768"/>
      <c r="R27" s="768"/>
      <c r="S27" s="782"/>
      <c r="T27" s="782"/>
      <c r="U27" s="782"/>
      <c r="V27" s="782"/>
      <c r="W27" s="782"/>
      <c r="X27" s="782"/>
      <c r="Y27" s="782"/>
      <c r="Z27" s="539"/>
      <c r="AA27" s="539"/>
      <c r="AB27" s="539"/>
      <c r="AC27" s="314"/>
      <c r="AD27" s="539"/>
      <c r="AE27" s="539"/>
      <c r="AF27" s="539"/>
      <c r="AG27" s="539"/>
      <c r="AH27" s="539"/>
      <c r="AI27" s="539"/>
      <c r="AJ27" s="539"/>
      <c r="AK27" s="539"/>
      <c r="AL27" s="539"/>
      <c r="AM27" s="539"/>
    </row>
    <row r="28">
      <c r="A28" s="758" t="s">
        <v>7025</v>
      </c>
      <c r="B28" s="539"/>
      <c r="C28" s="539"/>
      <c r="D28" s="539"/>
      <c r="E28" s="771"/>
      <c r="F28" s="771"/>
      <c r="G28" s="771"/>
      <c r="H28" s="777"/>
      <c r="I28" s="539"/>
      <c r="J28" s="539"/>
      <c r="K28" s="314"/>
      <c r="L28" s="539"/>
      <c r="M28" s="539"/>
      <c r="N28" s="539"/>
      <c r="O28" s="768"/>
      <c r="P28" s="768"/>
      <c r="Q28" s="768"/>
      <c r="R28" s="768"/>
      <c r="S28" s="782"/>
      <c r="T28" s="782"/>
      <c r="U28" s="782"/>
      <c r="V28" s="782"/>
      <c r="W28" s="782"/>
      <c r="X28" s="782"/>
      <c r="Y28" s="782"/>
      <c r="Z28" s="539"/>
      <c r="AA28" s="539"/>
      <c r="AB28" s="539"/>
      <c r="AC28" s="314"/>
      <c r="AD28" s="539"/>
      <c r="AE28" s="539"/>
      <c r="AF28" s="539"/>
      <c r="AG28" s="539"/>
      <c r="AH28" s="539"/>
      <c r="AI28" s="539"/>
      <c r="AJ28" s="539"/>
      <c r="AK28" s="539"/>
      <c r="AL28" s="539"/>
      <c r="AM28" s="539"/>
    </row>
    <row r="29">
      <c r="A29" s="758" t="s">
        <v>6999</v>
      </c>
      <c r="B29" s="539"/>
      <c r="C29" s="539"/>
      <c r="D29" s="539"/>
      <c r="E29" s="771"/>
      <c r="F29" s="771"/>
      <c r="G29" s="771"/>
      <c r="H29" s="777"/>
      <c r="I29" s="539"/>
      <c r="J29" s="539"/>
      <c r="K29" s="314"/>
      <c r="L29" s="539"/>
      <c r="M29" s="539"/>
      <c r="N29" s="539"/>
      <c r="O29" s="768"/>
      <c r="P29" s="768"/>
      <c r="Q29" s="768"/>
      <c r="R29" s="768"/>
      <c r="S29" s="782"/>
      <c r="T29" s="782"/>
      <c r="U29" s="781" t="s">
        <v>7095</v>
      </c>
      <c r="V29" s="782"/>
      <c r="W29" s="782"/>
      <c r="X29" s="782"/>
      <c r="Y29" s="782"/>
      <c r="Z29" s="539"/>
      <c r="AA29" s="539"/>
      <c r="AB29" s="539"/>
      <c r="AC29" s="314"/>
      <c r="AD29" s="539"/>
      <c r="AE29" s="539"/>
      <c r="AF29" s="539"/>
      <c r="AG29" s="539"/>
      <c r="AH29" s="539"/>
      <c r="AI29" s="539"/>
      <c r="AJ29" s="539"/>
      <c r="AK29" s="539"/>
      <c r="AL29" s="539"/>
      <c r="AM29" s="539"/>
    </row>
    <row r="30">
      <c r="A30" s="758" t="s">
        <v>7000</v>
      </c>
      <c r="B30" s="539"/>
      <c r="C30" s="539"/>
      <c r="D30" s="539"/>
      <c r="E30" s="771"/>
      <c r="F30" s="771"/>
      <c r="G30" s="771"/>
      <c r="H30" s="777"/>
      <c r="I30" s="539"/>
      <c r="J30" s="539"/>
      <c r="K30" s="314"/>
      <c r="L30" s="539"/>
      <c r="M30" s="539"/>
      <c r="N30" s="539"/>
      <c r="O30" s="768"/>
      <c r="P30" s="768"/>
      <c r="Q30" s="768"/>
      <c r="R30" s="768"/>
      <c r="S30" s="782"/>
      <c r="T30" s="782"/>
      <c r="U30" s="782"/>
      <c r="V30" s="782"/>
      <c r="W30" s="782"/>
      <c r="X30" s="782"/>
      <c r="Y30" s="782"/>
      <c r="Z30" s="539"/>
      <c r="AA30" s="539"/>
      <c r="AB30" s="539"/>
      <c r="AC30" s="314"/>
      <c r="AD30" s="539"/>
      <c r="AE30" s="539"/>
      <c r="AF30" s="539"/>
      <c r="AG30" s="539"/>
      <c r="AH30" s="539"/>
      <c r="AI30" s="539"/>
      <c r="AJ30" s="539"/>
      <c r="AK30" s="539"/>
      <c r="AL30" s="539"/>
      <c r="AM30" s="539"/>
    </row>
    <row r="31">
      <c r="A31" s="758" t="s">
        <v>7001</v>
      </c>
      <c r="B31" s="539"/>
      <c r="C31" s="539"/>
      <c r="D31" s="539"/>
      <c r="E31" s="771"/>
      <c r="F31" s="771"/>
      <c r="G31" s="771"/>
      <c r="H31" s="777"/>
      <c r="I31" s="539"/>
      <c r="J31" s="539"/>
      <c r="K31" s="314"/>
      <c r="L31" s="539"/>
      <c r="M31" s="539"/>
      <c r="N31" s="539"/>
      <c r="O31" s="768"/>
      <c r="P31" s="768"/>
      <c r="Q31" s="768"/>
      <c r="R31" s="768"/>
      <c r="S31" s="782"/>
      <c r="T31" s="782"/>
      <c r="U31" s="782"/>
      <c r="V31" s="782"/>
      <c r="W31" s="782"/>
      <c r="X31" s="782"/>
      <c r="Y31" s="782"/>
      <c r="Z31" s="539"/>
      <c r="AA31" s="539"/>
      <c r="AB31" s="513"/>
      <c r="AC31" s="314"/>
      <c r="AD31" s="539"/>
      <c r="AE31" s="539"/>
      <c r="AF31" s="539"/>
      <c r="AG31" s="539"/>
      <c r="AH31" s="539"/>
      <c r="AI31" s="539"/>
      <c r="AJ31" s="539"/>
      <c r="AK31" s="539"/>
      <c r="AL31" s="539"/>
      <c r="AM31" s="539"/>
    </row>
    <row r="32">
      <c r="A32" s="758" t="s">
        <v>7002</v>
      </c>
      <c r="B32" s="539"/>
      <c r="C32" s="539"/>
      <c r="D32" s="539"/>
      <c r="E32" s="771"/>
      <c r="F32" s="771"/>
      <c r="G32" s="771"/>
      <c r="H32" s="777"/>
      <c r="I32" s="539"/>
      <c r="J32" s="539"/>
      <c r="K32" s="314"/>
      <c r="L32" s="539"/>
      <c r="M32" s="539"/>
      <c r="N32" s="539"/>
      <c r="O32" s="768"/>
      <c r="P32" s="768"/>
      <c r="Q32" s="768"/>
      <c r="R32" s="752"/>
      <c r="S32" s="782"/>
      <c r="T32" s="781"/>
      <c r="U32" s="782"/>
      <c r="V32" s="782"/>
      <c r="W32" s="782"/>
      <c r="X32" s="782"/>
      <c r="Y32" s="781" t="s">
        <v>7109</v>
      </c>
      <c r="Z32" s="513" t="s">
        <v>7110</v>
      </c>
      <c r="AA32" s="539"/>
      <c r="AB32" s="539"/>
      <c r="AC32" s="518" t="s">
        <v>7023</v>
      </c>
      <c r="AD32" s="539"/>
      <c r="AE32" s="539"/>
      <c r="AF32" s="539"/>
      <c r="AG32" s="539"/>
      <c r="AH32" s="539"/>
      <c r="AI32" s="539"/>
      <c r="AJ32" s="539"/>
      <c r="AK32" s="539"/>
      <c r="AL32" s="539"/>
      <c r="AM32" s="539"/>
    </row>
    <row r="33">
      <c r="A33" s="925" t="s">
        <v>7092</v>
      </c>
      <c r="B33" s="513"/>
      <c r="C33" s="539"/>
      <c r="D33" s="539"/>
      <c r="E33" s="771"/>
      <c r="F33" s="771"/>
      <c r="G33" s="771"/>
      <c r="H33" s="702"/>
      <c r="I33" s="539"/>
      <c r="J33" s="539"/>
      <c r="K33" s="314"/>
      <c r="L33" s="777"/>
      <c r="M33" s="539"/>
      <c r="N33" s="539"/>
      <c r="O33" s="768"/>
      <c r="P33" s="768"/>
      <c r="Q33" s="768"/>
      <c r="R33" s="768"/>
      <c r="S33" s="782"/>
      <c r="T33" s="782"/>
      <c r="U33" s="782"/>
      <c r="V33" s="782"/>
      <c r="W33" s="782"/>
      <c r="X33" s="782"/>
      <c r="Y33" s="782"/>
      <c r="Z33" s="539"/>
      <c r="AA33" s="539"/>
      <c r="AB33" s="539"/>
      <c r="AC33" s="314"/>
      <c r="AD33" s="539"/>
      <c r="AE33" s="539"/>
      <c r="AF33" s="539"/>
      <c r="AG33" s="539"/>
      <c r="AH33" s="539"/>
      <c r="AI33" s="539"/>
      <c r="AJ33" s="539"/>
      <c r="AK33" s="539"/>
      <c r="AL33" s="539"/>
      <c r="AM33" s="539"/>
    </row>
    <row r="34">
      <c r="A34" s="795" t="s">
        <v>7026</v>
      </c>
      <c r="B34" s="539"/>
      <c r="C34" s="539"/>
      <c r="D34" s="789"/>
      <c r="E34" s="771"/>
      <c r="F34" s="771"/>
      <c r="G34" s="926" t="s">
        <v>6956</v>
      </c>
      <c r="H34" s="702"/>
      <c r="I34" s="539"/>
      <c r="J34" s="539"/>
      <c r="K34" s="314"/>
      <c r="L34" s="538" t="s">
        <v>6956</v>
      </c>
      <c r="M34" s="539"/>
      <c r="N34" s="539"/>
      <c r="O34" s="768"/>
      <c r="P34" s="768"/>
      <c r="Q34" s="768"/>
      <c r="R34" s="768"/>
      <c r="S34" s="782"/>
      <c r="T34" s="782"/>
      <c r="U34" s="782"/>
      <c r="V34" s="765"/>
      <c r="W34" s="782"/>
      <c r="X34" s="782"/>
      <c r="Y34" s="781" t="s">
        <v>6993</v>
      </c>
      <c r="Z34" s="513" t="s">
        <v>6964</v>
      </c>
      <c r="AA34" s="539"/>
      <c r="AB34" s="539"/>
      <c r="AC34" s="314"/>
      <c r="AD34" s="561"/>
      <c r="AE34" s="539"/>
      <c r="AF34" s="539"/>
      <c r="AG34" s="539"/>
      <c r="AH34" s="539"/>
      <c r="AI34" s="539"/>
      <c r="AJ34" s="539"/>
      <c r="AK34" s="539"/>
      <c r="AL34" s="539"/>
      <c r="AM34" s="539"/>
    </row>
    <row r="35">
      <c r="A35" s="795" t="s">
        <v>7027</v>
      </c>
      <c r="B35" s="539"/>
      <c r="C35" s="539"/>
      <c r="D35" s="539"/>
      <c r="E35" s="771"/>
      <c r="F35" s="771"/>
      <c r="G35" s="771"/>
      <c r="H35" s="777"/>
      <c r="I35" s="539"/>
      <c r="J35" s="539"/>
      <c r="K35" s="314"/>
      <c r="L35" s="777"/>
      <c r="M35" s="539"/>
      <c r="N35" s="539"/>
      <c r="O35" s="768"/>
      <c r="P35" s="768"/>
      <c r="Q35" s="768"/>
      <c r="R35" s="768"/>
      <c r="S35" s="782"/>
      <c r="T35" s="782"/>
      <c r="U35" s="782"/>
      <c r="V35" s="781" t="s">
        <v>7023</v>
      </c>
      <c r="W35" s="782"/>
      <c r="X35" s="782"/>
      <c r="Y35" s="782"/>
      <c r="Z35" s="539"/>
      <c r="AA35" s="539"/>
      <c r="AB35" s="927"/>
      <c r="AC35" s="700"/>
      <c r="AD35" s="539"/>
      <c r="AE35" s="539"/>
      <c r="AF35" s="539"/>
      <c r="AG35" s="539"/>
      <c r="AH35" s="539"/>
      <c r="AI35" s="539"/>
      <c r="AJ35" s="539"/>
      <c r="AK35" s="539"/>
      <c r="AL35" s="539"/>
      <c r="AM35" s="539"/>
    </row>
    <row r="36">
      <c r="A36" s="795" t="s">
        <v>7028</v>
      </c>
      <c r="B36" s="561" t="s">
        <v>6993</v>
      </c>
      <c r="C36" s="513" t="s">
        <v>6993</v>
      </c>
      <c r="D36" s="539"/>
      <c r="E36" s="771"/>
      <c r="F36" s="771"/>
      <c r="G36" s="771"/>
      <c r="H36" s="777"/>
      <c r="I36" s="539"/>
      <c r="J36" s="539"/>
      <c r="K36" s="561"/>
      <c r="L36" s="539"/>
      <c r="M36" s="539"/>
      <c r="N36" s="539"/>
      <c r="O36" s="768"/>
      <c r="P36" s="752" t="s">
        <v>7095</v>
      </c>
      <c r="Q36" s="768"/>
      <c r="R36" s="768"/>
      <c r="S36" s="782"/>
      <c r="T36" s="781"/>
      <c r="U36" s="923"/>
      <c r="V36" s="782"/>
      <c r="W36" s="782"/>
      <c r="X36" s="781"/>
      <c r="Y36" s="782"/>
      <c r="Z36" s="539"/>
      <c r="AA36" s="539"/>
      <c r="AB36" s="795"/>
      <c r="AC36" s="928" t="s">
        <v>7023</v>
      </c>
      <c r="AD36" s="539"/>
      <c r="AE36" s="539"/>
      <c r="AF36" s="539"/>
      <c r="AG36" s="539"/>
      <c r="AH36" s="539"/>
      <c r="AI36" s="539"/>
      <c r="AJ36" s="539"/>
      <c r="AK36" s="539"/>
      <c r="AL36" s="539"/>
      <c r="AM36" s="539"/>
    </row>
    <row r="37">
      <c r="A37" s="795" t="s">
        <v>7111</v>
      </c>
      <c r="B37" s="513"/>
      <c r="C37" s="513"/>
      <c r="D37" s="513"/>
      <c r="E37" s="789"/>
      <c r="F37" s="789"/>
      <c r="G37" s="789"/>
      <c r="H37" s="702"/>
      <c r="I37" s="513"/>
      <c r="J37" s="513"/>
      <c r="K37" s="561"/>
      <c r="L37" s="513"/>
      <c r="M37" s="513"/>
      <c r="N37" s="513"/>
      <c r="O37" s="752"/>
      <c r="P37" s="752"/>
      <c r="Q37" s="752"/>
      <c r="R37" s="752"/>
      <c r="S37" s="782"/>
      <c r="T37" s="782"/>
      <c r="U37" s="782"/>
      <c r="V37" s="782"/>
      <c r="W37" s="782"/>
      <c r="X37" s="782"/>
      <c r="Y37" s="782"/>
      <c r="Z37" s="539"/>
      <c r="AA37" s="539"/>
      <c r="AB37" s="539"/>
      <c r="AC37" s="314"/>
      <c r="AD37" s="539"/>
      <c r="AE37" s="539"/>
      <c r="AF37" s="539"/>
      <c r="AG37" s="539"/>
      <c r="AH37" s="539"/>
      <c r="AI37" s="539"/>
      <c r="AJ37" s="539"/>
      <c r="AK37" s="539"/>
      <c r="AL37" s="539"/>
      <c r="AM37" s="539"/>
    </row>
    <row r="38">
      <c r="A38" s="513" t="s">
        <v>7010</v>
      </c>
      <c r="B38" s="539"/>
      <c r="C38" s="539"/>
      <c r="D38" s="539"/>
      <c r="E38" s="539"/>
      <c r="F38" s="539"/>
      <c r="G38" s="539"/>
      <c r="H38" s="539"/>
      <c r="I38" s="539"/>
      <c r="J38" s="539"/>
      <c r="K38" s="539"/>
      <c r="L38" s="539"/>
      <c r="M38" s="539"/>
      <c r="N38" s="539"/>
      <c r="O38" s="768"/>
      <c r="P38" s="768"/>
      <c r="Q38" s="768"/>
      <c r="R38" s="768"/>
      <c r="S38" s="782"/>
      <c r="T38" s="782"/>
      <c r="U38" s="782"/>
      <c r="V38" s="920" t="s">
        <v>7024</v>
      </c>
      <c r="W38" s="782"/>
      <c r="X38" s="782"/>
      <c r="Y38" s="782"/>
      <c r="Z38" s="782"/>
      <c r="AA38" s="539"/>
      <c r="AB38" s="513" t="s">
        <v>6964</v>
      </c>
      <c r="AC38" s="314"/>
      <c r="AD38" s="539"/>
      <c r="AE38" s="539"/>
      <c r="AF38" s="539"/>
      <c r="AG38" s="539"/>
      <c r="AH38" s="539"/>
      <c r="AI38" s="539"/>
      <c r="AJ38" s="539"/>
      <c r="AK38" s="539"/>
      <c r="AL38" s="539"/>
      <c r="AM38" s="539"/>
    </row>
    <row r="39" ht="95.25" customHeight="1"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929" t="s">
        <v>7112</v>
      </c>
      <c r="AC39" s="10"/>
    </row>
    <row r="40"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AC40" s="10"/>
    </row>
    <row r="41"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AC41" s="10"/>
    </row>
    <row r="42"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AC42" s="10"/>
    </row>
    <row r="43"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C43" s="10"/>
    </row>
    <row r="44"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C44" s="10"/>
    </row>
    <row r="45"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C45" s="10"/>
    </row>
    <row r="46"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AC46" s="10"/>
    </row>
    <row r="47"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C47" s="10"/>
    </row>
    <row r="48"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AC48" s="10"/>
    </row>
    <row r="49"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AC49" s="10"/>
    </row>
    <row r="50"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AC50" s="10"/>
    </row>
    <row r="51"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AC51" s="10"/>
    </row>
    <row r="52"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AC52" s="10"/>
    </row>
    <row r="53"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AC53" s="10"/>
    </row>
    <row r="54"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AC54" s="10"/>
    </row>
    <row r="55"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AC55" s="10"/>
    </row>
    <row r="56"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AC56" s="10"/>
    </row>
    <row r="57"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AC57" s="10"/>
    </row>
    <row r="58"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AC58" s="10"/>
    </row>
    <row r="59"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AC59" s="10"/>
    </row>
    <row r="60"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AC60" s="10"/>
    </row>
    <row r="61"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AC61" s="10"/>
    </row>
    <row r="62"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AC62" s="10"/>
    </row>
    <row r="63"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AC63" s="10"/>
    </row>
    <row r="64"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AC64" s="10"/>
    </row>
    <row r="65"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AC65" s="10"/>
    </row>
    <row r="66"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AC66" s="10"/>
    </row>
    <row r="67"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AC67" s="10"/>
    </row>
    <row r="68"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AC68" s="10"/>
    </row>
    <row r="69"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AC69" s="10"/>
    </row>
    <row r="70"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AC70" s="10"/>
    </row>
    <row r="71"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AC71" s="10"/>
    </row>
    <row r="72"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AC72" s="10"/>
    </row>
    <row r="73"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AC73" s="10"/>
    </row>
    <row r="74"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AC74" s="10"/>
    </row>
    <row r="75"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AC75" s="10"/>
    </row>
    <row r="76"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AC76" s="10"/>
    </row>
    <row r="77"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AC77" s="10"/>
    </row>
    <row r="78"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AC78" s="10"/>
    </row>
    <row r="79"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AC79" s="10"/>
    </row>
    <row r="80"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AC80" s="10"/>
    </row>
    <row r="81"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AC81" s="10"/>
    </row>
    <row r="82"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AC82" s="10"/>
    </row>
    <row r="83"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AC83" s="10"/>
    </row>
    <row r="84"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AC84" s="10"/>
    </row>
    <row r="85"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AC85" s="10"/>
    </row>
    <row r="86"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AC86" s="10"/>
    </row>
    <row r="87"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AC87" s="10"/>
    </row>
    <row r="88"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AC88" s="10"/>
    </row>
    <row r="89"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AC89" s="10"/>
    </row>
    <row r="90"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AC90" s="10"/>
    </row>
    <row r="91"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AC91" s="10"/>
    </row>
    <row r="92"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AC92" s="10"/>
    </row>
    <row r="93"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AC93" s="10"/>
    </row>
    <row r="94"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AC94" s="10"/>
    </row>
    <row r="95"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AC95" s="10"/>
    </row>
    <row r="96"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AC96" s="10"/>
    </row>
    <row r="97"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AC97" s="10"/>
    </row>
    <row r="98"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AC98" s="10"/>
    </row>
    <row r="99"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AC99" s="10"/>
    </row>
    <row r="100"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AC100" s="10"/>
    </row>
    <row r="101"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AC101" s="10"/>
    </row>
    <row r="102"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AC102" s="10"/>
    </row>
    <row r="103"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AC103" s="10"/>
    </row>
    <row r="104"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AC104" s="10"/>
    </row>
    <row r="105"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AC105" s="10"/>
    </row>
    <row r="106"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AC106" s="10"/>
    </row>
    <row r="107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AC107" s="10"/>
    </row>
    <row r="108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AC108" s="10"/>
    </row>
    <row r="109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AC109" s="10"/>
    </row>
    <row r="110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AC110" s="10"/>
    </row>
    <row r="111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AC111" s="10"/>
    </row>
    <row r="112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AC112" s="10"/>
    </row>
    <row r="113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AC113" s="10"/>
    </row>
    <row r="114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AC114" s="10"/>
    </row>
    <row r="11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AC115" s="10"/>
    </row>
    <row r="116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AC116" s="10"/>
    </row>
    <row r="117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AC117" s="10"/>
    </row>
    <row r="118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C118" s="10"/>
    </row>
    <row r="119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C119" s="10"/>
    </row>
    <row r="120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C120" s="10"/>
    </row>
    <row r="121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C121" s="10"/>
    </row>
    <row r="122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C122" s="10"/>
    </row>
    <row r="123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C123" s="10"/>
    </row>
    <row r="124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C124" s="10"/>
    </row>
    <row r="125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C125" s="10"/>
    </row>
    <row r="126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C126" s="10"/>
    </row>
    <row r="127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C127" s="10"/>
    </row>
    <row r="128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C128" s="10"/>
    </row>
    <row r="129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AC129" s="10"/>
    </row>
    <row r="130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AC130" s="10"/>
    </row>
    <row r="131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AC131" s="10"/>
    </row>
    <row r="132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AC132" s="10"/>
    </row>
    <row r="133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AC133" s="10"/>
    </row>
    <row r="134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AC134" s="10"/>
    </row>
    <row r="135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AC135" s="10"/>
    </row>
    <row r="136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AC136" s="10"/>
    </row>
    <row r="137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AC137" s="10"/>
    </row>
    <row r="138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AC138" s="10"/>
    </row>
    <row r="139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AC139" s="10"/>
    </row>
    <row r="140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AC140" s="10"/>
    </row>
    <row r="141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AC141" s="10"/>
    </row>
    <row r="142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AC142" s="10"/>
    </row>
    <row r="143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AC143" s="10"/>
    </row>
    <row r="144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AC144" s="10"/>
    </row>
    <row r="145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AC145" s="10"/>
    </row>
    <row r="146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AC146" s="10"/>
    </row>
    <row r="147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AC147" s="10"/>
    </row>
    <row r="148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AC148" s="10"/>
    </row>
    <row r="149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AC149" s="10"/>
    </row>
    <row r="150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AC150" s="10"/>
    </row>
    <row r="151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AC151" s="10"/>
    </row>
    <row r="152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AC152" s="10"/>
    </row>
    <row r="153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AC153" s="10"/>
    </row>
    <row r="154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AC154" s="10"/>
    </row>
    <row r="155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AC155" s="10"/>
    </row>
    <row r="156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AC156" s="10"/>
    </row>
    <row r="157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AC157" s="10"/>
    </row>
    <row r="158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AC158" s="10"/>
    </row>
    <row r="159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AC159" s="10"/>
    </row>
    <row r="160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AC160" s="10"/>
    </row>
    <row r="161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AC161" s="10"/>
    </row>
    <row r="162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AC162" s="10"/>
    </row>
    <row r="163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AC163" s="10"/>
    </row>
    <row r="164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AC164" s="10"/>
    </row>
    <row r="165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AC165" s="10"/>
    </row>
    <row r="166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AC166" s="10"/>
    </row>
    <row r="167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AC167" s="10"/>
    </row>
    <row r="168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AC168" s="10"/>
    </row>
    <row r="169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AC169" s="10"/>
    </row>
    <row r="170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AC170" s="10"/>
    </row>
    <row r="171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AC171" s="10"/>
    </row>
    <row r="172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AC172" s="10"/>
    </row>
    <row r="173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AC173" s="10"/>
    </row>
    <row r="174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AC174" s="10"/>
    </row>
    <row r="175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AC175" s="10"/>
    </row>
    <row r="176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AC176" s="10"/>
    </row>
    <row r="177"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AC177" s="10"/>
    </row>
    <row r="178"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AC178" s="10"/>
    </row>
    <row r="179"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AC179" s="10"/>
    </row>
    <row r="180"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AC180" s="10"/>
    </row>
    <row r="181"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AC181" s="10"/>
    </row>
    <row r="182"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AC182" s="10"/>
    </row>
    <row r="183"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AC183" s="10"/>
    </row>
    <row r="184"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AC184" s="10"/>
    </row>
    <row r="185"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AC185" s="10"/>
    </row>
    <row r="186"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AC186" s="10"/>
    </row>
    <row r="187"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AC187" s="10"/>
    </row>
    <row r="188"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AC188" s="10"/>
    </row>
    <row r="189"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AC189" s="10"/>
    </row>
    <row r="190"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AC190" s="10"/>
    </row>
    <row r="191"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AC191" s="10"/>
    </row>
    <row r="192"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AC192" s="10"/>
    </row>
    <row r="193"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AC193" s="10"/>
    </row>
    <row r="194"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AC194" s="10"/>
    </row>
    <row r="195"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AC195" s="10"/>
    </row>
    <row r="196"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AC196" s="10"/>
    </row>
    <row r="197"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AC197" s="10"/>
    </row>
    <row r="198"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AC198" s="10"/>
    </row>
    <row r="199"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AC199" s="10"/>
    </row>
    <row r="200"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AC200" s="10"/>
    </row>
    <row r="201"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AC201" s="10"/>
    </row>
    <row r="202"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AC202" s="10"/>
    </row>
    <row r="203"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AC203" s="10"/>
    </row>
    <row r="204"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AC204" s="10"/>
    </row>
    <row r="205"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AC205" s="10"/>
    </row>
    <row r="206"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AC206" s="10"/>
    </row>
    <row r="207"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AC207" s="10"/>
    </row>
    <row r="208"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AC208" s="10"/>
    </row>
    <row r="209"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AC209" s="10"/>
    </row>
    <row r="210"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AC210" s="10"/>
    </row>
    <row r="211"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AC211" s="10"/>
    </row>
    <row r="212"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AC212" s="10"/>
    </row>
    <row r="213"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AC213" s="10"/>
    </row>
    <row r="214"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AC214" s="10"/>
    </row>
    <row r="215"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AC215" s="10"/>
    </row>
    <row r="216"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AC216" s="10"/>
    </row>
    <row r="217"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AC217" s="10"/>
    </row>
    <row r="218"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AC218" s="10"/>
    </row>
    <row r="219"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AC219" s="10"/>
    </row>
    <row r="220"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AC220" s="10"/>
    </row>
    <row r="221"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AC221" s="10"/>
    </row>
    <row r="222"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AC222" s="10"/>
    </row>
    <row r="223"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AC223" s="10"/>
    </row>
    <row r="224"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AC224" s="10"/>
    </row>
    <row r="225"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AC225" s="10"/>
    </row>
    <row r="226"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AC226" s="10"/>
    </row>
    <row r="227"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AC227" s="10"/>
    </row>
    <row r="228"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AC228" s="10"/>
    </row>
    <row r="229"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AC229" s="10"/>
    </row>
    <row r="230"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AC230" s="10"/>
    </row>
    <row r="231"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AC231" s="10"/>
    </row>
    <row r="232"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AC232" s="10"/>
    </row>
    <row r="233"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AC233" s="10"/>
    </row>
    <row r="234"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AC234" s="10"/>
    </row>
    <row r="235"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AC235" s="10"/>
    </row>
    <row r="236"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AC236" s="10"/>
    </row>
    <row r="237"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AC237" s="10"/>
    </row>
    <row r="238"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AC238" s="10"/>
    </row>
    <row r="239"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AC239" s="10"/>
    </row>
    <row r="240"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AC240" s="10"/>
    </row>
    <row r="241"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AC241" s="10"/>
    </row>
    <row r="242"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AC242" s="10"/>
    </row>
    <row r="243"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AC243" s="10"/>
    </row>
    <row r="244"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AC244" s="10"/>
    </row>
    <row r="245"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AC245" s="10"/>
    </row>
    <row r="246"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AC246" s="10"/>
    </row>
    <row r="247"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AC247" s="10"/>
    </row>
    <row r="248"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AC248" s="10"/>
    </row>
    <row r="249"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AC249" s="10"/>
    </row>
    <row r="250"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AC250" s="10"/>
    </row>
    <row r="251"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AC251" s="10"/>
    </row>
    <row r="252"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AC252" s="10"/>
    </row>
    <row r="253"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AC253" s="10"/>
    </row>
    <row r="254"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AC254" s="10"/>
    </row>
    <row r="255"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AC255" s="10"/>
    </row>
    <row r="256"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AC256" s="10"/>
    </row>
    <row r="257"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AC257" s="10"/>
    </row>
    <row r="258"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AC258" s="10"/>
    </row>
    <row r="259"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AC259" s="10"/>
    </row>
    <row r="260"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AC260" s="10"/>
    </row>
    <row r="261"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AC261" s="10"/>
    </row>
    <row r="262"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AC262" s="10"/>
    </row>
    <row r="263"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AC263" s="10"/>
    </row>
    <row r="264"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AC264" s="10"/>
    </row>
    <row r="265"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AC265" s="10"/>
    </row>
    <row r="266"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AC266" s="10"/>
    </row>
    <row r="267"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AC267" s="10"/>
    </row>
    <row r="268"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AC268" s="10"/>
    </row>
    <row r="269"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AC269" s="10"/>
    </row>
    <row r="270"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AC270" s="10"/>
    </row>
    <row r="271"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AC271" s="10"/>
    </row>
    <row r="272"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AC272" s="10"/>
    </row>
    <row r="273"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AC273" s="10"/>
    </row>
    <row r="274"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AC274" s="10"/>
    </row>
    <row r="275"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AC275" s="10"/>
    </row>
    <row r="276"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AC276" s="10"/>
    </row>
    <row r="277"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AC277" s="10"/>
    </row>
    <row r="278"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AC278" s="10"/>
    </row>
    <row r="279"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AC279" s="10"/>
    </row>
    <row r="280"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AC280" s="10"/>
    </row>
    <row r="281"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AC281" s="10"/>
    </row>
    <row r="282"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AC282" s="10"/>
    </row>
    <row r="283"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AC283" s="10"/>
    </row>
    <row r="284"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AC284" s="10"/>
    </row>
    <row r="285"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AC285" s="10"/>
    </row>
    <row r="286"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AC286" s="10"/>
    </row>
    <row r="287"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AC287" s="10"/>
    </row>
    <row r="288"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AC288" s="10"/>
    </row>
    <row r="289"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AC289" s="10"/>
    </row>
    <row r="290"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AC290" s="10"/>
    </row>
    <row r="291"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AC291" s="10"/>
    </row>
    <row r="292"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AC292" s="10"/>
    </row>
    <row r="293"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AC293" s="10"/>
    </row>
    <row r="294"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AC294" s="10"/>
    </row>
    <row r="295"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AC295" s="10"/>
    </row>
    <row r="296"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AC296" s="10"/>
    </row>
    <row r="297"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AC297" s="10"/>
    </row>
    <row r="298"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AC298" s="10"/>
    </row>
    <row r="299"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AC299" s="10"/>
    </row>
    <row r="300"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AC300" s="10"/>
    </row>
    <row r="301"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AC301" s="10"/>
    </row>
    <row r="302"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AC302" s="10"/>
    </row>
    <row r="303"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AC303" s="10"/>
    </row>
    <row r="304"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AC304" s="10"/>
    </row>
    <row r="305"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AC305" s="10"/>
    </row>
    <row r="306"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AC306" s="10"/>
    </row>
    <row r="307"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AC307" s="10"/>
    </row>
    <row r="308"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AC308" s="10"/>
    </row>
    <row r="309"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AC309" s="10"/>
    </row>
    <row r="310"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AC310" s="10"/>
    </row>
    <row r="311"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AC311" s="10"/>
    </row>
    <row r="312"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AC312" s="10"/>
    </row>
    <row r="313"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AC313" s="10"/>
    </row>
    <row r="314"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AC314" s="10"/>
    </row>
    <row r="315"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AC315" s="10"/>
    </row>
    <row r="316"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AC316" s="10"/>
    </row>
    <row r="317"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AC317" s="10"/>
    </row>
    <row r="318"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AC318" s="10"/>
    </row>
    <row r="319"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AC319" s="10"/>
    </row>
    <row r="320"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AC320" s="10"/>
    </row>
    <row r="321"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AC321" s="10"/>
    </row>
    <row r="322"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AC322" s="10"/>
    </row>
    <row r="323"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AC323" s="10"/>
    </row>
    <row r="324"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AC324" s="10"/>
    </row>
    <row r="325"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AC325" s="10"/>
    </row>
    <row r="326"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AC326" s="10"/>
    </row>
    <row r="327"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AC327" s="10"/>
    </row>
    <row r="328"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AC328" s="10"/>
    </row>
    <row r="329"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AC329" s="10"/>
    </row>
    <row r="330"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AC330" s="10"/>
    </row>
    <row r="331"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AC331" s="10"/>
    </row>
    <row r="332"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AC332" s="10"/>
    </row>
    <row r="333"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AC333" s="10"/>
    </row>
    <row r="334"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AC334" s="10"/>
    </row>
    <row r="335"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AC335" s="10"/>
    </row>
    <row r="336"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AC336" s="10"/>
    </row>
    <row r="337"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AC337" s="10"/>
    </row>
    <row r="338"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AC338" s="10"/>
    </row>
    <row r="339"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AC339" s="10"/>
    </row>
    <row r="340"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AC340" s="10"/>
    </row>
    <row r="341"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AC341" s="10"/>
    </row>
    <row r="342"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AC342" s="10"/>
    </row>
    <row r="343"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AC343" s="10"/>
    </row>
    <row r="344"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AC344" s="10"/>
    </row>
    <row r="345"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AC345" s="10"/>
    </row>
    <row r="346"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AC346" s="10"/>
    </row>
    <row r="347"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AC347" s="10"/>
    </row>
    <row r="348"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AC348" s="10"/>
    </row>
    <row r="349"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AC349" s="10"/>
    </row>
    <row r="350"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AC350" s="10"/>
    </row>
    <row r="351"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AC351" s="10"/>
    </row>
    <row r="352"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AC352" s="10"/>
    </row>
    <row r="353"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AC353" s="10"/>
    </row>
    <row r="354"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AC354" s="10"/>
    </row>
    <row r="355"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AC355" s="10"/>
    </row>
    <row r="356"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AC356" s="10"/>
    </row>
    <row r="357"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AC357" s="10"/>
    </row>
    <row r="358"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AC358" s="10"/>
    </row>
    <row r="359"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AC359" s="10"/>
    </row>
    <row r="360"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AC360" s="10"/>
    </row>
    <row r="361"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AC361" s="10"/>
    </row>
    <row r="362"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AC362" s="10"/>
    </row>
    <row r="363"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AC363" s="10"/>
    </row>
    <row r="364"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AC364" s="10"/>
    </row>
    <row r="365"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AC365" s="10"/>
    </row>
    <row r="366"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AC366" s="10"/>
    </row>
    <row r="367"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AC367" s="10"/>
    </row>
    <row r="368"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AC368" s="10"/>
    </row>
    <row r="369"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AC369" s="10"/>
    </row>
    <row r="370"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AC370" s="10"/>
    </row>
    <row r="371"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AC371" s="10"/>
    </row>
    <row r="372"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AC372" s="10"/>
    </row>
    <row r="373"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AC373" s="10"/>
    </row>
    <row r="374"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AC374" s="10"/>
    </row>
    <row r="375"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AC375" s="10"/>
    </row>
    <row r="376"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AC376" s="10"/>
    </row>
    <row r="377"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AC377" s="10"/>
    </row>
    <row r="378"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AC378" s="10"/>
    </row>
    <row r="379"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AC379" s="10"/>
    </row>
    <row r="380"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AC380" s="10"/>
    </row>
    <row r="381"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AC381" s="10"/>
    </row>
    <row r="382"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AC382" s="10"/>
    </row>
    <row r="383"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AC383" s="10"/>
    </row>
    <row r="384"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AC384" s="10"/>
    </row>
    <row r="385"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AC385" s="10"/>
    </row>
    <row r="386"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AC386" s="10"/>
    </row>
    <row r="387"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AC387" s="10"/>
    </row>
    <row r="388"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AC388" s="10"/>
    </row>
    <row r="389"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AC389" s="10"/>
    </row>
    <row r="390"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AC390" s="10"/>
    </row>
    <row r="391"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AC391" s="10"/>
    </row>
    <row r="392"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AC392" s="10"/>
    </row>
    <row r="393"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AC393" s="10"/>
    </row>
    <row r="394"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AC394" s="10"/>
    </row>
    <row r="395"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AC395" s="10"/>
    </row>
    <row r="396"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AC396" s="10"/>
    </row>
    <row r="397"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AC397" s="10"/>
    </row>
    <row r="398"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AC398" s="10"/>
    </row>
    <row r="399"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AC399" s="10"/>
    </row>
    <row r="400"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AC400" s="10"/>
    </row>
    <row r="401"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AC401" s="10"/>
    </row>
    <row r="402"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AC402" s="10"/>
    </row>
    <row r="403"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AC403" s="10"/>
    </row>
    <row r="404"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AC404" s="10"/>
    </row>
    <row r="405"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AC405" s="10"/>
    </row>
    <row r="406"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AC406" s="10"/>
    </row>
    <row r="407"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AC407" s="10"/>
    </row>
    <row r="408"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AC408" s="10"/>
    </row>
    <row r="409"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AC409" s="10"/>
    </row>
    <row r="410"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AC410" s="10"/>
    </row>
    <row r="411"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AC411" s="10"/>
    </row>
    <row r="412"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AC412" s="10"/>
    </row>
    <row r="413"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AC413" s="10"/>
    </row>
    <row r="414"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AC414" s="10"/>
    </row>
    <row r="415"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AC415" s="10"/>
    </row>
    <row r="416"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AC416" s="10"/>
    </row>
    <row r="417"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AC417" s="10"/>
    </row>
    <row r="418"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AC418" s="10"/>
    </row>
    <row r="419"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AC419" s="10"/>
    </row>
    <row r="420"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AC420" s="10"/>
    </row>
    <row r="421"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AC421" s="10"/>
    </row>
    <row r="422"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AC422" s="10"/>
    </row>
    <row r="423"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AC423" s="10"/>
    </row>
    <row r="424"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AC424" s="10"/>
    </row>
    <row r="425"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AC425" s="10"/>
    </row>
    <row r="426"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AC426" s="10"/>
    </row>
    <row r="427"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AC427" s="10"/>
    </row>
    <row r="428"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AC428" s="10"/>
    </row>
    <row r="429"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AC429" s="10"/>
    </row>
    <row r="430"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AC430" s="10"/>
    </row>
    <row r="431"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AC431" s="10"/>
    </row>
    <row r="432"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AC432" s="10"/>
    </row>
    <row r="433"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AC433" s="10"/>
    </row>
    <row r="434"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AC434" s="10"/>
    </row>
    <row r="435"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AC435" s="10"/>
    </row>
    <row r="436"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AC436" s="10"/>
    </row>
    <row r="437"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AC437" s="10"/>
    </row>
    <row r="438"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AC438" s="10"/>
    </row>
    <row r="439"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AC439" s="10"/>
    </row>
    <row r="440"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AC440" s="10"/>
    </row>
    <row r="441"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AC441" s="10"/>
    </row>
    <row r="442"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AC442" s="10"/>
    </row>
    <row r="443"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AC443" s="10"/>
    </row>
    <row r="444"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AC444" s="10"/>
    </row>
    <row r="445"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AC445" s="10"/>
    </row>
    <row r="446"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AC446" s="10"/>
    </row>
    <row r="447"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AC447" s="10"/>
    </row>
    <row r="448"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AC448" s="10"/>
    </row>
    <row r="449"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AC449" s="10"/>
    </row>
    <row r="450"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AC450" s="10"/>
    </row>
    <row r="451"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AC451" s="10"/>
    </row>
    <row r="452"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AC452" s="10"/>
    </row>
    <row r="453"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AC453" s="10"/>
    </row>
    <row r="454"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AC454" s="10"/>
    </row>
    <row r="455"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AC455" s="10"/>
    </row>
    <row r="456"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AC456" s="10"/>
    </row>
    <row r="457"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AC457" s="10"/>
    </row>
    <row r="458"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AC458" s="10"/>
    </row>
    <row r="459"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AC459" s="10"/>
    </row>
    <row r="460"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AC460" s="10"/>
    </row>
    <row r="461"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AC461" s="10"/>
    </row>
    <row r="462"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AC462" s="10"/>
    </row>
    <row r="463"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AC463" s="10"/>
    </row>
    <row r="464"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AC464" s="10"/>
    </row>
    <row r="465"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AC465" s="10"/>
    </row>
    <row r="466"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AC466" s="10"/>
    </row>
    <row r="467"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AC467" s="10"/>
    </row>
    <row r="468"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AC468" s="10"/>
    </row>
    <row r="469"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AC469" s="10"/>
    </row>
    <row r="470"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AC470" s="10"/>
    </row>
    <row r="471"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AC471" s="10"/>
    </row>
    <row r="472"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AC472" s="10"/>
    </row>
    <row r="473"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AC473" s="10"/>
    </row>
    <row r="474"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AC474" s="10"/>
    </row>
    <row r="475"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AC475" s="10"/>
    </row>
    <row r="476"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AC476" s="10"/>
    </row>
    <row r="477"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AC477" s="10"/>
    </row>
    <row r="478"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AC478" s="10"/>
    </row>
    <row r="479"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AC479" s="10"/>
    </row>
    <row r="480"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AC480" s="10"/>
    </row>
    <row r="481"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AC481" s="10"/>
    </row>
    <row r="482"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AC482" s="10"/>
    </row>
    <row r="483"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AC483" s="10"/>
    </row>
    <row r="484"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AC484" s="10"/>
    </row>
    <row r="485"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AC485" s="10"/>
    </row>
    <row r="486"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AC486" s="10"/>
    </row>
    <row r="487"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AC487" s="10"/>
    </row>
    <row r="488"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AC488" s="10"/>
    </row>
    <row r="489"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AC489" s="10"/>
    </row>
    <row r="490"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AC490" s="10"/>
    </row>
    <row r="491"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AC491" s="10"/>
    </row>
    <row r="492"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AC492" s="10"/>
    </row>
    <row r="493"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AC493" s="10"/>
    </row>
    <row r="494"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AC494" s="10"/>
    </row>
    <row r="495"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AC495" s="10"/>
    </row>
    <row r="496"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AC496" s="10"/>
    </row>
    <row r="497"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AC497" s="10"/>
    </row>
    <row r="498"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AC498" s="10"/>
    </row>
    <row r="499"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AC499" s="10"/>
    </row>
    <row r="500"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AC500" s="10"/>
    </row>
    <row r="501"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AC501" s="10"/>
    </row>
    <row r="502"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AC502" s="10"/>
    </row>
    <row r="503"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AC503" s="10"/>
    </row>
    <row r="504"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AC504" s="10"/>
    </row>
    <row r="505"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AC505" s="10"/>
    </row>
    <row r="506"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AC506" s="10"/>
    </row>
    <row r="507"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AC507" s="10"/>
    </row>
    <row r="508"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AC508" s="10"/>
    </row>
    <row r="509"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AC509" s="10"/>
    </row>
    <row r="510"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AC510" s="10"/>
    </row>
    <row r="511"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AC511" s="10"/>
    </row>
    <row r="512"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AC512" s="10"/>
    </row>
    <row r="513"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AC513" s="10"/>
    </row>
    <row r="514"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AC514" s="10"/>
    </row>
    <row r="515"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AC515" s="10"/>
    </row>
    <row r="516"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AC516" s="10"/>
    </row>
    <row r="517"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AC517" s="10"/>
    </row>
    <row r="518"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AC518" s="10"/>
    </row>
    <row r="519"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AC519" s="10"/>
    </row>
    <row r="520"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AC520" s="10"/>
    </row>
    <row r="521"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AC521" s="10"/>
    </row>
    <row r="522"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AC522" s="10"/>
    </row>
    <row r="523"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AC523" s="10"/>
    </row>
    <row r="524"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AC524" s="10"/>
    </row>
    <row r="525"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AC525" s="10"/>
    </row>
    <row r="526"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AC526" s="10"/>
    </row>
    <row r="527"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AC527" s="10"/>
    </row>
    <row r="528"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AC528" s="10"/>
    </row>
    <row r="529"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AC529" s="10"/>
    </row>
    <row r="530"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AC530" s="10"/>
    </row>
    <row r="531"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AC531" s="10"/>
    </row>
    <row r="532"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AC532" s="10"/>
    </row>
    <row r="533"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AC533" s="10"/>
    </row>
    <row r="534"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AC534" s="10"/>
    </row>
    <row r="535"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AC535" s="10"/>
    </row>
    <row r="536"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AC536" s="10"/>
    </row>
    <row r="537"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AC537" s="10"/>
    </row>
    <row r="538"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AC538" s="10"/>
    </row>
    <row r="539"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AC539" s="10"/>
    </row>
    <row r="540"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AC540" s="10"/>
    </row>
    <row r="541"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AC541" s="10"/>
    </row>
    <row r="542"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AC542" s="10"/>
    </row>
    <row r="543"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AC543" s="10"/>
    </row>
    <row r="544"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AC544" s="10"/>
    </row>
    <row r="545"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AC545" s="10"/>
    </row>
    <row r="546"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AC546" s="10"/>
    </row>
    <row r="547"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AC547" s="10"/>
    </row>
    <row r="548"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AC548" s="10"/>
    </row>
    <row r="549"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AC549" s="10"/>
    </row>
    <row r="550"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AC550" s="10"/>
    </row>
    <row r="551"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AC551" s="10"/>
    </row>
    <row r="552"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AC552" s="10"/>
    </row>
    <row r="553"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AC553" s="10"/>
    </row>
    <row r="554"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AC554" s="10"/>
    </row>
    <row r="555"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AC555" s="10"/>
    </row>
    <row r="556"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AC556" s="10"/>
    </row>
    <row r="557"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930"/>
      <c r="AC557" s="10"/>
    </row>
    <row r="558"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539"/>
      <c r="AC558" s="10"/>
    </row>
    <row r="559"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539"/>
      <c r="AC559" s="10"/>
    </row>
    <row r="560"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539"/>
      <c r="AC560" s="10"/>
    </row>
    <row r="561"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539"/>
      <c r="AC561" s="10"/>
    </row>
    <row r="562"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539"/>
      <c r="AC562" s="10"/>
    </row>
    <row r="563"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539"/>
      <c r="AC563" s="10"/>
    </row>
    <row r="564"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539"/>
      <c r="AC564" s="10"/>
    </row>
    <row r="565"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539"/>
      <c r="AC565" s="10"/>
    </row>
    <row r="566"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539"/>
      <c r="AC566" s="10"/>
    </row>
    <row r="567"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539"/>
      <c r="AC567" s="10"/>
    </row>
    <row r="568"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539"/>
      <c r="AC568" s="10"/>
    </row>
    <row r="569"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539"/>
      <c r="AC569" s="10"/>
    </row>
    <row r="570"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539"/>
      <c r="AC570" s="10"/>
    </row>
    <row r="571"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539"/>
      <c r="AC571" s="10"/>
    </row>
    <row r="572"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539"/>
      <c r="AC572" s="10"/>
    </row>
    <row r="573"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539"/>
      <c r="AC573" s="10"/>
    </row>
    <row r="574"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539"/>
      <c r="AC574" s="10"/>
    </row>
    <row r="575"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539"/>
      <c r="AC575" s="10"/>
    </row>
    <row r="576"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539"/>
      <c r="AC576" s="10"/>
    </row>
    <row r="577"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539"/>
      <c r="AC577" s="10"/>
    </row>
    <row r="578"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539"/>
      <c r="AC578" s="10"/>
    </row>
    <row r="579"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539"/>
      <c r="AC579" s="10"/>
    </row>
    <row r="580"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539"/>
      <c r="AC580" s="10"/>
    </row>
    <row r="581"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539"/>
      <c r="AC581" s="10"/>
    </row>
    <row r="582"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539"/>
      <c r="AC582" s="10"/>
    </row>
    <row r="583"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539"/>
      <c r="AC583" s="10"/>
    </row>
    <row r="584"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539"/>
      <c r="AC584" s="10"/>
    </row>
    <row r="585"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539"/>
      <c r="AC585" s="10"/>
    </row>
    <row r="586"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539"/>
      <c r="AC586" s="10"/>
    </row>
    <row r="587"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539"/>
      <c r="AC587" s="10"/>
    </row>
    <row r="588"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539"/>
      <c r="AC588" s="10"/>
    </row>
    <row r="589"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539"/>
      <c r="AC589" s="10"/>
    </row>
    <row r="590"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539"/>
      <c r="AC590" s="10"/>
    </row>
    <row r="591"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539"/>
      <c r="AC591" s="10"/>
    </row>
    <row r="592"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539"/>
      <c r="AC592" s="10"/>
    </row>
    <row r="593"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539"/>
      <c r="AC593" s="10"/>
    </row>
    <row r="594"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539"/>
      <c r="AC594" s="10"/>
    </row>
    <row r="595"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539"/>
      <c r="AC595" s="10"/>
    </row>
    <row r="596"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539"/>
      <c r="AC596" s="10"/>
    </row>
    <row r="597"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539"/>
      <c r="AC597" s="10"/>
    </row>
    <row r="598"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539"/>
      <c r="AC598" s="10"/>
    </row>
    <row r="599"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539"/>
      <c r="AC599" s="10"/>
    </row>
    <row r="600"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539"/>
      <c r="AC600" s="10"/>
    </row>
    <row r="601"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539"/>
      <c r="AC601" s="10"/>
    </row>
    <row r="602"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539"/>
      <c r="AC602" s="10"/>
    </row>
    <row r="603"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539"/>
      <c r="AC603" s="10"/>
    </row>
    <row r="604"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539"/>
      <c r="AC604" s="10"/>
    </row>
    <row r="605"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539"/>
      <c r="AC605" s="10"/>
    </row>
    <row r="606"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539"/>
      <c r="AC606" s="10"/>
    </row>
    <row r="607"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539"/>
      <c r="AC607" s="10"/>
    </row>
    <row r="608"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539"/>
      <c r="AC608" s="10"/>
    </row>
    <row r="609"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539"/>
      <c r="AC609" s="10"/>
    </row>
    <row r="610"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539"/>
      <c r="AC610" s="10"/>
    </row>
    <row r="611"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539"/>
      <c r="AC611" s="10"/>
    </row>
    <row r="612"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539"/>
      <c r="AC612" s="10"/>
    </row>
    <row r="613"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539"/>
      <c r="AC613" s="10"/>
    </row>
    <row r="614"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539"/>
      <c r="AC614" s="10"/>
    </row>
    <row r="615"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539"/>
      <c r="AC615" s="10"/>
    </row>
    <row r="616"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539"/>
      <c r="AC616" s="10"/>
    </row>
    <row r="617"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539"/>
      <c r="AC617" s="10"/>
    </row>
    <row r="618"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539"/>
      <c r="AC618" s="10"/>
    </row>
    <row r="619"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539"/>
      <c r="AC619" s="10"/>
    </row>
    <row r="620"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539"/>
      <c r="AC620" s="10"/>
    </row>
    <row r="621"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539"/>
      <c r="AC621" s="10"/>
    </row>
    <row r="622"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539"/>
      <c r="AC622" s="10"/>
    </row>
    <row r="623"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539"/>
      <c r="AC623" s="10"/>
    </row>
    <row r="624"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539"/>
      <c r="AC624" s="10"/>
    </row>
    <row r="625"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539"/>
      <c r="AC625" s="10"/>
    </row>
    <row r="626"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539"/>
      <c r="AC626" s="10"/>
    </row>
    <row r="627"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539"/>
      <c r="AC627" s="10"/>
    </row>
    <row r="628"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539"/>
      <c r="AC628" s="10"/>
    </row>
    <row r="629"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539"/>
      <c r="AC629" s="10"/>
    </row>
    <row r="630"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539"/>
      <c r="AC630" s="10"/>
    </row>
    <row r="631"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539"/>
      <c r="AC631" s="10"/>
    </row>
    <row r="632"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539"/>
      <c r="AC632" s="10"/>
    </row>
    <row r="633"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539"/>
      <c r="AC633" s="10"/>
    </row>
    <row r="634"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539"/>
      <c r="AC634" s="10"/>
    </row>
    <row r="635"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539"/>
      <c r="AC635" s="10"/>
    </row>
    <row r="636"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539"/>
      <c r="AC636" s="10"/>
    </row>
    <row r="637"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539"/>
      <c r="AC637" s="10"/>
    </row>
    <row r="638"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539"/>
      <c r="AC638" s="10"/>
    </row>
    <row r="639"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539"/>
      <c r="AC639" s="10"/>
    </row>
    <row r="640"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539"/>
      <c r="AC640" s="10"/>
    </row>
    <row r="641"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539"/>
      <c r="AC641" s="10"/>
    </row>
    <row r="642"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539"/>
      <c r="AC642" s="10"/>
    </row>
    <row r="643"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539"/>
      <c r="AC643" s="10"/>
    </row>
    <row r="644"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539"/>
      <c r="AC644" s="10"/>
    </row>
    <row r="645"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539"/>
      <c r="AC645" s="10"/>
    </row>
    <row r="646"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539"/>
      <c r="AC646" s="10"/>
    </row>
    <row r="647"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539"/>
      <c r="AC647" s="10"/>
    </row>
    <row r="648"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539"/>
      <c r="AC648" s="10"/>
    </row>
    <row r="649"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539"/>
      <c r="AC649" s="10"/>
    </row>
    <row r="650"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539"/>
      <c r="AC650" s="10"/>
    </row>
    <row r="651"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539"/>
      <c r="AC651" s="10"/>
    </row>
    <row r="652"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539"/>
      <c r="AC652" s="10"/>
    </row>
    <row r="653"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539"/>
      <c r="AC653" s="10"/>
    </row>
    <row r="654"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539"/>
      <c r="AC654" s="10"/>
    </row>
    <row r="655"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539"/>
      <c r="AC655" s="10"/>
    </row>
    <row r="656"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539"/>
      <c r="AC656" s="10"/>
    </row>
    <row r="657"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539"/>
      <c r="AC657" s="10"/>
    </row>
    <row r="658"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539"/>
      <c r="AC658" s="10"/>
    </row>
    <row r="659"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539"/>
      <c r="AC659" s="10"/>
    </row>
    <row r="660"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539"/>
      <c r="AC660" s="10"/>
    </row>
    <row r="661"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539"/>
      <c r="AC661" s="10"/>
    </row>
    <row r="662"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539"/>
      <c r="AC662" s="10"/>
    </row>
    <row r="663"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539"/>
      <c r="AC663" s="10"/>
    </row>
    <row r="664"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539"/>
      <c r="AC664" s="10"/>
    </row>
    <row r="665"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539"/>
      <c r="AC665" s="10"/>
    </row>
    <row r="666"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539"/>
      <c r="AC666" s="10"/>
    </row>
    <row r="667"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539"/>
      <c r="AC667" s="10"/>
    </row>
    <row r="668"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539"/>
      <c r="AC668" s="10"/>
    </row>
    <row r="669"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539"/>
      <c r="AC669" s="10"/>
    </row>
    <row r="670"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539"/>
      <c r="AC670" s="10"/>
    </row>
    <row r="671"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539"/>
      <c r="AC671" s="10"/>
    </row>
    <row r="672"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539"/>
      <c r="AC672" s="10"/>
    </row>
    <row r="673"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539"/>
      <c r="AC673" s="10"/>
    </row>
    <row r="674"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539"/>
      <c r="AC674" s="10"/>
    </row>
    <row r="675"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539"/>
      <c r="AC675" s="10"/>
    </row>
    <row r="676"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539"/>
      <c r="AC676" s="10"/>
    </row>
    <row r="677"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539"/>
      <c r="AC677" s="10"/>
    </row>
    <row r="678"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539"/>
      <c r="AC678" s="10"/>
    </row>
    <row r="679"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539"/>
      <c r="AC679" s="10"/>
    </row>
    <row r="680"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539"/>
      <c r="AC680" s="10"/>
    </row>
    <row r="681"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539"/>
      <c r="AC681" s="10"/>
    </row>
    <row r="682"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539"/>
      <c r="AC682" s="10"/>
    </row>
    <row r="683"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539"/>
      <c r="AC683" s="10"/>
    </row>
    <row r="684"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539"/>
      <c r="AC684" s="10"/>
    </row>
    <row r="685"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539"/>
      <c r="AC685" s="10"/>
    </row>
    <row r="686"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539"/>
      <c r="AC686" s="10"/>
    </row>
    <row r="687"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539"/>
      <c r="AC687" s="10"/>
    </row>
    <row r="688"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539"/>
      <c r="AC688" s="10"/>
    </row>
    <row r="689"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539"/>
      <c r="AC689" s="10"/>
    </row>
    <row r="690"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539"/>
      <c r="AC690" s="10"/>
    </row>
    <row r="691"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539"/>
      <c r="AC691" s="10"/>
    </row>
    <row r="692"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539"/>
      <c r="AC692" s="10"/>
    </row>
    <row r="693"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539"/>
      <c r="AC693" s="10"/>
    </row>
    <row r="694"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539"/>
      <c r="AC694" s="10"/>
    </row>
    <row r="695"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539"/>
      <c r="AC695" s="10"/>
    </row>
    <row r="696"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539"/>
      <c r="AC696" s="10"/>
    </row>
    <row r="697"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539"/>
      <c r="AC697" s="10"/>
    </row>
    <row r="698"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539"/>
      <c r="AC698" s="10"/>
    </row>
    <row r="699"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539"/>
      <c r="AC699" s="10"/>
    </row>
    <row r="700"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539"/>
      <c r="AC700" s="10"/>
    </row>
    <row r="701"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539"/>
      <c r="AC701" s="10"/>
    </row>
    <row r="702"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539"/>
      <c r="AC702" s="10"/>
    </row>
    <row r="703"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539"/>
      <c r="AC703" s="10"/>
    </row>
    <row r="704"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539"/>
      <c r="AC704" s="10"/>
    </row>
    <row r="705"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539"/>
      <c r="AC705" s="10"/>
    </row>
    <row r="706"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539"/>
      <c r="AC706" s="10"/>
    </row>
    <row r="707"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539"/>
      <c r="AC707" s="10"/>
    </row>
    <row r="708"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539"/>
      <c r="AC708" s="10"/>
    </row>
    <row r="709"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539"/>
      <c r="AC709" s="10"/>
    </row>
    <row r="710"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539"/>
      <c r="AC710" s="10"/>
    </row>
    <row r="711"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539"/>
      <c r="AC711" s="10"/>
    </row>
    <row r="712"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539"/>
      <c r="AC712" s="10"/>
    </row>
    <row r="713"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539"/>
      <c r="AC713" s="10"/>
    </row>
    <row r="714"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539"/>
      <c r="AC714" s="10"/>
    </row>
    <row r="715"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539"/>
      <c r="AC715" s="10"/>
    </row>
    <row r="716"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539"/>
      <c r="AC716" s="10"/>
    </row>
    <row r="717"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539"/>
      <c r="AC717" s="10"/>
    </row>
    <row r="718"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539"/>
      <c r="AC718" s="10"/>
    </row>
    <row r="719"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539"/>
      <c r="AC719" s="10"/>
    </row>
    <row r="720"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539"/>
      <c r="AC720" s="10"/>
    </row>
    <row r="721"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539"/>
      <c r="AC721" s="10"/>
    </row>
    <row r="722"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539"/>
      <c r="AC722" s="10"/>
    </row>
    <row r="723"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539"/>
      <c r="AC723" s="10"/>
    </row>
    <row r="724"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539"/>
      <c r="AC724" s="10"/>
    </row>
    <row r="725"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539"/>
      <c r="AC725" s="10"/>
    </row>
    <row r="726"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539"/>
      <c r="AC726" s="10"/>
    </row>
    <row r="727"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539"/>
      <c r="AC727" s="10"/>
    </row>
    <row r="728"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539"/>
      <c r="AC728" s="10"/>
    </row>
    <row r="729"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539"/>
      <c r="AC729" s="10"/>
    </row>
    <row r="730"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539"/>
      <c r="AC730" s="10"/>
    </row>
    <row r="731"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539"/>
      <c r="AC731" s="10"/>
    </row>
    <row r="732"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539"/>
      <c r="AC732" s="10"/>
    </row>
    <row r="733"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539"/>
      <c r="AC733" s="10"/>
    </row>
    <row r="734"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539"/>
      <c r="AC734" s="10"/>
    </row>
    <row r="735"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539"/>
      <c r="AC735" s="10"/>
    </row>
    <row r="736"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539"/>
      <c r="AC736" s="10"/>
    </row>
    <row r="737"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539"/>
      <c r="AC737" s="10"/>
    </row>
    <row r="738"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539"/>
      <c r="AC738" s="10"/>
    </row>
    <row r="739"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539"/>
      <c r="AC739" s="10"/>
    </row>
    <row r="740"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539"/>
      <c r="AC740" s="10"/>
    </row>
    <row r="741"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539"/>
      <c r="AC741" s="10"/>
    </row>
    <row r="742"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539"/>
      <c r="AC742" s="10"/>
    </row>
    <row r="743"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539"/>
      <c r="AC743" s="10"/>
    </row>
    <row r="744"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539"/>
      <c r="AC744" s="10"/>
    </row>
    <row r="745"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539"/>
      <c r="AC745" s="10"/>
    </row>
    <row r="746"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539"/>
      <c r="AC746" s="10"/>
    </row>
    <row r="747"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539"/>
      <c r="AC747" s="10"/>
    </row>
    <row r="748"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539"/>
      <c r="AC748" s="10"/>
    </row>
    <row r="749"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539"/>
      <c r="AC749" s="10"/>
    </row>
    <row r="750"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539"/>
      <c r="AC750" s="10"/>
    </row>
    <row r="751"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539"/>
      <c r="AC751" s="10"/>
    </row>
    <row r="752"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539"/>
      <c r="AC752" s="10"/>
    </row>
    <row r="753"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539"/>
      <c r="AC753" s="10"/>
    </row>
    <row r="754"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539"/>
      <c r="AC754" s="10"/>
    </row>
    <row r="755"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539"/>
      <c r="AC755" s="10"/>
    </row>
    <row r="756"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539"/>
      <c r="AC756" s="10"/>
    </row>
    <row r="757"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539"/>
      <c r="AC757" s="10"/>
    </row>
    <row r="758"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539"/>
      <c r="AC758" s="10"/>
    </row>
    <row r="759"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539"/>
      <c r="AC759" s="10"/>
    </row>
    <row r="760"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539"/>
      <c r="AC760" s="10"/>
    </row>
    <row r="761"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539"/>
      <c r="AC761" s="10"/>
    </row>
    <row r="762"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539"/>
      <c r="AC762" s="10"/>
    </row>
    <row r="763"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539"/>
      <c r="AC763" s="10"/>
    </row>
    <row r="764"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539"/>
      <c r="AC764" s="10"/>
    </row>
    <row r="765"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539"/>
      <c r="AC765" s="10"/>
    </row>
    <row r="766"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539"/>
      <c r="AC766" s="10"/>
    </row>
    <row r="767"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539"/>
      <c r="AC767" s="10"/>
    </row>
    <row r="768"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539"/>
      <c r="AC768" s="10"/>
    </row>
    <row r="769"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539"/>
      <c r="AC769" s="10"/>
    </row>
    <row r="770"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539"/>
      <c r="AC770" s="10"/>
    </row>
    <row r="771"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539"/>
      <c r="AC771" s="10"/>
    </row>
    <row r="772"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539"/>
      <c r="AC772" s="10"/>
    </row>
    <row r="773"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539"/>
      <c r="AC773" s="10"/>
    </row>
    <row r="774"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539"/>
      <c r="AC774" s="10"/>
    </row>
    <row r="775"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539"/>
      <c r="AC775" s="10"/>
    </row>
    <row r="776"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539"/>
      <c r="AC776" s="10"/>
    </row>
    <row r="777"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539"/>
      <c r="AC777" s="10"/>
    </row>
    <row r="778"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539"/>
      <c r="AC778" s="10"/>
    </row>
    <row r="779"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539"/>
      <c r="AC779" s="10"/>
    </row>
    <row r="780"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539"/>
      <c r="AC780" s="10"/>
    </row>
    <row r="781"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539"/>
      <c r="AC781" s="10"/>
    </row>
    <row r="782"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539"/>
      <c r="AC782" s="10"/>
    </row>
    <row r="783"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539"/>
      <c r="AC783" s="10"/>
    </row>
    <row r="784"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539"/>
      <c r="AC784" s="10"/>
    </row>
    <row r="785"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539"/>
      <c r="AC785" s="10"/>
    </row>
    <row r="786"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539"/>
      <c r="AC786" s="10"/>
    </row>
    <row r="787"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539"/>
      <c r="AC787" s="10"/>
    </row>
    <row r="788"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539"/>
      <c r="AC788" s="10"/>
    </row>
    <row r="789"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539"/>
      <c r="AC789" s="10"/>
    </row>
    <row r="790"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539"/>
      <c r="AC790" s="10"/>
    </row>
    <row r="791"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539"/>
      <c r="AC791" s="10"/>
    </row>
    <row r="792"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539"/>
      <c r="AC792" s="10"/>
    </row>
    <row r="793"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539"/>
      <c r="AC793" s="10"/>
    </row>
    <row r="794"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539"/>
      <c r="AC794" s="10"/>
    </row>
    <row r="795"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539"/>
      <c r="AC795" s="10"/>
    </row>
    <row r="796"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539"/>
      <c r="AC796" s="10"/>
    </row>
    <row r="797"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539"/>
      <c r="AC797" s="10"/>
    </row>
    <row r="798"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539"/>
      <c r="AC798" s="10"/>
    </row>
    <row r="799"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539"/>
      <c r="AC799" s="10"/>
    </row>
    <row r="800"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539"/>
      <c r="AC800" s="10"/>
    </row>
    <row r="801"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539"/>
      <c r="AC801" s="10"/>
    </row>
    <row r="802"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539"/>
      <c r="AC802" s="10"/>
    </row>
    <row r="803"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539"/>
      <c r="AC803" s="10"/>
    </row>
    <row r="804"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539"/>
      <c r="AC804" s="10"/>
    </row>
    <row r="805"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539"/>
      <c r="AC805" s="10"/>
    </row>
    <row r="806"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539"/>
      <c r="AC806" s="10"/>
    </row>
    <row r="807"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539"/>
      <c r="AC807" s="10"/>
    </row>
    <row r="808"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539"/>
      <c r="AC808" s="10"/>
    </row>
    <row r="809"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539"/>
      <c r="AC809" s="10"/>
    </row>
    <row r="810"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539"/>
      <c r="AC810" s="10"/>
    </row>
    <row r="811"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539"/>
      <c r="AC811" s="10"/>
    </row>
    <row r="812"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539"/>
      <c r="AC812" s="10"/>
    </row>
    <row r="813"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539"/>
      <c r="AC813" s="10"/>
    </row>
    <row r="814"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539"/>
      <c r="AC814" s="10"/>
    </row>
    <row r="815"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539"/>
      <c r="AC815" s="10"/>
    </row>
    <row r="816"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539"/>
      <c r="AC816" s="10"/>
    </row>
    <row r="817"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539"/>
      <c r="AC817" s="10"/>
    </row>
    <row r="818"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539"/>
      <c r="AC818" s="10"/>
    </row>
    <row r="819"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539"/>
      <c r="AC819" s="10"/>
    </row>
    <row r="820"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539"/>
      <c r="AC820" s="10"/>
    </row>
    <row r="821"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539"/>
      <c r="AC821" s="10"/>
    </row>
    <row r="822"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539"/>
      <c r="AC822" s="10"/>
    </row>
    <row r="823"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539"/>
      <c r="AC823" s="10"/>
    </row>
    <row r="824"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539"/>
      <c r="AC824" s="10"/>
    </row>
    <row r="825"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539"/>
      <c r="AC825" s="10"/>
    </row>
    <row r="826"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539"/>
      <c r="AC826" s="10"/>
    </row>
    <row r="827"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539"/>
      <c r="AC827" s="10"/>
    </row>
    <row r="828"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539"/>
      <c r="AC828" s="10"/>
    </row>
    <row r="829"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539"/>
      <c r="AC829" s="10"/>
    </row>
    <row r="830"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539"/>
      <c r="AC830" s="10"/>
    </row>
    <row r="831"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539"/>
      <c r="AC831" s="10"/>
    </row>
    <row r="832"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539"/>
      <c r="AC832" s="10"/>
    </row>
    <row r="833"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539"/>
      <c r="AC833" s="10"/>
    </row>
    <row r="834"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539"/>
      <c r="AC834" s="10"/>
    </row>
    <row r="835"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539"/>
      <c r="AC835" s="10"/>
    </row>
    <row r="836"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539"/>
      <c r="AC836" s="10"/>
    </row>
    <row r="837"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539"/>
      <c r="AC837" s="10"/>
    </row>
    <row r="838"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539"/>
      <c r="AC838" s="10"/>
    </row>
    <row r="839"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539"/>
      <c r="AC839" s="10"/>
    </row>
    <row r="840"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539"/>
      <c r="AC840" s="10"/>
    </row>
    <row r="841"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539"/>
      <c r="AC841" s="10"/>
    </row>
    <row r="842"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539"/>
      <c r="AC842" s="10"/>
    </row>
    <row r="843"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539"/>
      <c r="AC843" s="10"/>
    </row>
    <row r="844"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539"/>
      <c r="AC844" s="10"/>
    </row>
    <row r="845"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539"/>
      <c r="AC845" s="10"/>
    </row>
    <row r="846"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539"/>
      <c r="AC846" s="10"/>
    </row>
    <row r="847"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539"/>
      <c r="AC847" s="10"/>
    </row>
    <row r="848"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539"/>
      <c r="AC848" s="10"/>
    </row>
    <row r="849"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539"/>
      <c r="AC849" s="10"/>
    </row>
    <row r="850"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539"/>
      <c r="AC850" s="10"/>
    </row>
    <row r="851"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539"/>
      <c r="AC851" s="10"/>
    </row>
    <row r="852"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539"/>
      <c r="AC852" s="10"/>
    </row>
    <row r="853"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539"/>
      <c r="AC853" s="10"/>
    </row>
    <row r="854"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539"/>
      <c r="AC854" s="10"/>
    </row>
    <row r="855"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539"/>
      <c r="AC855" s="10"/>
    </row>
    <row r="856"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539"/>
      <c r="AC856" s="10"/>
    </row>
    <row r="857"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539"/>
      <c r="AC857" s="10"/>
    </row>
    <row r="858"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539"/>
      <c r="AC858" s="10"/>
    </row>
    <row r="859"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539"/>
      <c r="AC859" s="10"/>
    </row>
    <row r="860"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539"/>
      <c r="AC860" s="10"/>
    </row>
    <row r="861"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539"/>
      <c r="AC861" s="10"/>
    </row>
    <row r="862"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539"/>
      <c r="AC862" s="10"/>
    </row>
    <row r="863"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539"/>
      <c r="AC863" s="10"/>
    </row>
    <row r="864"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539"/>
      <c r="AC864" s="10"/>
    </row>
    <row r="865"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539"/>
      <c r="AC865" s="10"/>
    </row>
    <row r="866"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539"/>
      <c r="AC866" s="10"/>
    </row>
    <row r="867"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539"/>
      <c r="AC867" s="10"/>
    </row>
    <row r="868"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539"/>
      <c r="AC868" s="10"/>
    </row>
    <row r="869"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539"/>
      <c r="AC869" s="10"/>
    </row>
    <row r="870"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539"/>
      <c r="AC870" s="10"/>
    </row>
    <row r="871"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539"/>
      <c r="AC871" s="10"/>
    </row>
    <row r="872"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539"/>
      <c r="AC872" s="10"/>
    </row>
    <row r="873"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539"/>
      <c r="AC873" s="10"/>
    </row>
    <row r="874"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539"/>
      <c r="AC874" s="10"/>
    </row>
    <row r="875"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539"/>
      <c r="AC875" s="10"/>
    </row>
    <row r="876"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539"/>
      <c r="AC876" s="10"/>
    </row>
    <row r="877"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539"/>
      <c r="AC877" s="10"/>
    </row>
    <row r="878"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539"/>
      <c r="AC878" s="10"/>
    </row>
    <row r="879"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539"/>
      <c r="AC879" s="10"/>
    </row>
    <row r="880"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539"/>
      <c r="AC880" s="10"/>
    </row>
    <row r="881"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539"/>
      <c r="AC881" s="10"/>
    </row>
    <row r="882"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539"/>
      <c r="AC882" s="10"/>
    </row>
    <row r="883"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539"/>
      <c r="AC883" s="10"/>
    </row>
    <row r="884"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539"/>
      <c r="AC884" s="10"/>
    </row>
    <row r="885"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539"/>
      <c r="AC885" s="10"/>
    </row>
    <row r="886"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539"/>
      <c r="AC886" s="10"/>
    </row>
    <row r="887"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539"/>
      <c r="AC887" s="10"/>
    </row>
    <row r="888"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539"/>
      <c r="AC888" s="10"/>
    </row>
    <row r="889"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539"/>
      <c r="AC889" s="10"/>
    </row>
    <row r="890"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539"/>
      <c r="AC890" s="10"/>
    </row>
    <row r="891"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539"/>
      <c r="AC891" s="10"/>
    </row>
    <row r="892"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539"/>
      <c r="AC892" s="10"/>
    </row>
    <row r="893"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539"/>
      <c r="AC893" s="10"/>
    </row>
    <row r="894"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539"/>
      <c r="AC894" s="10"/>
    </row>
    <row r="895"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539"/>
      <c r="AC895" s="10"/>
    </row>
    <row r="896"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539"/>
      <c r="AC896" s="10"/>
    </row>
    <row r="897"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539"/>
      <c r="AC897" s="10"/>
    </row>
    <row r="898"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539"/>
      <c r="AC898" s="10"/>
    </row>
    <row r="899"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539"/>
      <c r="AC899" s="10"/>
    </row>
    <row r="900"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539"/>
      <c r="AC900" s="10"/>
    </row>
    <row r="901"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539"/>
      <c r="AC901" s="10"/>
    </row>
    <row r="902"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539"/>
      <c r="AC902" s="10"/>
    </row>
    <row r="903"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539"/>
      <c r="AC903" s="10"/>
    </row>
    <row r="904"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539"/>
      <c r="AC904" s="10"/>
    </row>
    <row r="905"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539"/>
      <c r="AC905" s="10"/>
    </row>
    <row r="906"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539"/>
      <c r="AC906" s="10"/>
    </row>
    <row r="907"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539"/>
      <c r="AC907" s="10"/>
    </row>
    <row r="908"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539"/>
      <c r="AC908" s="10"/>
    </row>
    <row r="909"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539"/>
      <c r="AC909" s="10"/>
    </row>
    <row r="910"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539"/>
      <c r="AC910" s="10"/>
    </row>
    <row r="911"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539"/>
      <c r="AC911" s="10"/>
    </row>
    <row r="912"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539"/>
      <c r="AC912" s="10"/>
    </row>
    <row r="913"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539"/>
      <c r="AC913" s="10"/>
    </row>
    <row r="914"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539"/>
      <c r="AC914" s="10"/>
    </row>
    <row r="915"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539"/>
      <c r="AC915" s="10"/>
    </row>
    <row r="916"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539"/>
      <c r="AC916" s="10"/>
    </row>
    <row r="917"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539"/>
      <c r="AC917" s="10"/>
    </row>
    <row r="918"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539"/>
      <c r="AC918" s="10"/>
    </row>
    <row r="919"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539"/>
      <c r="AC919" s="10"/>
    </row>
    <row r="920"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539"/>
      <c r="AC920" s="10"/>
    </row>
    <row r="921"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539"/>
      <c r="AC921" s="10"/>
    </row>
    <row r="922"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539"/>
      <c r="AC922" s="10"/>
    </row>
    <row r="923"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539"/>
      <c r="AC923" s="10"/>
    </row>
    <row r="924"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539"/>
      <c r="AC924" s="10"/>
    </row>
    <row r="925"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539"/>
      <c r="AC925" s="10"/>
    </row>
    <row r="926"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539"/>
      <c r="AC926" s="10"/>
    </row>
    <row r="927"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539"/>
      <c r="AC927" s="10"/>
    </row>
    <row r="928"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539"/>
      <c r="AC928" s="10"/>
    </row>
    <row r="929"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539"/>
      <c r="AC929" s="10"/>
    </row>
    <row r="930"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539"/>
      <c r="AC930" s="10"/>
    </row>
    <row r="931"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539"/>
      <c r="AC931" s="10"/>
    </row>
    <row r="932"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539"/>
      <c r="AC932" s="10"/>
    </row>
    <row r="933"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539"/>
      <c r="AC933" s="10"/>
    </row>
    <row r="934"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539"/>
      <c r="AC934" s="10"/>
    </row>
    <row r="935"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539"/>
      <c r="AC935" s="10"/>
    </row>
    <row r="936"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539"/>
      <c r="AC936" s="10"/>
    </row>
    <row r="937"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539"/>
      <c r="AC937" s="10"/>
    </row>
    <row r="938"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539"/>
      <c r="AC938" s="10"/>
    </row>
    <row r="939"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539"/>
      <c r="AC939" s="10"/>
    </row>
    <row r="940"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539"/>
      <c r="AC940" s="10"/>
    </row>
    <row r="941"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539"/>
      <c r="AC941" s="10"/>
    </row>
    <row r="942"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539"/>
      <c r="AC942" s="10"/>
    </row>
    <row r="943"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539"/>
      <c r="AC943" s="10"/>
    </row>
    <row r="944"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539"/>
      <c r="AC944" s="10"/>
    </row>
    <row r="945"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539"/>
      <c r="AC945" s="10"/>
    </row>
    <row r="946"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539"/>
      <c r="AC946" s="10"/>
    </row>
    <row r="947"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539"/>
      <c r="AC947" s="10"/>
    </row>
    <row r="948"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539"/>
      <c r="AC948" s="10"/>
    </row>
    <row r="949"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539"/>
      <c r="AC949" s="10"/>
    </row>
    <row r="950"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539"/>
      <c r="AC950" s="10"/>
    </row>
    <row r="951"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539"/>
      <c r="AC951" s="10"/>
    </row>
    <row r="952"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539"/>
      <c r="AC952" s="10"/>
    </row>
    <row r="953"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539"/>
      <c r="AC953" s="10"/>
    </row>
    <row r="954"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539"/>
      <c r="AC954" s="10"/>
    </row>
    <row r="955"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539"/>
      <c r="AC955" s="10"/>
    </row>
    <row r="956"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539"/>
      <c r="AC956" s="10"/>
    </row>
    <row r="957"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539"/>
      <c r="AC957" s="10"/>
    </row>
    <row r="958"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539"/>
      <c r="AC958" s="10"/>
    </row>
    <row r="959"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539"/>
      <c r="AC959" s="10"/>
    </row>
    <row r="960"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539"/>
      <c r="AC960" s="10"/>
    </row>
    <row r="961"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539"/>
      <c r="AC961" s="10"/>
    </row>
    <row r="962"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539"/>
      <c r="AC962" s="10"/>
    </row>
    <row r="963"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539"/>
      <c r="AC963" s="10"/>
    </row>
    <row r="964"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539"/>
      <c r="AC964" s="10"/>
    </row>
    <row r="965"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539"/>
      <c r="AC965" s="10"/>
    </row>
    <row r="966"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539"/>
      <c r="AC966" s="10"/>
    </row>
    <row r="967"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539"/>
      <c r="AC967" s="10"/>
    </row>
    <row r="968"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539"/>
      <c r="AC968" s="10"/>
    </row>
    <row r="969"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539"/>
      <c r="AC969" s="10"/>
    </row>
    <row r="970"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539"/>
      <c r="AC970" s="10"/>
    </row>
    <row r="971"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539"/>
      <c r="AC971" s="10"/>
    </row>
    <row r="972"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539"/>
      <c r="AC972" s="10"/>
    </row>
    <row r="973"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539"/>
      <c r="AC973" s="10"/>
    </row>
    <row r="974"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539"/>
      <c r="AC974" s="10"/>
    </row>
    <row r="975"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539"/>
      <c r="AC975" s="10"/>
    </row>
    <row r="976"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539"/>
      <c r="AC976" s="10"/>
    </row>
    <row r="977"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539"/>
      <c r="AC977" s="10"/>
    </row>
    <row r="978"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539"/>
      <c r="AC978" s="10"/>
    </row>
    <row r="979"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539"/>
      <c r="AC979" s="10"/>
    </row>
    <row r="980"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539"/>
      <c r="AC980" s="10"/>
    </row>
    <row r="981"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539"/>
      <c r="AC981" s="10"/>
    </row>
    <row r="982"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539"/>
      <c r="AC982" s="10"/>
    </row>
    <row r="983"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539"/>
      <c r="AC983" s="10"/>
    </row>
    <row r="984"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539"/>
      <c r="AC984" s="10"/>
    </row>
    <row r="985"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539"/>
      <c r="AC985" s="10"/>
    </row>
    <row r="986"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539"/>
      <c r="AC986" s="10"/>
    </row>
    <row r="987"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539"/>
      <c r="AC987" s="10"/>
    </row>
    <row r="988"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539"/>
      <c r="AC988" s="10"/>
    </row>
    <row r="989"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539"/>
      <c r="AC989" s="10"/>
    </row>
    <row r="990"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539"/>
      <c r="AC990" s="10"/>
    </row>
    <row r="991"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539"/>
      <c r="AC991" s="10"/>
    </row>
    <row r="992"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539"/>
      <c r="AC992" s="10"/>
    </row>
  </sheetData>
  <mergeCells count="1">
    <mergeCell ref="B2:C2"/>
  </mergeCells>
  <conditionalFormatting sqref="E3">
    <cfRule type="timePeriod" dxfId="11" priority="1" timePeriod="today"/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7" max="7" width="7.38"/>
    <col customWidth="1" min="8" max="8" width="6.63"/>
    <col customWidth="1" min="15" max="15" width="7.25"/>
  </cols>
  <sheetData>
    <row r="1">
      <c r="A1" s="579"/>
      <c r="B1" s="931" t="s">
        <v>350</v>
      </c>
      <c r="C1" s="932"/>
      <c r="D1" s="932"/>
      <c r="E1" s="932"/>
      <c r="F1" s="932"/>
      <c r="G1" s="579"/>
      <c r="H1" s="932"/>
      <c r="I1" s="931" t="s">
        <v>369</v>
      </c>
      <c r="J1" s="932"/>
      <c r="K1" s="932"/>
      <c r="L1" s="932"/>
      <c r="M1" s="932"/>
      <c r="N1" s="579"/>
      <c r="O1" s="932"/>
      <c r="P1" s="931" t="s">
        <v>382</v>
      </c>
      <c r="Q1" s="932"/>
      <c r="R1" s="932"/>
      <c r="S1" s="932"/>
      <c r="T1" s="932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</row>
    <row r="2">
      <c r="A2" s="933" t="s">
        <v>7113</v>
      </c>
      <c r="B2" s="933" t="s">
        <v>7114</v>
      </c>
      <c r="C2" s="933" t="s">
        <v>7115</v>
      </c>
      <c r="D2" s="933" t="s">
        <v>7116</v>
      </c>
      <c r="E2" s="933" t="s">
        <v>7117</v>
      </c>
      <c r="F2" s="933" t="s">
        <v>7118</v>
      </c>
      <c r="H2" s="933" t="s">
        <v>7113</v>
      </c>
      <c r="I2" s="933" t="s">
        <v>7114</v>
      </c>
      <c r="J2" s="933" t="s">
        <v>7115</v>
      </c>
      <c r="K2" s="933" t="s">
        <v>7116</v>
      </c>
      <c r="L2" s="933" t="s">
        <v>7117</v>
      </c>
      <c r="M2" s="933" t="s">
        <v>7118</v>
      </c>
      <c r="O2" s="933" t="s">
        <v>7113</v>
      </c>
      <c r="P2" s="933" t="s">
        <v>7114</v>
      </c>
      <c r="Q2" s="933" t="s">
        <v>7115</v>
      </c>
      <c r="R2" s="933" t="s">
        <v>7116</v>
      </c>
      <c r="S2" s="933" t="s">
        <v>7117</v>
      </c>
      <c r="T2" s="933" t="s">
        <v>7118</v>
      </c>
    </row>
    <row r="3">
      <c r="A3" s="934">
        <v>45901.0</v>
      </c>
      <c r="B3" s="935"/>
      <c r="C3" s="561">
        <v>71.0</v>
      </c>
      <c r="D3" s="561">
        <v>54.0</v>
      </c>
      <c r="E3" s="561">
        <v>35.0</v>
      </c>
      <c r="F3" s="561">
        <f>SUM(C3:E3)</f>
        <v>160</v>
      </c>
      <c r="H3" s="934">
        <v>45931.0</v>
      </c>
      <c r="I3" s="591" t="s">
        <v>7119</v>
      </c>
      <c r="J3" s="591">
        <v>93.0</v>
      </c>
      <c r="K3" s="591" t="s">
        <v>7120</v>
      </c>
      <c r="L3" s="591">
        <v>74.0</v>
      </c>
      <c r="M3" s="561">
        <v>452.0</v>
      </c>
      <c r="O3" s="934">
        <v>45931.0</v>
      </c>
      <c r="P3" s="591"/>
      <c r="Q3" s="591"/>
      <c r="R3" s="591"/>
      <c r="S3" s="591"/>
      <c r="T3" s="591"/>
    </row>
    <row r="4">
      <c r="A4" s="934">
        <v>45902.0</v>
      </c>
      <c r="B4" s="561" t="s">
        <v>7121</v>
      </c>
      <c r="C4" s="935"/>
      <c r="D4" s="561">
        <v>43.0</v>
      </c>
      <c r="E4" s="561">
        <v>56.0</v>
      </c>
      <c r="F4" s="561">
        <v>254.0</v>
      </c>
      <c r="H4" s="934">
        <v>45932.0</v>
      </c>
      <c r="I4" s="591" t="s">
        <v>7122</v>
      </c>
      <c r="J4" s="591" t="s">
        <v>7123</v>
      </c>
      <c r="K4" s="591">
        <v>52.0</v>
      </c>
      <c r="L4" s="591" t="s">
        <v>7124</v>
      </c>
      <c r="M4" s="561">
        <v>258.0</v>
      </c>
      <c r="O4" s="934">
        <v>45932.0</v>
      </c>
      <c r="P4" s="591"/>
      <c r="Q4" s="591"/>
      <c r="R4" s="591"/>
      <c r="S4" s="591"/>
      <c r="T4" s="591"/>
    </row>
    <row r="5">
      <c r="A5" s="934">
        <v>45903.0</v>
      </c>
      <c r="B5" s="561" t="s">
        <v>7125</v>
      </c>
      <c r="C5" s="935"/>
      <c r="D5" s="561">
        <v>98.0</v>
      </c>
      <c r="E5" s="561" t="s">
        <v>7126</v>
      </c>
      <c r="F5" s="561">
        <v>353.0</v>
      </c>
      <c r="H5" s="934">
        <v>45933.0</v>
      </c>
      <c r="I5" s="591" t="s">
        <v>7127</v>
      </c>
      <c r="J5" s="591">
        <v>76.0</v>
      </c>
      <c r="K5" s="591">
        <v>55.0</v>
      </c>
      <c r="L5" s="591" t="s">
        <v>7128</v>
      </c>
      <c r="M5" s="561">
        <v>373.0</v>
      </c>
      <c r="O5" s="934">
        <v>45933.0</v>
      </c>
      <c r="P5" s="591"/>
      <c r="Q5" s="591"/>
      <c r="R5" s="591"/>
      <c r="S5" s="591"/>
      <c r="T5" s="591"/>
    </row>
    <row r="6">
      <c r="A6" s="934">
        <v>45904.0</v>
      </c>
      <c r="B6" s="561" t="s">
        <v>7129</v>
      </c>
      <c r="C6" s="561">
        <v>69.0</v>
      </c>
      <c r="D6" s="561">
        <v>68.0</v>
      </c>
      <c r="E6" s="561">
        <v>28.0</v>
      </c>
      <c r="F6" s="561">
        <v>281.0</v>
      </c>
      <c r="H6" s="934">
        <v>45934.0</v>
      </c>
      <c r="I6" s="591" t="s">
        <v>7130</v>
      </c>
      <c r="J6" s="591">
        <v>57.0</v>
      </c>
      <c r="K6" s="591">
        <v>97.0</v>
      </c>
      <c r="L6" s="591">
        <v>63.0</v>
      </c>
      <c r="M6" s="561">
        <v>317.0</v>
      </c>
      <c r="O6" s="934">
        <v>45934.0</v>
      </c>
      <c r="P6" s="591"/>
      <c r="Q6" s="591"/>
      <c r="R6" s="591"/>
      <c r="S6" s="591"/>
      <c r="T6" s="591"/>
    </row>
    <row r="7">
      <c r="A7" s="934">
        <v>45905.0</v>
      </c>
      <c r="B7" s="561">
        <v>99.0</v>
      </c>
      <c r="C7" s="561">
        <v>52.0</v>
      </c>
      <c r="D7" s="561">
        <v>57.0</v>
      </c>
      <c r="E7" s="561">
        <v>38.0</v>
      </c>
      <c r="F7" s="314">
        <f>SUM(B7:E7)</f>
        <v>246</v>
      </c>
      <c r="H7" s="934">
        <v>45935.0</v>
      </c>
      <c r="I7" s="591">
        <v>43.0</v>
      </c>
      <c r="J7" s="591">
        <v>100.0</v>
      </c>
      <c r="K7" s="591" t="s">
        <v>7131</v>
      </c>
      <c r="L7" s="591">
        <v>59.0</v>
      </c>
      <c r="M7" s="561">
        <v>342.0</v>
      </c>
      <c r="O7" s="934">
        <v>45935.0</v>
      </c>
      <c r="P7" s="591"/>
      <c r="Q7" s="591"/>
      <c r="R7" s="591"/>
      <c r="S7" s="591"/>
      <c r="T7" s="591"/>
    </row>
    <row r="8">
      <c r="A8" s="934">
        <v>45906.0</v>
      </c>
      <c r="B8" s="561" t="s">
        <v>7132</v>
      </c>
      <c r="C8" s="561">
        <v>111.0</v>
      </c>
      <c r="D8" s="561" t="s">
        <v>7133</v>
      </c>
      <c r="E8" s="561">
        <v>68.0</v>
      </c>
      <c r="F8" s="561">
        <v>502.0</v>
      </c>
      <c r="H8" s="934">
        <v>45936.0</v>
      </c>
      <c r="I8" s="591" t="s">
        <v>7134</v>
      </c>
      <c r="J8" s="591">
        <v>91.0</v>
      </c>
      <c r="K8" s="591">
        <v>65.0</v>
      </c>
      <c r="L8" s="591">
        <v>81.0</v>
      </c>
      <c r="M8" s="561">
        <v>340.0</v>
      </c>
      <c r="O8" s="934">
        <v>45936.0</v>
      </c>
      <c r="P8" s="591"/>
      <c r="Q8" s="591"/>
      <c r="R8" s="591"/>
      <c r="S8" s="591"/>
      <c r="T8" s="591"/>
    </row>
    <row r="9">
      <c r="A9" s="934">
        <v>45907.0</v>
      </c>
      <c r="B9" s="561" t="s">
        <v>7135</v>
      </c>
      <c r="C9" s="561">
        <v>14.0</v>
      </c>
      <c r="D9" s="561" t="s">
        <v>7136</v>
      </c>
      <c r="E9" s="935"/>
      <c r="F9" s="561">
        <v>307.0</v>
      </c>
      <c r="H9" s="934">
        <v>45937.0</v>
      </c>
      <c r="I9" s="591" t="s">
        <v>7137</v>
      </c>
      <c r="J9" s="591">
        <v>89.0</v>
      </c>
      <c r="K9" s="591" t="s">
        <v>7138</v>
      </c>
      <c r="L9" s="591">
        <v>75.0</v>
      </c>
      <c r="M9" s="561">
        <v>353.0</v>
      </c>
      <c r="O9" s="934">
        <v>45937.0</v>
      </c>
      <c r="P9" s="591"/>
      <c r="Q9" s="591"/>
      <c r="R9" s="591"/>
      <c r="S9" s="591"/>
      <c r="T9" s="591"/>
    </row>
    <row r="10">
      <c r="A10" s="934">
        <v>45908.0</v>
      </c>
      <c r="B10" s="561" t="s">
        <v>7139</v>
      </c>
      <c r="C10" s="561">
        <v>65.0</v>
      </c>
      <c r="D10" s="561">
        <v>90.0</v>
      </c>
      <c r="E10" s="561">
        <v>77.0</v>
      </c>
      <c r="F10" s="561">
        <v>342.0</v>
      </c>
      <c r="H10" s="934">
        <v>45938.0</v>
      </c>
      <c r="I10" s="591">
        <v>102.0</v>
      </c>
      <c r="J10" s="591">
        <v>120.0</v>
      </c>
      <c r="K10" s="591">
        <v>78.0</v>
      </c>
      <c r="L10" s="935"/>
      <c r="M10" s="561">
        <v>300.0</v>
      </c>
      <c r="O10" s="934">
        <v>45938.0</v>
      </c>
      <c r="P10" s="591"/>
      <c r="Q10" s="591"/>
      <c r="R10" s="591"/>
      <c r="S10" s="591"/>
      <c r="T10" s="591"/>
    </row>
    <row r="11">
      <c r="A11" s="934">
        <v>45909.0</v>
      </c>
      <c r="B11" s="561" t="s">
        <v>7140</v>
      </c>
      <c r="C11" s="561" t="s">
        <v>7141</v>
      </c>
      <c r="D11" s="561">
        <v>74.0</v>
      </c>
      <c r="E11" s="561">
        <v>35.0</v>
      </c>
      <c r="F11" s="561">
        <v>414.0</v>
      </c>
      <c r="H11" s="934">
        <v>45939.0</v>
      </c>
      <c r="I11" s="591">
        <v>80.0</v>
      </c>
      <c r="J11" s="591">
        <v>115.0</v>
      </c>
      <c r="K11" s="591">
        <v>70.0</v>
      </c>
      <c r="L11" s="935"/>
      <c r="M11" s="561">
        <v>265.0</v>
      </c>
      <c r="O11" s="934">
        <v>45939.0</v>
      </c>
      <c r="P11" s="591"/>
      <c r="Q11" s="591"/>
      <c r="R11" s="591"/>
      <c r="S11" s="591"/>
      <c r="T11" s="591"/>
    </row>
    <row r="12">
      <c r="A12" s="934">
        <v>45910.0</v>
      </c>
      <c r="B12" s="561" t="s">
        <v>7142</v>
      </c>
      <c r="C12" s="561">
        <v>101.0</v>
      </c>
      <c r="D12" s="561">
        <v>96.0</v>
      </c>
      <c r="E12" s="936"/>
      <c r="F12" s="561">
        <v>381.0</v>
      </c>
      <c r="H12" s="934">
        <v>45940.0</v>
      </c>
      <c r="I12" s="591" t="s">
        <v>7143</v>
      </c>
      <c r="J12" s="935"/>
      <c r="K12" s="591">
        <v>105.0</v>
      </c>
      <c r="L12" s="591">
        <v>82.0</v>
      </c>
      <c r="M12" s="561">
        <v>414.0</v>
      </c>
      <c r="O12" s="934">
        <v>45940.0</v>
      </c>
      <c r="P12" s="591"/>
      <c r="Q12" s="591"/>
      <c r="R12" s="591"/>
      <c r="S12" s="591"/>
      <c r="T12" s="591"/>
    </row>
    <row r="13">
      <c r="A13" s="934">
        <v>45911.0</v>
      </c>
      <c r="B13" s="561" t="s">
        <v>7144</v>
      </c>
      <c r="C13" s="561">
        <v>36.0</v>
      </c>
      <c r="D13" s="936"/>
      <c r="E13" s="561">
        <v>49.0</v>
      </c>
      <c r="F13" s="561">
        <v>360.0</v>
      </c>
      <c r="H13" s="934">
        <v>45941.0</v>
      </c>
      <c r="I13" s="591">
        <v>104.0</v>
      </c>
      <c r="J13" s="935"/>
      <c r="K13" s="591">
        <v>116.0</v>
      </c>
      <c r="L13" s="591">
        <v>107.0</v>
      </c>
      <c r="M13" s="561">
        <v>327.0</v>
      </c>
      <c r="O13" s="934">
        <v>45941.0</v>
      </c>
      <c r="P13" s="591"/>
      <c r="Q13" s="591"/>
      <c r="R13" s="591"/>
      <c r="S13" s="591"/>
      <c r="T13" s="591"/>
    </row>
    <row r="14">
      <c r="A14" s="934">
        <v>45912.0</v>
      </c>
      <c r="B14" s="561" t="s">
        <v>7145</v>
      </c>
      <c r="C14" s="561">
        <v>98.0</v>
      </c>
      <c r="D14" s="561">
        <v>74.0</v>
      </c>
      <c r="E14" s="561" t="s">
        <v>7146</v>
      </c>
      <c r="F14" s="561">
        <v>363.0</v>
      </c>
      <c r="H14" s="934">
        <v>45942.0</v>
      </c>
      <c r="I14" s="591">
        <v>83.0</v>
      </c>
      <c r="J14" s="591">
        <v>8.0</v>
      </c>
      <c r="K14" s="591">
        <v>107.0</v>
      </c>
      <c r="L14" s="935"/>
      <c r="M14" s="561">
        <v>198.0</v>
      </c>
      <c r="O14" s="934">
        <v>45942.0</v>
      </c>
      <c r="P14" s="591"/>
      <c r="Q14" s="591"/>
      <c r="R14" s="591"/>
      <c r="S14" s="591"/>
      <c r="T14" s="591"/>
    </row>
    <row r="15">
      <c r="A15" s="934">
        <v>45913.0</v>
      </c>
      <c r="B15" s="561">
        <v>60.0</v>
      </c>
      <c r="C15" s="561" t="s">
        <v>7147</v>
      </c>
      <c r="D15" s="936"/>
      <c r="E15" s="561">
        <v>69.0</v>
      </c>
      <c r="F15" s="561">
        <v>284.0</v>
      </c>
      <c r="H15" s="934">
        <v>45943.0</v>
      </c>
      <c r="I15" s="591">
        <v>123.0</v>
      </c>
      <c r="J15" s="591">
        <v>88.0</v>
      </c>
      <c r="K15" s="591">
        <v>77.0</v>
      </c>
      <c r="L15" s="591">
        <v>133.0</v>
      </c>
      <c r="M15" s="561">
        <v>421.0</v>
      </c>
      <c r="O15" s="934">
        <v>45943.0</v>
      </c>
      <c r="P15" s="591"/>
      <c r="Q15" s="591"/>
      <c r="R15" s="591"/>
      <c r="S15" s="591"/>
      <c r="T15" s="591"/>
    </row>
    <row r="16">
      <c r="A16" s="934">
        <v>45914.0</v>
      </c>
      <c r="B16" s="561" t="s">
        <v>7148</v>
      </c>
      <c r="C16" s="561">
        <v>67.0</v>
      </c>
      <c r="D16" s="561">
        <v>67.0</v>
      </c>
      <c r="E16" s="561" t="s">
        <v>7149</v>
      </c>
      <c r="F16" s="561">
        <v>270.0</v>
      </c>
      <c r="H16" s="934">
        <v>45944.0</v>
      </c>
      <c r="I16" s="591">
        <v>115.0</v>
      </c>
      <c r="J16" s="591" t="s">
        <v>7150</v>
      </c>
      <c r="K16" s="935"/>
      <c r="L16" s="591">
        <v>100.0</v>
      </c>
      <c r="M16" s="561">
        <v>323.0</v>
      </c>
      <c r="O16" s="934">
        <v>45944.0</v>
      </c>
      <c r="P16" s="591"/>
      <c r="Q16" s="591"/>
      <c r="R16" s="591"/>
      <c r="S16" s="591"/>
      <c r="T16" s="591"/>
    </row>
    <row r="17">
      <c r="A17" s="934">
        <v>45915.0</v>
      </c>
      <c r="B17" s="561" t="s">
        <v>7151</v>
      </c>
      <c r="C17" s="561">
        <v>50.0</v>
      </c>
      <c r="D17" s="561">
        <v>66.0</v>
      </c>
      <c r="E17" s="561">
        <v>87.0</v>
      </c>
      <c r="F17" s="561">
        <v>334.0</v>
      </c>
      <c r="H17" s="934">
        <v>45945.0</v>
      </c>
      <c r="I17" s="591">
        <v>122.0</v>
      </c>
      <c r="J17" s="591">
        <v>129.0</v>
      </c>
      <c r="K17" s="591">
        <v>55.0</v>
      </c>
      <c r="L17" s="935"/>
      <c r="M17" s="561">
        <v>306.0</v>
      </c>
      <c r="O17" s="934">
        <v>45945.0</v>
      </c>
      <c r="P17" s="591"/>
      <c r="Q17" s="591"/>
      <c r="R17" s="591"/>
      <c r="S17" s="591"/>
      <c r="T17" s="591"/>
    </row>
    <row r="18">
      <c r="A18" s="934">
        <v>45916.0</v>
      </c>
      <c r="B18" s="561" t="s">
        <v>7152</v>
      </c>
      <c r="C18" s="561">
        <v>80.0</v>
      </c>
      <c r="D18" s="561">
        <v>42.0</v>
      </c>
      <c r="E18" s="561">
        <v>70.0</v>
      </c>
      <c r="F18" s="561">
        <v>320.0</v>
      </c>
      <c r="H18" s="934">
        <v>45946.0</v>
      </c>
      <c r="I18" s="591">
        <v>99.0</v>
      </c>
      <c r="J18" s="591" t="s">
        <v>7153</v>
      </c>
      <c r="K18" s="591">
        <v>91.0</v>
      </c>
      <c r="L18" s="591">
        <v>123.0</v>
      </c>
      <c r="M18" s="561">
        <v>407.0</v>
      </c>
      <c r="O18" s="934">
        <v>45946.0</v>
      </c>
      <c r="P18" s="591"/>
      <c r="Q18" s="591"/>
      <c r="R18" s="591"/>
      <c r="S18" s="591"/>
      <c r="T18" s="591"/>
    </row>
    <row r="19">
      <c r="A19" s="934">
        <v>45917.0</v>
      </c>
      <c r="B19" s="561" t="s">
        <v>7154</v>
      </c>
      <c r="C19" s="561">
        <v>115.0</v>
      </c>
      <c r="D19" s="561">
        <v>74.0</v>
      </c>
      <c r="E19" s="561">
        <v>39.0</v>
      </c>
      <c r="F19" s="561">
        <v>291.0</v>
      </c>
      <c r="H19" s="934">
        <v>45947.0</v>
      </c>
      <c r="I19" s="591">
        <v>117.0</v>
      </c>
      <c r="J19" s="935"/>
      <c r="K19" s="591">
        <v>108.0</v>
      </c>
      <c r="L19" s="591">
        <v>116.0</v>
      </c>
      <c r="M19" s="561">
        <v>341.0</v>
      </c>
      <c r="O19" s="934">
        <v>45947.0</v>
      </c>
      <c r="P19" s="591"/>
      <c r="Q19" s="591"/>
      <c r="R19" s="591"/>
      <c r="S19" s="591"/>
      <c r="T19" s="591"/>
    </row>
    <row r="20">
      <c r="A20" s="934">
        <v>45918.0</v>
      </c>
      <c r="B20" s="561" t="s">
        <v>7155</v>
      </c>
      <c r="C20" s="561" t="s">
        <v>7156</v>
      </c>
      <c r="D20" s="561">
        <v>33.0</v>
      </c>
      <c r="E20" s="561">
        <v>103.0</v>
      </c>
      <c r="F20" s="561">
        <v>397.0</v>
      </c>
      <c r="H20" s="934">
        <v>45948.0</v>
      </c>
      <c r="I20" s="591">
        <v>87.0</v>
      </c>
      <c r="J20" s="591">
        <v>113.0</v>
      </c>
      <c r="K20" s="591">
        <v>82.0</v>
      </c>
      <c r="L20" s="935"/>
      <c r="M20" s="561">
        <v>282.0</v>
      </c>
      <c r="O20" s="934">
        <v>45948.0</v>
      </c>
      <c r="P20" s="591"/>
      <c r="Q20" s="591"/>
      <c r="R20" s="591"/>
      <c r="S20" s="591"/>
      <c r="T20" s="591"/>
    </row>
    <row r="21">
      <c r="A21" s="934">
        <v>45919.0</v>
      </c>
      <c r="B21" s="561" t="s">
        <v>7157</v>
      </c>
      <c r="C21" s="561">
        <v>56.0</v>
      </c>
      <c r="D21" s="561">
        <v>42.0</v>
      </c>
      <c r="E21" s="561">
        <v>53.0</v>
      </c>
      <c r="F21" s="561">
        <v>333.0</v>
      </c>
      <c r="H21" s="934">
        <v>45949.0</v>
      </c>
      <c r="I21" s="591">
        <v>107.0</v>
      </c>
      <c r="J21" s="591" t="s">
        <v>7158</v>
      </c>
      <c r="K21" s="591">
        <v>92.0</v>
      </c>
      <c r="L21" s="935"/>
      <c r="M21" s="561">
        <v>280.0</v>
      </c>
      <c r="O21" s="934">
        <v>45949.0</v>
      </c>
      <c r="P21" s="591"/>
      <c r="Q21" s="591"/>
      <c r="R21" s="591"/>
      <c r="S21" s="591"/>
      <c r="T21" s="591"/>
    </row>
    <row r="22">
      <c r="A22" s="934">
        <v>45920.0</v>
      </c>
      <c r="B22" s="561" t="s">
        <v>7159</v>
      </c>
      <c r="C22" s="936"/>
      <c r="D22" s="561">
        <v>67.0</v>
      </c>
      <c r="E22" s="561">
        <v>145.0</v>
      </c>
      <c r="F22" s="561">
        <v>450.0</v>
      </c>
      <c r="H22" s="934">
        <v>45950.0</v>
      </c>
      <c r="I22" s="591">
        <v>67.0</v>
      </c>
      <c r="J22" s="591" t="s">
        <v>7160</v>
      </c>
      <c r="K22" s="591">
        <v>18.0</v>
      </c>
      <c r="L22" s="935"/>
      <c r="M22" s="561">
        <v>246.0</v>
      </c>
      <c r="O22" s="934">
        <v>45950.0</v>
      </c>
      <c r="P22" s="591"/>
      <c r="Q22" s="591"/>
      <c r="R22" s="591"/>
      <c r="S22" s="591"/>
      <c r="T22" s="591"/>
    </row>
    <row r="23">
      <c r="A23" s="934">
        <v>45921.0</v>
      </c>
      <c r="B23" s="561" t="s">
        <v>7161</v>
      </c>
      <c r="C23" s="561">
        <v>56.0</v>
      </c>
      <c r="D23" s="561" t="s">
        <v>7162</v>
      </c>
      <c r="E23" s="936"/>
      <c r="F23" s="561">
        <v>328.0</v>
      </c>
      <c r="H23" s="934">
        <v>45951.0</v>
      </c>
      <c r="I23" s="591" t="s">
        <v>7163</v>
      </c>
      <c r="J23" s="591">
        <v>92.0</v>
      </c>
      <c r="K23" s="935"/>
      <c r="L23" s="591">
        <v>4.0</v>
      </c>
      <c r="M23" s="561">
        <v>435.0</v>
      </c>
      <c r="O23" s="934">
        <v>45951.0</v>
      </c>
      <c r="P23" s="591"/>
      <c r="Q23" s="591"/>
      <c r="R23" s="591"/>
      <c r="S23" s="591"/>
      <c r="T23" s="591"/>
    </row>
    <row r="24">
      <c r="A24" s="934">
        <v>45922.0</v>
      </c>
      <c r="B24" s="561" t="s">
        <v>7164</v>
      </c>
      <c r="C24" s="561" t="s">
        <v>7165</v>
      </c>
      <c r="D24" s="561">
        <v>33.0</v>
      </c>
      <c r="E24" s="561" t="s">
        <v>7166</v>
      </c>
      <c r="F24" s="561">
        <v>374.0</v>
      </c>
      <c r="H24" s="934">
        <v>45952.0</v>
      </c>
      <c r="I24" s="591" t="s">
        <v>7167</v>
      </c>
      <c r="J24" s="591">
        <v>87.0</v>
      </c>
      <c r="K24" s="935"/>
      <c r="L24" s="591">
        <v>99.0</v>
      </c>
      <c r="M24" s="561">
        <v>403.0</v>
      </c>
      <c r="O24" s="934">
        <v>45952.0</v>
      </c>
      <c r="P24" s="591"/>
      <c r="Q24" s="591"/>
      <c r="R24" s="591"/>
      <c r="S24" s="591"/>
      <c r="T24" s="591"/>
    </row>
    <row r="25">
      <c r="A25" s="934">
        <v>45923.0</v>
      </c>
      <c r="B25" s="561">
        <v>43.0</v>
      </c>
      <c r="C25" s="561">
        <v>67.0</v>
      </c>
      <c r="D25" s="561">
        <v>47.0</v>
      </c>
      <c r="E25" s="561">
        <v>69.0</v>
      </c>
      <c r="F25" s="561">
        <v>226.0</v>
      </c>
      <c r="H25" s="934">
        <v>45953.0</v>
      </c>
      <c r="I25" s="561">
        <v>123.0</v>
      </c>
      <c r="J25" s="561">
        <v>83.0</v>
      </c>
      <c r="K25" s="935"/>
      <c r="L25" s="561">
        <v>124.0</v>
      </c>
      <c r="M25" s="561">
        <v>330.0</v>
      </c>
      <c r="O25" s="934">
        <v>45953.0</v>
      </c>
      <c r="P25" s="591"/>
      <c r="Q25" s="591"/>
      <c r="R25" s="591"/>
      <c r="S25" s="591"/>
      <c r="T25" s="591"/>
    </row>
    <row r="26">
      <c r="A26" s="934">
        <v>45924.0</v>
      </c>
      <c r="B26" s="561" t="s">
        <v>7168</v>
      </c>
      <c r="C26" s="561">
        <v>64.0</v>
      </c>
      <c r="D26" s="561">
        <v>51.0</v>
      </c>
      <c r="E26" s="561">
        <v>130.0</v>
      </c>
      <c r="F26" s="561">
        <v>468.0</v>
      </c>
      <c r="H26" s="934">
        <v>45954.0</v>
      </c>
      <c r="I26" s="561">
        <v>99.0</v>
      </c>
      <c r="J26" s="561">
        <v>89.0</v>
      </c>
      <c r="K26" s="935"/>
      <c r="L26" s="561">
        <v>145.0</v>
      </c>
      <c r="M26" s="561">
        <v>333.0</v>
      </c>
      <c r="O26" s="934">
        <v>45954.0</v>
      </c>
      <c r="P26" s="591"/>
      <c r="Q26" s="591"/>
      <c r="R26" s="591"/>
      <c r="S26" s="591"/>
      <c r="T26" s="591"/>
    </row>
    <row r="27">
      <c r="A27" s="934">
        <v>45925.0</v>
      </c>
      <c r="B27" s="561" t="s">
        <v>7169</v>
      </c>
      <c r="C27" s="561">
        <v>91.0</v>
      </c>
      <c r="D27" s="561">
        <v>24.0</v>
      </c>
      <c r="E27" s="561" t="s">
        <v>7170</v>
      </c>
      <c r="F27" s="561">
        <v>376.0</v>
      </c>
      <c r="H27" s="934">
        <v>45955.0</v>
      </c>
      <c r="I27" s="561">
        <v>95.0</v>
      </c>
      <c r="J27" s="561">
        <v>115.0</v>
      </c>
      <c r="K27" s="936"/>
      <c r="L27" s="561">
        <v>105.0</v>
      </c>
      <c r="M27" s="561">
        <v>315.0</v>
      </c>
      <c r="O27" s="934">
        <v>45955.0</v>
      </c>
      <c r="P27" s="591"/>
      <c r="Q27" s="591"/>
      <c r="R27" s="483"/>
      <c r="S27" s="591"/>
      <c r="T27" s="591"/>
    </row>
    <row r="28">
      <c r="A28" s="934">
        <v>45926.0</v>
      </c>
      <c r="B28" s="561" t="s">
        <v>7171</v>
      </c>
      <c r="C28" s="561">
        <v>56.0</v>
      </c>
      <c r="D28" s="561">
        <v>43.0</v>
      </c>
      <c r="E28" s="561" t="s">
        <v>7172</v>
      </c>
      <c r="F28" s="561">
        <v>302.0</v>
      </c>
      <c r="H28" s="934">
        <v>45956.0</v>
      </c>
      <c r="I28" s="561">
        <v>118.0</v>
      </c>
      <c r="J28" s="561">
        <v>135.0</v>
      </c>
      <c r="K28" s="936"/>
      <c r="L28" s="561">
        <v>114.0</v>
      </c>
      <c r="M28" s="561">
        <v>367.0</v>
      </c>
      <c r="O28" s="934">
        <v>45956.0</v>
      </c>
      <c r="P28" s="591"/>
      <c r="Q28" s="591"/>
      <c r="R28" s="483"/>
      <c r="S28" s="591"/>
      <c r="T28" s="591"/>
    </row>
    <row r="29">
      <c r="A29" s="934">
        <v>45927.0</v>
      </c>
      <c r="B29" s="561" t="s">
        <v>7173</v>
      </c>
      <c r="C29" s="561">
        <v>47.0</v>
      </c>
      <c r="D29" s="561" t="s">
        <v>7174</v>
      </c>
      <c r="E29" s="561">
        <v>53.0</v>
      </c>
      <c r="F29" s="561">
        <v>315.0</v>
      </c>
      <c r="H29" s="934">
        <v>45957.0</v>
      </c>
      <c r="I29" s="561">
        <v>129.0</v>
      </c>
      <c r="J29" s="561">
        <v>79.0</v>
      </c>
      <c r="K29" s="561">
        <v>66.0</v>
      </c>
      <c r="L29" s="936"/>
      <c r="M29" s="561">
        <v>274.0</v>
      </c>
      <c r="O29" s="934">
        <v>45957.0</v>
      </c>
      <c r="P29" s="591"/>
      <c r="Q29" s="591"/>
      <c r="R29" s="591"/>
      <c r="S29" s="483"/>
      <c r="T29" s="591"/>
    </row>
    <row r="30">
      <c r="A30" s="934">
        <v>45928.0</v>
      </c>
      <c r="B30" s="561" t="s">
        <v>7175</v>
      </c>
      <c r="C30" s="561">
        <v>55.0</v>
      </c>
      <c r="D30" s="561">
        <v>26.0</v>
      </c>
      <c r="E30" s="561" t="s">
        <v>7176</v>
      </c>
      <c r="F30" s="561">
        <v>319.0</v>
      </c>
      <c r="H30" s="934">
        <v>45958.0</v>
      </c>
      <c r="I30" s="561">
        <v>103.0</v>
      </c>
      <c r="J30" s="561">
        <v>133.0</v>
      </c>
      <c r="K30" s="561">
        <v>114.0</v>
      </c>
      <c r="L30" s="936"/>
      <c r="M30" s="561">
        <v>350.0</v>
      </c>
      <c r="O30" s="934">
        <v>45958.0</v>
      </c>
      <c r="P30" s="591"/>
      <c r="Q30" s="591"/>
      <c r="R30" s="591"/>
      <c r="S30" s="483"/>
      <c r="T30" s="591"/>
    </row>
    <row r="31">
      <c r="A31" s="934">
        <v>45929.0</v>
      </c>
      <c r="B31" s="561">
        <v>33.0</v>
      </c>
      <c r="C31" s="561">
        <v>81.0</v>
      </c>
      <c r="D31" s="561">
        <v>73.0</v>
      </c>
      <c r="E31" s="561" t="s">
        <v>7177</v>
      </c>
      <c r="F31" s="561">
        <v>280.0</v>
      </c>
      <c r="H31" s="934">
        <v>45959.0</v>
      </c>
      <c r="I31" s="561">
        <v>95.0</v>
      </c>
      <c r="J31" s="561">
        <v>101.0</v>
      </c>
      <c r="K31" s="561">
        <v>103.0</v>
      </c>
      <c r="L31" s="561">
        <v>7.0</v>
      </c>
      <c r="M31" s="561">
        <v>306.0</v>
      </c>
      <c r="O31" s="934">
        <v>45959.0</v>
      </c>
      <c r="P31" s="591"/>
      <c r="Q31" s="591"/>
      <c r="R31" s="591"/>
      <c r="S31" s="591"/>
      <c r="T31" s="591"/>
    </row>
    <row r="32">
      <c r="A32" s="934">
        <v>45960.0</v>
      </c>
      <c r="B32" s="561" t="s">
        <v>7178</v>
      </c>
      <c r="C32" s="561">
        <v>135.0</v>
      </c>
      <c r="D32" s="561">
        <v>6.0</v>
      </c>
      <c r="E32" s="561">
        <v>60.0</v>
      </c>
      <c r="F32" s="561">
        <v>411.0</v>
      </c>
      <c r="H32" s="934">
        <v>45960.0</v>
      </c>
      <c r="I32" s="561">
        <v>81.0</v>
      </c>
      <c r="J32" s="561" t="s">
        <v>7179</v>
      </c>
      <c r="K32" s="561">
        <v>110.0</v>
      </c>
      <c r="L32" s="936"/>
      <c r="M32" s="561">
        <v>342.0</v>
      </c>
      <c r="O32" s="934">
        <v>45960.0</v>
      </c>
      <c r="P32" s="591"/>
      <c r="Q32" s="591"/>
      <c r="R32" s="591"/>
      <c r="S32" s="483"/>
      <c r="T32" s="591"/>
    </row>
    <row r="33">
      <c r="A33" s="10"/>
      <c r="H33" s="934">
        <v>45961.0</v>
      </c>
      <c r="I33" s="561" t="s">
        <v>7180</v>
      </c>
      <c r="J33" s="936"/>
      <c r="K33" s="561" t="s">
        <v>7181</v>
      </c>
      <c r="L33" s="936"/>
      <c r="M33" s="561">
        <v>374.0</v>
      </c>
      <c r="O33" s="934">
        <v>45961.0</v>
      </c>
      <c r="P33" s="591"/>
      <c r="Q33" s="483"/>
      <c r="R33" s="591"/>
      <c r="S33" s="483"/>
      <c r="T33" s="591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15.0"/>
    <col customWidth="1" min="3" max="3" width="7.75"/>
    <col customWidth="1" min="4" max="4" width="15.5"/>
    <col customWidth="1" min="5" max="5" width="11.25"/>
    <col customWidth="1" min="6" max="6" width="22.25"/>
    <col customWidth="1" min="7" max="7" width="10.25"/>
    <col customWidth="1" min="8" max="8" width="14.25"/>
    <col customWidth="1" min="9" max="9" width="20.88"/>
    <col customWidth="1" min="10" max="10" width="11.13"/>
    <col customWidth="1" min="11" max="11" width="7.13"/>
  </cols>
  <sheetData>
    <row r="1">
      <c r="A1" s="937" t="s">
        <v>7182</v>
      </c>
      <c r="B1" s="938" t="s">
        <v>7183</v>
      </c>
      <c r="C1" s="939" t="s">
        <v>7184</v>
      </c>
      <c r="D1" s="938" t="s">
        <v>7185</v>
      </c>
      <c r="E1" s="939" t="s">
        <v>6875</v>
      </c>
      <c r="F1" s="938" t="s">
        <v>7186</v>
      </c>
      <c r="G1" s="939" t="s">
        <v>7187</v>
      </c>
      <c r="H1" s="939" t="s">
        <v>7188</v>
      </c>
      <c r="I1" s="938" t="s">
        <v>7189</v>
      </c>
      <c r="J1" s="938" t="s">
        <v>7190</v>
      </c>
      <c r="K1" s="939" t="s">
        <v>288</v>
      </c>
      <c r="L1" s="674" t="s">
        <v>7191</v>
      </c>
    </row>
    <row r="2">
      <c r="A2" s="940">
        <v>1.0</v>
      </c>
      <c r="B2" s="940" t="s">
        <v>7192</v>
      </c>
      <c r="C2" s="940" t="s">
        <v>7193</v>
      </c>
      <c r="D2" s="940" t="s">
        <v>7194</v>
      </c>
      <c r="E2" s="941" t="s">
        <v>389</v>
      </c>
      <c r="F2" s="941" t="s">
        <v>389</v>
      </c>
      <c r="G2" s="940" t="s">
        <v>7195</v>
      </c>
      <c r="H2" s="940" t="s">
        <v>7196</v>
      </c>
      <c r="I2" s="941" t="s">
        <v>7197</v>
      </c>
      <c r="J2" s="940" t="s">
        <v>7195</v>
      </c>
      <c r="K2" s="942">
        <v>45033.0</v>
      </c>
      <c r="L2" s="609" t="s">
        <v>7195</v>
      </c>
    </row>
    <row r="3">
      <c r="A3" s="653"/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</row>
    <row r="4">
      <c r="A4" s="653"/>
      <c r="B4" s="943"/>
      <c r="C4" s="943"/>
      <c r="D4" s="943"/>
      <c r="E4" s="943"/>
      <c r="F4" s="943"/>
      <c r="G4" s="943"/>
      <c r="H4" s="943"/>
      <c r="I4" s="943"/>
      <c r="J4" s="943"/>
      <c r="K4" s="943"/>
      <c r="L4" s="943"/>
    </row>
    <row r="5">
      <c r="A5" s="653"/>
      <c r="B5" s="943"/>
      <c r="C5" s="943"/>
      <c r="D5" s="943"/>
      <c r="E5" s="943"/>
      <c r="F5" s="943"/>
      <c r="G5" s="943"/>
      <c r="H5" s="943"/>
      <c r="I5" s="943"/>
      <c r="J5" s="943"/>
      <c r="K5" s="943"/>
      <c r="L5" s="943"/>
    </row>
    <row r="6">
      <c r="A6" s="653"/>
      <c r="B6" s="943"/>
      <c r="C6" s="943"/>
      <c r="D6" s="943"/>
      <c r="E6" s="943"/>
      <c r="F6" s="943"/>
      <c r="G6" s="943"/>
      <c r="H6" s="943"/>
      <c r="I6" s="943"/>
      <c r="J6" s="943"/>
      <c r="K6" s="943"/>
      <c r="L6" s="943"/>
    </row>
    <row r="7">
      <c r="A7" s="653"/>
      <c r="B7" s="943"/>
      <c r="C7" s="943"/>
      <c r="D7" s="943"/>
      <c r="E7" s="943"/>
      <c r="F7" s="943"/>
      <c r="G7" s="943"/>
      <c r="H7" s="943"/>
      <c r="I7" s="943"/>
      <c r="J7" s="943"/>
      <c r="K7" s="943"/>
      <c r="L7" s="943"/>
    </row>
    <row r="8">
      <c r="A8" s="653"/>
      <c r="B8" s="943"/>
      <c r="C8" s="943"/>
      <c r="D8" s="943"/>
      <c r="E8" s="943"/>
      <c r="F8" s="943"/>
      <c r="G8" s="943"/>
      <c r="H8" s="943"/>
      <c r="I8" s="943"/>
      <c r="J8" s="943"/>
      <c r="K8" s="943"/>
      <c r="L8" s="943"/>
    </row>
    <row r="9">
      <c r="A9" s="653"/>
      <c r="B9" s="943"/>
      <c r="C9" s="943"/>
      <c r="D9" s="943"/>
      <c r="E9" s="943"/>
      <c r="F9" s="943"/>
      <c r="G9" s="943"/>
      <c r="H9" s="943"/>
      <c r="I9" s="943"/>
      <c r="J9" s="943"/>
      <c r="K9" s="943"/>
      <c r="L9" s="943"/>
    </row>
    <row r="10">
      <c r="A10" s="653"/>
      <c r="B10" s="943"/>
      <c r="C10" s="943"/>
      <c r="D10" s="943"/>
      <c r="E10" s="943"/>
      <c r="F10" s="943"/>
      <c r="G10" s="943"/>
      <c r="H10" s="943"/>
      <c r="I10" s="943"/>
      <c r="J10" s="943"/>
      <c r="K10" s="943"/>
      <c r="L10" s="943"/>
    </row>
    <row r="11">
      <c r="A11" s="653"/>
      <c r="B11" s="943"/>
      <c r="C11" s="943"/>
      <c r="D11" s="943"/>
      <c r="E11" s="943"/>
      <c r="F11" s="943"/>
      <c r="G11" s="943"/>
      <c r="H11" s="943"/>
      <c r="I11" s="943"/>
      <c r="J11" s="943"/>
      <c r="K11" s="943"/>
      <c r="L11" s="943"/>
    </row>
    <row r="12">
      <c r="A12" s="653"/>
      <c r="B12" s="943"/>
      <c r="C12" s="943"/>
      <c r="D12" s="943"/>
      <c r="E12" s="943"/>
      <c r="F12" s="943"/>
      <c r="G12" s="943"/>
      <c r="H12" s="943"/>
      <c r="I12" s="943"/>
      <c r="J12" s="943"/>
      <c r="K12" s="943"/>
      <c r="L12" s="943"/>
    </row>
    <row r="13">
      <c r="A13" s="653"/>
      <c r="B13" s="943"/>
      <c r="C13" s="943"/>
      <c r="D13" s="943"/>
      <c r="E13" s="943"/>
      <c r="F13" s="943"/>
      <c r="G13" s="943"/>
      <c r="H13" s="943"/>
      <c r="I13" s="943"/>
      <c r="J13" s="943"/>
      <c r="K13" s="943"/>
      <c r="L13" s="943"/>
    </row>
    <row r="14">
      <c r="A14" s="653"/>
      <c r="B14" s="943"/>
      <c r="C14" s="943"/>
      <c r="D14" s="943"/>
      <c r="E14" s="943"/>
      <c r="F14" s="943"/>
      <c r="G14" s="943"/>
      <c r="H14" s="943"/>
      <c r="I14" s="943"/>
      <c r="J14" s="943"/>
      <c r="K14" s="943"/>
      <c r="L14" s="943"/>
    </row>
    <row r="15">
      <c r="A15" s="653"/>
      <c r="B15" s="943"/>
      <c r="C15" s="943"/>
      <c r="D15" s="943"/>
      <c r="E15" s="943"/>
      <c r="F15" s="943"/>
      <c r="G15" s="943"/>
      <c r="H15" s="943"/>
      <c r="I15" s="943"/>
      <c r="J15" s="943"/>
      <c r="K15" s="943"/>
      <c r="L15" s="943"/>
    </row>
    <row r="16">
      <c r="A16" s="653"/>
      <c r="B16" s="943"/>
      <c r="C16" s="943"/>
      <c r="D16" s="943"/>
      <c r="E16" s="943"/>
      <c r="F16" s="943"/>
      <c r="G16" s="943"/>
      <c r="H16" s="943"/>
      <c r="I16" s="943"/>
      <c r="J16" s="943"/>
      <c r="K16" s="943"/>
      <c r="L16" s="943"/>
    </row>
    <row r="17">
      <c r="A17" s="653"/>
      <c r="B17" s="943"/>
      <c r="C17" s="943"/>
      <c r="D17" s="943"/>
      <c r="E17" s="943"/>
      <c r="F17" s="943"/>
      <c r="G17" s="943"/>
      <c r="H17" s="943"/>
      <c r="I17" s="943"/>
      <c r="J17" s="943"/>
      <c r="K17" s="943"/>
      <c r="L17" s="943"/>
    </row>
    <row r="18">
      <c r="A18" s="653"/>
      <c r="B18" s="943"/>
      <c r="C18" s="943"/>
      <c r="D18" s="943"/>
      <c r="E18" s="943"/>
      <c r="F18" s="943"/>
      <c r="G18" s="943"/>
      <c r="H18" s="943"/>
      <c r="I18" s="943"/>
      <c r="J18" s="943"/>
      <c r="K18" s="943"/>
      <c r="L18" s="943"/>
    </row>
    <row r="19">
      <c r="A19" s="653"/>
      <c r="B19" s="943"/>
      <c r="C19" s="943"/>
      <c r="D19" s="943"/>
      <c r="E19" s="943"/>
      <c r="F19" s="943"/>
      <c r="G19" s="943"/>
      <c r="H19" s="943"/>
      <c r="I19" s="943"/>
      <c r="J19" s="943"/>
      <c r="K19" s="943"/>
      <c r="L19" s="943"/>
    </row>
    <row r="20">
      <c r="A20" s="653"/>
      <c r="B20" s="943"/>
      <c r="C20" s="943"/>
      <c r="D20" s="943"/>
      <c r="E20" s="943"/>
      <c r="F20" s="943"/>
      <c r="G20" s="943"/>
      <c r="H20" s="943"/>
      <c r="I20" s="943"/>
      <c r="J20" s="943"/>
      <c r="K20" s="943"/>
      <c r="L20" s="943"/>
    </row>
    <row r="21">
      <c r="A21" s="653"/>
      <c r="B21" s="943"/>
      <c r="C21" s="943"/>
      <c r="D21" s="943"/>
      <c r="E21" s="943"/>
      <c r="F21" s="943"/>
      <c r="G21" s="943"/>
      <c r="H21" s="943"/>
      <c r="I21" s="943"/>
      <c r="J21" s="943"/>
      <c r="K21" s="943"/>
      <c r="L21" s="943"/>
    </row>
    <row r="22">
      <c r="A22" s="653"/>
      <c r="B22" s="943"/>
      <c r="C22" s="943"/>
      <c r="D22" s="943"/>
      <c r="E22" s="943"/>
      <c r="F22" s="943"/>
      <c r="G22" s="943"/>
      <c r="H22" s="943"/>
      <c r="I22" s="943"/>
      <c r="J22" s="943"/>
      <c r="K22" s="943"/>
      <c r="L22" s="943"/>
    </row>
    <row r="23">
      <c r="A23" s="653"/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</row>
    <row r="24">
      <c r="A24" s="653"/>
      <c r="B24" s="943"/>
      <c r="C24" s="943"/>
      <c r="D24" s="943"/>
      <c r="E24" s="943"/>
      <c r="F24" s="943"/>
      <c r="G24" s="943"/>
      <c r="H24" s="943"/>
      <c r="I24" s="943"/>
      <c r="J24" s="943"/>
      <c r="K24" s="943"/>
      <c r="L24" s="943"/>
    </row>
    <row r="25">
      <c r="A25" s="653"/>
      <c r="B25" s="943"/>
      <c r="C25" s="943"/>
      <c r="D25" s="943"/>
      <c r="E25" s="943"/>
      <c r="F25" s="943"/>
      <c r="G25" s="943"/>
      <c r="H25" s="943"/>
      <c r="I25" s="943"/>
      <c r="J25" s="943"/>
      <c r="K25" s="943"/>
      <c r="L25" s="943"/>
    </row>
    <row r="26">
      <c r="A26" s="653"/>
      <c r="B26" s="943"/>
      <c r="C26" s="943"/>
      <c r="D26" s="943"/>
      <c r="E26" s="943"/>
      <c r="F26" s="943"/>
      <c r="G26" s="943"/>
      <c r="H26" s="943"/>
      <c r="I26" s="943"/>
      <c r="J26" s="943"/>
      <c r="K26" s="943"/>
      <c r="L26" s="943"/>
    </row>
    <row r="27">
      <c r="A27" s="653"/>
      <c r="B27" s="943"/>
      <c r="C27" s="943"/>
      <c r="D27" s="943"/>
      <c r="E27" s="943"/>
      <c r="F27" s="943"/>
      <c r="G27" s="943"/>
      <c r="H27" s="943"/>
      <c r="I27" s="943"/>
      <c r="J27" s="943"/>
      <c r="K27" s="943"/>
      <c r="L27" s="943"/>
    </row>
    <row r="28">
      <c r="A28" s="653"/>
      <c r="B28" s="943"/>
      <c r="C28" s="943"/>
      <c r="D28" s="943"/>
      <c r="E28" s="943"/>
      <c r="F28" s="943"/>
      <c r="G28" s="943"/>
      <c r="H28" s="943"/>
      <c r="I28" s="943"/>
      <c r="J28" s="943"/>
      <c r="K28" s="943"/>
      <c r="L28" s="943"/>
    </row>
    <row r="29">
      <c r="A29" s="653"/>
      <c r="B29" s="943"/>
      <c r="C29" s="943"/>
      <c r="D29" s="943"/>
      <c r="E29" s="943"/>
      <c r="F29" s="943"/>
      <c r="G29" s="943"/>
      <c r="H29" s="943"/>
      <c r="I29" s="943"/>
      <c r="J29" s="943"/>
      <c r="K29" s="943"/>
      <c r="L29" s="943"/>
    </row>
    <row r="30">
      <c r="A30" s="653"/>
      <c r="B30" s="943"/>
      <c r="C30" s="943"/>
      <c r="D30" s="943"/>
      <c r="E30" s="943"/>
      <c r="F30" s="943"/>
      <c r="G30" s="943"/>
      <c r="H30" s="943"/>
      <c r="I30" s="943"/>
      <c r="J30" s="943"/>
      <c r="K30" s="943"/>
      <c r="L30" s="943"/>
    </row>
    <row r="31">
      <c r="A31" s="653"/>
      <c r="B31" s="943"/>
      <c r="C31" s="943"/>
      <c r="D31" s="943"/>
      <c r="E31" s="943"/>
      <c r="F31" s="943"/>
      <c r="G31" s="943"/>
      <c r="H31" s="943"/>
      <c r="I31" s="943"/>
      <c r="J31" s="943"/>
      <c r="K31" s="943"/>
      <c r="L31" s="943"/>
    </row>
    <row r="32">
      <c r="A32" s="653"/>
      <c r="B32" s="943"/>
      <c r="C32" s="943"/>
      <c r="D32" s="943"/>
      <c r="E32" s="943"/>
      <c r="F32" s="943"/>
      <c r="G32" s="943"/>
      <c r="H32" s="943"/>
      <c r="I32" s="943"/>
      <c r="J32" s="943"/>
      <c r="K32" s="943"/>
      <c r="L32" s="943"/>
    </row>
    <row r="33">
      <c r="A33" s="653"/>
      <c r="B33" s="943"/>
      <c r="C33" s="943"/>
      <c r="D33" s="943"/>
      <c r="E33" s="943"/>
      <c r="F33" s="943"/>
      <c r="G33" s="943"/>
      <c r="H33" s="943"/>
      <c r="I33" s="943"/>
      <c r="J33" s="943"/>
      <c r="K33" s="943"/>
      <c r="L33" s="943"/>
    </row>
    <row r="34">
      <c r="A34" s="653"/>
      <c r="B34" s="943"/>
      <c r="C34" s="943"/>
      <c r="D34" s="943"/>
      <c r="E34" s="943"/>
      <c r="F34" s="943"/>
      <c r="G34" s="943"/>
      <c r="H34" s="943"/>
      <c r="I34" s="943"/>
      <c r="J34" s="943"/>
      <c r="K34" s="943"/>
      <c r="L34" s="943"/>
    </row>
    <row r="35">
      <c r="A35" s="653"/>
      <c r="B35" s="943"/>
      <c r="C35" s="943"/>
      <c r="D35" s="943"/>
      <c r="E35" s="943"/>
      <c r="F35" s="943"/>
      <c r="G35" s="943"/>
      <c r="H35" s="943"/>
      <c r="I35" s="943"/>
      <c r="J35" s="943"/>
      <c r="K35" s="943"/>
      <c r="L35" s="943"/>
    </row>
    <row r="36">
      <c r="A36" s="653"/>
      <c r="B36" s="943"/>
      <c r="C36" s="943"/>
      <c r="D36" s="943"/>
      <c r="E36" s="943"/>
      <c r="F36" s="943"/>
      <c r="G36" s="943"/>
      <c r="H36" s="943"/>
      <c r="I36" s="943"/>
      <c r="J36" s="943"/>
      <c r="K36" s="943"/>
      <c r="L36" s="943"/>
    </row>
    <row r="37">
      <c r="A37" s="653"/>
      <c r="B37" s="943"/>
      <c r="C37" s="943"/>
      <c r="D37" s="943"/>
      <c r="E37" s="943"/>
      <c r="F37" s="943"/>
      <c r="G37" s="943"/>
      <c r="H37" s="943"/>
      <c r="I37" s="943"/>
      <c r="J37" s="943"/>
      <c r="K37" s="943"/>
      <c r="L37" s="943"/>
    </row>
    <row r="38">
      <c r="A38" s="653"/>
      <c r="B38" s="943"/>
      <c r="C38" s="943"/>
      <c r="D38" s="943"/>
      <c r="E38" s="943"/>
      <c r="F38" s="943"/>
      <c r="G38" s="943"/>
      <c r="H38" s="943"/>
      <c r="I38" s="943"/>
      <c r="J38" s="943"/>
      <c r="K38" s="943"/>
      <c r="L38" s="943"/>
    </row>
    <row r="39">
      <c r="A39" s="653"/>
      <c r="B39" s="943"/>
      <c r="C39" s="943"/>
      <c r="D39" s="943"/>
      <c r="E39" s="943"/>
      <c r="F39" s="943"/>
      <c r="G39" s="943"/>
      <c r="H39" s="943"/>
      <c r="I39" s="943"/>
      <c r="J39" s="943"/>
      <c r="K39" s="943"/>
      <c r="L39" s="943"/>
    </row>
    <row r="40">
      <c r="A40" s="653"/>
      <c r="B40" s="943"/>
      <c r="C40" s="943"/>
      <c r="D40" s="943"/>
      <c r="E40" s="943"/>
      <c r="F40" s="943"/>
      <c r="G40" s="943"/>
      <c r="H40" s="943"/>
      <c r="I40" s="943"/>
      <c r="J40" s="943"/>
      <c r="K40" s="943"/>
      <c r="L40" s="943"/>
    </row>
    <row r="41">
      <c r="A41" s="653"/>
      <c r="B41" s="943"/>
      <c r="C41" s="943"/>
      <c r="D41" s="943"/>
      <c r="E41" s="943"/>
      <c r="F41" s="943"/>
      <c r="G41" s="943"/>
      <c r="H41" s="943"/>
      <c r="I41" s="943"/>
      <c r="J41" s="943"/>
      <c r="K41" s="943"/>
      <c r="L41" s="943"/>
    </row>
    <row r="42">
      <c r="A42" s="653"/>
      <c r="B42" s="943"/>
      <c r="C42" s="943"/>
      <c r="D42" s="943"/>
      <c r="E42" s="943"/>
      <c r="F42" s="943"/>
      <c r="G42" s="943"/>
      <c r="H42" s="943"/>
      <c r="I42" s="943"/>
      <c r="J42" s="943"/>
      <c r="K42" s="943"/>
      <c r="L42" s="943"/>
    </row>
    <row r="43">
      <c r="A43" s="653"/>
      <c r="B43" s="943"/>
      <c r="C43" s="943"/>
      <c r="D43" s="943"/>
      <c r="E43" s="943"/>
      <c r="F43" s="943"/>
      <c r="G43" s="943"/>
      <c r="H43" s="943"/>
      <c r="I43" s="943"/>
      <c r="J43" s="943"/>
      <c r="K43" s="943"/>
      <c r="L43" s="943"/>
    </row>
    <row r="44">
      <c r="A44" s="653"/>
      <c r="B44" s="943"/>
      <c r="C44" s="943"/>
      <c r="D44" s="943"/>
      <c r="E44" s="943"/>
      <c r="F44" s="943"/>
      <c r="G44" s="943"/>
      <c r="H44" s="943"/>
      <c r="I44" s="943"/>
      <c r="J44" s="943"/>
      <c r="K44" s="943"/>
      <c r="L44" s="943"/>
    </row>
    <row r="45">
      <c r="A45" s="656"/>
      <c r="B45" s="943"/>
      <c r="C45" s="943"/>
      <c r="D45" s="943"/>
      <c r="E45" s="943"/>
      <c r="F45" s="943"/>
      <c r="G45" s="943"/>
      <c r="H45" s="943"/>
      <c r="I45" s="943"/>
      <c r="J45" s="943"/>
      <c r="K45" s="943"/>
      <c r="L45" s="943"/>
    </row>
    <row r="46">
      <c r="A46" s="656"/>
      <c r="B46" s="943"/>
      <c r="C46" s="943"/>
      <c r="D46" s="943"/>
      <c r="E46" s="943"/>
      <c r="F46" s="943"/>
      <c r="G46" s="943"/>
      <c r="H46" s="943"/>
      <c r="I46" s="943"/>
      <c r="J46" s="943"/>
      <c r="K46" s="943"/>
      <c r="L46" s="943"/>
    </row>
    <row r="47">
      <c r="A47" s="656"/>
      <c r="B47" s="943"/>
      <c r="C47" s="943"/>
      <c r="D47" s="943"/>
      <c r="E47" s="943"/>
      <c r="F47" s="943"/>
      <c r="G47" s="943"/>
      <c r="H47" s="943"/>
      <c r="I47" s="943"/>
      <c r="J47" s="943"/>
      <c r="K47" s="943"/>
      <c r="L47" s="943"/>
    </row>
    <row r="48">
      <c r="A48" s="656"/>
      <c r="B48" s="943"/>
      <c r="C48" s="943"/>
      <c r="D48" s="943"/>
      <c r="E48" s="943"/>
      <c r="F48" s="943"/>
      <c r="G48" s="943"/>
      <c r="H48" s="943"/>
      <c r="I48" s="943"/>
      <c r="J48" s="943"/>
      <c r="K48" s="943"/>
      <c r="L48" s="943"/>
    </row>
    <row r="49">
      <c r="A49" s="656"/>
      <c r="B49" s="943"/>
      <c r="C49" s="943"/>
      <c r="D49" s="943"/>
      <c r="E49" s="943"/>
      <c r="F49" s="943"/>
      <c r="G49" s="943"/>
      <c r="H49" s="943"/>
      <c r="I49" s="943"/>
      <c r="J49" s="943"/>
      <c r="K49" s="943"/>
      <c r="L49" s="943"/>
    </row>
    <row r="50">
      <c r="A50" s="656"/>
      <c r="B50" s="943"/>
      <c r="C50" s="943"/>
      <c r="D50" s="943"/>
      <c r="E50" s="943"/>
      <c r="F50" s="943"/>
      <c r="G50" s="943"/>
      <c r="H50" s="943"/>
      <c r="I50" s="943"/>
      <c r="J50" s="943"/>
      <c r="K50" s="943"/>
      <c r="L50" s="943"/>
    </row>
    <row r="51">
      <c r="A51" s="656"/>
      <c r="B51" s="943"/>
      <c r="C51" s="943"/>
      <c r="D51" s="943"/>
      <c r="E51" s="943"/>
      <c r="F51" s="943"/>
      <c r="G51" s="943"/>
      <c r="H51" s="943"/>
      <c r="I51" s="943"/>
      <c r="J51" s="943"/>
      <c r="K51" s="943"/>
      <c r="L51" s="943"/>
    </row>
    <row r="52">
      <c r="A52" s="656"/>
      <c r="B52" s="943"/>
      <c r="C52" s="943"/>
      <c r="D52" s="943"/>
      <c r="E52" s="943"/>
      <c r="F52" s="943"/>
      <c r="G52" s="943"/>
      <c r="H52" s="943"/>
      <c r="I52" s="943"/>
      <c r="J52" s="943"/>
      <c r="K52" s="943"/>
      <c r="L52" s="943"/>
    </row>
    <row r="53">
      <c r="A53" s="656"/>
      <c r="B53" s="943"/>
      <c r="C53" s="943"/>
      <c r="D53" s="943"/>
      <c r="E53" s="943"/>
      <c r="F53" s="943"/>
      <c r="G53" s="943"/>
      <c r="H53" s="943"/>
      <c r="I53" s="943"/>
      <c r="J53" s="943"/>
      <c r="K53" s="943"/>
      <c r="L53" s="943"/>
    </row>
    <row r="54">
      <c r="A54" s="656"/>
      <c r="B54" s="943"/>
      <c r="C54" s="943"/>
      <c r="D54" s="943"/>
      <c r="E54" s="943"/>
      <c r="F54" s="943"/>
      <c r="G54" s="943"/>
      <c r="H54" s="943"/>
      <c r="I54" s="943"/>
      <c r="J54" s="943"/>
      <c r="K54" s="943"/>
      <c r="L54" s="943"/>
    </row>
    <row r="55">
      <c r="A55" s="656"/>
      <c r="B55" s="943"/>
      <c r="C55" s="943"/>
      <c r="D55" s="943"/>
      <c r="E55" s="943"/>
      <c r="F55" s="943"/>
      <c r="G55" s="943"/>
      <c r="H55" s="943"/>
      <c r="I55" s="943"/>
      <c r="J55" s="943"/>
      <c r="K55" s="943"/>
      <c r="L55" s="943"/>
    </row>
    <row r="56">
      <c r="A56" s="656"/>
      <c r="B56" s="943"/>
      <c r="C56" s="943"/>
      <c r="D56" s="943"/>
      <c r="E56" s="943"/>
      <c r="F56" s="943"/>
      <c r="G56" s="943"/>
      <c r="H56" s="943"/>
      <c r="I56" s="943"/>
      <c r="J56" s="943"/>
      <c r="K56" s="943"/>
      <c r="L56" s="943"/>
    </row>
    <row r="57">
      <c r="A57" s="656"/>
      <c r="B57" s="943"/>
      <c r="C57" s="943"/>
      <c r="D57" s="943"/>
      <c r="E57" s="943"/>
      <c r="F57" s="943"/>
      <c r="G57" s="943"/>
      <c r="H57" s="943"/>
      <c r="I57" s="943"/>
      <c r="J57" s="943"/>
      <c r="K57" s="943"/>
      <c r="L57" s="943"/>
    </row>
    <row r="58">
      <c r="A58" s="656"/>
      <c r="B58" s="943"/>
      <c r="C58" s="943"/>
      <c r="D58" s="943"/>
      <c r="E58" s="943"/>
      <c r="F58" s="943"/>
      <c r="G58" s="943"/>
      <c r="H58" s="943"/>
      <c r="I58" s="943"/>
      <c r="J58" s="943"/>
      <c r="K58" s="943"/>
      <c r="L58" s="943"/>
    </row>
    <row r="59">
      <c r="A59" s="656"/>
      <c r="B59" s="943"/>
      <c r="C59" s="943"/>
      <c r="D59" s="943"/>
      <c r="E59" s="943"/>
      <c r="F59" s="943"/>
      <c r="G59" s="943"/>
      <c r="H59" s="943"/>
      <c r="I59" s="943"/>
      <c r="J59" s="943"/>
      <c r="K59" s="943"/>
      <c r="L59" s="943"/>
    </row>
    <row r="60">
      <c r="A60" s="656"/>
      <c r="B60" s="943"/>
      <c r="C60" s="943"/>
      <c r="D60" s="943"/>
      <c r="E60" s="943"/>
      <c r="F60" s="943"/>
      <c r="G60" s="943"/>
      <c r="H60" s="943"/>
      <c r="I60" s="943"/>
      <c r="J60" s="943"/>
      <c r="K60" s="943"/>
      <c r="L60" s="943"/>
    </row>
    <row r="61">
      <c r="A61" s="656"/>
      <c r="B61" s="943"/>
      <c r="C61" s="943"/>
      <c r="D61" s="943"/>
      <c r="E61" s="943"/>
      <c r="F61" s="943"/>
      <c r="G61" s="943"/>
      <c r="H61" s="943"/>
      <c r="I61" s="943"/>
      <c r="J61" s="943"/>
      <c r="K61" s="943"/>
      <c r="L61" s="943"/>
    </row>
    <row r="62">
      <c r="A62" s="656"/>
      <c r="B62" s="943"/>
      <c r="C62" s="943"/>
      <c r="D62" s="943"/>
      <c r="E62" s="943"/>
      <c r="F62" s="943"/>
      <c r="G62" s="943"/>
      <c r="H62" s="943"/>
      <c r="I62" s="943"/>
      <c r="J62" s="943"/>
      <c r="K62" s="943"/>
      <c r="L62" s="943"/>
    </row>
    <row r="63">
      <c r="A63" s="656"/>
      <c r="B63" s="943"/>
      <c r="C63" s="943"/>
      <c r="D63" s="943"/>
      <c r="E63" s="943"/>
      <c r="F63" s="943"/>
      <c r="G63" s="943"/>
      <c r="H63" s="943"/>
      <c r="I63" s="943"/>
      <c r="J63" s="943"/>
      <c r="K63" s="943"/>
      <c r="L63" s="943"/>
    </row>
    <row r="64">
      <c r="A64" s="656"/>
      <c r="B64" s="943"/>
      <c r="C64" s="943"/>
      <c r="D64" s="943"/>
      <c r="E64" s="943"/>
      <c r="F64" s="943"/>
      <c r="G64" s="943"/>
      <c r="H64" s="943"/>
      <c r="I64" s="943"/>
      <c r="J64" s="943"/>
      <c r="K64" s="943"/>
      <c r="L64" s="943"/>
    </row>
    <row r="65">
      <c r="A65" s="656"/>
      <c r="B65" s="943"/>
      <c r="C65" s="943"/>
      <c r="D65" s="943"/>
      <c r="E65" s="943"/>
      <c r="F65" s="943"/>
      <c r="G65" s="943"/>
      <c r="H65" s="943"/>
      <c r="I65" s="943"/>
      <c r="J65" s="943"/>
      <c r="K65" s="943"/>
      <c r="L65" s="943"/>
    </row>
    <row r="66">
      <c r="A66" s="656"/>
      <c r="B66" s="943"/>
      <c r="C66" s="943"/>
      <c r="D66" s="943"/>
      <c r="E66" s="943"/>
      <c r="F66" s="943"/>
      <c r="G66" s="943"/>
      <c r="H66" s="943"/>
      <c r="I66" s="943"/>
      <c r="J66" s="943"/>
      <c r="K66" s="943"/>
      <c r="L66" s="943"/>
    </row>
    <row r="67">
      <c r="A67" s="656"/>
      <c r="B67" s="943"/>
      <c r="C67" s="943"/>
      <c r="D67" s="943"/>
      <c r="E67" s="943"/>
      <c r="F67" s="943"/>
      <c r="G67" s="943"/>
      <c r="H67" s="943"/>
      <c r="I67" s="943"/>
      <c r="J67" s="943"/>
      <c r="K67" s="943"/>
      <c r="L67" s="943"/>
    </row>
    <row r="68">
      <c r="A68" s="656"/>
      <c r="B68" s="943"/>
      <c r="C68" s="943"/>
      <c r="D68" s="943"/>
      <c r="E68" s="943"/>
      <c r="F68" s="943"/>
      <c r="G68" s="943"/>
      <c r="H68" s="943"/>
      <c r="I68" s="943"/>
      <c r="J68" s="943"/>
      <c r="K68" s="943"/>
      <c r="L68" s="943"/>
    </row>
    <row r="69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</row>
    <row r="70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</row>
    <row r="71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</row>
    <row r="72">
      <c r="A72" s="655"/>
      <c r="B72" s="655"/>
      <c r="C72" s="655"/>
      <c r="D72" s="655"/>
      <c r="E72" s="655"/>
      <c r="F72" s="655"/>
      <c r="G72" s="655"/>
      <c r="H72" s="655"/>
      <c r="I72" s="655"/>
      <c r="J72" s="655"/>
      <c r="K72" s="655"/>
    </row>
    <row r="73">
      <c r="A73" s="655"/>
      <c r="B73" s="655"/>
      <c r="C73" s="655"/>
      <c r="D73" s="655"/>
      <c r="E73" s="655"/>
      <c r="F73" s="655"/>
      <c r="G73" s="655"/>
      <c r="H73" s="655"/>
      <c r="I73" s="655"/>
      <c r="J73" s="655"/>
      <c r="K73" s="655"/>
    </row>
    <row r="74">
      <c r="A74" s="655"/>
      <c r="B74" s="655"/>
      <c r="C74" s="655"/>
      <c r="D74" s="655"/>
      <c r="E74" s="655"/>
      <c r="F74" s="655"/>
      <c r="G74" s="655"/>
      <c r="H74" s="655"/>
      <c r="I74" s="655"/>
      <c r="J74" s="655"/>
      <c r="K74" s="655"/>
    </row>
    <row r="75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</row>
    <row r="76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</row>
    <row r="77">
      <c r="A77" s="655"/>
      <c r="B77" s="655"/>
      <c r="C77" s="655"/>
      <c r="D77" s="655"/>
      <c r="E77" s="655"/>
      <c r="F77" s="655"/>
      <c r="G77" s="655"/>
      <c r="H77" s="655"/>
      <c r="I77" s="655"/>
      <c r="J77" s="655"/>
      <c r="K77" s="655"/>
    </row>
    <row r="78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</row>
    <row r="79">
      <c r="A79" s="655"/>
      <c r="B79" s="655"/>
      <c r="C79" s="655"/>
      <c r="D79" s="655"/>
      <c r="E79" s="655"/>
      <c r="F79" s="655"/>
      <c r="G79" s="655"/>
      <c r="H79" s="655"/>
      <c r="I79" s="655"/>
      <c r="J79" s="655"/>
      <c r="K79" s="655"/>
    </row>
    <row r="80">
      <c r="A80" s="655"/>
      <c r="B80" s="655"/>
      <c r="C80" s="655"/>
      <c r="D80" s="655"/>
      <c r="E80" s="655"/>
      <c r="F80" s="655"/>
      <c r="G80" s="655"/>
      <c r="H80" s="655"/>
      <c r="I80" s="655"/>
      <c r="J80" s="655"/>
      <c r="K80" s="655"/>
    </row>
    <row r="81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</row>
    <row r="8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</row>
    <row r="83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</row>
    <row r="84">
      <c r="A84" s="655"/>
      <c r="B84" s="655"/>
      <c r="C84" s="655"/>
      <c r="D84" s="655"/>
      <c r="E84" s="655"/>
      <c r="F84" s="655"/>
      <c r="G84" s="655"/>
      <c r="H84" s="655"/>
      <c r="I84" s="655"/>
      <c r="J84" s="655"/>
      <c r="K84" s="655"/>
    </row>
    <row r="85">
      <c r="A85" s="655"/>
      <c r="B85" s="655"/>
      <c r="C85" s="655"/>
      <c r="D85" s="655"/>
      <c r="E85" s="655"/>
      <c r="F85" s="655"/>
      <c r="G85" s="655"/>
      <c r="H85" s="655"/>
      <c r="I85" s="655"/>
      <c r="J85" s="655"/>
      <c r="K85" s="655"/>
    </row>
    <row r="86">
      <c r="A86" s="655"/>
      <c r="B86" s="655"/>
      <c r="C86" s="655"/>
      <c r="D86" s="655"/>
      <c r="E86" s="655"/>
      <c r="F86" s="655"/>
      <c r="G86" s="655"/>
      <c r="H86" s="655"/>
      <c r="I86" s="655"/>
      <c r="J86" s="655"/>
      <c r="K86" s="655"/>
    </row>
    <row r="87">
      <c r="A87" s="655"/>
      <c r="B87" s="655"/>
      <c r="C87" s="655"/>
      <c r="D87" s="655"/>
      <c r="E87" s="655"/>
      <c r="F87" s="655"/>
      <c r="G87" s="655"/>
      <c r="H87" s="655"/>
      <c r="I87" s="655"/>
      <c r="J87" s="655"/>
      <c r="K87" s="655"/>
    </row>
    <row r="88">
      <c r="A88" s="655"/>
      <c r="B88" s="655"/>
      <c r="C88" s="655"/>
      <c r="D88" s="655"/>
      <c r="E88" s="655"/>
      <c r="F88" s="655"/>
      <c r="G88" s="655"/>
      <c r="H88" s="655"/>
      <c r="I88" s="655"/>
      <c r="J88" s="655"/>
      <c r="K88" s="655"/>
    </row>
    <row r="89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</row>
    <row r="90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</row>
    <row r="91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</row>
    <row r="9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</row>
    <row r="93">
      <c r="A93" s="655"/>
      <c r="B93" s="655"/>
      <c r="C93" s="655"/>
      <c r="D93" s="655"/>
      <c r="E93" s="655"/>
      <c r="F93" s="655"/>
      <c r="G93" s="655"/>
      <c r="H93" s="655"/>
      <c r="I93" s="655"/>
      <c r="J93" s="655"/>
      <c r="K93" s="655"/>
    </row>
    <row r="94">
      <c r="A94" s="655"/>
      <c r="B94" s="655"/>
      <c r="C94" s="655"/>
      <c r="D94" s="655"/>
      <c r="E94" s="655"/>
      <c r="F94" s="655"/>
      <c r="G94" s="655"/>
      <c r="H94" s="655"/>
      <c r="I94" s="655"/>
      <c r="J94" s="655"/>
      <c r="K94" s="655"/>
    </row>
    <row r="95">
      <c r="A95" s="655"/>
      <c r="B95" s="655"/>
      <c r="C95" s="655"/>
      <c r="D95" s="655"/>
      <c r="E95" s="655"/>
      <c r="F95" s="655"/>
      <c r="G95" s="655"/>
      <c r="H95" s="655"/>
      <c r="I95" s="655"/>
      <c r="J95" s="655"/>
      <c r="K95" s="655"/>
    </row>
    <row r="96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</row>
    <row r="97">
      <c r="A97" s="655"/>
      <c r="B97" s="655"/>
      <c r="C97" s="655"/>
      <c r="D97" s="655"/>
      <c r="E97" s="655"/>
      <c r="F97" s="655"/>
      <c r="G97" s="655"/>
      <c r="H97" s="655"/>
      <c r="I97" s="655"/>
      <c r="J97" s="655"/>
      <c r="K97" s="655"/>
    </row>
    <row r="98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</row>
    <row r="99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</row>
    <row r="100">
      <c r="A100" s="655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</row>
    <row r="101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</row>
    <row r="102">
      <c r="A102" s="655"/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</row>
    <row r="103">
      <c r="A103" s="655"/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</row>
    <row r="104">
      <c r="A104" s="655"/>
      <c r="B104" s="655"/>
      <c r="C104" s="655"/>
      <c r="D104" s="655"/>
      <c r="E104" s="655"/>
      <c r="F104" s="655"/>
      <c r="G104" s="655"/>
      <c r="H104" s="655"/>
      <c r="I104" s="655"/>
      <c r="J104" s="655"/>
      <c r="K104" s="655"/>
    </row>
    <row r="105">
      <c r="A105" s="655"/>
      <c r="B105" s="655"/>
      <c r="C105" s="655"/>
      <c r="D105" s="655"/>
      <c r="E105" s="655"/>
      <c r="F105" s="655"/>
      <c r="G105" s="655"/>
      <c r="H105" s="655"/>
      <c r="I105" s="655"/>
      <c r="J105" s="655"/>
      <c r="K105" s="655"/>
    </row>
    <row r="106">
      <c r="A106" s="655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</row>
    <row r="107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</row>
    <row r="108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</row>
    <row r="109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</row>
    <row r="110">
      <c r="A110" s="655"/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</row>
    <row r="111">
      <c r="A111" s="655"/>
      <c r="B111" s="655"/>
      <c r="C111" s="655"/>
      <c r="D111" s="655"/>
      <c r="E111" s="655"/>
      <c r="F111" s="655"/>
      <c r="G111" s="655"/>
      <c r="H111" s="655"/>
      <c r="I111" s="655"/>
      <c r="J111" s="655"/>
      <c r="K111" s="655"/>
    </row>
    <row r="112">
      <c r="A112" s="655"/>
      <c r="B112" s="655"/>
      <c r="C112" s="655"/>
      <c r="D112" s="655"/>
      <c r="E112" s="655"/>
      <c r="F112" s="655"/>
      <c r="G112" s="655"/>
      <c r="H112" s="655"/>
      <c r="I112" s="655"/>
      <c r="J112" s="655"/>
      <c r="K112" s="655"/>
    </row>
    <row r="113">
      <c r="A113" s="655"/>
      <c r="B113" s="655"/>
      <c r="C113" s="655"/>
      <c r="D113" s="655"/>
      <c r="E113" s="655"/>
      <c r="F113" s="655"/>
      <c r="G113" s="655"/>
      <c r="H113" s="655"/>
      <c r="I113" s="655"/>
      <c r="J113" s="655"/>
      <c r="K113" s="655"/>
    </row>
    <row r="114">
      <c r="A114" s="655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</row>
    <row r="115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</row>
    <row r="116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</row>
    <row r="117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</row>
    <row r="118">
      <c r="A118" s="655"/>
      <c r="B118" s="655"/>
      <c r="C118" s="655"/>
      <c r="D118" s="655"/>
      <c r="E118" s="655"/>
      <c r="F118" s="655"/>
      <c r="G118" s="655"/>
      <c r="H118" s="655"/>
      <c r="I118" s="655"/>
      <c r="J118" s="655"/>
      <c r="K118" s="655"/>
    </row>
    <row r="119">
      <c r="A119" s="655"/>
      <c r="B119" s="655"/>
      <c r="C119" s="655"/>
      <c r="D119" s="655"/>
      <c r="E119" s="655"/>
      <c r="F119" s="655"/>
      <c r="G119" s="655"/>
      <c r="H119" s="655"/>
      <c r="I119" s="655"/>
      <c r="J119" s="655"/>
      <c r="K119" s="655"/>
    </row>
    <row r="120">
      <c r="A120" s="655"/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</row>
    <row r="121">
      <c r="A121" s="655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</row>
    <row r="12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</row>
    <row r="123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</row>
    <row r="124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</row>
    <row r="125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</row>
    <row r="126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</row>
    <row r="127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</row>
    <row r="128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</row>
    <row r="129">
      <c r="A129" s="655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</row>
    <row r="130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</row>
    <row r="131">
      <c r="A131" s="655"/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</row>
    <row r="132">
      <c r="A132" s="655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</row>
    <row r="133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</row>
    <row r="134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</row>
    <row r="135">
      <c r="A135" s="655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</row>
    <row r="136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</row>
    <row r="137">
      <c r="A137" s="655"/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</row>
    <row r="138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</row>
    <row r="139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</row>
    <row r="140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</row>
    <row r="141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</row>
    <row r="142">
      <c r="A142" s="655"/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</row>
    <row r="143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</row>
    <row r="144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</row>
    <row r="145">
      <c r="A145" s="655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</row>
    <row r="146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</row>
    <row r="147">
      <c r="A147" s="655"/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</row>
    <row r="148">
      <c r="A148" s="655"/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</row>
    <row r="149">
      <c r="A149" s="655"/>
      <c r="B149" s="655"/>
      <c r="C149" s="655"/>
      <c r="D149" s="655"/>
      <c r="E149" s="655"/>
      <c r="F149" s="655"/>
      <c r="G149" s="655"/>
      <c r="H149" s="655"/>
      <c r="I149" s="655"/>
      <c r="J149" s="655"/>
      <c r="K149" s="655"/>
    </row>
    <row r="150">
      <c r="A150" s="655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</row>
    <row r="151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</row>
    <row r="152">
      <c r="A152" s="655"/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</row>
    <row r="153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</row>
    <row r="154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</row>
    <row r="155">
      <c r="A155" s="655"/>
      <c r="B155" s="655"/>
      <c r="C155" s="655"/>
      <c r="D155" s="655"/>
      <c r="E155" s="655"/>
      <c r="F155" s="655"/>
      <c r="G155" s="655"/>
      <c r="H155" s="655"/>
      <c r="I155" s="655"/>
      <c r="J155" s="655"/>
      <c r="K155" s="655"/>
    </row>
    <row r="156">
      <c r="A156" s="655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</row>
    <row r="157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</row>
    <row r="158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</row>
    <row r="159">
      <c r="A159" s="655"/>
      <c r="B159" s="655"/>
      <c r="C159" s="655"/>
      <c r="D159" s="655"/>
      <c r="E159" s="655"/>
      <c r="F159" s="655"/>
      <c r="G159" s="655"/>
      <c r="H159" s="655"/>
      <c r="I159" s="655"/>
      <c r="J159" s="655"/>
      <c r="K159" s="655"/>
    </row>
    <row r="160">
      <c r="A160" s="655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</row>
    <row r="161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</row>
    <row r="162">
      <c r="A162" s="655"/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</row>
    <row r="163">
      <c r="A163" s="655"/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</row>
    <row r="164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</row>
    <row r="165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</row>
    <row r="166">
      <c r="A166" s="655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</row>
    <row r="167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</row>
    <row r="168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</row>
    <row r="169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</row>
    <row r="170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</row>
    <row r="171">
      <c r="A171" s="655"/>
      <c r="B171" s="655"/>
      <c r="C171" s="655"/>
      <c r="D171" s="655"/>
      <c r="E171" s="655"/>
      <c r="F171" s="655"/>
      <c r="G171" s="655"/>
      <c r="H171" s="655"/>
      <c r="I171" s="655"/>
      <c r="J171" s="655"/>
      <c r="K171" s="655"/>
    </row>
    <row r="172">
      <c r="A172" s="655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</row>
    <row r="173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</row>
    <row r="174">
      <c r="A174" s="655"/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</row>
    <row r="175">
      <c r="A175" s="655"/>
      <c r="B175" s="655"/>
      <c r="C175" s="655"/>
      <c r="D175" s="655"/>
      <c r="E175" s="655"/>
      <c r="F175" s="655"/>
      <c r="G175" s="655"/>
      <c r="H175" s="655"/>
      <c r="I175" s="655"/>
      <c r="J175" s="655"/>
      <c r="K175" s="655"/>
    </row>
    <row r="176">
      <c r="A176" s="655"/>
      <c r="B176" s="655"/>
      <c r="C176" s="655"/>
      <c r="D176" s="655"/>
      <c r="E176" s="655"/>
      <c r="F176" s="655"/>
      <c r="G176" s="655"/>
      <c r="H176" s="655"/>
      <c r="I176" s="655"/>
      <c r="J176" s="655"/>
      <c r="K176" s="655"/>
    </row>
    <row r="177">
      <c r="A177" s="655"/>
      <c r="B177" s="655"/>
      <c r="C177" s="655"/>
      <c r="D177" s="655"/>
      <c r="E177" s="655"/>
      <c r="F177" s="655"/>
      <c r="G177" s="655"/>
      <c r="H177" s="655"/>
      <c r="I177" s="655"/>
      <c r="J177" s="655"/>
      <c r="K177" s="655"/>
    </row>
    <row r="178">
      <c r="A178" s="655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</row>
    <row r="179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</row>
    <row r="180">
      <c r="A180" s="655"/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</row>
    <row r="181">
      <c r="A181" s="655"/>
      <c r="B181" s="655"/>
      <c r="C181" s="655"/>
      <c r="D181" s="655"/>
      <c r="E181" s="655"/>
      <c r="F181" s="655"/>
      <c r="G181" s="655"/>
      <c r="H181" s="655"/>
      <c r="I181" s="655"/>
      <c r="J181" s="655"/>
      <c r="K181" s="655"/>
    </row>
    <row r="182">
      <c r="A182" s="655"/>
      <c r="B182" s="655"/>
      <c r="C182" s="655"/>
      <c r="D182" s="655"/>
      <c r="E182" s="655"/>
      <c r="F182" s="655"/>
      <c r="G182" s="655"/>
      <c r="H182" s="655"/>
      <c r="I182" s="655"/>
      <c r="J182" s="655"/>
      <c r="K182" s="655"/>
    </row>
    <row r="183">
      <c r="A183" s="655"/>
      <c r="B183" s="655"/>
      <c r="C183" s="655"/>
      <c r="D183" s="655"/>
      <c r="E183" s="655"/>
      <c r="F183" s="655"/>
      <c r="G183" s="655"/>
      <c r="H183" s="655"/>
      <c r="I183" s="655"/>
      <c r="J183" s="655"/>
      <c r="K183" s="655"/>
    </row>
    <row r="184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</row>
    <row r="185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</row>
    <row r="186">
      <c r="A186" s="655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</row>
    <row r="187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</row>
    <row r="188">
      <c r="A188" s="655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</row>
    <row r="189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</row>
    <row r="190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</row>
    <row r="191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</row>
    <row r="192">
      <c r="A192" s="655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</row>
    <row r="193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</row>
    <row r="194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</row>
    <row r="195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</row>
    <row r="196">
      <c r="A196" s="655"/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</row>
    <row r="197">
      <c r="A197" s="655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</row>
    <row r="198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</row>
    <row r="199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</row>
    <row r="200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</row>
    <row r="201">
      <c r="A201" s="655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</row>
    <row r="20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</row>
    <row r="203">
      <c r="A203" s="655"/>
      <c r="B203" s="655"/>
      <c r="C203" s="655"/>
      <c r="D203" s="655"/>
      <c r="E203" s="655"/>
      <c r="F203" s="655"/>
      <c r="G203" s="655"/>
      <c r="H203" s="655"/>
      <c r="I203" s="655"/>
      <c r="J203" s="655"/>
      <c r="K203" s="655"/>
    </row>
    <row r="204">
      <c r="A204" s="655"/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</row>
    <row r="205">
      <c r="A205" s="655"/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</row>
    <row r="206">
      <c r="A206" s="655"/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</row>
    <row r="207">
      <c r="A207" s="655"/>
      <c r="B207" s="655"/>
      <c r="C207" s="655"/>
      <c r="D207" s="655"/>
      <c r="E207" s="655"/>
      <c r="F207" s="655"/>
      <c r="G207" s="655"/>
      <c r="H207" s="655"/>
      <c r="I207" s="655"/>
      <c r="J207" s="655"/>
      <c r="K207" s="655"/>
    </row>
    <row r="208">
      <c r="A208" s="655"/>
      <c r="B208" s="655"/>
      <c r="C208" s="655"/>
      <c r="D208" s="655"/>
      <c r="E208" s="655"/>
      <c r="F208" s="655"/>
      <c r="G208" s="655"/>
      <c r="H208" s="655"/>
      <c r="I208" s="655"/>
      <c r="J208" s="655"/>
      <c r="K208" s="655"/>
    </row>
    <row r="209">
      <c r="A209" s="655"/>
      <c r="B209" s="655"/>
      <c r="C209" s="655"/>
      <c r="D209" s="655"/>
      <c r="E209" s="655"/>
      <c r="F209" s="655"/>
      <c r="G209" s="655"/>
      <c r="H209" s="655"/>
      <c r="I209" s="655"/>
      <c r="J209" s="655"/>
      <c r="K209" s="655"/>
    </row>
    <row r="210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</row>
    <row r="211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</row>
    <row r="212">
      <c r="A212" s="655"/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</row>
    <row r="213">
      <c r="A213" s="655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</row>
    <row r="214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</row>
    <row r="215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</row>
    <row r="216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</row>
    <row r="217">
      <c r="A217" s="655"/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</row>
    <row r="218">
      <c r="A218" s="655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</row>
    <row r="219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</row>
    <row r="220">
      <c r="A220" s="655"/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</row>
    <row r="221">
      <c r="A221" s="655"/>
      <c r="B221" s="655"/>
      <c r="C221" s="655"/>
      <c r="D221" s="655"/>
      <c r="E221" s="655"/>
      <c r="F221" s="655"/>
      <c r="G221" s="655"/>
      <c r="H221" s="655"/>
      <c r="I221" s="655"/>
      <c r="J221" s="655"/>
      <c r="K221" s="655"/>
    </row>
    <row r="222">
      <c r="A222" s="655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</row>
    <row r="223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</row>
    <row r="224">
      <c r="A224" s="655"/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</row>
    <row r="225">
      <c r="A225" s="655"/>
      <c r="B225" s="655"/>
      <c r="C225" s="655"/>
      <c r="D225" s="655"/>
      <c r="E225" s="655"/>
      <c r="F225" s="655"/>
      <c r="G225" s="655"/>
      <c r="H225" s="655"/>
      <c r="I225" s="655"/>
      <c r="J225" s="655"/>
      <c r="K225" s="655"/>
    </row>
    <row r="226">
      <c r="A226" s="655"/>
      <c r="B226" s="655"/>
      <c r="C226" s="655"/>
      <c r="D226" s="655"/>
      <c r="E226" s="655"/>
      <c r="F226" s="655"/>
      <c r="G226" s="655"/>
      <c r="H226" s="655"/>
      <c r="I226" s="655"/>
      <c r="J226" s="655"/>
      <c r="K226" s="655"/>
    </row>
    <row r="227">
      <c r="A227" s="655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</row>
    <row r="228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</row>
    <row r="229">
      <c r="A229" s="655"/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</row>
    <row r="230">
      <c r="A230" s="655"/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</row>
    <row r="231">
      <c r="A231" s="655"/>
      <c r="B231" s="655"/>
      <c r="C231" s="655"/>
      <c r="D231" s="655"/>
      <c r="E231" s="655"/>
      <c r="F231" s="655"/>
      <c r="G231" s="655"/>
      <c r="H231" s="655"/>
      <c r="I231" s="655"/>
      <c r="J231" s="655"/>
      <c r="K231" s="655"/>
    </row>
    <row r="232">
      <c r="A232" s="655"/>
      <c r="B232" s="655"/>
      <c r="C232" s="655"/>
      <c r="D232" s="655"/>
      <c r="E232" s="655"/>
      <c r="F232" s="655"/>
      <c r="G232" s="655"/>
      <c r="H232" s="655"/>
      <c r="I232" s="655"/>
      <c r="J232" s="655"/>
      <c r="K232" s="655"/>
    </row>
    <row r="233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</row>
    <row r="234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</row>
    <row r="235">
      <c r="A235" s="655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</row>
    <row r="236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</row>
    <row r="237">
      <c r="A237" s="655"/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</row>
    <row r="238">
      <c r="A238" s="655"/>
      <c r="B238" s="655"/>
      <c r="C238" s="655"/>
      <c r="D238" s="655"/>
      <c r="E238" s="655"/>
      <c r="F238" s="655"/>
      <c r="G238" s="655"/>
      <c r="H238" s="655"/>
      <c r="I238" s="655"/>
      <c r="J238" s="655"/>
      <c r="K238" s="655"/>
    </row>
    <row r="239">
      <c r="A239" s="655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</row>
    <row r="240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</row>
    <row r="241">
      <c r="A241" s="655"/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</row>
    <row r="242">
      <c r="A242" s="655"/>
      <c r="B242" s="655"/>
      <c r="C242" s="655"/>
      <c r="D242" s="655"/>
      <c r="E242" s="655"/>
      <c r="F242" s="655"/>
      <c r="G242" s="655"/>
      <c r="H242" s="655"/>
      <c r="I242" s="655"/>
      <c r="J242" s="655"/>
      <c r="K242" s="655"/>
    </row>
    <row r="243">
      <c r="A243" s="655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</row>
    <row r="244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</row>
    <row r="245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</row>
    <row r="246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</row>
    <row r="247">
      <c r="A247" s="655"/>
      <c r="B247" s="655"/>
      <c r="C247" s="655"/>
      <c r="D247" s="655"/>
      <c r="E247" s="655"/>
      <c r="F247" s="655"/>
      <c r="G247" s="655"/>
      <c r="H247" s="655"/>
      <c r="I247" s="655"/>
      <c r="J247" s="655"/>
      <c r="K247" s="655"/>
    </row>
    <row r="248">
      <c r="A248" s="655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</row>
    <row r="249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</row>
    <row r="250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</row>
    <row r="251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</row>
    <row r="25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</row>
    <row r="253">
      <c r="A253" s="655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</row>
    <row r="254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</row>
    <row r="255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</row>
    <row r="256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</row>
    <row r="257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</row>
    <row r="258">
      <c r="A258" s="655"/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</row>
    <row r="259">
      <c r="A259" s="655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</row>
    <row r="260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</row>
    <row r="261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</row>
    <row r="26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</row>
    <row r="263">
      <c r="A263" s="655"/>
      <c r="B263" s="655"/>
      <c r="C263" s="655"/>
      <c r="D263" s="655"/>
      <c r="E263" s="655"/>
      <c r="F263" s="655"/>
      <c r="G263" s="655"/>
      <c r="H263" s="655"/>
      <c r="I263" s="655"/>
      <c r="J263" s="655"/>
      <c r="K263" s="655"/>
    </row>
    <row r="264">
      <c r="A264" s="655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</row>
    <row r="265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</row>
    <row r="266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</row>
    <row r="267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</row>
    <row r="268">
      <c r="A268" s="655"/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</row>
    <row r="269">
      <c r="A269" s="655"/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</row>
    <row r="270">
      <c r="A270" s="655"/>
      <c r="B270" s="655"/>
      <c r="C270" s="655"/>
      <c r="D270" s="655"/>
      <c r="E270" s="655"/>
      <c r="F270" s="655"/>
      <c r="G270" s="655"/>
      <c r="H270" s="655"/>
      <c r="I270" s="655"/>
      <c r="J270" s="655"/>
      <c r="K270" s="655"/>
    </row>
    <row r="271">
      <c r="A271" s="655"/>
      <c r="B271" s="655"/>
      <c r="C271" s="655"/>
      <c r="D271" s="655"/>
      <c r="E271" s="655"/>
      <c r="F271" s="655"/>
      <c r="G271" s="655"/>
      <c r="H271" s="655"/>
      <c r="I271" s="655"/>
      <c r="J271" s="655"/>
      <c r="K271" s="655"/>
    </row>
    <row r="272">
      <c r="A272" s="655"/>
      <c r="B272" s="655"/>
      <c r="C272" s="655"/>
      <c r="D272" s="655"/>
      <c r="E272" s="655"/>
      <c r="F272" s="655"/>
      <c r="G272" s="655"/>
      <c r="H272" s="655"/>
      <c r="I272" s="655"/>
      <c r="J272" s="655"/>
      <c r="K272" s="655"/>
    </row>
    <row r="273">
      <c r="A273" s="655"/>
      <c r="B273" s="655"/>
      <c r="C273" s="655"/>
      <c r="D273" s="655"/>
      <c r="E273" s="655"/>
      <c r="F273" s="655"/>
      <c r="G273" s="655"/>
      <c r="H273" s="655"/>
      <c r="I273" s="655"/>
      <c r="J273" s="655"/>
      <c r="K273" s="655"/>
    </row>
    <row r="274">
      <c r="A274" s="655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</row>
    <row r="275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</row>
    <row r="276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</row>
    <row r="277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</row>
    <row r="278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</row>
    <row r="279">
      <c r="A279" s="655"/>
      <c r="B279" s="655"/>
      <c r="C279" s="655"/>
      <c r="D279" s="655"/>
      <c r="E279" s="655"/>
      <c r="F279" s="655"/>
      <c r="G279" s="655"/>
      <c r="H279" s="655"/>
      <c r="I279" s="655"/>
      <c r="J279" s="655"/>
      <c r="K279" s="655"/>
    </row>
    <row r="280">
      <c r="A280" s="655"/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</row>
    <row r="281">
      <c r="A281" s="655"/>
      <c r="B281" s="655"/>
      <c r="C281" s="655"/>
      <c r="D281" s="655"/>
      <c r="E281" s="655"/>
      <c r="F281" s="655"/>
      <c r="G281" s="655"/>
      <c r="H281" s="655"/>
      <c r="I281" s="655"/>
      <c r="J281" s="655"/>
      <c r="K281" s="655"/>
    </row>
    <row r="282">
      <c r="A282" s="655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</row>
    <row r="283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</row>
    <row r="284">
      <c r="A284" s="655"/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</row>
    <row r="285">
      <c r="A285" s="655"/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</row>
    <row r="286">
      <c r="A286" s="655"/>
      <c r="B286" s="655"/>
      <c r="C286" s="655"/>
      <c r="D286" s="655"/>
      <c r="E286" s="655"/>
      <c r="F286" s="655"/>
      <c r="G286" s="655"/>
      <c r="H286" s="655"/>
      <c r="I286" s="655"/>
      <c r="J286" s="655"/>
      <c r="K286" s="655"/>
    </row>
    <row r="287">
      <c r="A287" s="655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</row>
    <row r="288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</row>
    <row r="289">
      <c r="A289" s="655"/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</row>
    <row r="290">
      <c r="A290" s="655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</row>
    <row r="291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</row>
    <row r="29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</row>
    <row r="293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</row>
    <row r="294">
      <c r="A294" s="655"/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</row>
    <row r="295">
      <c r="A295" s="655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</row>
    <row r="296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</row>
    <row r="297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</row>
    <row r="298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</row>
    <row r="299">
      <c r="A299" s="655"/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</row>
    <row r="300">
      <c r="A300" s="655"/>
      <c r="B300" s="655"/>
      <c r="C300" s="655"/>
      <c r="D300" s="655"/>
      <c r="E300" s="655"/>
      <c r="F300" s="655"/>
      <c r="G300" s="655"/>
      <c r="H300" s="655"/>
      <c r="I300" s="655"/>
      <c r="J300" s="655"/>
      <c r="K300" s="655"/>
    </row>
    <row r="301">
      <c r="A301" s="655"/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</row>
    <row r="302">
      <c r="A302" s="655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</row>
    <row r="303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</row>
    <row r="304">
      <c r="A304" s="655"/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</row>
    <row r="305">
      <c r="A305" s="655"/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</row>
    <row r="306">
      <c r="A306" s="655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</row>
    <row r="307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</row>
    <row r="308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</row>
    <row r="309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</row>
    <row r="310">
      <c r="A310" s="655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</row>
    <row r="311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</row>
    <row r="31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</row>
    <row r="313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</row>
    <row r="314">
      <c r="A314" s="655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</row>
    <row r="315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</row>
    <row r="316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</row>
    <row r="317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</row>
    <row r="318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</row>
    <row r="319">
      <c r="A319" s="655"/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</row>
    <row r="320">
      <c r="A320" s="655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</row>
    <row r="321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</row>
    <row r="32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</row>
    <row r="323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</row>
    <row r="324">
      <c r="A324" s="655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</row>
    <row r="325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</row>
    <row r="326">
      <c r="A326" s="655"/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</row>
    <row r="327">
      <c r="A327" s="655"/>
      <c r="B327" s="655"/>
      <c r="C327" s="655"/>
      <c r="D327" s="655"/>
      <c r="E327" s="655"/>
      <c r="F327" s="655"/>
      <c r="G327" s="655"/>
      <c r="H327" s="655"/>
      <c r="I327" s="655"/>
      <c r="J327" s="655"/>
      <c r="K327" s="655"/>
    </row>
    <row r="328">
      <c r="A328" s="655"/>
      <c r="B328" s="655"/>
      <c r="C328" s="655"/>
      <c r="D328" s="655"/>
      <c r="E328" s="655"/>
      <c r="F328" s="655"/>
      <c r="G328" s="655"/>
      <c r="H328" s="655"/>
      <c r="I328" s="655"/>
      <c r="J328" s="655"/>
      <c r="K328" s="655"/>
    </row>
    <row r="329">
      <c r="A329" s="655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</row>
    <row r="330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</row>
    <row r="331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</row>
    <row r="33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</row>
    <row r="333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</row>
    <row r="334">
      <c r="A334" s="655"/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</row>
    <row r="335">
      <c r="A335" s="655"/>
      <c r="B335" s="655"/>
      <c r="C335" s="655"/>
      <c r="D335" s="655"/>
      <c r="E335" s="655"/>
      <c r="F335" s="655"/>
      <c r="G335" s="655"/>
      <c r="H335" s="655"/>
      <c r="I335" s="655"/>
      <c r="J335" s="655"/>
      <c r="K335" s="655"/>
    </row>
    <row r="336">
      <c r="A336" s="655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</row>
    <row r="337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</row>
    <row r="338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</row>
    <row r="339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</row>
    <row r="340">
      <c r="A340" s="655"/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</row>
    <row r="341">
      <c r="A341" s="655"/>
      <c r="B341" s="655"/>
      <c r="C341" s="655"/>
      <c r="D341" s="655"/>
      <c r="E341" s="655"/>
      <c r="F341" s="655"/>
      <c r="G341" s="655"/>
      <c r="H341" s="655"/>
      <c r="I341" s="655"/>
      <c r="J341" s="655"/>
      <c r="K341" s="655"/>
    </row>
    <row r="342">
      <c r="A342" s="655"/>
      <c r="B342" s="655"/>
      <c r="C342" s="655"/>
      <c r="D342" s="655"/>
      <c r="E342" s="655"/>
      <c r="F342" s="655"/>
      <c r="G342" s="655"/>
      <c r="H342" s="655"/>
      <c r="I342" s="655"/>
      <c r="J342" s="655"/>
      <c r="K342" s="655"/>
    </row>
    <row r="343">
      <c r="A343" s="655"/>
      <c r="B343" s="655"/>
      <c r="C343" s="655"/>
      <c r="D343" s="655"/>
      <c r="E343" s="655"/>
      <c r="F343" s="655"/>
      <c r="G343" s="655"/>
      <c r="H343" s="655"/>
      <c r="I343" s="655"/>
      <c r="J343" s="655"/>
      <c r="K343" s="655"/>
    </row>
    <row r="344">
      <c r="A344" s="655"/>
      <c r="B344" s="655"/>
      <c r="C344" s="655"/>
      <c r="D344" s="655"/>
      <c r="E344" s="655"/>
      <c r="F344" s="655"/>
      <c r="G344" s="655"/>
      <c r="H344" s="655"/>
      <c r="I344" s="655"/>
      <c r="J344" s="655"/>
      <c r="K344" s="655"/>
    </row>
    <row r="345">
      <c r="A345" s="655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</row>
    <row r="346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</row>
    <row r="347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</row>
    <row r="348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</row>
    <row r="349">
      <c r="A349" s="655"/>
      <c r="B349" s="655"/>
      <c r="C349" s="655"/>
      <c r="D349" s="655"/>
      <c r="E349" s="655"/>
      <c r="F349" s="655"/>
      <c r="G349" s="655"/>
      <c r="H349" s="655"/>
      <c r="I349" s="655"/>
      <c r="J349" s="655"/>
      <c r="K349" s="655"/>
    </row>
    <row r="350">
      <c r="A350" s="655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</row>
    <row r="351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</row>
    <row r="35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</row>
    <row r="353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</row>
    <row r="354">
      <c r="A354" s="655"/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</row>
    <row r="355">
      <c r="A355" s="655"/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</row>
    <row r="356">
      <c r="A356" s="655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</row>
    <row r="357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</row>
    <row r="358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</row>
    <row r="359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</row>
    <row r="360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</row>
    <row r="361">
      <c r="A361" s="655"/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</row>
    <row r="362">
      <c r="A362" s="655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</row>
    <row r="363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</row>
    <row r="364">
      <c r="A364" s="655"/>
      <c r="B364" s="655"/>
      <c r="C364" s="655"/>
      <c r="D364" s="655"/>
      <c r="E364" s="655"/>
      <c r="F364" s="655"/>
      <c r="G364" s="655"/>
      <c r="H364" s="655"/>
      <c r="I364" s="655"/>
      <c r="J364" s="655"/>
      <c r="K364" s="655"/>
    </row>
    <row r="365">
      <c r="A365" s="655"/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</row>
    <row r="366">
      <c r="A366" s="655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</row>
    <row r="367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</row>
    <row r="368">
      <c r="A368" s="655"/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</row>
    <row r="369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</row>
    <row r="370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</row>
    <row r="371">
      <c r="A371" s="655"/>
      <c r="B371" s="655"/>
      <c r="C371" s="655"/>
      <c r="D371" s="655"/>
      <c r="E371" s="655"/>
      <c r="F371" s="655"/>
      <c r="G371" s="655"/>
      <c r="H371" s="655"/>
      <c r="I371" s="655"/>
      <c r="J371" s="655"/>
      <c r="K371" s="655"/>
    </row>
    <row r="372">
      <c r="A372" s="655"/>
      <c r="B372" s="655"/>
      <c r="C372" s="655"/>
      <c r="D372" s="655"/>
      <c r="E372" s="655"/>
      <c r="F372" s="655"/>
      <c r="G372" s="655"/>
      <c r="H372" s="655"/>
      <c r="I372" s="655"/>
      <c r="J372" s="655"/>
      <c r="K372" s="655"/>
    </row>
    <row r="373">
      <c r="A373" s="655"/>
      <c r="B373" s="655"/>
      <c r="C373" s="655"/>
      <c r="D373" s="655"/>
      <c r="E373" s="655"/>
      <c r="F373" s="655"/>
      <c r="G373" s="655"/>
      <c r="H373" s="655"/>
      <c r="I373" s="655"/>
      <c r="J373" s="655"/>
      <c r="K373" s="655"/>
    </row>
    <row r="374">
      <c r="A374" s="655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</row>
    <row r="375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</row>
    <row r="376">
      <c r="A376" s="655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</row>
    <row r="377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</row>
    <row r="378">
      <c r="A378" s="655"/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</row>
    <row r="379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</row>
    <row r="380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</row>
    <row r="381">
      <c r="A381" s="655"/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</row>
    <row r="382">
      <c r="A382" s="655"/>
      <c r="B382" s="655"/>
      <c r="C382" s="655"/>
      <c r="D382" s="655"/>
      <c r="E382" s="655"/>
      <c r="F382" s="655"/>
      <c r="G382" s="655"/>
      <c r="H382" s="655"/>
      <c r="I382" s="655"/>
      <c r="J382" s="655"/>
      <c r="K382" s="655"/>
    </row>
    <row r="383">
      <c r="A383" s="655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</row>
    <row r="384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</row>
    <row r="385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</row>
    <row r="386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</row>
    <row r="387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</row>
    <row r="388">
      <c r="A388" s="655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</row>
    <row r="389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</row>
    <row r="390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</row>
    <row r="391">
      <c r="A391" s="655"/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</row>
    <row r="39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</row>
    <row r="393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</row>
    <row r="394">
      <c r="A394" s="655"/>
      <c r="B394" s="655"/>
      <c r="C394" s="655"/>
      <c r="D394" s="655"/>
      <c r="E394" s="655"/>
      <c r="F394" s="655"/>
      <c r="G394" s="655"/>
      <c r="H394" s="655"/>
      <c r="I394" s="655"/>
      <c r="J394" s="655"/>
      <c r="K394" s="655"/>
    </row>
    <row r="395">
      <c r="A395" s="655"/>
      <c r="B395" s="655"/>
      <c r="C395" s="655"/>
      <c r="D395" s="655"/>
      <c r="E395" s="655"/>
      <c r="F395" s="655"/>
      <c r="G395" s="655"/>
      <c r="H395" s="655"/>
      <c r="I395" s="655"/>
      <c r="J395" s="655"/>
      <c r="K395" s="655"/>
    </row>
    <row r="396">
      <c r="A396" s="655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</row>
    <row r="397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</row>
    <row r="398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</row>
    <row r="399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</row>
    <row r="400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</row>
    <row r="401">
      <c r="A401" s="655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</row>
    <row r="40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</row>
    <row r="403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</row>
    <row r="404">
      <c r="A404" s="655"/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</row>
    <row r="405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</row>
    <row r="406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</row>
    <row r="407">
      <c r="A407" s="655"/>
      <c r="B407" s="655"/>
      <c r="C407" s="655"/>
      <c r="D407" s="655"/>
      <c r="E407" s="655"/>
      <c r="F407" s="655"/>
      <c r="G407" s="655"/>
      <c r="H407" s="655"/>
      <c r="I407" s="655"/>
      <c r="J407" s="655"/>
      <c r="K407" s="655"/>
    </row>
    <row r="408">
      <c r="A408" s="655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</row>
    <row r="409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</row>
    <row r="410">
      <c r="A410" s="655"/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</row>
    <row r="411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</row>
    <row r="41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</row>
    <row r="413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</row>
    <row r="414">
      <c r="A414" s="655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</row>
    <row r="415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</row>
    <row r="416">
      <c r="A416" s="655"/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</row>
    <row r="417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</row>
    <row r="418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</row>
    <row r="419">
      <c r="A419" s="655"/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</row>
    <row r="420">
      <c r="A420" s="655"/>
      <c r="B420" s="655"/>
      <c r="C420" s="655"/>
      <c r="D420" s="655"/>
      <c r="E420" s="655"/>
      <c r="F420" s="655"/>
      <c r="G420" s="655"/>
      <c r="H420" s="655"/>
      <c r="I420" s="655"/>
      <c r="J420" s="655"/>
      <c r="K420" s="655"/>
    </row>
    <row r="421">
      <c r="A421" s="655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</row>
    <row r="42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</row>
    <row r="423">
      <c r="A423" s="655"/>
      <c r="B423" s="655"/>
      <c r="C423" s="655"/>
      <c r="D423" s="655"/>
      <c r="E423" s="655"/>
      <c r="F423" s="655"/>
      <c r="G423" s="655"/>
      <c r="H423" s="655"/>
      <c r="I423" s="655"/>
      <c r="J423" s="655"/>
      <c r="K423" s="655"/>
    </row>
    <row r="424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</row>
    <row r="425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</row>
    <row r="426">
      <c r="A426" s="655"/>
      <c r="B426" s="655"/>
      <c r="C426" s="655"/>
      <c r="D426" s="655"/>
      <c r="E426" s="655"/>
      <c r="F426" s="655"/>
      <c r="G426" s="655"/>
      <c r="H426" s="655"/>
      <c r="I426" s="655"/>
      <c r="J426" s="655"/>
      <c r="K426" s="655"/>
    </row>
    <row r="427">
      <c r="A427" s="655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</row>
    <row r="428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</row>
    <row r="429">
      <c r="A429" s="655"/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</row>
    <row r="430">
      <c r="A430" s="655"/>
      <c r="B430" s="655"/>
      <c r="C430" s="655"/>
      <c r="D430" s="655"/>
      <c r="E430" s="655"/>
      <c r="F430" s="655"/>
      <c r="G430" s="655"/>
      <c r="H430" s="655"/>
      <c r="I430" s="655"/>
      <c r="J430" s="655"/>
      <c r="K430" s="655"/>
    </row>
    <row r="431">
      <c r="A431" s="655"/>
      <c r="B431" s="655"/>
      <c r="C431" s="655"/>
      <c r="D431" s="655"/>
      <c r="E431" s="655"/>
      <c r="F431" s="655"/>
      <c r="G431" s="655"/>
      <c r="H431" s="655"/>
      <c r="I431" s="655"/>
      <c r="J431" s="655"/>
      <c r="K431" s="655"/>
    </row>
    <row r="432">
      <c r="A432" s="655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</row>
    <row r="433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</row>
    <row r="434">
      <c r="A434" s="655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</row>
    <row r="435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</row>
    <row r="436">
      <c r="A436" s="655"/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</row>
    <row r="437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</row>
    <row r="438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</row>
    <row r="439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</row>
    <row r="440">
      <c r="A440" s="655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</row>
    <row r="441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</row>
    <row r="442">
      <c r="A442" s="655"/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</row>
    <row r="443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</row>
    <row r="444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</row>
    <row r="445">
      <c r="A445" s="655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</row>
    <row r="446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</row>
    <row r="447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</row>
    <row r="448">
      <c r="A448" s="655"/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</row>
    <row r="449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</row>
    <row r="450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</row>
    <row r="451">
      <c r="A451" s="655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</row>
    <row r="45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</row>
    <row r="453">
      <c r="A453" s="655"/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</row>
    <row r="454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</row>
    <row r="455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</row>
    <row r="456">
      <c r="A456" s="655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</row>
    <row r="457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</row>
    <row r="458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</row>
    <row r="459">
      <c r="A459" s="655"/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</row>
    <row r="460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</row>
    <row r="461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</row>
    <row r="46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</row>
    <row r="463">
      <c r="A463" s="655"/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</row>
    <row r="464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</row>
    <row r="465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</row>
    <row r="466">
      <c r="A466" s="655"/>
      <c r="B466" s="655"/>
      <c r="C466" s="655"/>
      <c r="D466" s="655"/>
      <c r="E466" s="655"/>
      <c r="F466" s="655"/>
      <c r="G466" s="655"/>
      <c r="H466" s="655"/>
      <c r="I466" s="655"/>
      <c r="J466" s="655"/>
      <c r="K466" s="655"/>
    </row>
    <row r="467">
      <c r="A467" s="655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</row>
    <row r="468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</row>
    <row r="469">
      <c r="A469" s="655"/>
      <c r="B469" s="655"/>
      <c r="C469" s="655"/>
      <c r="D469" s="655"/>
      <c r="E469" s="655"/>
      <c r="F469" s="655"/>
      <c r="G469" s="655"/>
      <c r="H469" s="655"/>
      <c r="I469" s="655"/>
      <c r="J469" s="655"/>
      <c r="K469" s="655"/>
    </row>
    <row r="470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</row>
    <row r="471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</row>
    <row r="472">
      <c r="A472" s="655"/>
      <c r="B472" s="655"/>
      <c r="C472" s="655"/>
      <c r="D472" s="655"/>
      <c r="E472" s="655"/>
      <c r="F472" s="655"/>
      <c r="G472" s="655"/>
      <c r="H472" s="655"/>
      <c r="I472" s="655"/>
      <c r="J472" s="655"/>
      <c r="K472" s="655"/>
    </row>
    <row r="473">
      <c r="A473" s="655"/>
      <c r="B473" s="655"/>
      <c r="C473" s="655"/>
      <c r="D473" s="655"/>
      <c r="E473" s="655"/>
      <c r="F473" s="655"/>
      <c r="G473" s="655"/>
      <c r="H473" s="655"/>
      <c r="I473" s="655"/>
      <c r="J473" s="655"/>
      <c r="K473" s="655"/>
    </row>
    <row r="474">
      <c r="A474" s="655"/>
      <c r="B474" s="655"/>
      <c r="C474" s="655"/>
      <c r="D474" s="655"/>
      <c r="E474" s="655"/>
      <c r="F474" s="655"/>
      <c r="G474" s="655"/>
      <c r="H474" s="655"/>
      <c r="I474" s="655"/>
      <c r="J474" s="655"/>
      <c r="K474" s="655"/>
    </row>
    <row r="475">
      <c r="A475" s="655"/>
      <c r="B475" s="655"/>
      <c r="C475" s="655"/>
      <c r="D475" s="655"/>
      <c r="E475" s="655"/>
      <c r="F475" s="655"/>
      <c r="G475" s="655"/>
      <c r="H475" s="655"/>
      <c r="I475" s="655"/>
      <c r="J475" s="655"/>
      <c r="K475" s="655"/>
    </row>
    <row r="476">
      <c r="A476" s="655"/>
      <c r="B476" s="655"/>
      <c r="C476" s="655"/>
      <c r="D476" s="655"/>
      <c r="E476" s="655"/>
      <c r="F476" s="655"/>
      <c r="G476" s="655"/>
      <c r="H476" s="655"/>
      <c r="I476" s="655"/>
      <c r="J476" s="655"/>
      <c r="K476" s="655"/>
    </row>
    <row r="477">
      <c r="A477" s="655"/>
      <c r="B477" s="655"/>
      <c r="C477" s="655"/>
      <c r="D477" s="655"/>
      <c r="E477" s="655"/>
      <c r="F477" s="655"/>
      <c r="G477" s="655"/>
      <c r="H477" s="655"/>
      <c r="I477" s="655"/>
      <c r="J477" s="655"/>
      <c r="K477" s="655"/>
    </row>
    <row r="478">
      <c r="A478" s="655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</row>
    <row r="479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</row>
    <row r="480">
      <c r="A480" s="655"/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</row>
    <row r="481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</row>
    <row r="48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</row>
    <row r="483">
      <c r="A483" s="655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</row>
    <row r="484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</row>
    <row r="485">
      <c r="A485" s="655"/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</row>
    <row r="486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</row>
    <row r="487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</row>
    <row r="488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</row>
    <row r="489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</row>
    <row r="490">
      <c r="A490" s="655"/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</row>
    <row r="491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</row>
    <row r="49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</row>
    <row r="493">
      <c r="A493" s="655"/>
      <c r="B493" s="655"/>
      <c r="C493" s="655"/>
      <c r="D493" s="655"/>
      <c r="E493" s="655"/>
      <c r="F493" s="655"/>
      <c r="G493" s="655"/>
      <c r="H493" s="655"/>
      <c r="I493" s="655"/>
      <c r="J493" s="655"/>
      <c r="K493" s="655"/>
    </row>
    <row r="494">
      <c r="A494" s="655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</row>
    <row r="495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</row>
    <row r="496">
      <c r="A496" s="655"/>
      <c r="B496" s="655"/>
      <c r="C496" s="655"/>
      <c r="D496" s="655"/>
      <c r="E496" s="655"/>
      <c r="F496" s="655"/>
      <c r="G496" s="655"/>
      <c r="H496" s="655"/>
      <c r="I496" s="655"/>
      <c r="J496" s="655"/>
      <c r="K496" s="655"/>
    </row>
    <row r="497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</row>
    <row r="498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</row>
    <row r="499">
      <c r="A499" s="655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</row>
    <row r="500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</row>
    <row r="501">
      <c r="A501" s="655"/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</row>
    <row r="502">
      <c r="A502" s="655"/>
      <c r="B502" s="655"/>
      <c r="C502" s="655"/>
      <c r="D502" s="655"/>
      <c r="E502" s="655"/>
      <c r="F502" s="655"/>
      <c r="G502" s="655"/>
      <c r="H502" s="655"/>
      <c r="I502" s="655"/>
      <c r="J502" s="655"/>
      <c r="K502" s="655"/>
    </row>
    <row r="503">
      <c r="A503" s="655"/>
      <c r="B503" s="655"/>
      <c r="C503" s="655"/>
      <c r="D503" s="655"/>
      <c r="E503" s="655"/>
      <c r="F503" s="655"/>
      <c r="G503" s="655"/>
      <c r="H503" s="655"/>
      <c r="I503" s="655"/>
      <c r="J503" s="655"/>
      <c r="K503" s="655"/>
    </row>
    <row r="504">
      <c r="A504" s="655"/>
      <c r="B504" s="655"/>
      <c r="C504" s="655"/>
      <c r="D504" s="655"/>
      <c r="E504" s="655"/>
      <c r="F504" s="655"/>
      <c r="G504" s="655"/>
      <c r="H504" s="655"/>
      <c r="I504" s="655"/>
      <c r="J504" s="655"/>
      <c r="K504" s="655"/>
    </row>
    <row r="505">
      <c r="A505" s="655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</row>
    <row r="506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</row>
    <row r="507">
      <c r="A507" s="655"/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</row>
    <row r="508">
      <c r="A508" s="655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</row>
    <row r="509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</row>
    <row r="510">
      <c r="A510" s="655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</row>
    <row r="511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</row>
    <row r="51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</row>
    <row r="513">
      <c r="A513" s="655"/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</row>
    <row r="514">
      <c r="A514" s="655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</row>
    <row r="515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</row>
    <row r="516">
      <c r="A516" s="655"/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</row>
    <row r="517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</row>
    <row r="518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</row>
    <row r="519">
      <c r="A519" s="655"/>
      <c r="B519" s="655"/>
      <c r="C519" s="655"/>
      <c r="D519" s="655"/>
      <c r="E519" s="655"/>
      <c r="F519" s="655"/>
      <c r="G519" s="655"/>
      <c r="H519" s="655"/>
      <c r="I519" s="655"/>
      <c r="J519" s="655"/>
      <c r="K519" s="655"/>
    </row>
    <row r="520">
      <c r="A520" s="655"/>
      <c r="B520" s="655"/>
      <c r="C520" s="655"/>
      <c r="D520" s="655"/>
      <c r="E520" s="655"/>
      <c r="F520" s="655"/>
      <c r="G520" s="655"/>
      <c r="H520" s="655"/>
      <c r="I520" s="655"/>
      <c r="J520" s="655"/>
      <c r="K520" s="655"/>
    </row>
    <row r="521">
      <c r="A521" s="655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</row>
    <row r="52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</row>
    <row r="523">
      <c r="A523" s="655"/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</row>
    <row r="524">
      <c r="A524" s="655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</row>
    <row r="525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</row>
    <row r="526">
      <c r="A526" s="655"/>
      <c r="B526" s="655"/>
      <c r="C526" s="655"/>
      <c r="D526" s="655"/>
      <c r="E526" s="655"/>
      <c r="F526" s="655"/>
      <c r="G526" s="655"/>
      <c r="H526" s="655"/>
      <c r="I526" s="655"/>
      <c r="J526" s="655"/>
      <c r="K526" s="655"/>
    </row>
    <row r="527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</row>
    <row r="528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</row>
    <row r="529">
      <c r="A529" s="655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</row>
    <row r="530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</row>
    <row r="531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</row>
    <row r="532">
      <c r="A532" s="655"/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</row>
    <row r="533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</row>
    <row r="534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</row>
    <row r="535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</row>
    <row r="536">
      <c r="A536" s="655"/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</row>
    <row r="537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</row>
    <row r="538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</row>
    <row r="539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</row>
    <row r="540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</row>
    <row r="541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</row>
    <row r="54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</row>
    <row r="543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</row>
    <row r="544">
      <c r="A544" s="655"/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</row>
    <row r="545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</row>
    <row r="546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</row>
    <row r="547">
      <c r="A547" s="655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</row>
    <row r="548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</row>
    <row r="549">
      <c r="A549" s="655"/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</row>
    <row r="550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</row>
    <row r="551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</row>
    <row r="552">
      <c r="A552" s="655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</row>
    <row r="553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</row>
    <row r="554">
      <c r="A554" s="655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</row>
    <row r="555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</row>
    <row r="556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</row>
    <row r="557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</row>
    <row r="558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</row>
    <row r="559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</row>
    <row r="560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</row>
    <row r="561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</row>
    <row r="56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</row>
    <row r="563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</row>
    <row r="564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</row>
    <row r="565">
      <c r="A565" s="655"/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</row>
    <row r="566">
      <c r="A566" s="655"/>
      <c r="B566" s="655"/>
      <c r="C566" s="655"/>
      <c r="D566" s="655"/>
      <c r="E566" s="655"/>
      <c r="F566" s="655"/>
      <c r="G566" s="655"/>
      <c r="H566" s="655"/>
      <c r="I566" s="655"/>
      <c r="J566" s="655"/>
      <c r="K566" s="655"/>
    </row>
    <row r="567">
      <c r="A567" s="655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</row>
    <row r="568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</row>
    <row r="569">
      <c r="A569" s="655"/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</row>
    <row r="570">
      <c r="A570" s="655"/>
      <c r="B570" s="655"/>
      <c r="C570" s="655"/>
      <c r="D570" s="655"/>
      <c r="E570" s="655"/>
      <c r="F570" s="655"/>
      <c r="G570" s="655"/>
      <c r="H570" s="655"/>
      <c r="I570" s="655"/>
      <c r="J570" s="655"/>
      <c r="K570" s="655"/>
    </row>
    <row r="571">
      <c r="A571" s="655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</row>
    <row r="57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</row>
    <row r="573">
      <c r="A573" s="65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</row>
    <row r="574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</row>
    <row r="575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</row>
    <row r="576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</row>
    <row r="577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</row>
    <row r="578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</row>
    <row r="579">
      <c r="A579" s="655"/>
      <c r="B579" s="655"/>
      <c r="C579" s="655"/>
      <c r="D579" s="655"/>
      <c r="E579" s="655"/>
      <c r="F579" s="655"/>
      <c r="G579" s="655"/>
      <c r="H579" s="655"/>
      <c r="I579" s="655"/>
      <c r="J579" s="655"/>
      <c r="K579" s="655"/>
    </row>
    <row r="580">
      <c r="A580" s="655"/>
      <c r="B580" s="655"/>
      <c r="C580" s="655"/>
      <c r="D580" s="655"/>
      <c r="E580" s="655"/>
      <c r="F580" s="655"/>
      <c r="G580" s="655"/>
      <c r="H580" s="655"/>
      <c r="I580" s="655"/>
      <c r="J580" s="655"/>
      <c r="K580" s="655"/>
    </row>
    <row r="581">
      <c r="A581" s="655"/>
      <c r="B581" s="655"/>
      <c r="C581" s="655"/>
      <c r="D581" s="655"/>
      <c r="E581" s="655"/>
      <c r="F581" s="655"/>
      <c r="G581" s="655"/>
      <c r="H581" s="655"/>
      <c r="I581" s="655"/>
      <c r="J581" s="655"/>
      <c r="K581" s="655"/>
    </row>
    <row r="582">
      <c r="A582" s="655"/>
      <c r="B582" s="655"/>
      <c r="C582" s="655"/>
      <c r="D582" s="655"/>
      <c r="E582" s="655"/>
      <c r="F582" s="655"/>
      <c r="G582" s="655"/>
      <c r="H582" s="655"/>
      <c r="I582" s="655"/>
      <c r="J582" s="655"/>
      <c r="K582" s="655"/>
    </row>
    <row r="583">
      <c r="A583" s="655"/>
      <c r="B583" s="655"/>
      <c r="C583" s="655"/>
      <c r="D583" s="655"/>
      <c r="E583" s="655"/>
      <c r="F583" s="655"/>
      <c r="G583" s="655"/>
      <c r="H583" s="655"/>
      <c r="I583" s="655"/>
      <c r="J583" s="655"/>
      <c r="K583" s="655"/>
    </row>
    <row r="584">
      <c r="A584" s="655"/>
      <c r="B584" s="655"/>
      <c r="C584" s="655"/>
      <c r="D584" s="655"/>
      <c r="E584" s="655"/>
      <c r="F584" s="655"/>
      <c r="G584" s="655"/>
      <c r="H584" s="655"/>
      <c r="I584" s="655"/>
      <c r="J584" s="655"/>
      <c r="K584" s="655"/>
    </row>
    <row r="585">
      <c r="A585" s="655"/>
      <c r="B585" s="655"/>
      <c r="C585" s="655"/>
      <c r="D585" s="655"/>
      <c r="E585" s="655"/>
      <c r="F585" s="655"/>
      <c r="G585" s="655"/>
      <c r="H585" s="655"/>
      <c r="I585" s="655"/>
      <c r="J585" s="655"/>
      <c r="K585" s="655"/>
    </row>
    <row r="586">
      <c r="A586" s="655"/>
      <c r="B586" s="655"/>
      <c r="C586" s="655"/>
      <c r="D586" s="655"/>
      <c r="E586" s="655"/>
      <c r="F586" s="655"/>
      <c r="G586" s="655"/>
      <c r="H586" s="655"/>
      <c r="I586" s="655"/>
      <c r="J586" s="655"/>
      <c r="K586" s="655"/>
    </row>
    <row r="587">
      <c r="A587" s="655"/>
      <c r="B587" s="655"/>
      <c r="C587" s="655"/>
      <c r="D587" s="655"/>
      <c r="E587" s="655"/>
      <c r="F587" s="655"/>
      <c r="G587" s="655"/>
      <c r="H587" s="655"/>
      <c r="I587" s="655"/>
      <c r="J587" s="655"/>
      <c r="K587" s="655"/>
    </row>
    <row r="588">
      <c r="A588" s="655"/>
      <c r="B588" s="655"/>
      <c r="C588" s="655"/>
      <c r="D588" s="655"/>
      <c r="E588" s="655"/>
      <c r="F588" s="655"/>
      <c r="G588" s="655"/>
      <c r="H588" s="655"/>
      <c r="I588" s="655"/>
      <c r="J588" s="655"/>
      <c r="K588" s="655"/>
    </row>
    <row r="589">
      <c r="A589" s="655"/>
      <c r="B589" s="655"/>
      <c r="C589" s="655"/>
      <c r="D589" s="655"/>
      <c r="E589" s="655"/>
      <c r="F589" s="655"/>
      <c r="G589" s="655"/>
      <c r="H589" s="655"/>
      <c r="I589" s="655"/>
      <c r="J589" s="655"/>
      <c r="K589" s="655"/>
    </row>
    <row r="590">
      <c r="A590" s="655"/>
      <c r="B590" s="655"/>
      <c r="C590" s="655"/>
      <c r="D590" s="655"/>
      <c r="E590" s="655"/>
      <c r="F590" s="655"/>
      <c r="G590" s="655"/>
      <c r="H590" s="655"/>
      <c r="I590" s="655"/>
      <c r="J590" s="655"/>
      <c r="K590" s="655"/>
    </row>
    <row r="591">
      <c r="A591" s="655"/>
      <c r="B591" s="655"/>
      <c r="C591" s="655"/>
      <c r="D591" s="655"/>
      <c r="E591" s="655"/>
      <c r="F591" s="655"/>
      <c r="G591" s="655"/>
      <c r="H591" s="655"/>
      <c r="I591" s="655"/>
      <c r="J591" s="655"/>
      <c r="K591" s="655"/>
    </row>
    <row r="592">
      <c r="A592" s="655"/>
      <c r="B592" s="655"/>
      <c r="C592" s="655"/>
      <c r="D592" s="655"/>
      <c r="E592" s="655"/>
      <c r="F592" s="655"/>
      <c r="G592" s="655"/>
      <c r="H592" s="655"/>
      <c r="I592" s="655"/>
      <c r="J592" s="655"/>
      <c r="K592" s="655"/>
    </row>
    <row r="593">
      <c r="A593" s="655"/>
      <c r="B593" s="655"/>
      <c r="C593" s="655"/>
      <c r="D593" s="655"/>
      <c r="E593" s="655"/>
      <c r="F593" s="655"/>
      <c r="G593" s="655"/>
      <c r="H593" s="655"/>
      <c r="I593" s="655"/>
      <c r="J593" s="655"/>
      <c r="K593" s="655"/>
    </row>
    <row r="594">
      <c r="A594" s="655"/>
      <c r="B594" s="655"/>
      <c r="C594" s="655"/>
      <c r="D594" s="655"/>
      <c r="E594" s="655"/>
      <c r="F594" s="655"/>
      <c r="G594" s="655"/>
      <c r="H594" s="655"/>
      <c r="I594" s="655"/>
      <c r="J594" s="655"/>
      <c r="K594" s="655"/>
    </row>
    <row r="595">
      <c r="A595" s="655"/>
      <c r="B595" s="655"/>
      <c r="C595" s="655"/>
      <c r="D595" s="655"/>
      <c r="E595" s="655"/>
      <c r="F595" s="655"/>
      <c r="G595" s="655"/>
      <c r="H595" s="655"/>
      <c r="I595" s="655"/>
      <c r="J595" s="655"/>
      <c r="K595" s="655"/>
    </row>
    <row r="596">
      <c r="A596" s="655"/>
      <c r="B596" s="655"/>
      <c r="C596" s="655"/>
      <c r="D596" s="655"/>
      <c r="E596" s="655"/>
      <c r="F596" s="655"/>
      <c r="G596" s="655"/>
      <c r="H596" s="655"/>
      <c r="I596" s="655"/>
      <c r="J596" s="655"/>
      <c r="K596" s="655"/>
    </row>
    <row r="597">
      <c r="A597" s="655"/>
      <c r="B597" s="655"/>
      <c r="C597" s="655"/>
      <c r="D597" s="655"/>
      <c r="E597" s="655"/>
      <c r="F597" s="655"/>
      <c r="G597" s="655"/>
      <c r="H597" s="655"/>
      <c r="I597" s="655"/>
      <c r="J597" s="655"/>
      <c r="K597" s="655"/>
    </row>
    <row r="598">
      <c r="A598" s="655"/>
      <c r="B598" s="655"/>
      <c r="C598" s="655"/>
      <c r="D598" s="655"/>
      <c r="E598" s="655"/>
      <c r="F598" s="655"/>
      <c r="G598" s="655"/>
      <c r="H598" s="655"/>
      <c r="I598" s="655"/>
      <c r="J598" s="655"/>
      <c r="K598" s="655"/>
    </row>
    <row r="599">
      <c r="A599" s="655"/>
      <c r="B599" s="655"/>
      <c r="C599" s="655"/>
      <c r="D599" s="655"/>
      <c r="E599" s="655"/>
      <c r="F599" s="655"/>
      <c r="G599" s="655"/>
      <c r="H599" s="655"/>
      <c r="I599" s="655"/>
      <c r="J599" s="655"/>
      <c r="K599" s="655"/>
    </row>
    <row r="600">
      <c r="A600" s="655"/>
      <c r="B600" s="655"/>
      <c r="C600" s="655"/>
      <c r="D600" s="655"/>
      <c r="E600" s="655"/>
      <c r="F600" s="655"/>
      <c r="G600" s="655"/>
      <c r="H600" s="655"/>
      <c r="I600" s="655"/>
      <c r="J600" s="655"/>
      <c r="K600" s="655"/>
    </row>
    <row r="601">
      <c r="A601" s="655"/>
      <c r="B601" s="655"/>
      <c r="C601" s="655"/>
      <c r="D601" s="655"/>
      <c r="E601" s="655"/>
      <c r="F601" s="655"/>
      <c r="G601" s="655"/>
      <c r="H601" s="655"/>
      <c r="I601" s="655"/>
      <c r="J601" s="655"/>
      <c r="K601" s="655"/>
    </row>
    <row r="602">
      <c r="A602" s="655"/>
      <c r="B602" s="655"/>
      <c r="C602" s="655"/>
      <c r="D602" s="655"/>
      <c r="E602" s="655"/>
      <c r="F602" s="655"/>
      <c r="G602" s="655"/>
      <c r="H602" s="655"/>
      <c r="I602" s="655"/>
      <c r="J602" s="655"/>
      <c r="K602" s="655"/>
    </row>
    <row r="603">
      <c r="A603" s="655"/>
      <c r="B603" s="655"/>
      <c r="C603" s="655"/>
      <c r="D603" s="655"/>
      <c r="E603" s="655"/>
      <c r="F603" s="655"/>
      <c r="G603" s="655"/>
      <c r="H603" s="655"/>
      <c r="I603" s="655"/>
      <c r="J603" s="655"/>
      <c r="K603" s="655"/>
    </row>
    <row r="604">
      <c r="A604" s="655"/>
      <c r="B604" s="655"/>
      <c r="C604" s="655"/>
      <c r="D604" s="655"/>
      <c r="E604" s="655"/>
      <c r="F604" s="655"/>
      <c r="G604" s="655"/>
      <c r="H604" s="655"/>
      <c r="I604" s="655"/>
      <c r="J604" s="655"/>
      <c r="K604" s="655"/>
    </row>
    <row r="605">
      <c r="A605" s="655"/>
      <c r="B605" s="655"/>
      <c r="C605" s="655"/>
      <c r="D605" s="655"/>
      <c r="E605" s="655"/>
      <c r="F605" s="655"/>
      <c r="G605" s="655"/>
      <c r="H605" s="655"/>
      <c r="I605" s="655"/>
      <c r="J605" s="655"/>
      <c r="K605" s="655"/>
    </row>
    <row r="606">
      <c r="A606" s="655"/>
      <c r="B606" s="655"/>
      <c r="C606" s="655"/>
      <c r="D606" s="655"/>
      <c r="E606" s="655"/>
      <c r="F606" s="655"/>
      <c r="G606" s="655"/>
      <c r="H606" s="655"/>
      <c r="I606" s="655"/>
      <c r="J606" s="655"/>
      <c r="K606" s="655"/>
    </row>
    <row r="607">
      <c r="A607" s="655"/>
      <c r="B607" s="655"/>
      <c r="C607" s="655"/>
      <c r="D607" s="655"/>
      <c r="E607" s="655"/>
      <c r="F607" s="655"/>
      <c r="G607" s="655"/>
      <c r="H607" s="655"/>
      <c r="I607" s="655"/>
      <c r="J607" s="655"/>
      <c r="K607" s="655"/>
    </row>
    <row r="608">
      <c r="A608" s="655"/>
      <c r="B608" s="655"/>
      <c r="C608" s="655"/>
      <c r="D608" s="655"/>
      <c r="E608" s="655"/>
      <c r="F608" s="655"/>
      <c r="G608" s="655"/>
      <c r="H608" s="655"/>
      <c r="I608" s="655"/>
      <c r="J608" s="655"/>
      <c r="K608" s="655"/>
    </row>
    <row r="609">
      <c r="A609" s="655"/>
      <c r="B609" s="655"/>
      <c r="C609" s="655"/>
      <c r="D609" s="655"/>
      <c r="E609" s="655"/>
      <c r="F609" s="655"/>
      <c r="G609" s="655"/>
      <c r="H609" s="655"/>
      <c r="I609" s="655"/>
      <c r="J609" s="655"/>
      <c r="K609" s="655"/>
    </row>
    <row r="610">
      <c r="A610" s="655"/>
      <c r="B610" s="655"/>
      <c r="C610" s="655"/>
      <c r="D610" s="655"/>
      <c r="E610" s="655"/>
      <c r="F610" s="655"/>
      <c r="G610" s="655"/>
      <c r="H610" s="655"/>
      <c r="I610" s="655"/>
      <c r="J610" s="655"/>
      <c r="K610" s="655"/>
    </row>
    <row r="611">
      <c r="A611" s="655"/>
      <c r="B611" s="655"/>
      <c r="C611" s="655"/>
      <c r="D611" s="655"/>
      <c r="E611" s="655"/>
      <c r="F611" s="655"/>
      <c r="G611" s="655"/>
      <c r="H611" s="655"/>
      <c r="I611" s="655"/>
      <c r="J611" s="655"/>
      <c r="K611" s="655"/>
    </row>
    <row r="612">
      <c r="A612" s="655"/>
      <c r="B612" s="655"/>
      <c r="C612" s="655"/>
      <c r="D612" s="655"/>
      <c r="E612" s="655"/>
      <c r="F612" s="655"/>
      <c r="G612" s="655"/>
      <c r="H612" s="655"/>
      <c r="I612" s="655"/>
      <c r="J612" s="655"/>
      <c r="K612" s="655"/>
    </row>
    <row r="613">
      <c r="A613" s="655"/>
      <c r="B613" s="655"/>
      <c r="C613" s="655"/>
      <c r="D613" s="655"/>
      <c r="E613" s="655"/>
      <c r="F613" s="655"/>
      <c r="G613" s="655"/>
      <c r="H613" s="655"/>
      <c r="I613" s="655"/>
      <c r="J613" s="655"/>
      <c r="K613" s="655"/>
    </row>
    <row r="614">
      <c r="A614" s="655"/>
      <c r="B614" s="655"/>
      <c r="C614" s="655"/>
      <c r="D614" s="655"/>
      <c r="E614" s="655"/>
      <c r="F614" s="655"/>
      <c r="G614" s="655"/>
      <c r="H614" s="655"/>
      <c r="I614" s="655"/>
      <c r="J614" s="655"/>
      <c r="K614" s="655"/>
    </row>
    <row r="615">
      <c r="A615" s="655"/>
      <c r="B615" s="655"/>
      <c r="C615" s="655"/>
      <c r="D615" s="655"/>
      <c r="E615" s="655"/>
      <c r="F615" s="655"/>
      <c r="G615" s="655"/>
      <c r="H615" s="655"/>
      <c r="I615" s="655"/>
      <c r="J615" s="655"/>
      <c r="K615" s="655"/>
    </row>
    <row r="616">
      <c r="A616" s="655"/>
      <c r="B616" s="655"/>
      <c r="C616" s="655"/>
      <c r="D616" s="655"/>
      <c r="E616" s="655"/>
      <c r="F616" s="655"/>
      <c r="G616" s="655"/>
      <c r="H616" s="655"/>
      <c r="I616" s="655"/>
      <c r="J616" s="655"/>
      <c r="K616" s="655"/>
    </row>
    <row r="617">
      <c r="A617" s="655"/>
      <c r="B617" s="655"/>
      <c r="C617" s="655"/>
      <c r="D617" s="655"/>
      <c r="E617" s="655"/>
      <c r="F617" s="655"/>
      <c r="G617" s="655"/>
      <c r="H617" s="655"/>
      <c r="I617" s="655"/>
      <c r="J617" s="655"/>
      <c r="K617" s="655"/>
    </row>
    <row r="618">
      <c r="A618" s="655"/>
      <c r="B618" s="655"/>
      <c r="C618" s="655"/>
      <c r="D618" s="655"/>
      <c r="E618" s="655"/>
      <c r="F618" s="655"/>
      <c r="G618" s="655"/>
      <c r="H618" s="655"/>
      <c r="I618" s="655"/>
      <c r="J618" s="655"/>
      <c r="K618" s="655"/>
    </row>
    <row r="619">
      <c r="A619" s="655"/>
      <c r="B619" s="655"/>
      <c r="C619" s="655"/>
      <c r="D619" s="655"/>
      <c r="E619" s="655"/>
      <c r="F619" s="655"/>
      <c r="G619" s="655"/>
      <c r="H619" s="655"/>
      <c r="I619" s="655"/>
      <c r="J619" s="655"/>
      <c r="K619" s="655"/>
    </row>
    <row r="620">
      <c r="A620" s="655"/>
      <c r="B620" s="655"/>
      <c r="C620" s="655"/>
      <c r="D620" s="655"/>
      <c r="E620" s="655"/>
      <c r="F620" s="655"/>
      <c r="G620" s="655"/>
      <c r="H620" s="655"/>
      <c r="I620" s="655"/>
      <c r="J620" s="655"/>
      <c r="K620" s="655"/>
    </row>
    <row r="621">
      <c r="A621" s="655"/>
      <c r="B621" s="655"/>
      <c r="C621" s="655"/>
      <c r="D621" s="655"/>
      <c r="E621" s="655"/>
      <c r="F621" s="655"/>
      <c r="G621" s="655"/>
      <c r="H621" s="655"/>
      <c r="I621" s="655"/>
      <c r="J621" s="655"/>
      <c r="K621" s="655"/>
    </row>
    <row r="622">
      <c r="A622" s="655"/>
      <c r="B622" s="655"/>
      <c r="C622" s="655"/>
      <c r="D622" s="655"/>
      <c r="E622" s="655"/>
      <c r="F622" s="655"/>
      <c r="G622" s="655"/>
      <c r="H622" s="655"/>
      <c r="I622" s="655"/>
      <c r="J622" s="655"/>
      <c r="K622" s="655"/>
    </row>
    <row r="623">
      <c r="A623" s="655"/>
      <c r="B623" s="655"/>
      <c r="C623" s="655"/>
      <c r="D623" s="655"/>
      <c r="E623" s="655"/>
      <c r="F623" s="655"/>
      <c r="G623" s="655"/>
      <c r="H623" s="655"/>
      <c r="I623" s="655"/>
      <c r="J623" s="655"/>
      <c r="K623" s="655"/>
    </row>
    <row r="624">
      <c r="A624" s="655"/>
      <c r="B624" s="655"/>
      <c r="C624" s="655"/>
      <c r="D624" s="655"/>
      <c r="E624" s="655"/>
      <c r="F624" s="655"/>
      <c r="G624" s="655"/>
      <c r="H624" s="655"/>
      <c r="I624" s="655"/>
      <c r="J624" s="655"/>
      <c r="K624" s="655"/>
    </row>
    <row r="625">
      <c r="A625" s="655"/>
      <c r="B625" s="655"/>
      <c r="C625" s="655"/>
      <c r="D625" s="655"/>
      <c r="E625" s="655"/>
      <c r="F625" s="655"/>
      <c r="G625" s="655"/>
      <c r="H625" s="655"/>
      <c r="I625" s="655"/>
      <c r="J625" s="655"/>
      <c r="K625" s="655"/>
    </row>
    <row r="626">
      <c r="A626" s="655"/>
      <c r="B626" s="655"/>
      <c r="C626" s="655"/>
      <c r="D626" s="655"/>
      <c r="E626" s="655"/>
      <c r="F626" s="655"/>
      <c r="G626" s="655"/>
      <c r="H626" s="655"/>
      <c r="I626" s="655"/>
      <c r="J626" s="655"/>
      <c r="K626" s="655"/>
    </row>
    <row r="627">
      <c r="A627" s="655"/>
      <c r="B627" s="655"/>
      <c r="C627" s="655"/>
      <c r="D627" s="655"/>
      <c r="E627" s="655"/>
      <c r="F627" s="655"/>
      <c r="G627" s="655"/>
      <c r="H627" s="655"/>
      <c r="I627" s="655"/>
      <c r="J627" s="655"/>
      <c r="K627" s="655"/>
    </row>
    <row r="628">
      <c r="A628" s="655"/>
      <c r="B628" s="655"/>
      <c r="C628" s="655"/>
      <c r="D628" s="655"/>
      <c r="E628" s="655"/>
      <c r="F628" s="655"/>
      <c r="G628" s="655"/>
      <c r="H628" s="655"/>
      <c r="I628" s="655"/>
      <c r="J628" s="655"/>
      <c r="K628" s="655"/>
    </row>
    <row r="629">
      <c r="A629" s="655"/>
      <c r="B629" s="655"/>
      <c r="C629" s="655"/>
      <c r="D629" s="655"/>
      <c r="E629" s="655"/>
      <c r="F629" s="655"/>
      <c r="G629" s="655"/>
      <c r="H629" s="655"/>
      <c r="I629" s="655"/>
      <c r="J629" s="655"/>
      <c r="K629" s="655"/>
    </row>
    <row r="630">
      <c r="A630" s="655"/>
      <c r="B630" s="655"/>
      <c r="C630" s="655"/>
      <c r="D630" s="655"/>
      <c r="E630" s="655"/>
      <c r="F630" s="655"/>
      <c r="G630" s="655"/>
      <c r="H630" s="655"/>
      <c r="I630" s="655"/>
      <c r="J630" s="655"/>
      <c r="K630" s="655"/>
    </row>
    <row r="631">
      <c r="A631" s="655"/>
      <c r="B631" s="655"/>
      <c r="C631" s="655"/>
      <c r="D631" s="655"/>
      <c r="E631" s="655"/>
      <c r="F631" s="655"/>
      <c r="G631" s="655"/>
      <c r="H631" s="655"/>
      <c r="I631" s="655"/>
      <c r="J631" s="655"/>
      <c r="K631" s="655"/>
    </row>
    <row r="632">
      <c r="A632" s="655"/>
      <c r="B632" s="655"/>
      <c r="C632" s="655"/>
      <c r="D632" s="655"/>
      <c r="E632" s="655"/>
      <c r="F632" s="655"/>
      <c r="G632" s="655"/>
      <c r="H632" s="655"/>
      <c r="I632" s="655"/>
      <c r="J632" s="655"/>
      <c r="K632" s="655"/>
    </row>
    <row r="633">
      <c r="A633" s="655"/>
      <c r="B633" s="655"/>
      <c r="C633" s="655"/>
      <c r="D633" s="655"/>
      <c r="E633" s="655"/>
      <c r="F633" s="655"/>
      <c r="G633" s="655"/>
      <c r="H633" s="655"/>
      <c r="I633" s="655"/>
      <c r="J633" s="655"/>
      <c r="K633" s="655"/>
    </row>
    <row r="634">
      <c r="A634" s="655"/>
      <c r="B634" s="655"/>
      <c r="C634" s="655"/>
      <c r="D634" s="655"/>
      <c r="E634" s="655"/>
      <c r="F634" s="655"/>
      <c r="G634" s="655"/>
      <c r="H634" s="655"/>
      <c r="I634" s="655"/>
      <c r="J634" s="655"/>
      <c r="K634" s="655"/>
    </row>
    <row r="635">
      <c r="A635" s="655"/>
      <c r="B635" s="655"/>
      <c r="C635" s="655"/>
      <c r="D635" s="655"/>
      <c r="E635" s="655"/>
      <c r="F635" s="655"/>
      <c r="G635" s="655"/>
      <c r="H635" s="655"/>
      <c r="I635" s="655"/>
      <c r="J635" s="655"/>
      <c r="K635" s="655"/>
    </row>
    <row r="636">
      <c r="A636" s="655"/>
      <c r="B636" s="655"/>
      <c r="C636" s="655"/>
      <c r="D636" s="655"/>
      <c r="E636" s="655"/>
      <c r="F636" s="655"/>
      <c r="G636" s="655"/>
      <c r="H636" s="655"/>
      <c r="I636" s="655"/>
      <c r="J636" s="655"/>
      <c r="K636" s="655"/>
    </row>
    <row r="637">
      <c r="A637" s="655"/>
      <c r="B637" s="655"/>
      <c r="C637" s="655"/>
      <c r="D637" s="655"/>
      <c r="E637" s="655"/>
      <c r="F637" s="655"/>
      <c r="G637" s="655"/>
      <c r="H637" s="655"/>
      <c r="I637" s="655"/>
      <c r="J637" s="655"/>
      <c r="K637" s="655"/>
    </row>
    <row r="638">
      <c r="A638" s="655"/>
      <c r="B638" s="655"/>
      <c r="C638" s="655"/>
      <c r="D638" s="655"/>
      <c r="E638" s="655"/>
      <c r="F638" s="655"/>
      <c r="G638" s="655"/>
      <c r="H638" s="655"/>
      <c r="I638" s="655"/>
      <c r="J638" s="655"/>
      <c r="K638" s="655"/>
    </row>
    <row r="639">
      <c r="A639" s="655"/>
      <c r="B639" s="655"/>
      <c r="C639" s="655"/>
      <c r="D639" s="655"/>
      <c r="E639" s="655"/>
      <c r="F639" s="655"/>
      <c r="G639" s="655"/>
      <c r="H639" s="655"/>
      <c r="I639" s="655"/>
      <c r="J639" s="655"/>
      <c r="K639" s="655"/>
    </row>
    <row r="640">
      <c r="A640" s="655"/>
      <c r="B640" s="655"/>
      <c r="C640" s="655"/>
      <c r="D640" s="655"/>
      <c r="E640" s="655"/>
      <c r="F640" s="655"/>
      <c r="G640" s="655"/>
      <c r="H640" s="655"/>
      <c r="I640" s="655"/>
      <c r="J640" s="655"/>
      <c r="K640" s="655"/>
    </row>
    <row r="641">
      <c r="A641" s="655"/>
      <c r="B641" s="655"/>
      <c r="C641" s="655"/>
      <c r="D641" s="655"/>
      <c r="E641" s="655"/>
      <c r="F641" s="655"/>
      <c r="G641" s="655"/>
      <c r="H641" s="655"/>
      <c r="I641" s="655"/>
      <c r="J641" s="655"/>
      <c r="K641" s="655"/>
    </row>
    <row r="642">
      <c r="A642" s="655"/>
      <c r="B642" s="655"/>
      <c r="C642" s="655"/>
      <c r="D642" s="655"/>
      <c r="E642" s="655"/>
      <c r="F642" s="655"/>
      <c r="G642" s="655"/>
      <c r="H642" s="655"/>
      <c r="I642" s="655"/>
      <c r="J642" s="655"/>
      <c r="K642" s="655"/>
    </row>
    <row r="643">
      <c r="A643" s="655"/>
      <c r="B643" s="655"/>
      <c r="C643" s="655"/>
      <c r="D643" s="655"/>
      <c r="E643" s="655"/>
      <c r="F643" s="655"/>
      <c r="G643" s="655"/>
      <c r="H643" s="655"/>
      <c r="I643" s="655"/>
      <c r="J643" s="655"/>
      <c r="K643" s="655"/>
    </row>
    <row r="644">
      <c r="A644" s="655"/>
      <c r="B644" s="655"/>
      <c r="C644" s="655"/>
      <c r="D644" s="655"/>
      <c r="E644" s="655"/>
      <c r="F644" s="655"/>
      <c r="G644" s="655"/>
      <c r="H644" s="655"/>
      <c r="I644" s="655"/>
      <c r="J644" s="655"/>
      <c r="K644" s="655"/>
    </row>
    <row r="645">
      <c r="A645" s="655"/>
      <c r="B645" s="655"/>
      <c r="C645" s="655"/>
      <c r="D645" s="655"/>
      <c r="E645" s="655"/>
      <c r="F645" s="655"/>
      <c r="G645" s="655"/>
      <c r="H645" s="655"/>
      <c r="I645" s="655"/>
      <c r="J645" s="655"/>
      <c r="K645" s="655"/>
    </row>
    <row r="646">
      <c r="A646" s="655"/>
      <c r="B646" s="655"/>
      <c r="C646" s="655"/>
      <c r="D646" s="655"/>
      <c r="E646" s="655"/>
      <c r="F646" s="655"/>
      <c r="G646" s="655"/>
      <c r="H646" s="655"/>
      <c r="I646" s="655"/>
      <c r="J646" s="655"/>
      <c r="K646" s="655"/>
    </row>
    <row r="647">
      <c r="A647" s="655"/>
      <c r="B647" s="655"/>
      <c r="C647" s="655"/>
      <c r="D647" s="655"/>
      <c r="E647" s="655"/>
      <c r="F647" s="655"/>
      <c r="G647" s="655"/>
      <c r="H647" s="655"/>
      <c r="I647" s="655"/>
      <c r="J647" s="655"/>
      <c r="K647" s="655"/>
    </row>
    <row r="648">
      <c r="A648" s="655"/>
      <c r="B648" s="655"/>
      <c r="C648" s="655"/>
      <c r="D648" s="655"/>
      <c r="E648" s="655"/>
      <c r="F648" s="655"/>
      <c r="G648" s="655"/>
      <c r="H648" s="655"/>
      <c r="I648" s="655"/>
      <c r="J648" s="655"/>
      <c r="K648" s="655"/>
    </row>
    <row r="649">
      <c r="A649" s="655"/>
      <c r="B649" s="655"/>
      <c r="C649" s="655"/>
      <c r="D649" s="655"/>
      <c r="E649" s="655"/>
      <c r="F649" s="655"/>
      <c r="G649" s="655"/>
      <c r="H649" s="655"/>
      <c r="I649" s="655"/>
      <c r="J649" s="655"/>
      <c r="K649" s="655"/>
    </row>
    <row r="650">
      <c r="A650" s="655"/>
      <c r="B650" s="655"/>
      <c r="C650" s="655"/>
      <c r="D650" s="655"/>
      <c r="E650" s="655"/>
      <c r="F650" s="655"/>
      <c r="G650" s="655"/>
      <c r="H650" s="655"/>
      <c r="I650" s="655"/>
      <c r="J650" s="655"/>
      <c r="K650" s="655"/>
    </row>
    <row r="651">
      <c r="A651" s="655"/>
      <c r="B651" s="655"/>
      <c r="C651" s="655"/>
      <c r="D651" s="655"/>
      <c r="E651" s="655"/>
      <c r="F651" s="655"/>
      <c r="G651" s="655"/>
      <c r="H651" s="655"/>
      <c r="I651" s="655"/>
      <c r="J651" s="655"/>
      <c r="K651" s="655"/>
    </row>
    <row r="652">
      <c r="A652" s="655"/>
      <c r="B652" s="655"/>
      <c r="C652" s="655"/>
      <c r="D652" s="655"/>
      <c r="E652" s="655"/>
      <c r="F652" s="655"/>
      <c r="G652" s="655"/>
      <c r="H652" s="655"/>
      <c r="I652" s="655"/>
      <c r="J652" s="655"/>
      <c r="K652" s="655"/>
    </row>
    <row r="653">
      <c r="A653" s="655"/>
      <c r="B653" s="655"/>
      <c r="C653" s="655"/>
      <c r="D653" s="655"/>
      <c r="E653" s="655"/>
      <c r="F653" s="655"/>
      <c r="G653" s="655"/>
      <c r="H653" s="655"/>
      <c r="I653" s="655"/>
      <c r="J653" s="655"/>
      <c r="K653" s="655"/>
    </row>
    <row r="654">
      <c r="A654" s="655"/>
      <c r="B654" s="655"/>
      <c r="C654" s="655"/>
      <c r="D654" s="655"/>
      <c r="E654" s="655"/>
      <c r="F654" s="655"/>
      <c r="G654" s="655"/>
      <c r="H654" s="655"/>
      <c r="I654" s="655"/>
      <c r="J654" s="655"/>
      <c r="K654" s="655"/>
    </row>
    <row r="655">
      <c r="A655" s="655"/>
      <c r="B655" s="655"/>
      <c r="C655" s="655"/>
      <c r="D655" s="655"/>
      <c r="E655" s="655"/>
      <c r="F655" s="655"/>
      <c r="G655" s="655"/>
      <c r="H655" s="655"/>
      <c r="I655" s="655"/>
      <c r="J655" s="655"/>
      <c r="K655" s="655"/>
    </row>
    <row r="656">
      <c r="A656" s="655"/>
      <c r="B656" s="655"/>
      <c r="C656" s="655"/>
      <c r="D656" s="655"/>
      <c r="E656" s="655"/>
      <c r="F656" s="655"/>
      <c r="G656" s="655"/>
      <c r="H656" s="655"/>
      <c r="I656" s="655"/>
      <c r="J656" s="655"/>
      <c r="K656" s="655"/>
    </row>
    <row r="657">
      <c r="A657" s="655"/>
      <c r="B657" s="655"/>
      <c r="C657" s="655"/>
      <c r="D657" s="655"/>
      <c r="E657" s="655"/>
      <c r="F657" s="655"/>
      <c r="G657" s="655"/>
      <c r="H657" s="655"/>
      <c r="I657" s="655"/>
      <c r="J657" s="655"/>
      <c r="K657" s="655"/>
    </row>
    <row r="658">
      <c r="A658" s="655"/>
      <c r="B658" s="655"/>
      <c r="C658" s="655"/>
      <c r="D658" s="655"/>
      <c r="E658" s="655"/>
      <c r="F658" s="655"/>
      <c r="G658" s="655"/>
      <c r="H658" s="655"/>
      <c r="I658" s="655"/>
      <c r="J658" s="655"/>
      <c r="K658" s="655"/>
    </row>
    <row r="659">
      <c r="A659" s="655"/>
      <c r="B659" s="655"/>
      <c r="C659" s="655"/>
      <c r="D659" s="655"/>
      <c r="E659" s="655"/>
      <c r="F659" s="655"/>
      <c r="G659" s="655"/>
      <c r="H659" s="655"/>
      <c r="I659" s="655"/>
      <c r="J659" s="655"/>
      <c r="K659" s="655"/>
    </row>
    <row r="660">
      <c r="A660" s="655"/>
      <c r="B660" s="655"/>
      <c r="C660" s="655"/>
      <c r="D660" s="655"/>
      <c r="E660" s="655"/>
      <c r="F660" s="655"/>
      <c r="G660" s="655"/>
      <c r="H660" s="655"/>
      <c r="I660" s="655"/>
      <c r="J660" s="655"/>
      <c r="K660" s="655"/>
    </row>
    <row r="661">
      <c r="A661" s="655"/>
      <c r="B661" s="655"/>
      <c r="C661" s="655"/>
      <c r="D661" s="655"/>
      <c r="E661" s="655"/>
      <c r="F661" s="655"/>
      <c r="G661" s="655"/>
      <c r="H661" s="655"/>
      <c r="I661" s="655"/>
      <c r="J661" s="655"/>
      <c r="K661" s="655"/>
    </row>
    <row r="662">
      <c r="A662" s="655"/>
      <c r="B662" s="655"/>
      <c r="C662" s="655"/>
      <c r="D662" s="655"/>
      <c r="E662" s="655"/>
      <c r="F662" s="655"/>
      <c r="G662" s="655"/>
      <c r="H662" s="655"/>
      <c r="I662" s="655"/>
      <c r="J662" s="655"/>
      <c r="K662" s="655"/>
    </row>
    <row r="663">
      <c r="A663" s="655"/>
      <c r="B663" s="655"/>
      <c r="C663" s="655"/>
      <c r="D663" s="655"/>
      <c r="E663" s="655"/>
      <c r="F663" s="655"/>
      <c r="G663" s="655"/>
      <c r="H663" s="655"/>
      <c r="I663" s="655"/>
      <c r="J663" s="655"/>
      <c r="K663" s="655"/>
    </row>
    <row r="664">
      <c r="A664" s="655"/>
      <c r="B664" s="655"/>
      <c r="C664" s="655"/>
      <c r="D664" s="655"/>
      <c r="E664" s="655"/>
      <c r="F664" s="655"/>
      <c r="G664" s="655"/>
      <c r="H664" s="655"/>
      <c r="I664" s="655"/>
      <c r="J664" s="655"/>
      <c r="K664" s="655"/>
    </row>
    <row r="665">
      <c r="A665" s="655"/>
      <c r="B665" s="655"/>
      <c r="C665" s="655"/>
      <c r="D665" s="655"/>
      <c r="E665" s="655"/>
      <c r="F665" s="655"/>
      <c r="G665" s="655"/>
      <c r="H665" s="655"/>
      <c r="I665" s="655"/>
      <c r="J665" s="655"/>
      <c r="K665" s="655"/>
    </row>
    <row r="666">
      <c r="A666" s="655"/>
      <c r="B666" s="655"/>
      <c r="C666" s="655"/>
      <c r="D666" s="655"/>
      <c r="E666" s="655"/>
      <c r="F666" s="655"/>
      <c r="G666" s="655"/>
      <c r="H666" s="655"/>
      <c r="I666" s="655"/>
      <c r="J666" s="655"/>
      <c r="K666" s="655"/>
    </row>
    <row r="667">
      <c r="A667" s="655"/>
      <c r="B667" s="655"/>
      <c r="C667" s="655"/>
      <c r="D667" s="655"/>
      <c r="E667" s="655"/>
      <c r="F667" s="655"/>
      <c r="G667" s="655"/>
      <c r="H667" s="655"/>
      <c r="I667" s="655"/>
      <c r="J667" s="655"/>
      <c r="K667" s="655"/>
    </row>
    <row r="668">
      <c r="A668" s="655"/>
      <c r="B668" s="655"/>
      <c r="C668" s="655"/>
      <c r="D668" s="655"/>
      <c r="E668" s="655"/>
      <c r="F668" s="655"/>
      <c r="G668" s="655"/>
      <c r="H668" s="655"/>
      <c r="I668" s="655"/>
      <c r="J668" s="655"/>
      <c r="K668" s="655"/>
    </row>
    <row r="669">
      <c r="A669" s="655"/>
      <c r="B669" s="655"/>
      <c r="C669" s="655"/>
      <c r="D669" s="655"/>
      <c r="E669" s="655"/>
      <c r="F669" s="655"/>
      <c r="G669" s="655"/>
      <c r="H669" s="655"/>
      <c r="I669" s="655"/>
      <c r="J669" s="655"/>
      <c r="K669" s="655"/>
    </row>
    <row r="670">
      <c r="A670" s="655"/>
      <c r="B670" s="655"/>
      <c r="C670" s="655"/>
      <c r="D670" s="655"/>
      <c r="E670" s="655"/>
      <c r="F670" s="655"/>
      <c r="G670" s="655"/>
      <c r="H670" s="655"/>
      <c r="I670" s="655"/>
      <c r="J670" s="655"/>
      <c r="K670" s="655"/>
    </row>
    <row r="671">
      <c r="A671" s="655"/>
      <c r="B671" s="655"/>
      <c r="C671" s="655"/>
      <c r="D671" s="655"/>
      <c r="E671" s="655"/>
      <c r="F671" s="655"/>
      <c r="G671" s="655"/>
      <c r="H671" s="655"/>
      <c r="I671" s="655"/>
      <c r="J671" s="655"/>
      <c r="K671" s="655"/>
    </row>
    <row r="672">
      <c r="A672" s="655"/>
      <c r="B672" s="655"/>
      <c r="C672" s="655"/>
      <c r="D672" s="655"/>
      <c r="E672" s="655"/>
      <c r="F672" s="655"/>
      <c r="G672" s="655"/>
      <c r="H672" s="655"/>
      <c r="I672" s="655"/>
      <c r="J672" s="655"/>
      <c r="K672" s="655"/>
    </row>
    <row r="673">
      <c r="A673" s="655"/>
      <c r="B673" s="655"/>
      <c r="C673" s="655"/>
      <c r="D673" s="655"/>
      <c r="E673" s="655"/>
      <c r="F673" s="655"/>
      <c r="G673" s="655"/>
      <c r="H673" s="655"/>
      <c r="I673" s="655"/>
      <c r="J673" s="655"/>
      <c r="K673" s="655"/>
    </row>
    <row r="674">
      <c r="A674" s="655"/>
      <c r="B674" s="655"/>
      <c r="C674" s="655"/>
      <c r="D674" s="655"/>
      <c r="E674" s="655"/>
      <c r="F674" s="655"/>
      <c r="G674" s="655"/>
      <c r="H674" s="655"/>
      <c r="I674" s="655"/>
      <c r="J674" s="655"/>
      <c r="K674" s="655"/>
    </row>
    <row r="675">
      <c r="A675" s="655"/>
      <c r="B675" s="655"/>
      <c r="C675" s="655"/>
      <c r="D675" s="655"/>
      <c r="E675" s="655"/>
      <c r="F675" s="655"/>
      <c r="G675" s="655"/>
      <c r="H675" s="655"/>
      <c r="I675" s="655"/>
      <c r="J675" s="655"/>
      <c r="K675" s="655"/>
    </row>
    <row r="676">
      <c r="A676" s="655"/>
      <c r="B676" s="655"/>
      <c r="C676" s="655"/>
      <c r="D676" s="655"/>
      <c r="E676" s="655"/>
      <c r="F676" s="655"/>
      <c r="G676" s="655"/>
      <c r="H676" s="655"/>
      <c r="I676" s="655"/>
      <c r="J676" s="655"/>
      <c r="K676" s="655"/>
    </row>
    <row r="677">
      <c r="A677" s="655"/>
      <c r="B677" s="655"/>
      <c r="C677" s="655"/>
      <c r="D677" s="655"/>
      <c r="E677" s="655"/>
      <c r="F677" s="655"/>
      <c r="G677" s="655"/>
      <c r="H677" s="655"/>
      <c r="I677" s="655"/>
      <c r="J677" s="655"/>
      <c r="K677" s="655"/>
    </row>
    <row r="678">
      <c r="A678" s="655"/>
      <c r="B678" s="655"/>
      <c r="C678" s="655"/>
      <c r="D678" s="655"/>
      <c r="E678" s="655"/>
      <c r="F678" s="655"/>
      <c r="G678" s="655"/>
      <c r="H678" s="655"/>
      <c r="I678" s="655"/>
      <c r="J678" s="655"/>
      <c r="K678" s="655"/>
    </row>
    <row r="679">
      <c r="A679" s="655"/>
      <c r="B679" s="655"/>
      <c r="C679" s="655"/>
      <c r="D679" s="655"/>
      <c r="E679" s="655"/>
      <c r="F679" s="655"/>
      <c r="G679" s="655"/>
      <c r="H679" s="655"/>
      <c r="I679" s="655"/>
      <c r="J679" s="655"/>
      <c r="K679" s="655"/>
    </row>
    <row r="680">
      <c r="A680" s="655"/>
      <c r="B680" s="655"/>
      <c r="C680" s="655"/>
      <c r="D680" s="655"/>
      <c r="E680" s="655"/>
      <c r="F680" s="655"/>
      <c r="G680" s="655"/>
      <c r="H680" s="655"/>
      <c r="I680" s="655"/>
      <c r="J680" s="655"/>
      <c r="K680" s="655"/>
    </row>
    <row r="681">
      <c r="A681" s="655"/>
      <c r="B681" s="655"/>
      <c r="C681" s="655"/>
      <c r="D681" s="655"/>
      <c r="E681" s="655"/>
      <c r="F681" s="655"/>
      <c r="G681" s="655"/>
      <c r="H681" s="655"/>
      <c r="I681" s="655"/>
      <c r="J681" s="655"/>
      <c r="K681" s="655"/>
    </row>
    <row r="682">
      <c r="A682" s="655"/>
      <c r="B682" s="655"/>
      <c r="C682" s="655"/>
      <c r="D682" s="655"/>
      <c r="E682" s="655"/>
      <c r="F682" s="655"/>
      <c r="G682" s="655"/>
      <c r="H682" s="655"/>
      <c r="I682" s="655"/>
      <c r="J682" s="655"/>
      <c r="K682" s="655"/>
    </row>
    <row r="683">
      <c r="A683" s="655"/>
      <c r="B683" s="655"/>
      <c r="C683" s="655"/>
      <c r="D683" s="655"/>
      <c r="E683" s="655"/>
      <c r="F683" s="655"/>
      <c r="G683" s="655"/>
      <c r="H683" s="655"/>
      <c r="I683" s="655"/>
      <c r="J683" s="655"/>
      <c r="K683" s="655"/>
    </row>
    <row r="684">
      <c r="A684" s="655"/>
      <c r="B684" s="655"/>
      <c r="C684" s="655"/>
      <c r="D684" s="655"/>
      <c r="E684" s="655"/>
      <c r="F684" s="655"/>
      <c r="G684" s="655"/>
      <c r="H684" s="655"/>
      <c r="I684" s="655"/>
      <c r="J684" s="655"/>
      <c r="K684" s="655"/>
    </row>
    <row r="685">
      <c r="A685" s="655"/>
      <c r="B685" s="655"/>
      <c r="C685" s="655"/>
      <c r="D685" s="655"/>
      <c r="E685" s="655"/>
      <c r="F685" s="655"/>
      <c r="G685" s="655"/>
      <c r="H685" s="655"/>
      <c r="I685" s="655"/>
      <c r="J685" s="655"/>
      <c r="K685" s="655"/>
    </row>
    <row r="686">
      <c r="A686" s="655"/>
      <c r="B686" s="655"/>
      <c r="C686" s="655"/>
      <c r="D686" s="655"/>
      <c r="E686" s="655"/>
      <c r="F686" s="655"/>
      <c r="G686" s="655"/>
      <c r="H686" s="655"/>
      <c r="I686" s="655"/>
      <c r="J686" s="655"/>
      <c r="K686" s="655"/>
    </row>
    <row r="687">
      <c r="A687" s="655"/>
      <c r="B687" s="655"/>
      <c r="C687" s="655"/>
      <c r="D687" s="655"/>
      <c r="E687" s="655"/>
      <c r="F687" s="655"/>
      <c r="G687" s="655"/>
      <c r="H687" s="655"/>
      <c r="I687" s="655"/>
      <c r="J687" s="655"/>
      <c r="K687" s="655"/>
    </row>
    <row r="688">
      <c r="A688" s="655"/>
      <c r="B688" s="655"/>
      <c r="C688" s="655"/>
      <c r="D688" s="655"/>
      <c r="E688" s="655"/>
      <c r="F688" s="655"/>
      <c r="G688" s="655"/>
      <c r="H688" s="655"/>
      <c r="I688" s="655"/>
      <c r="J688" s="655"/>
      <c r="K688" s="655"/>
    </row>
    <row r="689">
      <c r="A689" s="655"/>
      <c r="B689" s="655"/>
      <c r="C689" s="655"/>
      <c r="D689" s="655"/>
      <c r="E689" s="655"/>
      <c r="F689" s="655"/>
      <c r="G689" s="655"/>
      <c r="H689" s="655"/>
      <c r="I689" s="655"/>
      <c r="J689" s="655"/>
      <c r="K689" s="655"/>
    </row>
    <row r="690">
      <c r="A690" s="655"/>
      <c r="B690" s="655"/>
      <c r="C690" s="655"/>
      <c r="D690" s="655"/>
      <c r="E690" s="655"/>
      <c r="F690" s="655"/>
      <c r="G690" s="655"/>
      <c r="H690" s="655"/>
      <c r="I690" s="655"/>
      <c r="J690" s="655"/>
      <c r="K690" s="655"/>
    </row>
    <row r="691">
      <c r="A691" s="655"/>
      <c r="B691" s="655"/>
      <c r="C691" s="655"/>
      <c r="D691" s="655"/>
      <c r="E691" s="655"/>
      <c r="F691" s="655"/>
      <c r="G691" s="655"/>
      <c r="H691" s="655"/>
      <c r="I691" s="655"/>
      <c r="J691" s="655"/>
      <c r="K691" s="655"/>
    </row>
    <row r="692">
      <c r="A692" s="655"/>
      <c r="B692" s="655"/>
      <c r="C692" s="655"/>
      <c r="D692" s="655"/>
      <c r="E692" s="655"/>
      <c r="F692" s="655"/>
      <c r="G692" s="655"/>
      <c r="H692" s="655"/>
      <c r="I692" s="655"/>
      <c r="J692" s="655"/>
      <c r="K692" s="655"/>
    </row>
    <row r="693">
      <c r="A693" s="655"/>
      <c r="B693" s="655"/>
      <c r="C693" s="655"/>
      <c r="D693" s="655"/>
      <c r="E693" s="655"/>
      <c r="F693" s="655"/>
      <c r="G693" s="655"/>
      <c r="H693" s="655"/>
      <c r="I693" s="655"/>
      <c r="J693" s="655"/>
      <c r="K693" s="655"/>
    </row>
    <row r="694">
      <c r="A694" s="655"/>
      <c r="B694" s="655"/>
      <c r="C694" s="655"/>
      <c r="D694" s="655"/>
      <c r="E694" s="655"/>
      <c r="F694" s="655"/>
      <c r="G694" s="655"/>
      <c r="H694" s="655"/>
      <c r="I694" s="655"/>
      <c r="J694" s="655"/>
      <c r="K694" s="655"/>
    </row>
    <row r="695">
      <c r="A695" s="655"/>
      <c r="B695" s="655"/>
      <c r="C695" s="655"/>
      <c r="D695" s="655"/>
      <c r="E695" s="655"/>
      <c r="F695" s="655"/>
      <c r="G695" s="655"/>
      <c r="H695" s="655"/>
      <c r="I695" s="655"/>
      <c r="J695" s="655"/>
      <c r="K695" s="655"/>
    </row>
    <row r="696">
      <c r="A696" s="655"/>
      <c r="B696" s="655"/>
      <c r="C696" s="655"/>
      <c r="D696" s="655"/>
      <c r="E696" s="655"/>
      <c r="F696" s="655"/>
      <c r="G696" s="655"/>
      <c r="H696" s="655"/>
      <c r="I696" s="655"/>
      <c r="J696" s="655"/>
      <c r="K696" s="655"/>
    </row>
    <row r="697">
      <c r="A697" s="655"/>
      <c r="B697" s="655"/>
      <c r="C697" s="655"/>
      <c r="D697" s="655"/>
      <c r="E697" s="655"/>
      <c r="F697" s="655"/>
      <c r="G697" s="655"/>
      <c r="H697" s="655"/>
      <c r="I697" s="655"/>
      <c r="J697" s="655"/>
      <c r="K697" s="655"/>
    </row>
    <row r="698">
      <c r="A698" s="655"/>
      <c r="B698" s="655"/>
      <c r="C698" s="655"/>
      <c r="D698" s="655"/>
      <c r="E698" s="655"/>
      <c r="F698" s="655"/>
      <c r="G698" s="655"/>
      <c r="H698" s="655"/>
      <c r="I698" s="655"/>
      <c r="J698" s="655"/>
      <c r="K698" s="655"/>
    </row>
    <row r="699">
      <c r="A699" s="655"/>
      <c r="B699" s="655"/>
      <c r="C699" s="655"/>
      <c r="D699" s="655"/>
      <c r="E699" s="655"/>
      <c r="F699" s="655"/>
      <c r="G699" s="655"/>
      <c r="H699" s="655"/>
      <c r="I699" s="655"/>
      <c r="J699" s="655"/>
      <c r="K699" s="655"/>
    </row>
    <row r="700">
      <c r="A700" s="655"/>
      <c r="B700" s="655"/>
      <c r="C700" s="655"/>
      <c r="D700" s="655"/>
      <c r="E700" s="655"/>
      <c r="F700" s="655"/>
      <c r="G700" s="655"/>
      <c r="H700" s="655"/>
      <c r="I700" s="655"/>
      <c r="J700" s="655"/>
      <c r="K700" s="655"/>
    </row>
    <row r="701">
      <c r="A701" s="655"/>
      <c r="B701" s="655"/>
      <c r="C701" s="655"/>
      <c r="D701" s="655"/>
      <c r="E701" s="655"/>
      <c r="F701" s="655"/>
      <c r="G701" s="655"/>
      <c r="H701" s="655"/>
      <c r="I701" s="655"/>
      <c r="J701" s="655"/>
      <c r="K701" s="655"/>
    </row>
    <row r="702">
      <c r="A702" s="655"/>
      <c r="B702" s="655"/>
      <c r="C702" s="655"/>
      <c r="D702" s="655"/>
      <c r="E702" s="655"/>
      <c r="F702" s="655"/>
      <c r="G702" s="655"/>
      <c r="H702" s="655"/>
      <c r="I702" s="655"/>
      <c r="J702" s="655"/>
      <c r="K702" s="655"/>
    </row>
    <row r="703">
      <c r="A703" s="655"/>
      <c r="B703" s="655"/>
      <c r="C703" s="655"/>
      <c r="D703" s="655"/>
      <c r="E703" s="655"/>
      <c r="F703" s="655"/>
      <c r="G703" s="655"/>
      <c r="H703" s="655"/>
      <c r="I703" s="655"/>
      <c r="J703" s="655"/>
      <c r="K703" s="655"/>
    </row>
    <row r="704">
      <c r="A704" s="655"/>
      <c r="B704" s="655"/>
      <c r="C704" s="655"/>
      <c r="D704" s="655"/>
      <c r="E704" s="655"/>
      <c r="F704" s="655"/>
      <c r="G704" s="655"/>
      <c r="H704" s="655"/>
      <c r="I704" s="655"/>
      <c r="J704" s="655"/>
      <c r="K704" s="655"/>
    </row>
    <row r="705">
      <c r="A705" s="655"/>
      <c r="B705" s="655"/>
      <c r="C705" s="655"/>
      <c r="D705" s="655"/>
      <c r="E705" s="655"/>
      <c r="F705" s="655"/>
      <c r="G705" s="655"/>
      <c r="H705" s="655"/>
      <c r="I705" s="655"/>
      <c r="J705" s="655"/>
      <c r="K705" s="655"/>
    </row>
    <row r="706">
      <c r="A706" s="655"/>
      <c r="B706" s="655"/>
      <c r="C706" s="655"/>
      <c r="D706" s="655"/>
      <c r="E706" s="655"/>
      <c r="F706" s="655"/>
      <c r="G706" s="655"/>
      <c r="H706" s="655"/>
      <c r="I706" s="655"/>
      <c r="J706" s="655"/>
      <c r="K706" s="655"/>
    </row>
    <row r="707">
      <c r="A707" s="655"/>
      <c r="B707" s="655"/>
      <c r="C707" s="655"/>
      <c r="D707" s="655"/>
      <c r="E707" s="655"/>
      <c r="F707" s="655"/>
      <c r="G707" s="655"/>
      <c r="H707" s="655"/>
      <c r="I707" s="655"/>
      <c r="J707" s="655"/>
      <c r="K707" s="655"/>
    </row>
    <row r="708">
      <c r="A708" s="655"/>
      <c r="B708" s="655"/>
      <c r="C708" s="655"/>
      <c r="D708" s="655"/>
      <c r="E708" s="655"/>
      <c r="F708" s="655"/>
      <c r="G708" s="655"/>
      <c r="H708" s="655"/>
      <c r="I708" s="655"/>
      <c r="J708" s="655"/>
      <c r="K708" s="655"/>
    </row>
    <row r="709">
      <c r="A709" s="655"/>
      <c r="B709" s="655"/>
      <c r="C709" s="655"/>
      <c r="D709" s="655"/>
      <c r="E709" s="655"/>
      <c r="F709" s="655"/>
      <c r="G709" s="655"/>
      <c r="H709" s="655"/>
      <c r="I709" s="655"/>
      <c r="J709" s="655"/>
      <c r="K709" s="655"/>
    </row>
    <row r="710">
      <c r="A710" s="655"/>
      <c r="B710" s="655"/>
      <c r="C710" s="655"/>
      <c r="D710" s="655"/>
      <c r="E710" s="655"/>
      <c r="F710" s="655"/>
      <c r="G710" s="655"/>
      <c r="H710" s="655"/>
      <c r="I710" s="655"/>
      <c r="J710" s="655"/>
      <c r="K710" s="655"/>
    </row>
    <row r="711">
      <c r="A711" s="655"/>
      <c r="B711" s="655"/>
      <c r="C711" s="655"/>
      <c r="D711" s="655"/>
      <c r="E711" s="655"/>
      <c r="F711" s="655"/>
      <c r="G711" s="655"/>
      <c r="H711" s="655"/>
      <c r="I711" s="655"/>
      <c r="J711" s="655"/>
      <c r="K711" s="655"/>
    </row>
    <row r="712">
      <c r="A712" s="655"/>
      <c r="B712" s="655"/>
      <c r="C712" s="655"/>
      <c r="D712" s="655"/>
      <c r="E712" s="655"/>
      <c r="F712" s="655"/>
      <c r="G712" s="655"/>
      <c r="H712" s="655"/>
      <c r="I712" s="655"/>
      <c r="J712" s="655"/>
      <c r="K712" s="655"/>
    </row>
    <row r="713">
      <c r="A713" s="655"/>
      <c r="B713" s="655"/>
      <c r="C713" s="655"/>
      <c r="D713" s="655"/>
      <c r="E713" s="655"/>
      <c r="F713" s="655"/>
      <c r="G713" s="655"/>
      <c r="H713" s="655"/>
      <c r="I713" s="655"/>
      <c r="J713" s="655"/>
      <c r="K713" s="655"/>
    </row>
    <row r="714">
      <c r="A714" s="655"/>
      <c r="B714" s="655"/>
      <c r="C714" s="655"/>
      <c r="D714" s="655"/>
      <c r="E714" s="655"/>
      <c r="F714" s="655"/>
      <c r="G714" s="655"/>
      <c r="H714" s="655"/>
      <c r="I714" s="655"/>
      <c r="J714" s="655"/>
      <c r="K714" s="655"/>
    </row>
    <row r="715">
      <c r="A715" s="655"/>
      <c r="B715" s="655"/>
      <c r="C715" s="655"/>
      <c r="D715" s="655"/>
      <c r="E715" s="655"/>
      <c r="F715" s="655"/>
      <c r="G715" s="655"/>
      <c r="H715" s="655"/>
      <c r="I715" s="655"/>
      <c r="J715" s="655"/>
      <c r="K715" s="655"/>
    </row>
    <row r="716">
      <c r="A716" s="655"/>
      <c r="B716" s="655"/>
      <c r="C716" s="655"/>
      <c r="D716" s="655"/>
      <c r="E716" s="655"/>
      <c r="F716" s="655"/>
      <c r="G716" s="655"/>
      <c r="H716" s="655"/>
      <c r="I716" s="655"/>
      <c r="J716" s="655"/>
      <c r="K716" s="655"/>
    </row>
    <row r="717">
      <c r="A717" s="655"/>
      <c r="B717" s="655"/>
      <c r="C717" s="655"/>
      <c r="D717" s="655"/>
      <c r="E717" s="655"/>
      <c r="F717" s="655"/>
      <c r="G717" s="655"/>
      <c r="H717" s="655"/>
      <c r="I717" s="655"/>
      <c r="J717" s="655"/>
      <c r="K717" s="655"/>
    </row>
    <row r="718">
      <c r="A718" s="655"/>
      <c r="B718" s="655"/>
      <c r="C718" s="655"/>
      <c r="D718" s="655"/>
      <c r="E718" s="655"/>
      <c r="F718" s="655"/>
      <c r="G718" s="655"/>
      <c r="H718" s="655"/>
      <c r="I718" s="655"/>
      <c r="J718" s="655"/>
      <c r="K718" s="655"/>
    </row>
    <row r="719">
      <c r="A719" s="655"/>
      <c r="B719" s="655"/>
      <c r="C719" s="655"/>
      <c r="D719" s="655"/>
      <c r="E719" s="655"/>
      <c r="F719" s="655"/>
      <c r="G719" s="655"/>
      <c r="H719" s="655"/>
      <c r="I719" s="655"/>
      <c r="J719" s="655"/>
      <c r="K719" s="655"/>
    </row>
    <row r="720">
      <c r="A720" s="655"/>
      <c r="B720" s="655"/>
      <c r="C720" s="655"/>
      <c r="D720" s="655"/>
      <c r="E720" s="655"/>
      <c r="F720" s="655"/>
      <c r="G720" s="655"/>
      <c r="H720" s="655"/>
      <c r="I720" s="655"/>
      <c r="J720" s="655"/>
      <c r="K720" s="655"/>
    </row>
    <row r="721">
      <c r="A721" s="655"/>
      <c r="B721" s="655"/>
      <c r="C721" s="655"/>
      <c r="D721" s="655"/>
      <c r="E721" s="655"/>
      <c r="F721" s="655"/>
      <c r="G721" s="655"/>
      <c r="H721" s="655"/>
      <c r="I721" s="655"/>
      <c r="J721" s="655"/>
      <c r="K721" s="655"/>
    </row>
    <row r="722">
      <c r="A722" s="655"/>
      <c r="B722" s="655"/>
      <c r="C722" s="655"/>
      <c r="D722" s="655"/>
      <c r="E722" s="655"/>
      <c r="F722" s="655"/>
      <c r="G722" s="655"/>
      <c r="H722" s="655"/>
      <c r="I722" s="655"/>
      <c r="J722" s="655"/>
      <c r="K722" s="655"/>
    </row>
    <row r="723">
      <c r="A723" s="655"/>
      <c r="B723" s="655"/>
      <c r="C723" s="655"/>
      <c r="D723" s="655"/>
      <c r="E723" s="655"/>
      <c r="F723" s="655"/>
      <c r="G723" s="655"/>
      <c r="H723" s="655"/>
      <c r="I723" s="655"/>
      <c r="J723" s="655"/>
      <c r="K723" s="655"/>
    </row>
    <row r="724">
      <c r="A724" s="655"/>
      <c r="B724" s="655"/>
      <c r="C724" s="655"/>
      <c r="D724" s="655"/>
      <c r="E724" s="655"/>
      <c r="F724" s="655"/>
      <c r="G724" s="655"/>
      <c r="H724" s="655"/>
      <c r="I724" s="655"/>
      <c r="J724" s="655"/>
      <c r="K724" s="655"/>
    </row>
    <row r="725">
      <c r="A725" s="655"/>
      <c r="B725" s="655"/>
      <c r="C725" s="655"/>
      <c r="D725" s="655"/>
      <c r="E725" s="655"/>
      <c r="F725" s="655"/>
      <c r="G725" s="655"/>
      <c r="H725" s="655"/>
      <c r="I725" s="655"/>
      <c r="J725" s="655"/>
      <c r="K725" s="655"/>
    </row>
    <row r="726">
      <c r="A726" s="655"/>
      <c r="B726" s="655"/>
      <c r="C726" s="655"/>
      <c r="D726" s="655"/>
      <c r="E726" s="655"/>
      <c r="F726" s="655"/>
      <c r="G726" s="655"/>
      <c r="H726" s="655"/>
      <c r="I726" s="655"/>
      <c r="J726" s="655"/>
      <c r="K726" s="655"/>
    </row>
    <row r="727">
      <c r="A727" s="655"/>
      <c r="B727" s="655"/>
      <c r="C727" s="655"/>
      <c r="D727" s="655"/>
      <c r="E727" s="655"/>
      <c r="F727" s="655"/>
      <c r="G727" s="655"/>
      <c r="H727" s="655"/>
      <c r="I727" s="655"/>
      <c r="J727" s="655"/>
      <c r="K727" s="655"/>
    </row>
    <row r="728">
      <c r="A728" s="655"/>
      <c r="B728" s="655"/>
      <c r="C728" s="655"/>
      <c r="D728" s="655"/>
      <c r="E728" s="655"/>
      <c r="F728" s="655"/>
      <c r="G728" s="655"/>
      <c r="H728" s="655"/>
      <c r="I728" s="655"/>
      <c r="J728" s="655"/>
      <c r="K728" s="655"/>
    </row>
    <row r="729">
      <c r="A729" s="655"/>
      <c r="B729" s="655"/>
      <c r="C729" s="655"/>
      <c r="D729" s="655"/>
      <c r="E729" s="655"/>
      <c r="F729" s="655"/>
      <c r="G729" s="655"/>
      <c r="H729" s="655"/>
      <c r="I729" s="655"/>
      <c r="J729" s="655"/>
      <c r="K729" s="655"/>
    </row>
    <row r="730">
      <c r="A730" s="655"/>
      <c r="B730" s="655"/>
      <c r="C730" s="655"/>
      <c r="D730" s="655"/>
      <c r="E730" s="655"/>
      <c r="F730" s="655"/>
      <c r="G730" s="655"/>
      <c r="H730" s="655"/>
      <c r="I730" s="655"/>
      <c r="J730" s="655"/>
      <c r="K730" s="655"/>
    </row>
    <row r="731">
      <c r="A731" s="655"/>
      <c r="B731" s="655"/>
      <c r="C731" s="655"/>
      <c r="D731" s="655"/>
      <c r="E731" s="655"/>
      <c r="F731" s="655"/>
      <c r="G731" s="655"/>
      <c r="H731" s="655"/>
      <c r="I731" s="655"/>
      <c r="J731" s="655"/>
      <c r="K731" s="655"/>
    </row>
    <row r="732">
      <c r="A732" s="655"/>
      <c r="B732" s="655"/>
      <c r="C732" s="655"/>
      <c r="D732" s="655"/>
      <c r="E732" s="655"/>
      <c r="F732" s="655"/>
      <c r="G732" s="655"/>
      <c r="H732" s="655"/>
      <c r="I732" s="655"/>
      <c r="J732" s="655"/>
      <c r="K732" s="655"/>
    </row>
    <row r="733">
      <c r="A733" s="655"/>
      <c r="B733" s="655"/>
      <c r="C733" s="655"/>
      <c r="D733" s="655"/>
      <c r="E733" s="655"/>
      <c r="F733" s="655"/>
      <c r="G733" s="655"/>
      <c r="H733" s="655"/>
      <c r="I733" s="655"/>
      <c r="J733" s="655"/>
      <c r="K733" s="655"/>
    </row>
    <row r="734">
      <c r="A734" s="655"/>
      <c r="B734" s="655"/>
      <c r="C734" s="655"/>
      <c r="D734" s="655"/>
      <c r="E734" s="655"/>
      <c r="F734" s="655"/>
      <c r="G734" s="655"/>
      <c r="H734" s="655"/>
      <c r="I734" s="655"/>
      <c r="J734" s="655"/>
      <c r="K734" s="655"/>
    </row>
    <row r="735">
      <c r="A735" s="655"/>
      <c r="B735" s="655"/>
      <c r="C735" s="655"/>
      <c r="D735" s="655"/>
      <c r="E735" s="655"/>
      <c r="F735" s="655"/>
      <c r="G735" s="655"/>
      <c r="H735" s="655"/>
      <c r="I735" s="655"/>
      <c r="J735" s="655"/>
      <c r="K735" s="655"/>
    </row>
    <row r="736">
      <c r="A736" s="655"/>
      <c r="B736" s="655"/>
      <c r="C736" s="655"/>
      <c r="D736" s="655"/>
      <c r="E736" s="655"/>
      <c r="F736" s="655"/>
      <c r="G736" s="655"/>
      <c r="H736" s="655"/>
      <c r="I736" s="655"/>
      <c r="J736" s="655"/>
      <c r="K736" s="655"/>
    </row>
    <row r="737">
      <c r="A737" s="655"/>
      <c r="B737" s="655"/>
      <c r="C737" s="655"/>
      <c r="D737" s="655"/>
      <c r="E737" s="655"/>
      <c r="F737" s="655"/>
      <c r="G737" s="655"/>
      <c r="H737" s="655"/>
      <c r="I737" s="655"/>
      <c r="J737" s="655"/>
      <c r="K737" s="655"/>
    </row>
    <row r="738">
      <c r="A738" s="655"/>
      <c r="B738" s="655"/>
      <c r="C738" s="655"/>
      <c r="D738" s="655"/>
      <c r="E738" s="655"/>
      <c r="F738" s="655"/>
      <c r="G738" s="655"/>
      <c r="H738" s="655"/>
      <c r="I738" s="655"/>
      <c r="J738" s="655"/>
      <c r="K738" s="655"/>
    </row>
    <row r="739">
      <c r="A739" s="655"/>
      <c r="B739" s="655"/>
      <c r="C739" s="655"/>
      <c r="D739" s="655"/>
      <c r="E739" s="655"/>
      <c r="F739" s="655"/>
      <c r="G739" s="655"/>
      <c r="H739" s="655"/>
      <c r="I739" s="655"/>
      <c r="J739" s="655"/>
      <c r="K739" s="655"/>
    </row>
    <row r="740">
      <c r="A740" s="655"/>
      <c r="B740" s="655"/>
      <c r="C740" s="655"/>
      <c r="D740" s="655"/>
      <c r="E740" s="655"/>
      <c r="F740" s="655"/>
      <c r="G740" s="655"/>
      <c r="H740" s="655"/>
      <c r="I740" s="655"/>
      <c r="J740" s="655"/>
      <c r="K740" s="655"/>
    </row>
    <row r="741">
      <c r="A741" s="655"/>
      <c r="B741" s="655"/>
      <c r="C741" s="655"/>
      <c r="D741" s="655"/>
      <c r="E741" s="655"/>
      <c r="F741" s="655"/>
      <c r="G741" s="655"/>
      <c r="H741" s="655"/>
      <c r="I741" s="655"/>
      <c r="J741" s="655"/>
      <c r="K741" s="655"/>
    </row>
    <row r="742">
      <c r="A742" s="655"/>
      <c r="B742" s="655"/>
      <c r="C742" s="655"/>
      <c r="D742" s="655"/>
      <c r="E742" s="655"/>
      <c r="F742" s="655"/>
      <c r="G742" s="655"/>
      <c r="H742" s="655"/>
      <c r="I742" s="655"/>
      <c r="J742" s="655"/>
      <c r="K742" s="655"/>
    </row>
    <row r="743">
      <c r="A743" s="655"/>
      <c r="B743" s="655"/>
      <c r="C743" s="655"/>
      <c r="D743" s="655"/>
      <c r="E743" s="655"/>
      <c r="F743" s="655"/>
      <c r="G743" s="655"/>
      <c r="H743" s="655"/>
      <c r="I743" s="655"/>
      <c r="J743" s="655"/>
      <c r="K743" s="655"/>
    </row>
    <row r="744">
      <c r="A744" s="655"/>
      <c r="B744" s="655"/>
      <c r="C744" s="655"/>
      <c r="D744" s="655"/>
      <c r="E744" s="655"/>
      <c r="F744" s="655"/>
      <c r="G744" s="655"/>
      <c r="H744" s="655"/>
      <c r="I744" s="655"/>
      <c r="J744" s="655"/>
      <c r="K744" s="655"/>
    </row>
    <row r="745">
      <c r="A745" s="655"/>
      <c r="B745" s="655"/>
      <c r="C745" s="655"/>
      <c r="D745" s="655"/>
      <c r="E745" s="655"/>
      <c r="F745" s="655"/>
      <c r="G745" s="655"/>
      <c r="H745" s="655"/>
      <c r="I745" s="655"/>
      <c r="J745" s="655"/>
      <c r="K745" s="655"/>
    </row>
    <row r="746">
      <c r="A746" s="655"/>
      <c r="B746" s="655"/>
      <c r="C746" s="655"/>
      <c r="D746" s="655"/>
      <c r="E746" s="655"/>
      <c r="F746" s="655"/>
      <c r="G746" s="655"/>
      <c r="H746" s="655"/>
      <c r="I746" s="655"/>
      <c r="J746" s="655"/>
      <c r="K746" s="655"/>
    </row>
    <row r="747">
      <c r="A747" s="655"/>
      <c r="B747" s="655"/>
      <c r="C747" s="655"/>
      <c r="D747" s="655"/>
      <c r="E747" s="655"/>
      <c r="F747" s="655"/>
      <c r="G747" s="655"/>
      <c r="H747" s="655"/>
      <c r="I747" s="655"/>
      <c r="J747" s="655"/>
      <c r="K747" s="655"/>
    </row>
    <row r="748">
      <c r="A748" s="655"/>
      <c r="B748" s="655"/>
      <c r="C748" s="655"/>
      <c r="D748" s="655"/>
      <c r="E748" s="655"/>
      <c r="F748" s="655"/>
      <c r="G748" s="655"/>
      <c r="H748" s="655"/>
      <c r="I748" s="655"/>
      <c r="J748" s="655"/>
      <c r="K748" s="655"/>
    </row>
    <row r="749">
      <c r="A749" s="655"/>
      <c r="B749" s="655"/>
      <c r="C749" s="655"/>
      <c r="D749" s="655"/>
      <c r="E749" s="655"/>
      <c r="F749" s="655"/>
      <c r="G749" s="655"/>
      <c r="H749" s="655"/>
      <c r="I749" s="655"/>
      <c r="J749" s="655"/>
      <c r="K749" s="655"/>
    </row>
    <row r="750">
      <c r="A750" s="655"/>
      <c r="B750" s="655"/>
      <c r="C750" s="655"/>
      <c r="D750" s="655"/>
      <c r="E750" s="655"/>
      <c r="F750" s="655"/>
      <c r="G750" s="655"/>
      <c r="H750" s="655"/>
      <c r="I750" s="655"/>
      <c r="J750" s="655"/>
      <c r="K750" s="655"/>
    </row>
    <row r="751">
      <c r="A751" s="655"/>
      <c r="B751" s="655"/>
      <c r="C751" s="655"/>
      <c r="D751" s="655"/>
      <c r="E751" s="655"/>
      <c r="F751" s="655"/>
      <c r="G751" s="655"/>
      <c r="H751" s="655"/>
      <c r="I751" s="655"/>
      <c r="J751" s="655"/>
      <c r="K751" s="655"/>
    </row>
    <row r="752">
      <c r="A752" s="655"/>
      <c r="B752" s="655"/>
      <c r="C752" s="655"/>
      <c r="D752" s="655"/>
      <c r="E752" s="655"/>
      <c r="F752" s="655"/>
      <c r="G752" s="655"/>
      <c r="H752" s="655"/>
      <c r="I752" s="655"/>
      <c r="J752" s="655"/>
      <c r="K752" s="655"/>
    </row>
    <row r="753">
      <c r="A753" s="655"/>
      <c r="B753" s="655"/>
      <c r="C753" s="655"/>
      <c r="D753" s="655"/>
      <c r="E753" s="655"/>
      <c r="F753" s="655"/>
      <c r="G753" s="655"/>
      <c r="H753" s="655"/>
      <c r="I753" s="655"/>
      <c r="J753" s="655"/>
      <c r="K753" s="655"/>
    </row>
    <row r="754">
      <c r="A754" s="655"/>
      <c r="B754" s="655"/>
      <c r="C754" s="655"/>
      <c r="D754" s="655"/>
      <c r="E754" s="655"/>
      <c r="F754" s="655"/>
      <c r="G754" s="655"/>
      <c r="H754" s="655"/>
      <c r="I754" s="655"/>
      <c r="J754" s="655"/>
      <c r="K754" s="655"/>
    </row>
    <row r="755">
      <c r="A755" s="655"/>
      <c r="B755" s="655"/>
      <c r="C755" s="655"/>
      <c r="D755" s="655"/>
      <c r="E755" s="655"/>
      <c r="F755" s="655"/>
      <c r="G755" s="655"/>
      <c r="H755" s="655"/>
      <c r="I755" s="655"/>
      <c r="J755" s="655"/>
      <c r="K755" s="655"/>
    </row>
    <row r="756">
      <c r="A756" s="655"/>
      <c r="B756" s="655"/>
      <c r="C756" s="655"/>
      <c r="D756" s="655"/>
      <c r="E756" s="655"/>
      <c r="F756" s="655"/>
      <c r="G756" s="655"/>
      <c r="H756" s="655"/>
      <c r="I756" s="655"/>
      <c r="J756" s="655"/>
      <c r="K756" s="655"/>
    </row>
    <row r="757">
      <c r="A757" s="655"/>
      <c r="B757" s="655"/>
      <c r="C757" s="655"/>
      <c r="D757" s="655"/>
      <c r="E757" s="655"/>
      <c r="F757" s="655"/>
      <c r="G757" s="655"/>
      <c r="H757" s="655"/>
      <c r="I757" s="655"/>
      <c r="J757" s="655"/>
      <c r="K757" s="655"/>
    </row>
    <row r="758">
      <c r="A758" s="655"/>
      <c r="B758" s="655"/>
      <c r="C758" s="655"/>
      <c r="D758" s="655"/>
      <c r="E758" s="655"/>
      <c r="F758" s="655"/>
      <c r="G758" s="655"/>
      <c r="H758" s="655"/>
      <c r="I758" s="655"/>
      <c r="J758" s="655"/>
      <c r="K758" s="655"/>
    </row>
    <row r="759">
      <c r="A759" s="655"/>
      <c r="B759" s="655"/>
      <c r="C759" s="655"/>
      <c r="D759" s="655"/>
      <c r="E759" s="655"/>
      <c r="F759" s="655"/>
      <c r="G759" s="655"/>
      <c r="H759" s="655"/>
      <c r="I759" s="655"/>
      <c r="J759" s="655"/>
      <c r="K759" s="655"/>
    </row>
    <row r="760">
      <c r="A760" s="655"/>
      <c r="B760" s="655"/>
      <c r="C760" s="655"/>
      <c r="D760" s="655"/>
      <c r="E760" s="655"/>
      <c r="F760" s="655"/>
      <c r="G760" s="655"/>
      <c r="H760" s="655"/>
      <c r="I760" s="655"/>
      <c r="J760" s="655"/>
      <c r="K760" s="655"/>
    </row>
    <row r="761">
      <c r="A761" s="655"/>
      <c r="B761" s="655"/>
      <c r="C761" s="655"/>
      <c r="D761" s="655"/>
      <c r="E761" s="655"/>
      <c r="F761" s="655"/>
      <c r="G761" s="655"/>
      <c r="H761" s="655"/>
      <c r="I761" s="655"/>
      <c r="J761" s="655"/>
      <c r="K761" s="655"/>
    </row>
    <row r="762">
      <c r="A762" s="655"/>
      <c r="B762" s="655"/>
      <c r="C762" s="655"/>
      <c r="D762" s="655"/>
      <c r="E762" s="655"/>
      <c r="F762" s="655"/>
      <c r="G762" s="655"/>
      <c r="H762" s="655"/>
      <c r="I762" s="655"/>
      <c r="J762" s="655"/>
      <c r="K762" s="655"/>
    </row>
    <row r="763">
      <c r="A763" s="655"/>
      <c r="B763" s="655"/>
      <c r="C763" s="655"/>
      <c r="D763" s="655"/>
      <c r="E763" s="655"/>
      <c r="F763" s="655"/>
      <c r="G763" s="655"/>
      <c r="H763" s="655"/>
      <c r="I763" s="655"/>
      <c r="J763" s="655"/>
      <c r="K763" s="655"/>
    </row>
    <row r="764">
      <c r="A764" s="655"/>
      <c r="B764" s="655"/>
      <c r="C764" s="655"/>
      <c r="D764" s="655"/>
      <c r="E764" s="655"/>
      <c r="F764" s="655"/>
      <c r="G764" s="655"/>
      <c r="H764" s="655"/>
      <c r="I764" s="655"/>
      <c r="J764" s="655"/>
      <c r="K764" s="655"/>
    </row>
    <row r="765">
      <c r="A765" s="655"/>
      <c r="B765" s="655"/>
      <c r="C765" s="655"/>
      <c r="D765" s="655"/>
      <c r="E765" s="655"/>
      <c r="F765" s="655"/>
      <c r="G765" s="655"/>
      <c r="H765" s="655"/>
      <c r="I765" s="655"/>
      <c r="J765" s="655"/>
      <c r="K765" s="655"/>
    </row>
    <row r="766">
      <c r="A766" s="655"/>
      <c r="B766" s="655"/>
      <c r="C766" s="655"/>
      <c r="D766" s="655"/>
      <c r="E766" s="655"/>
      <c r="F766" s="655"/>
      <c r="G766" s="655"/>
      <c r="H766" s="655"/>
      <c r="I766" s="655"/>
      <c r="J766" s="655"/>
      <c r="K766" s="655"/>
    </row>
    <row r="767">
      <c r="A767" s="655"/>
      <c r="B767" s="655"/>
      <c r="C767" s="655"/>
      <c r="D767" s="655"/>
      <c r="E767" s="655"/>
      <c r="F767" s="655"/>
      <c r="G767" s="655"/>
      <c r="H767" s="655"/>
      <c r="I767" s="655"/>
      <c r="J767" s="655"/>
      <c r="K767" s="655"/>
    </row>
    <row r="768">
      <c r="A768" s="655"/>
      <c r="B768" s="655"/>
      <c r="C768" s="655"/>
      <c r="D768" s="655"/>
      <c r="E768" s="655"/>
      <c r="F768" s="655"/>
      <c r="G768" s="655"/>
      <c r="H768" s="655"/>
      <c r="I768" s="655"/>
      <c r="J768" s="655"/>
      <c r="K768" s="655"/>
    </row>
    <row r="769">
      <c r="A769" s="655"/>
      <c r="B769" s="655"/>
      <c r="C769" s="655"/>
      <c r="D769" s="655"/>
      <c r="E769" s="655"/>
      <c r="F769" s="655"/>
      <c r="G769" s="655"/>
      <c r="H769" s="655"/>
      <c r="I769" s="655"/>
      <c r="J769" s="655"/>
      <c r="K769" s="655"/>
    </row>
    <row r="770">
      <c r="A770" s="655"/>
      <c r="B770" s="655"/>
      <c r="C770" s="655"/>
      <c r="D770" s="655"/>
      <c r="E770" s="655"/>
      <c r="F770" s="655"/>
      <c r="G770" s="655"/>
      <c r="H770" s="655"/>
      <c r="I770" s="655"/>
      <c r="J770" s="655"/>
      <c r="K770" s="655"/>
    </row>
    <row r="771">
      <c r="A771" s="655"/>
      <c r="B771" s="655"/>
      <c r="C771" s="655"/>
      <c r="D771" s="655"/>
      <c r="E771" s="655"/>
      <c r="F771" s="655"/>
      <c r="G771" s="655"/>
      <c r="H771" s="655"/>
      <c r="I771" s="655"/>
      <c r="J771" s="655"/>
      <c r="K771" s="655"/>
    </row>
    <row r="772">
      <c r="A772" s="655"/>
      <c r="B772" s="655"/>
      <c r="C772" s="655"/>
      <c r="D772" s="655"/>
      <c r="E772" s="655"/>
      <c r="F772" s="655"/>
      <c r="G772" s="655"/>
      <c r="H772" s="655"/>
      <c r="I772" s="655"/>
      <c r="J772" s="655"/>
      <c r="K772" s="655"/>
    </row>
    <row r="773">
      <c r="A773" s="655"/>
      <c r="B773" s="655"/>
      <c r="C773" s="655"/>
      <c r="D773" s="655"/>
      <c r="E773" s="655"/>
      <c r="F773" s="655"/>
      <c r="G773" s="655"/>
      <c r="H773" s="655"/>
      <c r="I773" s="655"/>
      <c r="J773" s="655"/>
      <c r="K773" s="655"/>
    </row>
    <row r="774">
      <c r="A774" s="655"/>
      <c r="B774" s="655"/>
      <c r="C774" s="655"/>
      <c r="D774" s="655"/>
      <c r="E774" s="655"/>
      <c r="F774" s="655"/>
      <c r="G774" s="655"/>
      <c r="H774" s="655"/>
      <c r="I774" s="655"/>
      <c r="J774" s="655"/>
      <c r="K774" s="655"/>
    </row>
    <row r="775">
      <c r="A775" s="655"/>
      <c r="B775" s="655"/>
      <c r="C775" s="655"/>
      <c r="D775" s="655"/>
      <c r="E775" s="655"/>
      <c r="F775" s="655"/>
      <c r="G775" s="655"/>
      <c r="H775" s="655"/>
      <c r="I775" s="655"/>
      <c r="J775" s="655"/>
      <c r="K775" s="655"/>
    </row>
    <row r="776">
      <c r="A776" s="655"/>
      <c r="B776" s="655"/>
      <c r="C776" s="655"/>
      <c r="D776" s="655"/>
      <c r="E776" s="655"/>
      <c r="F776" s="655"/>
      <c r="G776" s="655"/>
      <c r="H776" s="655"/>
      <c r="I776" s="655"/>
      <c r="J776" s="655"/>
      <c r="K776" s="655"/>
    </row>
    <row r="777">
      <c r="A777" s="655"/>
      <c r="B777" s="655"/>
      <c r="C777" s="655"/>
      <c r="D777" s="655"/>
      <c r="E777" s="655"/>
      <c r="F777" s="655"/>
      <c r="G777" s="655"/>
      <c r="H777" s="655"/>
      <c r="I777" s="655"/>
      <c r="J777" s="655"/>
      <c r="K777" s="655"/>
    </row>
    <row r="778">
      <c r="A778" s="655"/>
      <c r="B778" s="655"/>
      <c r="C778" s="655"/>
      <c r="D778" s="655"/>
      <c r="E778" s="655"/>
      <c r="F778" s="655"/>
      <c r="G778" s="655"/>
      <c r="H778" s="655"/>
      <c r="I778" s="655"/>
      <c r="J778" s="655"/>
      <c r="K778" s="655"/>
    </row>
    <row r="779">
      <c r="A779" s="655"/>
      <c r="B779" s="655"/>
      <c r="C779" s="655"/>
      <c r="D779" s="655"/>
      <c r="E779" s="655"/>
      <c r="F779" s="655"/>
      <c r="G779" s="655"/>
      <c r="H779" s="655"/>
      <c r="I779" s="655"/>
      <c r="J779" s="655"/>
      <c r="K779" s="655"/>
    </row>
    <row r="780">
      <c r="A780" s="655"/>
      <c r="B780" s="655"/>
      <c r="C780" s="655"/>
      <c r="D780" s="655"/>
      <c r="E780" s="655"/>
      <c r="F780" s="655"/>
      <c r="G780" s="655"/>
      <c r="H780" s="655"/>
      <c r="I780" s="655"/>
      <c r="J780" s="655"/>
      <c r="K780" s="655"/>
    </row>
    <row r="781">
      <c r="A781" s="655"/>
      <c r="B781" s="655"/>
      <c r="C781" s="655"/>
      <c r="D781" s="655"/>
      <c r="E781" s="655"/>
      <c r="F781" s="655"/>
      <c r="G781" s="655"/>
      <c r="H781" s="655"/>
      <c r="I781" s="655"/>
      <c r="J781" s="655"/>
      <c r="K781" s="655"/>
    </row>
    <row r="782">
      <c r="A782" s="655"/>
      <c r="B782" s="655"/>
      <c r="C782" s="655"/>
      <c r="D782" s="655"/>
      <c r="E782" s="655"/>
      <c r="F782" s="655"/>
      <c r="G782" s="655"/>
      <c r="H782" s="655"/>
      <c r="I782" s="655"/>
      <c r="J782" s="655"/>
      <c r="K782" s="655"/>
    </row>
    <row r="783">
      <c r="A783" s="655"/>
      <c r="B783" s="655"/>
      <c r="C783" s="655"/>
      <c r="D783" s="655"/>
      <c r="E783" s="655"/>
      <c r="F783" s="655"/>
      <c r="G783" s="655"/>
      <c r="H783" s="655"/>
      <c r="I783" s="655"/>
      <c r="J783" s="655"/>
      <c r="K783" s="655"/>
    </row>
    <row r="784">
      <c r="A784" s="655"/>
      <c r="B784" s="655"/>
      <c r="C784" s="655"/>
      <c r="D784" s="655"/>
      <c r="E784" s="655"/>
      <c r="F784" s="655"/>
      <c r="G784" s="655"/>
      <c r="H784" s="655"/>
      <c r="I784" s="655"/>
      <c r="J784" s="655"/>
      <c r="K784" s="655"/>
    </row>
    <row r="785">
      <c r="A785" s="655"/>
      <c r="B785" s="655"/>
      <c r="C785" s="655"/>
      <c r="D785" s="655"/>
      <c r="E785" s="655"/>
      <c r="F785" s="655"/>
      <c r="G785" s="655"/>
      <c r="H785" s="655"/>
      <c r="I785" s="655"/>
      <c r="J785" s="655"/>
      <c r="K785" s="655"/>
    </row>
    <row r="786">
      <c r="A786" s="655"/>
      <c r="B786" s="655"/>
      <c r="C786" s="655"/>
      <c r="D786" s="655"/>
      <c r="E786" s="655"/>
      <c r="F786" s="655"/>
      <c r="G786" s="655"/>
      <c r="H786" s="655"/>
      <c r="I786" s="655"/>
      <c r="J786" s="655"/>
      <c r="K786" s="655"/>
    </row>
    <row r="787">
      <c r="A787" s="655"/>
      <c r="B787" s="655"/>
      <c r="C787" s="655"/>
      <c r="D787" s="655"/>
      <c r="E787" s="655"/>
      <c r="F787" s="655"/>
      <c r="G787" s="655"/>
      <c r="H787" s="655"/>
      <c r="I787" s="655"/>
      <c r="J787" s="655"/>
      <c r="K787" s="655"/>
    </row>
    <row r="788">
      <c r="A788" s="655"/>
      <c r="B788" s="655"/>
      <c r="C788" s="655"/>
      <c r="D788" s="655"/>
      <c r="E788" s="655"/>
      <c r="F788" s="655"/>
      <c r="G788" s="655"/>
      <c r="H788" s="655"/>
      <c r="I788" s="655"/>
      <c r="J788" s="655"/>
      <c r="K788" s="655"/>
    </row>
    <row r="789">
      <c r="A789" s="655"/>
      <c r="B789" s="655"/>
      <c r="C789" s="655"/>
      <c r="D789" s="655"/>
      <c r="E789" s="655"/>
      <c r="F789" s="655"/>
      <c r="G789" s="655"/>
      <c r="H789" s="655"/>
      <c r="I789" s="655"/>
      <c r="J789" s="655"/>
      <c r="K789" s="655"/>
    </row>
    <row r="790">
      <c r="A790" s="655"/>
      <c r="B790" s="655"/>
      <c r="C790" s="655"/>
      <c r="D790" s="655"/>
      <c r="E790" s="655"/>
      <c r="F790" s="655"/>
      <c r="G790" s="655"/>
      <c r="H790" s="655"/>
      <c r="I790" s="655"/>
      <c r="J790" s="655"/>
      <c r="K790" s="655"/>
    </row>
    <row r="791">
      <c r="A791" s="655"/>
      <c r="B791" s="655"/>
      <c r="C791" s="655"/>
      <c r="D791" s="655"/>
      <c r="E791" s="655"/>
      <c r="F791" s="655"/>
      <c r="G791" s="655"/>
      <c r="H791" s="655"/>
      <c r="I791" s="655"/>
      <c r="J791" s="655"/>
      <c r="K791" s="655"/>
    </row>
    <row r="792">
      <c r="A792" s="655"/>
      <c r="B792" s="655"/>
      <c r="C792" s="655"/>
      <c r="D792" s="655"/>
      <c r="E792" s="655"/>
      <c r="F792" s="655"/>
      <c r="G792" s="655"/>
      <c r="H792" s="655"/>
      <c r="I792" s="655"/>
      <c r="J792" s="655"/>
      <c r="K792" s="655"/>
    </row>
    <row r="793">
      <c r="A793" s="655"/>
      <c r="B793" s="655"/>
      <c r="C793" s="655"/>
      <c r="D793" s="655"/>
      <c r="E793" s="655"/>
      <c r="F793" s="655"/>
      <c r="G793" s="655"/>
      <c r="H793" s="655"/>
      <c r="I793" s="655"/>
      <c r="J793" s="655"/>
      <c r="K793" s="655"/>
    </row>
    <row r="794">
      <c r="A794" s="655"/>
      <c r="B794" s="655"/>
      <c r="C794" s="655"/>
      <c r="D794" s="655"/>
      <c r="E794" s="655"/>
      <c r="F794" s="655"/>
      <c r="G794" s="655"/>
      <c r="H794" s="655"/>
      <c r="I794" s="655"/>
      <c r="J794" s="655"/>
      <c r="K794" s="655"/>
    </row>
    <row r="795">
      <c r="A795" s="655"/>
      <c r="B795" s="655"/>
      <c r="C795" s="655"/>
      <c r="D795" s="655"/>
      <c r="E795" s="655"/>
      <c r="F795" s="655"/>
      <c r="G795" s="655"/>
      <c r="H795" s="655"/>
      <c r="I795" s="655"/>
      <c r="J795" s="655"/>
      <c r="K795" s="655"/>
    </row>
    <row r="796">
      <c r="A796" s="655"/>
      <c r="B796" s="655"/>
      <c r="C796" s="655"/>
      <c r="D796" s="655"/>
      <c r="E796" s="655"/>
      <c r="F796" s="655"/>
      <c r="G796" s="655"/>
      <c r="H796" s="655"/>
      <c r="I796" s="655"/>
      <c r="J796" s="655"/>
      <c r="K796" s="655"/>
    </row>
    <row r="797">
      <c r="A797" s="655"/>
      <c r="B797" s="655"/>
      <c r="C797" s="655"/>
      <c r="D797" s="655"/>
      <c r="E797" s="655"/>
      <c r="F797" s="655"/>
      <c r="G797" s="655"/>
      <c r="H797" s="655"/>
      <c r="I797" s="655"/>
      <c r="J797" s="655"/>
      <c r="K797" s="655"/>
    </row>
    <row r="798">
      <c r="A798" s="655"/>
      <c r="B798" s="655"/>
      <c r="C798" s="655"/>
      <c r="D798" s="655"/>
      <c r="E798" s="655"/>
      <c r="F798" s="655"/>
      <c r="G798" s="655"/>
      <c r="H798" s="655"/>
      <c r="I798" s="655"/>
      <c r="J798" s="655"/>
      <c r="K798" s="655"/>
    </row>
    <row r="799">
      <c r="A799" s="655"/>
      <c r="B799" s="655"/>
      <c r="C799" s="655"/>
      <c r="D799" s="655"/>
      <c r="E799" s="655"/>
      <c r="F799" s="655"/>
      <c r="G799" s="655"/>
      <c r="H799" s="655"/>
      <c r="I799" s="655"/>
      <c r="J799" s="655"/>
      <c r="K799" s="655"/>
    </row>
    <row r="800">
      <c r="A800" s="655"/>
      <c r="B800" s="655"/>
      <c r="C800" s="655"/>
      <c r="D800" s="655"/>
      <c r="E800" s="655"/>
      <c r="F800" s="655"/>
      <c r="G800" s="655"/>
      <c r="H800" s="655"/>
      <c r="I800" s="655"/>
      <c r="J800" s="655"/>
      <c r="K800" s="655"/>
    </row>
    <row r="801">
      <c r="A801" s="655"/>
      <c r="B801" s="655"/>
      <c r="C801" s="655"/>
      <c r="D801" s="655"/>
      <c r="E801" s="655"/>
      <c r="F801" s="655"/>
      <c r="G801" s="655"/>
      <c r="H801" s="655"/>
      <c r="I801" s="655"/>
      <c r="J801" s="655"/>
      <c r="K801" s="655"/>
    </row>
    <row r="802">
      <c r="A802" s="655"/>
      <c r="B802" s="655"/>
      <c r="C802" s="655"/>
      <c r="D802" s="655"/>
      <c r="E802" s="655"/>
      <c r="F802" s="655"/>
      <c r="G802" s="655"/>
      <c r="H802" s="655"/>
      <c r="I802" s="655"/>
      <c r="J802" s="655"/>
      <c r="K802" s="655"/>
    </row>
    <row r="803">
      <c r="A803" s="655"/>
      <c r="B803" s="655"/>
      <c r="C803" s="655"/>
      <c r="D803" s="655"/>
      <c r="E803" s="655"/>
      <c r="F803" s="655"/>
      <c r="G803" s="655"/>
      <c r="H803" s="655"/>
      <c r="I803" s="655"/>
      <c r="J803" s="655"/>
      <c r="K803" s="655"/>
    </row>
    <row r="804">
      <c r="A804" s="655"/>
      <c r="B804" s="655"/>
      <c r="C804" s="655"/>
      <c r="D804" s="655"/>
      <c r="E804" s="655"/>
      <c r="F804" s="655"/>
      <c r="G804" s="655"/>
      <c r="H804" s="655"/>
      <c r="I804" s="655"/>
      <c r="J804" s="655"/>
      <c r="K804" s="655"/>
    </row>
    <row r="805">
      <c r="A805" s="655"/>
      <c r="B805" s="655"/>
      <c r="C805" s="655"/>
      <c r="D805" s="655"/>
      <c r="E805" s="655"/>
      <c r="F805" s="655"/>
      <c r="G805" s="655"/>
      <c r="H805" s="655"/>
      <c r="I805" s="655"/>
      <c r="J805" s="655"/>
      <c r="K805" s="655"/>
    </row>
    <row r="806">
      <c r="A806" s="655"/>
      <c r="B806" s="655"/>
      <c r="C806" s="655"/>
      <c r="D806" s="655"/>
      <c r="E806" s="655"/>
      <c r="F806" s="655"/>
      <c r="G806" s="655"/>
      <c r="H806" s="655"/>
      <c r="I806" s="655"/>
      <c r="J806" s="655"/>
      <c r="K806" s="655"/>
    </row>
    <row r="807">
      <c r="A807" s="655"/>
      <c r="B807" s="655"/>
      <c r="C807" s="655"/>
      <c r="D807" s="655"/>
      <c r="E807" s="655"/>
      <c r="F807" s="655"/>
      <c r="G807" s="655"/>
      <c r="H807" s="655"/>
      <c r="I807" s="655"/>
      <c r="J807" s="655"/>
      <c r="K807" s="655"/>
    </row>
    <row r="808">
      <c r="A808" s="655"/>
      <c r="B808" s="655"/>
      <c r="C808" s="655"/>
      <c r="D808" s="655"/>
      <c r="E808" s="655"/>
      <c r="F808" s="655"/>
      <c r="G808" s="655"/>
      <c r="H808" s="655"/>
      <c r="I808" s="655"/>
      <c r="J808" s="655"/>
      <c r="K808" s="655"/>
    </row>
    <row r="809">
      <c r="A809" s="655"/>
      <c r="B809" s="655"/>
      <c r="C809" s="655"/>
      <c r="D809" s="655"/>
      <c r="E809" s="655"/>
      <c r="F809" s="655"/>
      <c r="G809" s="655"/>
      <c r="H809" s="655"/>
      <c r="I809" s="655"/>
      <c r="J809" s="655"/>
      <c r="K809" s="655"/>
    </row>
    <row r="810">
      <c r="A810" s="655"/>
      <c r="B810" s="655"/>
      <c r="C810" s="655"/>
      <c r="D810" s="655"/>
      <c r="E810" s="655"/>
      <c r="F810" s="655"/>
      <c r="G810" s="655"/>
      <c r="H810" s="655"/>
      <c r="I810" s="655"/>
      <c r="J810" s="655"/>
      <c r="K810" s="655"/>
    </row>
    <row r="811">
      <c r="A811" s="655"/>
      <c r="B811" s="655"/>
      <c r="C811" s="655"/>
      <c r="D811" s="655"/>
      <c r="E811" s="655"/>
      <c r="F811" s="655"/>
      <c r="G811" s="655"/>
      <c r="H811" s="655"/>
      <c r="I811" s="655"/>
      <c r="J811" s="655"/>
      <c r="K811" s="655"/>
    </row>
    <row r="812">
      <c r="A812" s="655"/>
      <c r="B812" s="655"/>
      <c r="C812" s="655"/>
      <c r="D812" s="655"/>
      <c r="E812" s="655"/>
      <c r="F812" s="655"/>
      <c r="G812" s="655"/>
      <c r="H812" s="655"/>
      <c r="I812" s="655"/>
      <c r="J812" s="655"/>
      <c r="K812" s="655"/>
    </row>
    <row r="813">
      <c r="A813" s="655"/>
      <c r="B813" s="655"/>
      <c r="C813" s="655"/>
      <c r="D813" s="655"/>
      <c r="E813" s="655"/>
      <c r="F813" s="655"/>
      <c r="G813" s="655"/>
      <c r="H813" s="655"/>
      <c r="I813" s="655"/>
      <c r="J813" s="655"/>
      <c r="K813" s="655"/>
    </row>
    <row r="814">
      <c r="A814" s="655"/>
      <c r="B814" s="655"/>
      <c r="C814" s="655"/>
      <c r="D814" s="655"/>
      <c r="E814" s="655"/>
      <c r="F814" s="655"/>
      <c r="G814" s="655"/>
      <c r="H814" s="655"/>
      <c r="I814" s="655"/>
      <c r="J814" s="655"/>
      <c r="K814" s="655"/>
    </row>
    <row r="815">
      <c r="A815" s="655"/>
      <c r="B815" s="655"/>
      <c r="C815" s="655"/>
      <c r="D815" s="655"/>
      <c r="E815" s="655"/>
      <c r="F815" s="655"/>
      <c r="G815" s="655"/>
      <c r="H815" s="655"/>
      <c r="I815" s="655"/>
      <c r="J815" s="655"/>
      <c r="K815" s="655"/>
    </row>
    <row r="816">
      <c r="A816" s="655"/>
      <c r="B816" s="655"/>
      <c r="C816" s="655"/>
      <c r="D816" s="655"/>
      <c r="E816" s="655"/>
      <c r="F816" s="655"/>
      <c r="G816" s="655"/>
      <c r="H816" s="655"/>
      <c r="I816" s="655"/>
      <c r="J816" s="655"/>
      <c r="K816" s="655"/>
    </row>
    <row r="817">
      <c r="A817" s="655"/>
      <c r="B817" s="655"/>
      <c r="C817" s="655"/>
      <c r="D817" s="655"/>
      <c r="E817" s="655"/>
      <c r="F817" s="655"/>
      <c r="G817" s="655"/>
      <c r="H817" s="655"/>
      <c r="I817" s="655"/>
      <c r="J817" s="655"/>
      <c r="K817" s="655"/>
    </row>
    <row r="818">
      <c r="A818" s="655"/>
      <c r="B818" s="655"/>
      <c r="C818" s="655"/>
      <c r="D818" s="655"/>
      <c r="E818" s="655"/>
      <c r="F818" s="655"/>
      <c r="G818" s="655"/>
      <c r="H818" s="655"/>
      <c r="I818" s="655"/>
      <c r="J818" s="655"/>
      <c r="K818" s="655"/>
    </row>
    <row r="819">
      <c r="A819" s="655"/>
      <c r="B819" s="655"/>
      <c r="C819" s="655"/>
      <c r="D819" s="655"/>
      <c r="E819" s="655"/>
      <c r="F819" s="655"/>
      <c r="G819" s="655"/>
      <c r="H819" s="655"/>
      <c r="I819" s="655"/>
      <c r="J819" s="655"/>
      <c r="K819" s="655"/>
    </row>
    <row r="820">
      <c r="A820" s="655"/>
      <c r="B820" s="655"/>
      <c r="C820" s="655"/>
      <c r="D820" s="655"/>
      <c r="E820" s="655"/>
      <c r="F820" s="655"/>
      <c r="G820" s="655"/>
      <c r="H820" s="655"/>
      <c r="I820" s="655"/>
      <c r="J820" s="655"/>
      <c r="K820" s="655"/>
    </row>
    <row r="821">
      <c r="A821" s="655"/>
      <c r="B821" s="655"/>
      <c r="C821" s="655"/>
      <c r="D821" s="655"/>
      <c r="E821" s="655"/>
      <c r="F821" s="655"/>
      <c r="G821" s="655"/>
      <c r="H821" s="655"/>
      <c r="I821" s="655"/>
      <c r="J821" s="655"/>
      <c r="K821" s="655"/>
    </row>
    <row r="822">
      <c r="A822" s="655"/>
      <c r="B822" s="655"/>
      <c r="C822" s="655"/>
      <c r="D822" s="655"/>
      <c r="E822" s="655"/>
      <c r="F822" s="655"/>
      <c r="G822" s="655"/>
      <c r="H822" s="655"/>
      <c r="I822" s="655"/>
      <c r="J822" s="655"/>
      <c r="K822" s="655"/>
    </row>
    <row r="823">
      <c r="A823" s="655"/>
      <c r="B823" s="655"/>
      <c r="C823" s="655"/>
      <c r="D823" s="655"/>
      <c r="E823" s="655"/>
      <c r="F823" s="655"/>
      <c r="G823" s="655"/>
      <c r="H823" s="655"/>
      <c r="I823" s="655"/>
      <c r="J823" s="655"/>
      <c r="K823" s="655"/>
    </row>
    <row r="824">
      <c r="A824" s="655"/>
      <c r="B824" s="655"/>
      <c r="C824" s="655"/>
      <c r="D824" s="655"/>
      <c r="E824" s="655"/>
      <c r="F824" s="655"/>
      <c r="G824" s="655"/>
      <c r="H824" s="655"/>
      <c r="I824" s="655"/>
      <c r="J824" s="655"/>
      <c r="K824" s="655"/>
    </row>
    <row r="825">
      <c r="A825" s="655"/>
      <c r="B825" s="655"/>
      <c r="C825" s="655"/>
      <c r="D825" s="655"/>
      <c r="E825" s="655"/>
      <c r="F825" s="655"/>
      <c r="G825" s="655"/>
      <c r="H825" s="655"/>
      <c r="I825" s="655"/>
      <c r="J825" s="655"/>
      <c r="K825" s="655"/>
    </row>
    <row r="826">
      <c r="A826" s="655"/>
      <c r="B826" s="655"/>
      <c r="C826" s="655"/>
      <c r="D826" s="655"/>
      <c r="E826" s="655"/>
      <c r="F826" s="655"/>
      <c r="G826" s="655"/>
      <c r="H826" s="655"/>
      <c r="I826" s="655"/>
      <c r="J826" s="655"/>
      <c r="K826" s="655"/>
    </row>
    <row r="827">
      <c r="A827" s="655"/>
      <c r="B827" s="655"/>
      <c r="C827" s="655"/>
      <c r="D827" s="655"/>
      <c r="E827" s="655"/>
      <c r="F827" s="655"/>
      <c r="G827" s="655"/>
      <c r="H827" s="655"/>
      <c r="I827" s="655"/>
      <c r="J827" s="655"/>
      <c r="K827" s="655"/>
    </row>
    <row r="828">
      <c r="A828" s="655"/>
      <c r="B828" s="655"/>
      <c r="C828" s="655"/>
      <c r="D828" s="655"/>
      <c r="E828" s="655"/>
      <c r="F828" s="655"/>
      <c r="G828" s="655"/>
      <c r="H828" s="655"/>
      <c r="I828" s="655"/>
      <c r="J828" s="655"/>
      <c r="K828" s="655"/>
    </row>
    <row r="829">
      <c r="A829" s="655"/>
      <c r="B829" s="655"/>
      <c r="C829" s="655"/>
      <c r="D829" s="655"/>
      <c r="E829" s="655"/>
      <c r="F829" s="655"/>
      <c r="G829" s="655"/>
      <c r="H829" s="655"/>
      <c r="I829" s="655"/>
      <c r="J829" s="655"/>
      <c r="K829" s="655"/>
    </row>
    <row r="830">
      <c r="A830" s="655"/>
      <c r="B830" s="655"/>
      <c r="C830" s="655"/>
      <c r="D830" s="655"/>
      <c r="E830" s="655"/>
      <c r="F830" s="655"/>
      <c r="G830" s="655"/>
      <c r="H830" s="655"/>
      <c r="I830" s="655"/>
      <c r="J830" s="655"/>
      <c r="K830" s="655"/>
    </row>
    <row r="831">
      <c r="A831" s="655"/>
      <c r="B831" s="655"/>
      <c r="C831" s="655"/>
      <c r="D831" s="655"/>
      <c r="E831" s="655"/>
      <c r="F831" s="655"/>
      <c r="G831" s="655"/>
      <c r="H831" s="655"/>
      <c r="I831" s="655"/>
      <c r="J831" s="655"/>
      <c r="K831" s="655"/>
    </row>
    <row r="832">
      <c r="A832" s="655"/>
      <c r="B832" s="655"/>
      <c r="C832" s="655"/>
      <c r="D832" s="655"/>
      <c r="E832" s="655"/>
      <c r="F832" s="655"/>
      <c r="G832" s="655"/>
      <c r="H832" s="655"/>
      <c r="I832" s="655"/>
      <c r="J832" s="655"/>
      <c r="K832" s="655"/>
    </row>
    <row r="833">
      <c r="A833" s="655"/>
      <c r="B833" s="655"/>
      <c r="C833" s="655"/>
      <c r="D833" s="655"/>
      <c r="E833" s="655"/>
      <c r="F833" s="655"/>
      <c r="G833" s="655"/>
      <c r="H833" s="655"/>
      <c r="I833" s="655"/>
      <c r="J833" s="655"/>
      <c r="K833" s="655"/>
    </row>
    <row r="834">
      <c r="A834" s="655"/>
      <c r="B834" s="655"/>
      <c r="C834" s="655"/>
      <c r="D834" s="655"/>
      <c r="E834" s="655"/>
      <c r="F834" s="655"/>
      <c r="G834" s="655"/>
      <c r="H834" s="655"/>
      <c r="I834" s="655"/>
      <c r="J834" s="655"/>
      <c r="K834" s="655"/>
    </row>
    <row r="835">
      <c r="A835" s="655"/>
      <c r="B835" s="655"/>
      <c r="C835" s="655"/>
      <c r="D835" s="655"/>
      <c r="E835" s="655"/>
      <c r="F835" s="655"/>
      <c r="G835" s="655"/>
      <c r="H835" s="655"/>
      <c r="I835" s="655"/>
      <c r="J835" s="655"/>
      <c r="K835" s="655"/>
    </row>
    <row r="836">
      <c r="A836" s="655"/>
      <c r="B836" s="655"/>
      <c r="C836" s="655"/>
      <c r="D836" s="655"/>
      <c r="E836" s="655"/>
      <c r="F836" s="655"/>
      <c r="G836" s="655"/>
      <c r="H836" s="655"/>
      <c r="I836" s="655"/>
      <c r="J836" s="655"/>
      <c r="K836" s="655"/>
    </row>
    <row r="837">
      <c r="A837" s="655"/>
      <c r="B837" s="655"/>
      <c r="C837" s="655"/>
      <c r="D837" s="655"/>
      <c r="E837" s="655"/>
      <c r="F837" s="655"/>
      <c r="G837" s="655"/>
      <c r="H837" s="655"/>
      <c r="I837" s="655"/>
      <c r="J837" s="655"/>
      <c r="K837" s="655"/>
    </row>
    <row r="838">
      <c r="A838" s="655"/>
      <c r="B838" s="655"/>
      <c r="C838" s="655"/>
      <c r="D838" s="655"/>
      <c r="E838" s="655"/>
      <c r="F838" s="655"/>
      <c r="G838" s="655"/>
      <c r="H838" s="655"/>
      <c r="I838" s="655"/>
      <c r="J838" s="655"/>
      <c r="K838" s="655"/>
    </row>
    <row r="839">
      <c r="A839" s="655"/>
      <c r="B839" s="655"/>
      <c r="C839" s="655"/>
      <c r="D839" s="655"/>
      <c r="E839" s="655"/>
      <c r="F839" s="655"/>
      <c r="G839" s="655"/>
      <c r="H839" s="655"/>
      <c r="I839" s="655"/>
      <c r="J839" s="655"/>
      <c r="K839" s="655"/>
    </row>
    <row r="840">
      <c r="A840" s="655"/>
      <c r="B840" s="655"/>
      <c r="C840" s="655"/>
      <c r="D840" s="655"/>
      <c r="E840" s="655"/>
      <c r="F840" s="655"/>
      <c r="G840" s="655"/>
      <c r="H840" s="655"/>
      <c r="I840" s="655"/>
      <c r="J840" s="655"/>
      <c r="K840" s="655"/>
    </row>
    <row r="841">
      <c r="A841" s="655"/>
      <c r="B841" s="655"/>
      <c r="C841" s="655"/>
      <c r="D841" s="655"/>
      <c r="E841" s="655"/>
      <c r="F841" s="655"/>
      <c r="G841" s="655"/>
      <c r="H841" s="655"/>
      <c r="I841" s="655"/>
      <c r="J841" s="655"/>
      <c r="K841" s="655"/>
    </row>
    <row r="842">
      <c r="A842" s="655"/>
      <c r="B842" s="655"/>
      <c r="C842" s="655"/>
      <c r="D842" s="655"/>
      <c r="E842" s="655"/>
      <c r="F842" s="655"/>
      <c r="G842" s="655"/>
      <c r="H842" s="655"/>
      <c r="I842" s="655"/>
      <c r="J842" s="655"/>
      <c r="K842" s="655"/>
    </row>
    <row r="843">
      <c r="A843" s="655"/>
      <c r="B843" s="655"/>
      <c r="C843" s="655"/>
      <c r="D843" s="655"/>
      <c r="E843" s="655"/>
      <c r="F843" s="655"/>
      <c r="G843" s="655"/>
      <c r="H843" s="655"/>
      <c r="I843" s="655"/>
      <c r="J843" s="655"/>
      <c r="K843" s="655"/>
    </row>
    <row r="844">
      <c r="A844" s="655"/>
      <c r="B844" s="655"/>
      <c r="C844" s="655"/>
      <c r="D844" s="655"/>
      <c r="E844" s="655"/>
      <c r="F844" s="655"/>
      <c r="G844" s="655"/>
      <c r="H844" s="655"/>
      <c r="I844" s="655"/>
      <c r="J844" s="655"/>
      <c r="K844" s="655"/>
    </row>
    <row r="845">
      <c r="A845" s="655"/>
      <c r="B845" s="655"/>
      <c r="C845" s="655"/>
      <c r="D845" s="655"/>
      <c r="E845" s="655"/>
      <c r="F845" s="655"/>
      <c r="G845" s="655"/>
      <c r="H845" s="655"/>
      <c r="I845" s="655"/>
      <c r="J845" s="655"/>
      <c r="K845" s="655"/>
    </row>
    <row r="846">
      <c r="A846" s="655"/>
      <c r="B846" s="655"/>
      <c r="C846" s="655"/>
      <c r="D846" s="655"/>
      <c r="E846" s="655"/>
      <c r="F846" s="655"/>
      <c r="G846" s="655"/>
      <c r="H846" s="655"/>
      <c r="I846" s="655"/>
      <c r="J846" s="655"/>
      <c r="K846" s="655"/>
    </row>
    <row r="847">
      <c r="A847" s="655"/>
      <c r="B847" s="655"/>
      <c r="C847" s="655"/>
      <c r="D847" s="655"/>
      <c r="E847" s="655"/>
      <c r="F847" s="655"/>
      <c r="G847" s="655"/>
      <c r="H847" s="655"/>
      <c r="I847" s="655"/>
      <c r="J847" s="655"/>
      <c r="K847" s="655"/>
    </row>
    <row r="848">
      <c r="A848" s="655"/>
      <c r="B848" s="655"/>
      <c r="C848" s="655"/>
      <c r="D848" s="655"/>
      <c r="E848" s="655"/>
      <c r="F848" s="655"/>
      <c r="G848" s="655"/>
      <c r="H848" s="655"/>
      <c r="I848" s="655"/>
      <c r="J848" s="655"/>
      <c r="K848" s="655"/>
    </row>
    <row r="849">
      <c r="A849" s="655"/>
      <c r="B849" s="655"/>
      <c r="C849" s="655"/>
      <c r="D849" s="655"/>
      <c r="E849" s="655"/>
      <c r="F849" s="655"/>
      <c r="G849" s="655"/>
      <c r="H849" s="655"/>
      <c r="I849" s="655"/>
      <c r="J849" s="655"/>
      <c r="K849" s="655"/>
    </row>
    <row r="850">
      <c r="A850" s="655"/>
      <c r="B850" s="655"/>
      <c r="C850" s="655"/>
      <c r="D850" s="655"/>
      <c r="E850" s="655"/>
      <c r="F850" s="655"/>
      <c r="G850" s="655"/>
      <c r="H850" s="655"/>
      <c r="I850" s="655"/>
      <c r="J850" s="655"/>
      <c r="K850" s="655"/>
    </row>
    <row r="851">
      <c r="A851" s="655"/>
      <c r="B851" s="655"/>
      <c r="C851" s="655"/>
      <c r="D851" s="655"/>
      <c r="E851" s="655"/>
      <c r="F851" s="655"/>
      <c r="G851" s="655"/>
      <c r="H851" s="655"/>
      <c r="I851" s="655"/>
      <c r="J851" s="655"/>
      <c r="K851" s="655"/>
    </row>
    <row r="852">
      <c r="A852" s="655"/>
      <c r="B852" s="655"/>
      <c r="C852" s="655"/>
      <c r="D852" s="655"/>
      <c r="E852" s="655"/>
      <c r="F852" s="655"/>
      <c r="G852" s="655"/>
      <c r="H852" s="655"/>
      <c r="I852" s="655"/>
      <c r="J852" s="655"/>
      <c r="K852" s="655"/>
    </row>
    <row r="853">
      <c r="A853" s="655"/>
      <c r="B853" s="655"/>
      <c r="C853" s="655"/>
      <c r="D853" s="655"/>
      <c r="E853" s="655"/>
      <c r="F853" s="655"/>
      <c r="G853" s="655"/>
      <c r="H853" s="655"/>
      <c r="I853" s="655"/>
      <c r="J853" s="655"/>
      <c r="K853" s="655"/>
    </row>
    <row r="854">
      <c r="A854" s="655"/>
      <c r="B854" s="655"/>
      <c r="C854" s="655"/>
      <c r="D854" s="655"/>
      <c r="E854" s="655"/>
      <c r="F854" s="655"/>
      <c r="G854" s="655"/>
      <c r="H854" s="655"/>
      <c r="I854" s="655"/>
      <c r="J854" s="655"/>
      <c r="K854" s="655"/>
    </row>
    <row r="855">
      <c r="A855" s="655"/>
      <c r="B855" s="655"/>
      <c r="C855" s="655"/>
      <c r="D855" s="655"/>
      <c r="E855" s="655"/>
      <c r="F855" s="655"/>
      <c r="G855" s="655"/>
      <c r="H855" s="655"/>
      <c r="I855" s="655"/>
      <c r="J855" s="655"/>
      <c r="K855" s="655"/>
    </row>
    <row r="856">
      <c r="A856" s="655"/>
      <c r="B856" s="655"/>
      <c r="C856" s="655"/>
      <c r="D856" s="655"/>
      <c r="E856" s="655"/>
      <c r="F856" s="655"/>
      <c r="G856" s="655"/>
      <c r="H856" s="655"/>
      <c r="I856" s="655"/>
      <c r="J856" s="655"/>
      <c r="K856" s="655"/>
    </row>
    <row r="857">
      <c r="A857" s="655"/>
      <c r="B857" s="655"/>
      <c r="C857" s="655"/>
      <c r="D857" s="655"/>
      <c r="E857" s="655"/>
      <c r="F857" s="655"/>
      <c r="G857" s="655"/>
      <c r="H857" s="655"/>
      <c r="I857" s="655"/>
      <c r="J857" s="655"/>
      <c r="K857" s="655"/>
    </row>
    <row r="858">
      <c r="A858" s="655"/>
      <c r="B858" s="655"/>
      <c r="C858" s="655"/>
      <c r="D858" s="655"/>
      <c r="E858" s="655"/>
      <c r="F858" s="655"/>
      <c r="G858" s="655"/>
      <c r="H858" s="655"/>
      <c r="I858" s="655"/>
      <c r="J858" s="655"/>
      <c r="K858" s="655"/>
    </row>
    <row r="859">
      <c r="A859" s="655"/>
      <c r="B859" s="655"/>
      <c r="C859" s="655"/>
      <c r="D859" s="655"/>
      <c r="E859" s="655"/>
      <c r="F859" s="655"/>
      <c r="G859" s="655"/>
      <c r="H859" s="655"/>
      <c r="I859" s="655"/>
      <c r="J859" s="655"/>
      <c r="K859" s="655"/>
    </row>
    <row r="860">
      <c r="A860" s="655"/>
      <c r="B860" s="655"/>
      <c r="C860" s="655"/>
      <c r="D860" s="655"/>
      <c r="E860" s="655"/>
      <c r="F860" s="655"/>
      <c r="G860" s="655"/>
      <c r="H860" s="655"/>
      <c r="I860" s="655"/>
      <c r="J860" s="655"/>
      <c r="K860" s="655"/>
    </row>
    <row r="861">
      <c r="A861" s="655"/>
      <c r="B861" s="655"/>
      <c r="C861" s="655"/>
      <c r="D861" s="655"/>
      <c r="E861" s="655"/>
      <c r="F861" s="655"/>
      <c r="G861" s="655"/>
      <c r="H861" s="655"/>
      <c r="I861" s="655"/>
      <c r="J861" s="655"/>
      <c r="K861" s="655"/>
    </row>
    <row r="862">
      <c r="A862" s="655"/>
      <c r="B862" s="655"/>
      <c r="C862" s="655"/>
      <c r="D862" s="655"/>
      <c r="E862" s="655"/>
      <c r="F862" s="655"/>
      <c r="G862" s="655"/>
      <c r="H862" s="655"/>
      <c r="I862" s="655"/>
      <c r="J862" s="655"/>
      <c r="K862" s="655"/>
    </row>
    <row r="863">
      <c r="A863" s="655"/>
      <c r="B863" s="655"/>
      <c r="C863" s="655"/>
      <c r="D863" s="655"/>
      <c r="E863" s="655"/>
      <c r="F863" s="655"/>
      <c r="G863" s="655"/>
      <c r="H863" s="655"/>
      <c r="I863" s="655"/>
      <c r="J863" s="655"/>
      <c r="K863" s="655"/>
    </row>
    <row r="864">
      <c r="A864" s="655"/>
      <c r="B864" s="655"/>
      <c r="C864" s="655"/>
      <c r="D864" s="655"/>
      <c r="E864" s="655"/>
      <c r="F864" s="655"/>
      <c r="G864" s="655"/>
      <c r="H864" s="655"/>
      <c r="I864" s="655"/>
      <c r="J864" s="655"/>
      <c r="K864" s="655"/>
    </row>
    <row r="865">
      <c r="A865" s="655"/>
      <c r="B865" s="655"/>
      <c r="C865" s="655"/>
      <c r="D865" s="655"/>
      <c r="E865" s="655"/>
      <c r="F865" s="655"/>
      <c r="G865" s="655"/>
      <c r="H865" s="655"/>
      <c r="I865" s="655"/>
      <c r="J865" s="655"/>
      <c r="K865" s="655"/>
    </row>
    <row r="866">
      <c r="A866" s="655"/>
      <c r="B866" s="655"/>
      <c r="C866" s="655"/>
      <c r="D866" s="655"/>
      <c r="E866" s="655"/>
      <c r="F866" s="655"/>
      <c r="G866" s="655"/>
      <c r="H866" s="655"/>
      <c r="I866" s="655"/>
      <c r="J866" s="655"/>
      <c r="K866" s="655"/>
    </row>
    <row r="867">
      <c r="A867" s="655"/>
      <c r="B867" s="655"/>
      <c r="C867" s="655"/>
      <c r="D867" s="655"/>
      <c r="E867" s="655"/>
      <c r="F867" s="655"/>
      <c r="G867" s="655"/>
      <c r="H867" s="655"/>
      <c r="I867" s="655"/>
      <c r="J867" s="655"/>
      <c r="K867" s="655"/>
    </row>
    <row r="868">
      <c r="A868" s="655"/>
      <c r="B868" s="655"/>
      <c r="C868" s="655"/>
      <c r="D868" s="655"/>
      <c r="E868" s="655"/>
      <c r="F868" s="655"/>
      <c r="G868" s="655"/>
      <c r="H868" s="655"/>
      <c r="I868" s="655"/>
      <c r="J868" s="655"/>
      <c r="K868" s="655"/>
    </row>
    <row r="869">
      <c r="A869" s="655"/>
      <c r="B869" s="655"/>
      <c r="C869" s="655"/>
      <c r="D869" s="655"/>
      <c r="E869" s="655"/>
      <c r="F869" s="655"/>
      <c r="G869" s="655"/>
      <c r="H869" s="655"/>
      <c r="I869" s="655"/>
      <c r="J869" s="655"/>
      <c r="K869" s="655"/>
    </row>
    <row r="870">
      <c r="A870" s="655"/>
      <c r="B870" s="655"/>
      <c r="C870" s="655"/>
      <c r="D870" s="655"/>
      <c r="E870" s="655"/>
      <c r="F870" s="655"/>
      <c r="G870" s="655"/>
      <c r="H870" s="655"/>
      <c r="I870" s="655"/>
      <c r="J870" s="655"/>
      <c r="K870" s="655"/>
    </row>
    <row r="871">
      <c r="A871" s="655"/>
      <c r="B871" s="655"/>
      <c r="C871" s="655"/>
      <c r="D871" s="655"/>
      <c r="E871" s="655"/>
      <c r="F871" s="655"/>
      <c r="G871" s="655"/>
      <c r="H871" s="655"/>
      <c r="I871" s="655"/>
      <c r="J871" s="655"/>
      <c r="K871" s="655"/>
    </row>
    <row r="872">
      <c r="A872" s="655"/>
      <c r="B872" s="655"/>
      <c r="C872" s="655"/>
      <c r="D872" s="655"/>
      <c r="E872" s="655"/>
      <c r="F872" s="655"/>
      <c r="G872" s="655"/>
      <c r="H872" s="655"/>
      <c r="I872" s="655"/>
      <c r="J872" s="655"/>
      <c r="K872" s="655"/>
    </row>
    <row r="873">
      <c r="A873" s="655"/>
      <c r="B873" s="655"/>
      <c r="C873" s="655"/>
      <c r="D873" s="655"/>
      <c r="E873" s="655"/>
      <c r="F873" s="655"/>
      <c r="G873" s="655"/>
      <c r="H873" s="655"/>
      <c r="I873" s="655"/>
      <c r="J873" s="655"/>
      <c r="K873" s="655"/>
    </row>
    <row r="874">
      <c r="A874" s="655"/>
      <c r="B874" s="655"/>
      <c r="C874" s="655"/>
      <c r="D874" s="655"/>
      <c r="E874" s="655"/>
      <c r="F874" s="655"/>
      <c r="G874" s="655"/>
      <c r="H874" s="655"/>
      <c r="I874" s="655"/>
      <c r="J874" s="655"/>
      <c r="K874" s="655"/>
    </row>
    <row r="875">
      <c r="A875" s="655"/>
      <c r="B875" s="655"/>
      <c r="C875" s="655"/>
      <c r="D875" s="655"/>
      <c r="E875" s="655"/>
      <c r="F875" s="655"/>
      <c r="G875" s="655"/>
      <c r="H875" s="655"/>
      <c r="I875" s="655"/>
      <c r="J875" s="655"/>
      <c r="K875" s="655"/>
    </row>
    <row r="876">
      <c r="A876" s="655"/>
      <c r="B876" s="655"/>
      <c r="C876" s="655"/>
      <c r="D876" s="655"/>
      <c r="E876" s="655"/>
      <c r="F876" s="655"/>
      <c r="G876" s="655"/>
      <c r="H876" s="655"/>
      <c r="I876" s="655"/>
      <c r="J876" s="655"/>
      <c r="K876" s="655"/>
    </row>
    <row r="877">
      <c r="A877" s="655"/>
      <c r="B877" s="655"/>
      <c r="C877" s="655"/>
      <c r="D877" s="655"/>
      <c r="E877" s="655"/>
      <c r="F877" s="655"/>
      <c r="G877" s="655"/>
      <c r="H877" s="655"/>
      <c r="I877" s="655"/>
      <c r="J877" s="655"/>
      <c r="K877" s="655"/>
    </row>
    <row r="878">
      <c r="A878" s="655"/>
      <c r="B878" s="655"/>
      <c r="C878" s="655"/>
      <c r="D878" s="655"/>
      <c r="E878" s="655"/>
      <c r="F878" s="655"/>
      <c r="G878" s="655"/>
      <c r="H878" s="655"/>
      <c r="I878" s="655"/>
      <c r="J878" s="655"/>
      <c r="K878" s="655"/>
    </row>
    <row r="879">
      <c r="A879" s="655"/>
      <c r="B879" s="655"/>
      <c r="C879" s="655"/>
      <c r="D879" s="655"/>
      <c r="E879" s="655"/>
      <c r="F879" s="655"/>
      <c r="G879" s="655"/>
      <c r="H879" s="655"/>
      <c r="I879" s="655"/>
      <c r="J879" s="655"/>
      <c r="K879" s="655"/>
    </row>
    <row r="880">
      <c r="A880" s="655"/>
      <c r="B880" s="655"/>
      <c r="C880" s="655"/>
      <c r="D880" s="655"/>
      <c r="E880" s="655"/>
      <c r="F880" s="655"/>
      <c r="G880" s="655"/>
      <c r="H880" s="655"/>
      <c r="I880" s="655"/>
      <c r="J880" s="655"/>
      <c r="K880" s="655"/>
    </row>
    <row r="881">
      <c r="A881" s="655"/>
      <c r="B881" s="655"/>
      <c r="C881" s="655"/>
      <c r="D881" s="655"/>
      <c r="E881" s="655"/>
      <c r="F881" s="655"/>
      <c r="G881" s="655"/>
      <c r="H881" s="655"/>
      <c r="I881" s="655"/>
      <c r="J881" s="655"/>
      <c r="K881" s="655"/>
    </row>
    <row r="882">
      <c r="A882" s="655"/>
      <c r="B882" s="655"/>
      <c r="C882" s="655"/>
      <c r="D882" s="655"/>
      <c r="E882" s="655"/>
      <c r="F882" s="655"/>
      <c r="G882" s="655"/>
      <c r="H882" s="655"/>
      <c r="I882" s="655"/>
      <c r="J882" s="655"/>
      <c r="K882" s="655"/>
    </row>
    <row r="883">
      <c r="A883" s="655"/>
      <c r="B883" s="655"/>
      <c r="C883" s="655"/>
      <c r="D883" s="655"/>
      <c r="E883" s="655"/>
      <c r="F883" s="655"/>
      <c r="G883" s="655"/>
      <c r="H883" s="655"/>
      <c r="I883" s="655"/>
      <c r="J883" s="655"/>
      <c r="K883" s="655"/>
    </row>
    <row r="884">
      <c r="A884" s="655"/>
      <c r="B884" s="655"/>
      <c r="C884" s="655"/>
      <c r="D884" s="655"/>
      <c r="E884" s="655"/>
      <c r="F884" s="655"/>
      <c r="G884" s="655"/>
      <c r="H884" s="655"/>
      <c r="I884" s="655"/>
      <c r="J884" s="655"/>
      <c r="K884" s="655"/>
    </row>
    <row r="885">
      <c r="A885" s="655"/>
      <c r="B885" s="655"/>
      <c r="C885" s="655"/>
      <c r="D885" s="655"/>
      <c r="E885" s="655"/>
      <c r="F885" s="655"/>
      <c r="G885" s="655"/>
      <c r="H885" s="655"/>
      <c r="I885" s="655"/>
      <c r="J885" s="655"/>
      <c r="K885" s="655"/>
    </row>
    <row r="886">
      <c r="A886" s="655"/>
      <c r="B886" s="655"/>
      <c r="C886" s="655"/>
      <c r="D886" s="655"/>
      <c r="E886" s="655"/>
      <c r="F886" s="655"/>
      <c r="G886" s="655"/>
      <c r="H886" s="655"/>
      <c r="I886" s="655"/>
      <c r="J886" s="655"/>
      <c r="K886" s="655"/>
    </row>
    <row r="887">
      <c r="A887" s="655"/>
      <c r="B887" s="655"/>
      <c r="C887" s="655"/>
      <c r="D887" s="655"/>
      <c r="E887" s="655"/>
      <c r="F887" s="655"/>
      <c r="G887" s="655"/>
      <c r="H887" s="655"/>
      <c r="I887" s="655"/>
      <c r="J887" s="655"/>
      <c r="K887" s="655"/>
    </row>
    <row r="888">
      <c r="A888" s="655"/>
      <c r="B888" s="655"/>
      <c r="C888" s="655"/>
      <c r="D888" s="655"/>
      <c r="E888" s="655"/>
      <c r="F888" s="655"/>
      <c r="G888" s="655"/>
      <c r="H888" s="655"/>
      <c r="I888" s="655"/>
      <c r="J888" s="655"/>
      <c r="K888" s="655"/>
    </row>
    <row r="889">
      <c r="A889" s="655"/>
      <c r="B889" s="655"/>
      <c r="C889" s="655"/>
      <c r="D889" s="655"/>
      <c r="E889" s="655"/>
      <c r="F889" s="655"/>
      <c r="G889" s="655"/>
      <c r="H889" s="655"/>
      <c r="I889" s="655"/>
      <c r="J889" s="655"/>
      <c r="K889" s="655"/>
    </row>
    <row r="890">
      <c r="A890" s="655"/>
      <c r="B890" s="655"/>
      <c r="C890" s="655"/>
      <c r="D890" s="655"/>
      <c r="E890" s="655"/>
      <c r="F890" s="655"/>
      <c r="G890" s="655"/>
      <c r="H890" s="655"/>
      <c r="I890" s="655"/>
      <c r="J890" s="655"/>
      <c r="K890" s="655"/>
    </row>
    <row r="891">
      <c r="A891" s="655"/>
      <c r="B891" s="655"/>
      <c r="C891" s="655"/>
      <c r="D891" s="655"/>
      <c r="E891" s="655"/>
      <c r="F891" s="655"/>
      <c r="G891" s="655"/>
      <c r="H891" s="655"/>
      <c r="I891" s="655"/>
      <c r="J891" s="655"/>
      <c r="K891" s="655"/>
    </row>
    <row r="892">
      <c r="A892" s="655"/>
      <c r="B892" s="655"/>
      <c r="C892" s="655"/>
      <c r="D892" s="655"/>
      <c r="E892" s="655"/>
      <c r="F892" s="655"/>
      <c r="G892" s="655"/>
      <c r="H892" s="655"/>
      <c r="I892" s="655"/>
      <c r="J892" s="655"/>
      <c r="K892" s="655"/>
    </row>
    <row r="893">
      <c r="A893" s="655"/>
      <c r="B893" s="655"/>
      <c r="C893" s="655"/>
      <c r="D893" s="655"/>
      <c r="E893" s="655"/>
      <c r="F893" s="655"/>
      <c r="G893" s="655"/>
      <c r="H893" s="655"/>
      <c r="I893" s="655"/>
      <c r="J893" s="655"/>
      <c r="K893" s="655"/>
    </row>
    <row r="894">
      <c r="A894" s="655"/>
      <c r="B894" s="655"/>
      <c r="C894" s="655"/>
      <c r="D894" s="655"/>
      <c r="E894" s="655"/>
      <c r="F894" s="655"/>
      <c r="G894" s="655"/>
      <c r="H894" s="655"/>
      <c r="I894" s="655"/>
      <c r="J894" s="655"/>
      <c r="K894" s="655"/>
    </row>
    <row r="895">
      <c r="A895" s="655"/>
      <c r="B895" s="655"/>
      <c r="C895" s="655"/>
      <c r="D895" s="655"/>
      <c r="E895" s="655"/>
      <c r="F895" s="655"/>
      <c r="G895" s="655"/>
      <c r="H895" s="655"/>
      <c r="I895" s="655"/>
      <c r="J895" s="655"/>
      <c r="K895" s="655"/>
    </row>
    <row r="896">
      <c r="A896" s="655"/>
      <c r="B896" s="655"/>
      <c r="C896" s="655"/>
      <c r="D896" s="655"/>
      <c r="E896" s="655"/>
      <c r="F896" s="655"/>
      <c r="G896" s="655"/>
      <c r="H896" s="655"/>
      <c r="I896" s="655"/>
      <c r="J896" s="655"/>
      <c r="K896" s="655"/>
    </row>
    <row r="897">
      <c r="A897" s="655"/>
      <c r="B897" s="655"/>
      <c r="C897" s="655"/>
      <c r="D897" s="655"/>
      <c r="E897" s="655"/>
      <c r="F897" s="655"/>
      <c r="G897" s="655"/>
      <c r="H897" s="655"/>
      <c r="I897" s="655"/>
      <c r="J897" s="655"/>
      <c r="K897" s="655"/>
    </row>
    <row r="898">
      <c r="A898" s="655"/>
      <c r="B898" s="655"/>
      <c r="C898" s="655"/>
      <c r="D898" s="655"/>
      <c r="E898" s="655"/>
      <c r="F898" s="655"/>
      <c r="G898" s="655"/>
      <c r="H898" s="655"/>
      <c r="I898" s="655"/>
      <c r="J898" s="655"/>
      <c r="K898" s="655"/>
    </row>
    <row r="899">
      <c r="A899" s="655"/>
      <c r="B899" s="655"/>
      <c r="C899" s="655"/>
      <c r="D899" s="655"/>
      <c r="E899" s="655"/>
      <c r="F899" s="655"/>
      <c r="G899" s="655"/>
      <c r="H899" s="655"/>
      <c r="I899" s="655"/>
      <c r="J899" s="655"/>
      <c r="K899" s="655"/>
    </row>
    <row r="900">
      <c r="A900" s="655"/>
      <c r="B900" s="655"/>
      <c r="C900" s="655"/>
      <c r="D900" s="655"/>
      <c r="E900" s="655"/>
      <c r="F900" s="655"/>
      <c r="G900" s="655"/>
      <c r="H900" s="655"/>
      <c r="I900" s="655"/>
      <c r="J900" s="655"/>
      <c r="K900" s="655"/>
    </row>
    <row r="901">
      <c r="A901" s="655"/>
      <c r="B901" s="655"/>
      <c r="C901" s="655"/>
      <c r="D901" s="655"/>
      <c r="E901" s="655"/>
      <c r="F901" s="655"/>
      <c r="G901" s="655"/>
      <c r="H901" s="655"/>
      <c r="I901" s="655"/>
      <c r="J901" s="655"/>
      <c r="K901" s="655"/>
    </row>
    <row r="902">
      <c r="A902" s="655"/>
      <c r="B902" s="655"/>
      <c r="C902" s="655"/>
      <c r="D902" s="655"/>
      <c r="E902" s="655"/>
      <c r="F902" s="655"/>
      <c r="G902" s="655"/>
      <c r="H902" s="655"/>
      <c r="I902" s="655"/>
      <c r="J902" s="655"/>
      <c r="K902" s="655"/>
    </row>
    <row r="903">
      <c r="A903" s="655"/>
      <c r="B903" s="655"/>
      <c r="C903" s="655"/>
      <c r="D903" s="655"/>
      <c r="E903" s="655"/>
      <c r="F903" s="655"/>
      <c r="G903" s="655"/>
      <c r="H903" s="655"/>
      <c r="I903" s="655"/>
      <c r="J903" s="655"/>
      <c r="K903" s="655"/>
    </row>
    <row r="904">
      <c r="A904" s="655"/>
      <c r="B904" s="655"/>
      <c r="C904" s="655"/>
      <c r="D904" s="655"/>
      <c r="E904" s="655"/>
      <c r="F904" s="655"/>
      <c r="G904" s="655"/>
      <c r="H904" s="655"/>
      <c r="I904" s="655"/>
      <c r="J904" s="655"/>
      <c r="K904" s="655"/>
    </row>
    <row r="905">
      <c r="A905" s="655"/>
      <c r="B905" s="655"/>
      <c r="C905" s="655"/>
      <c r="D905" s="655"/>
      <c r="E905" s="655"/>
      <c r="F905" s="655"/>
      <c r="G905" s="655"/>
      <c r="H905" s="655"/>
      <c r="I905" s="655"/>
      <c r="J905" s="655"/>
      <c r="K905" s="655"/>
    </row>
    <row r="906">
      <c r="A906" s="655"/>
      <c r="B906" s="655"/>
      <c r="C906" s="655"/>
      <c r="D906" s="655"/>
      <c r="E906" s="655"/>
      <c r="F906" s="655"/>
      <c r="G906" s="655"/>
      <c r="H906" s="655"/>
      <c r="I906" s="655"/>
      <c r="J906" s="655"/>
      <c r="K906" s="655"/>
    </row>
    <row r="907">
      <c r="A907" s="655"/>
      <c r="B907" s="655"/>
      <c r="C907" s="655"/>
      <c r="D907" s="655"/>
      <c r="E907" s="655"/>
      <c r="F907" s="655"/>
      <c r="G907" s="655"/>
      <c r="H907" s="655"/>
      <c r="I907" s="655"/>
      <c r="J907" s="655"/>
      <c r="K907" s="655"/>
    </row>
    <row r="908">
      <c r="A908" s="655"/>
      <c r="B908" s="655"/>
      <c r="C908" s="655"/>
      <c r="D908" s="655"/>
      <c r="E908" s="655"/>
      <c r="F908" s="655"/>
      <c r="G908" s="655"/>
      <c r="H908" s="655"/>
      <c r="I908" s="655"/>
      <c r="J908" s="655"/>
      <c r="K908" s="655"/>
    </row>
    <row r="909">
      <c r="A909" s="655"/>
      <c r="B909" s="655"/>
      <c r="C909" s="655"/>
      <c r="D909" s="655"/>
      <c r="E909" s="655"/>
      <c r="F909" s="655"/>
      <c r="G909" s="655"/>
      <c r="H909" s="655"/>
      <c r="I909" s="655"/>
      <c r="J909" s="655"/>
      <c r="K909" s="655"/>
    </row>
    <row r="910">
      <c r="A910" s="655"/>
      <c r="B910" s="655"/>
      <c r="C910" s="655"/>
      <c r="D910" s="655"/>
      <c r="E910" s="655"/>
      <c r="F910" s="655"/>
      <c r="G910" s="655"/>
      <c r="H910" s="655"/>
      <c r="I910" s="655"/>
      <c r="J910" s="655"/>
      <c r="K910" s="655"/>
    </row>
    <row r="911">
      <c r="A911" s="655"/>
      <c r="B911" s="655"/>
      <c r="C911" s="655"/>
      <c r="D911" s="655"/>
      <c r="E911" s="655"/>
      <c r="F911" s="655"/>
      <c r="G911" s="655"/>
      <c r="H911" s="655"/>
      <c r="I911" s="655"/>
      <c r="J911" s="655"/>
      <c r="K911" s="655"/>
    </row>
    <row r="912">
      <c r="A912" s="655"/>
      <c r="B912" s="655"/>
      <c r="C912" s="655"/>
      <c r="D912" s="655"/>
      <c r="E912" s="655"/>
      <c r="F912" s="655"/>
      <c r="G912" s="655"/>
      <c r="H912" s="655"/>
      <c r="I912" s="655"/>
      <c r="J912" s="655"/>
      <c r="K912" s="655"/>
    </row>
    <row r="913">
      <c r="A913" s="655"/>
      <c r="B913" s="655"/>
      <c r="C913" s="655"/>
      <c r="D913" s="655"/>
      <c r="E913" s="655"/>
      <c r="F913" s="655"/>
      <c r="G913" s="655"/>
      <c r="H913" s="655"/>
      <c r="I913" s="655"/>
      <c r="J913" s="655"/>
      <c r="K913" s="655"/>
    </row>
    <row r="914">
      <c r="A914" s="655"/>
      <c r="B914" s="655"/>
      <c r="C914" s="655"/>
      <c r="D914" s="655"/>
      <c r="E914" s="655"/>
      <c r="F914" s="655"/>
      <c r="G914" s="655"/>
      <c r="H914" s="655"/>
      <c r="I914" s="655"/>
      <c r="J914" s="655"/>
      <c r="K914" s="655"/>
    </row>
    <row r="915">
      <c r="A915" s="655"/>
      <c r="B915" s="655"/>
      <c r="C915" s="655"/>
      <c r="D915" s="655"/>
      <c r="E915" s="655"/>
      <c r="F915" s="655"/>
      <c r="G915" s="655"/>
      <c r="H915" s="655"/>
      <c r="I915" s="655"/>
      <c r="J915" s="655"/>
      <c r="K915" s="655"/>
    </row>
    <row r="916">
      <c r="A916" s="655"/>
      <c r="B916" s="655"/>
      <c r="C916" s="655"/>
      <c r="D916" s="655"/>
      <c r="E916" s="655"/>
      <c r="F916" s="655"/>
      <c r="G916" s="655"/>
      <c r="H916" s="655"/>
      <c r="I916" s="655"/>
      <c r="J916" s="655"/>
      <c r="K916" s="655"/>
    </row>
    <row r="917">
      <c r="A917" s="655"/>
      <c r="B917" s="655"/>
      <c r="C917" s="655"/>
      <c r="D917" s="655"/>
      <c r="E917" s="655"/>
      <c r="F917" s="655"/>
      <c r="G917" s="655"/>
      <c r="H917" s="655"/>
      <c r="I917" s="655"/>
      <c r="J917" s="655"/>
      <c r="K917" s="655"/>
    </row>
    <row r="918">
      <c r="A918" s="655"/>
      <c r="B918" s="655"/>
      <c r="C918" s="655"/>
      <c r="D918" s="655"/>
      <c r="E918" s="655"/>
      <c r="F918" s="655"/>
      <c r="G918" s="655"/>
      <c r="H918" s="655"/>
      <c r="I918" s="655"/>
      <c r="J918" s="655"/>
      <c r="K918" s="655"/>
    </row>
    <row r="919">
      <c r="A919" s="655"/>
      <c r="B919" s="655"/>
      <c r="C919" s="655"/>
      <c r="D919" s="655"/>
      <c r="E919" s="655"/>
      <c r="F919" s="655"/>
      <c r="G919" s="655"/>
      <c r="H919" s="655"/>
      <c r="I919" s="655"/>
      <c r="J919" s="655"/>
      <c r="K919" s="655"/>
    </row>
    <row r="920">
      <c r="A920" s="655"/>
      <c r="B920" s="655"/>
      <c r="C920" s="655"/>
      <c r="D920" s="655"/>
      <c r="E920" s="655"/>
      <c r="F920" s="655"/>
      <c r="G920" s="655"/>
      <c r="H920" s="655"/>
      <c r="I920" s="655"/>
      <c r="J920" s="655"/>
      <c r="K920" s="655"/>
    </row>
    <row r="921">
      <c r="A921" s="655"/>
      <c r="B921" s="655"/>
      <c r="C921" s="655"/>
      <c r="D921" s="655"/>
      <c r="E921" s="655"/>
      <c r="F921" s="655"/>
      <c r="G921" s="655"/>
      <c r="H921" s="655"/>
      <c r="I921" s="655"/>
      <c r="J921" s="655"/>
      <c r="K921" s="655"/>
    </row>
    <row r="922">
      <c r="A922" s="655"/>
      <c r="B922" s="655"/>
      <c r="C922" s="655"/>
      <c r="D922" s="655"/>
      <c r="E922" s="655"/>
      <c r="F922" s="655"/>
      <c r="G922" s="655"/>
      <c r="H922" s="655"/>
      <c r="I922" s="655"/>
      <c r="J922" s="655"/>
      <c r="K922" s="655"/>
    </row>
    <row r="923">
      <c r="A923" s="655"/>
      <c r="B923" s="655"/>
      <c r="C923" s="655"/>
      <c r="D923" s="655"/>
      <c r="E923" s="655"/>
      <c r="F923" s="655"/>
      <c r="G923" s="655"/>
      <c r="H923" s="655"/>
      <c r="I923" s="655"/>
      <c r="J923" s="655"/>
      <c r="K923" s="655"/>
    </row>
    <row r="924">
      <c r="A924" s="655"/>
      <c r="B924" s="655"/>
      <c r="C924" s="655"/>
      <c r="D924" s="655"/>
      <c r="E924" s="655"/>
      <c r="F924" s="655"/>
      <c r="G924" s="655"/>
      <c r="H924" s="655"/>
      <c r="I924" s="655"/>
      <c r="J924" s="655"/>
      <c r="K924" s="655"/>
    </row>
    <row r="925">
      <c r="A925" s="655"/>
      <c r="B925" s="655"/>
      <c r="C925" s="655"/>
      <c r="D925" s="655"/>
      <c r="E925" s="655"/>
      <c r="F925" s="655"/>
      <c r="G925" s="655"/>
      <c r="H925" s="655"/>
      <c r="I925" s="655"/>
      <c r="J925" s="655"/>
      <c r="K925" s="655"/>
    </row>
    <row r="926">
      <c r="A926" s="655"/>
      <c r="B926" s="655"/>
      <c r="C926" s="655"/>
      <c r="D926" s="655"/>
      <c r="E926" s="655"/>
      <c r="F926" s="655"/>
      <c r="G926" s="655"/>
      <c r="H926" s="655"/>
      <c r="I926" s="655"/>
      <c r="J926" s="655"/>
      <c r="K926" s="655"/>
    </row>
    <row r="927">
      <c r="A927" s="655"/>
      <c r="B927" s="655"/>
      <c r="C927" s="655"/>
      <c r="D927" s="655"/>
      <c r="E927" s="655"/>
      <c r="F927" s="655"/>
      <c r="G927" s="655"/>
      <c r="H927" s="655"/>
      <c r="I927" s="655"/>
      <c r="J927" s="655"/>
      <c r="K927" s="655"/>
    </row>
    <row r="928">
      <c r="A928" s="655"/>
      <c r="B928" s="655"/>
      <c r="C928" s="655"/>
      <c r="D928" s="655"/>
      <c r="E928" s="655"/>
      <c r="F928" s="655"/>
      <c r="G928" s="655"/>
      <c r="H928" s="655"/>
      <c r="I928" s="655"/>
      <c r="J928" s="655"/>
      <c r="K928" s="655"/>
    </row>
    <row r="929">
      <c r="A929" s="655"/>
      <c r="B929" s="655"/>
      <c r="C929" s="655"/>
      <c r="D929" s="655"/>
      <c r="E929" s="655"/>
      <c r="F929" s="655"/>
      <c r="G929" s="655"/>
      <c r="H929" s="655"/>
      <c r="I929" s="655"/>
      <c r="J929" s="655"/>
      <c r="K929" s="655"/>
    </row>
    <row r="930">
      <c r="A930" s="655"/>
      <c r="B930" s="655"/>
      <c r="C930" s="655"/>
      <c r="D930" s="655"/>
      <c r="E930" s="655"/>
      <c r="F930" s="655"/>
      <c r="G930" s="655"/>
      <c r="H930" s="655"/>
      <c r="I930" s="655"/>
      <c r="J930" s="655"/>
      <c r="K930" s="655"/>
    </row>
    <row r="931">
      <c r="A931" s="655"/>
      <c r="B931" s="655"/>
      <c r="C931" s="655"/>
      <c r="D931" s="655"/>
      <c r="E931" s="655"/>
      <c r="F931" s="655"/>
      <c r="G931" s="655"/>
      <c r="H931" s="655"/>
      <c r="I931" s="655"/>
      <c r="J931" s="655"/>
      <c r="K931" s="655"/>
    </row>
    <row r="932">
      <c r="A932" s="655"/>
      <c r="B932" s="655"/>
      <c r="C932" s="655"/>
      <c r="D932" s="655"/>
      <c r="E932" s="655"/>
      <c r="F932" s="655"/>
      <c r="G932" s="655"/>
      <c r="H932" s="655"/>
      <c r="I932" s="655"/>
      <c r="J932" s="655"/>
      <c r="K932" s="655"/>
    </row>
    <row r="933">
      <c r="A933" s="655"/>
      <c r="B933" s="655"/>
      <c r="C933" s="655"/>
      <c r="D933" s="655"/>
      <c r="E933" s="655"/>
      <c r="F933" s="655"/>
      <c r="G933" s="655"/>
      <c r="H933" s="655"/>
      <c r="I933" s="655"/>
      <c r="J933" s="655"/>
      <c r="K933" s="655"/>
    </row>
    <row r="934">
      <c r="A934" s="655"/>
      <c r="B934" s="655"/>
      <c r="C934" s="655"/>
      <c r="D934" s="655"/>
      <c r="E934" s="655"/>
      <c r="F934" s="655"/>
      <c r="G934" s="655"/>
      <c r="H934" s="655"/>
      <c r="I934" s="655"/>
      <c r="J934" s="655"/>
      <c r="K934" s="655"/>
    </row>
    <row r="935">
      <c r="A935" s="655"/>
      <c r="B935" s="655"/>
      <c r="C935" s="655"/>
      <c r="D935" s="655"/>
      <c r="E935" s="655"/>
      <c r="F935" s="655"/>
      <c r="G935" s="655"/>
      <c r="H935" s="655"/>
      <c r="I935" s="655"/>
      <c r="J935" s="655"/>
      <c r="K935" s="655"/>
    </row>
    <row r="936">
      <c r="A936" s="655"/>
      <c r="B936" s="655"/>
      <c r="C936" s="655"/>
      <c r="D936" s="655"/>
      <c r="E936" s="655"/>
      <c r="F936" s="655"/>
      <c r="G936" s="655"/>
      <c r="H936" s="655"/>
      <c r="I936" s="655"/>
      <c r="J936" s="655"/>
      <c r="K936" s="655"/>
    </row>
    <row r="937">
      <c r="A937" s="655"/>
      <c r="B937" s="655"/>
      <c r="C937" s="655"/>
      <c r="D937" s="655"/>
      <c r="E937" s="655"/>
      <c r="F937" s="655"/>
      <c r="G937" s="655"/>
      <c r="H937" s="655"/>
      <c r="I937" s="655"/>
      <c r="J937" s="655"/>
      <c r="K937" s="655"/>
    </row>
    <row r="938">
      <c r="A938" s="655"/>
      <c r="B938" s="655"/>
      <c r="C938" s="655"/>
      <c r="D938" s="655"/>
      <c r="E938" s="655"/>
      <c r="F938" s="655"/>
      <c r="G938" s="655"/>
      <c r="H938" s="655"/>
      <c r="I938" s="655"/>
      <c r="J938" s="655"/>
      <c r="K938" s="655"/>
    </row>
    <row r="939">
      <c r="A939" s="655"/>
      <c r="B939" s="655"/>
      <c r="C939" s="655"/>
      <c r="D939" s="655"/>
      <c r="E939" s="655"/>
      <c r="F939" s="655"/>
      <c r="G939" s="655"/>
      <c r="H939" s="655"/>
      <c r="I939" s="655"/>
      <c r="J939" s="655"/>
      <c r="K939" s="655"/>
    </row>
    <row r="940">
      <c r="A940" s="655"/>
      <c r="B940" s="655"/>
      <c r="C940" s="655"/>
      <c r="D940" s="655"/>
      <c r="E940" s="655"/>
      <c r="F940" s="655"/>
      <c r="G940" s="655"/>
      <c r="H940" s="655"/>
      <c r="I940" s="655"/>
      <c r="J940" s="655"/>
      <c r="K940" s="655"/>
    </row>
    <row r="941">
      <c r="A941" s="655"/>
      <c r="B941" s="655"/>
      <c r="C941" s="655"/>
      <c r="D941" s="655"/>
      <c r="E941" s="655"/>
      <c r="F941" s="655"/>
      <c r="G941" s="655"/>
      <c r="H941" s="655"/>
      <c r="I941" s="655"/>
      <c r="J941" s="655"/>
      <c r="K941" s="655"/>
    </row>
    <row r="942">
      <c r="A942" s="655"/>
      <c r="B942" s="655"/>
      <c r="C942" s="655"/>
      <c r="D942" s="655"/>
      <c r="E942" s="655"/>
      <c r="F942" s="655"/>
      <c r="G942" s="655"/>
      <c r="H942" s="655"/>
      <c r="I942" s="655"/>
      <c r="J942" s="655"/>
      <c r="K942" s="655"/>
    </row>
    <row r="943">
      <c r="A943" s="655"/>
      <c r="B943" s="655"/>
      <c r="C943" s="655"/>
      <c r="D943" s="655"/>
      <c r="E943" s="655"/>
      <c r="F943" s="655"/>
      <c r="G943" s="655"/>
      <c r="H943" s="655"/>
      <c r="I943" s="655"/>
      <c r="J943" s="655"/>
      <c r="K943" s="655"/>
    </row>
    <row r="944">
      <c r="A944" s="655"/>
      <c r="B944" s="655"/>
      <c r="C944" s="655"/>
      <c r="D944" s="655"/>
      <c r="E944" s="655"/>
      <c r="F944" s="655"/>
      <c r="G944" s="655"/>
      <c r="H944" s="655"/>
      <c r="I944" s="655"/>
      <c r="J944" s="655"/>
      <c r="K944" s="655"/>
    </row>
    <row r="945">
      <c r="A945" s="655"/>
      <c r="B945" s="655"/>
      <c r="C945" s="655"/>
      <c r="D945" s="655"/>
      <c r="E945" s="655"/>
      <c r="F945" s="655"/>
      <c r="G945" s="655"/>
      <c r="H945" s="655"/>
      <c r="I945" s="655"/>
      <c r="J945" s="655"/>
      <c r="K945" s="655"/>
    </row>
    <row r="946">
      <c r="A946" s="655"/>
      <c r="B946" s="655"/>
      <c r="C946" s="655"/>
      <c r="D946" s="655"/>
      <c r="E946" s="655"/>
      <c r="F946" s="655"/>
      <c r="G946" s="655"/>
      <c r="H946" s="655"/>
      <c r="I946" s="655"/>
      <c r="J946" s="655"/>
      <c r="K946" s="655"/>
    </row>
    <row r="947">
      <c r="A947" s="655"/>
      <c r="B947" s="655"/>
      <c r="C947" s="655"/>
      <c r="D947" s="655"/>
      <c r="E947" s="655"/>
      <c r="F947" s="655"/>
      <c r="G947" s="655"/>
      <c r="H947" s="655"/>
      <c r="I947" s="655"/>
      <c r="J947" s="655"/>
      <c r="K947" s="655"/>
    </row>
    <row r="948">
      <c r="A948" s="655"/>
      <c r="B948" s="655"/>
      <c r="C948" s="655"/>
      <c r="D948" s="655"/>
      <c r="E948" s="655"/>
      <c r="F948" s="655"/>
      <c r="G948" s="655"/>
      <c r="H948" s="655"/>
      <c r="I948" s="655"/>
      <c r="J948" s="655"/>
      <c r="K948" s="655"/>
    </row>
    <row r="949">
      <c r="A949" s="655"/>
      <c r="B949" s="655"/>
      <c r="C949" s="655"/>
      <c r="D949" s="655"/>
      <c r="E949" s="655"/>
      <c r="F949" s="655"/>
      <c r="G949" s="655"/>
      <c r="H949" s="655"/>
      <c r="I949" s="655"/>
      <c r="J949" s="655"/>
      <c r="K949" s="655"/>
    </row>
    <row r="950">
      <c r="A950" s="655"/>
      <c r="B950" s="655"/>
      <c r="C950" s="655"/>
      <c r="D950" s="655"/>
      <c r="E950" s="655"/>
      <c r="F950" s="655"/>
      <c r="G950" s="655"/>
      <c r="H950" s="655"/>
      <c r="I950" s="655"/>
      <c r="J950" s="655"/>
      <c r="K950" s="655"/>
    </row>
    <row r="951">
      <c r="A951" s="655"/>
      <c r="B951" s="655"/>
      <c r="C951" s="655"/>
      <c r="D951" s="655"/>
      <c r="E951" s="655"/>
      <c r="F951" s="655"/>
      <c r="G951" s="655"/>
      <c r="H951" s="655"/>
      <c r="I951" s="655"/>
      <c r="J951" s="655"/>
      <c r="K951" s="655"/>
    </row>
    <row r="952">
      <c r="A952" s="655"/>
      <c r="B952" s="655"/>
      <c r="C952" s="655"/>
      <c r="D952" s="655"/>
      <c r="E952" s="655"/>
      <c r="F952" s="655"/>
      <c r="G952" s="655"/>
      <c r="H952" s="655"/>
      <c r="I952" s="655"/>
      <c r="J952" s="655"/>
      <c r="K952" s="655"/>
    </row>
    <row r="953">
      <c r="A953" s="655"/>
      <c r="B953" s="655"/>
      <c r="C953" s="655"/>
      <c r="D953" s="655"/>
      <c r="E953" s="655"/>
      <c r="F953" s="655"/>
      <c r="G953" s="655"/>
      <c r="H953" s="655"/>
      <c r="I953" s="655"/>
      <c r="J953" s="655"/>
      <c r="K953" s="655"/>
    </row>
    <row r="954">
      <c r="A954" s="655"/>
      <c r="B954" s="655"/>
      <c r="C954" s="655"/>
      <c r="D954" s="655"/>
      <c r="E954" s="655"/>
      <c r="F954" s="655"/>
      <c r="G954" s="655"/>
      <c r="H954" s="655"/>
      <c r="I954" s="655"/>
      <c r="J954" s="655"/>
      <c r="K954" s="655"/>
    </row>
    <row r="955">
      <c r="A955" s="655"/>
      <c r="B955" s="655"/>
      <c r="C955" s="655"/>
      <c r="D955" s="655"/>
      <c r="E955" s="655"/>
      <c r="F955" s="655"/>
      <c r="G955" s="655"/>
      <c r="H955" s="655"/>
      <c r="I955" s="655"/>
      <c r="J955" s="655"/>
      <c r="K955" s="655"/>
    </row>
    <row r="956">
      <c r="A956" s="655"/>
      <c r="B956" s="655"/>
      <c r="C956" s="655"/>
      <c r="D956" s="655"/>
      <c r="E956" s="655"/>
      <c r="F956" s="655"/>
      <c r="G956" s="655"/>
      <c r="H956" s="655"/>
      <c r="I956" s="655"/>
      <c r="J956" s="655"/>
      <c r="K956" s="655"/>
    </row>
    <row r="957">
      <c r="A957" s="655"/>
      <c r="B957" s="655"/>
      <c r="C957" s="655"/>
      <c r="D957" s="655"/>
      <c r="E957" s="655"/>
      <c r="F957" s="655"/>
      <c r="G957" s="655"/>
      <c r="H957" s="655"/>
      <c r="I957" s="655"/>
      <c r="J957" s="655"/>
      <c r="K957" s="655"/>
    </row>
    <row r="958">
      <c r="A958" s="655"/>
      <c r="B958" s="655"/>
      <c r="C958" s="655"/>
      <c r="D958" s="655"/>
      <c r="E958" s="655"/>
      <c r="F958" s="655"/>
      <c r="G958" s="655"/>
      <c r="H958" s="655"/>
      <c r="I958" s="655"/>
      <c r="J958" s="655"/>
      <c r="K958" s="655"/>
    </row>
    <row r="959">
      <c r="A959" s="655"/>
      <c r="B959" s="655"/>
      <c r="C959" s="655"/>
      <c r="D959" s="655"/>
      <c r="E959" s="655"/>
      <c r="F959" s="655"/>
      <c r="G959" s="655"/>
      <c r="H959" s="655"/>
      <c r="I959" s="655"/>
      <c r="J959" s="655"/>
      <c r="K959" s="655"/>
    </row>
    <row r="960">
      <c r="A960" s="655"/>
      <c r="B960" s="655"/>
      <c r="C960" s="655"/>
      <c r="D960" s="655"/>
      <c r="E960" s="655"/>
      <c r="F960" s="655"/>
      <c r="G960" s="655"/>
      <c r="H960" s="655"/>
      <c r="I960" s="655"/>
      <c r="J960" s="655"/>
      <c r="K960" s="655"/>
    </row>
    <row r="961">
      <c r="A961" s="655"/>
      <c r="B961" s="655"/>
      <c r="C961" s="655"/>
      <c r="D961" s="655"/>
      <c r="E961" s="655"/>
      <c r="F961" s="655"/>
      <c r="G961" s="655"/>
      <c r="H961" s="655"/>
      <c r="I961" s="655"/>
      <c r="J961" s="655"/>
      <c r="K961" s="655"/>
    </row>
    <row r="962">
      <c r="A962" s="655"/>
      <c r="B962" s="655"/>
      <c r="C962" s="655"/>
      <c r="D962" s="655"/>
      <c r="E962" s="655"/>
      <c r="F962" s="655"/>
      <c r="G962" s="655"/>
      <c r="H962" s="655"/>
      <c r="I962" s="655"/>
      <c r="J962" s="655"/>
      <c r="K962" s="655"/>
    </row>
    <row r="963">
      <c r="A963" s="655"/>
      <c r="B963" s="655"/>
      <c r="C963" s="655"/>
      <c r="D963" s="655"/>
      <c r="E963" s="655"/>
      <c r="F963" s="655"/>
      <c r="G963" s="655"/>
      <c r="H963" s="655"/>
      <c r="I963" s="655"/>
      <c r="J963" s="655"/>
      <c r="K963" s="655"/>
    </row>
    <row r="964">
      <c r="A964" s="655"/>
      <c r="B964" s="655"/>
      <c r="C964" s="655"/>
      <c r="D964" s="655"/>
      <c r="E964" s="655"/>
      <c r="F964" s="655"/>
      <c r="G964" s="655"/>
      <c r="H964" s="655"/>
      <c r="I964" s="655"/>
      <c r="J964" s="655"/>
      <c r="K964" s="655"/>
    </row>
    <row r="965">
      <c r="A965" s="655"/>
      <c r="B965" s="655"/>
      <c r="C965" s="655"/>
      <c r="D965" s="655"/>
      <c r="E965" s="655"/>
      <c r="F965" s="655"/>
      <c r="G965" s="655"/>
      <c r="H965" s="655"/>
      <c r="I965" s="655"/>
      <c r="J965" s="655"/>
      <c r="K965" s="655"/>
    </row>
    <row r="966">
      <c r="A966" s="655"/>
      <c r="B966" s="655"/>
      <c r="C966" s="655"/>
      <c r="D966" s="655"/>
      <c r="E966" s="655"/>
      <c r="F966" s="655"/>
      <c r="G966" s="655"/>
      <c r="H966" s="655"/>
      <c r="I966" s="655"/>
      <c r="J966" s="655"/>
      <c r="K966" s="655"/>
    </row>
    <row r="967">
      <c r="A967" s="655"/>
      <c r="B967" s="655"/>
      <c r="C967" s="655"/>
      <c r="D967" s="655"/>
      <c r="E967" s="655"/>
      <c r="F967" s="655"/>
      <c r="G967" s="655"/>
      <c r="H967" s="655"/>
      <c r="I967" s="655"/>
      <c r="J967" s="655"/>
      <c r="K967" s="655"/>
    </row>
    <row r="968">
      <c r="A968" s="655"/>
      <c r="B968" s="655"/>
      <c r="C968" s="655"/>
      <c r="D968" s="655"/>
      <c r="E968" s="655"/>
      <c r="F968" s="655"/>
      <c r="G968" s="655"/>
      <c r="H968" s="655"/>
      <c r="I968" s="655"/>
      <c r="J968" s="655"/>
      <c r="K968" s="655"/>
    </row>
    <row r="969">
      <c r="A969" s="655"/>
      <c r="B969" s="655"/>
      <c r="C969" s="655"/>
      <c r="D969" s="655"/>
      <c r="E969" s="655"/>
      <c r="F969" s="655"/>
      <c r="G969" s="655"/>
      <c r="H969" s="655"/>
      <c r="I969" s="655"/>
      <c r="J969" s="655"/>
      <c r="K969" s="655"/>
    </row>
    <row r="970">
      <c r="A970" s="655"/>
      <c r="B970" s="655"/>
      <c r="C970" s="655"/>
      <c r="D970" s="655"/>
      <c r="E970" s="655"/>
      <c r="F970" s="655"/>
      <c r="G970" s="655"/>
      <c r="H970" s="655"/>
      <c r="I970" s="655"/>
      <c r="J970" s="655"/>
      <c r="K970" s="655"/>
    </row>
    <row r="971">
      <c r="A971" s="655"/>
      <c r="B971" s="655"/>
      <c r="C971" s="655"/>
      <c r="D971" s="655"/>
      <c r="E971" s="655"/>
      <c r="F971" s="655"/>
      <c r="G971" s="655"/>
      <c r="H971" s="655"/>
      <c r="I971" s="655"/>
      <c r="J971" s="655"/>
      <c r="K971" s="655"/>
    </row>
    <row r="972">
      <c r="A972" s="655"/>
      <c r="B972" s="655"/>
      <c r="C972" s="655"/>
      <c r="D972" s="655"/>
      <c r="E972" s="655"/>
      <c r="F972" s="655"/>
      <c r="G972" s="655"/>
      <c r="H972" s="655"/>
      <c r="I972" s="655"/>
      <c r="J972" s="655"/>
      <c r="K972" s="655"/>
    </row>
    <row r="973">
      <c r="A973" s="655"/>
      <c r="B973" s="655"/>
      <c r="C973" s="655"/>
      <c r="D973" s="655"/>
      <c r="E973" s="655"/>
      <c r="F973" s="655"/>
      <c r="G973" s="655"/>
      <c r="H973" s="655"/>
      <c r="I973" s="655"/>
      <c r="J973" s="655"/>
      <c r="K973" s="655"/>
    </row>
    <row r="974">
      <c r="A974" s="655"/>
      <c r="B974" s="655"/>
      <c r="C974" s="655"/>
      <c r="D974" s="655"/>
      <c r="E974" s="655"/>
      <c r="F974" s="655"/>
      <c r="G974" s="655"/>
      <c r="H974" s="655"/>
      <c r="I974" s="655"/>
      <c r="J974" s="655"/>
      <c r="K974" s="655"/>
    </row>
    <row r="975">
      <c r="A975" s="655"/>
      <c r="B975" s="655"/>
      <c r="C975" s="655"/>
      <c r="D975" s="655"/>
      <c r="E975" s="655"/>
      <c r="F975" s="655"/>
      <c r="G975" s="655"/>
      <c r="H975" s="655"/>
      <c r="I975" s="655"/>
      <c r="J975" s="655"/>
      <c r="K975" s="655"/>
    </row>
    <row r="976">
      <c r="A976" s="655"/>
      <c r="B976" s="655"/>
      <c r="C976" s="655"/>
      <c r="D976" s="655"/>
      <c r="E976" s="655"/>
      <c r="F976" s="655"/>
      <c r="G976" s="655"/>
      <c r="H976" s="655"/>
      <c r="I976" s="655"/>
      <c r="J976" s="655"/>
      <c r="K976" s="655"/>
    </row>
    <row r="977">
      <c r="A977" s="655"/>
      <c r="B977" s="655"/>
      <c r="C977" s="655"/>
      <c r="D977" s="655"/>
      <c r="E977" s="655"/>
      <c r="F977" s="655"/>
      <c r="G977" s="655"/>
      <c r="H977" s="655"/>
      <c r="I977" s="655"/>
      <c r="J977" s="655"/>
      <c r="K977" s="655"/>
    </row>
    <row r="978">
      <c r="A978" s="655"/>
      <c r="B978" s="655"/>
      <c r="C978" s="655"/>
      <c r="D978" s="655"/>
      <c r="E978" s="655"/>
      <c r="F978" s="655"/>
      <c r="G978" s="655"/>
      <c r="H978" s="655"/>
      <c r="I978" s="655"/>
      <c r="J978" s="655"/>
      <c r="K978" s="655"/>
    </row>
    <row r="979">
      <c r="A979" s="655"/>
      <c r="B979" s="655"/>
      <c r="C979" s="655"/>
      <c r="D979" s="655"/>
      <c r="E979" s="655"/>
      <c r="F979" s="655"/>
      <c r="G979" s="655"/>
      <c r="H979" s="655"/>
      <c r="I979" s="655"/>
      <c r="J979" s="655"/>
      <c r="K979" s="655"/>
    </row>
    <row r="980">
      <c r="A980" s="655"/>
      <c r="B980" s="655"/>
      <c r="C980" s="655"/>
      <c r="D980" s="655"/>
      <c r="E980" s="655"/>
      <c r="F980" s="655"/>
      <c r="G980" s="655"/>
      <c r="H980" s="655"/>
      <c r="I980" s="655"/>
      <c r="J980" s="655"/>
      <c r="K980" s="655"/>
    </row>
    <row r="981">
      <c r="A981" s="655"/>
      <c r="B981" s="655"/>
      <c r="C981" s="655"/>
      <c r="D981" s="655"/>
      <c r="E981" s="655"/>
      <c r="F981" s="655"/>
      <c r="G981" s="655"/>
      <c r="H981" s="655"/>
      <c r="I981" s="655"/>
      <c r="J981" s="655"/>
      <c r="K981" s="655"/>
    </row>
    <row r="982">
      <c r="A982" s="655"/>
      <c r="B982" s="655"/>
      <c r="C982" s="655"/>
      <c r="D982" s="655"/>
      <c r="E982" s="655"/>
      <c r="F982" s="655"/>
      <c r="G982" s="655"/>
      <c r="H982" s="655"/>
      <c r="I982" s="655"/>
      <c r="J982" s="655"/>
      <c r="K982" s="655"/>
    </row>
    <row r="983">
      <c r="A983" s="655"/>
      <c r="B983" s="655"/>
      <c r="C983" s="655"/>
      <c r="D983" s="655"/>
      <c r="E983" s="655"/>
      <c r="F983" s="655"/>
      <c r="G983" s="655"/>
      <c r="H983" s="655"/>
      <c r="I983" s="655"/>
      <c r="J983" s="655"/>
      <c r="K983" s="655"/>
    </row>
    <row r="984">
      <c r="A984" s="655"/>
      <c r="B984" s="655"/>
      <c r="C984" s="655"/>
      <c r="D984" s="655"/>
      <c r="E984" s="655"/>
      <c r="F984" s="655"/>
      <c r="G984" s="655"/>
      <c r="H984" s="655"/>
      <c r="I984" s="655"/>
      <c r="J984" s="655"/>
      <c r="K984" s="655"/>
    </row>
    <row r="985">
      <c r="A985" s="655"/>
      <c r="B985" s="655"/>
      <c r="C985" s="655"/>
      <c r="D985" s="655"/>
      <c r="E985" s="655"/>
      <c r="F985" s="655"/>
      <c r="G985" s="655"/>
      <c r="H985" s="655"/>
      <c r="I985" s="655"/>
      <c r="J985" s="655"/>
      <c r="K985" s="655"/>
    </row>
    <row r="986">
      <c r="A986" s="655"/>
      <c r="B986" s="655"/>
      <c r="C986" s="655"/>
      <c r="D986" s="655"/>
      <c r="E986" s="655"/>
      <c r="F986" s="655"/>
      <c r="G986" s="655"/>
      <c r="H986" s="655"/>
      <c r="I986" s="655"/>
      <c r="J986" s="655"/>
      <c r="K986" s="655"/>
    </row>
    <row r="987">
      <c r="A987" s="655"/>
      <c r="B987" s="655"/>
      <c r="C987" s="655"/>
      <c r="D987" s="655"/>
      <c r="E987" s="655"/>
      <c r="F987" s="655"/>
      <c r="G987" s="655"/>
      <c r="H987" s="655"/>
      <c r="I987" s="655"/>
      <c r="J987" s="655"/>
      <c r="K987" s="655"/>
    </row>
    <row r="988">
      <c r="A988" s="655"/>
      <c r="B988" s="655"/>
      <c r="C988" s="655"/>
      <c r="D988" s="655"/>
      <c r="E988" s="655"/>
      <c r="F988" s="655"/>
      <c r="G988" s="655"/>
      <c r="H988" s="655"/>
      <c r="I988" s="655"/>
      <c r="J988" s="655"/>
      <c r="K988" s="655"/>
    </row>
    <row r="989">
      <c r="A989" s="655"/>
      <c r="B989" s="655"/>
      <c r="C989" s="655"/>
      <c r="D989" s="655"/>
      <c r="E989" s="655"/>
      <c r="F989" s="655"/>
      <c r="G989" s="655"/>
      <c r="H989" s="655"/>
      <c r="I989" s="655"/>
      <c r="J989" s="655"/>
      <c r="K989" s="655"/>
    </row>
    <row r="990">
      <c r="A990" s="655"/>
      <c r="B990" s="655"/>
      <c r="C990" s="655"/>
      <c r="D990" s="655"/>
      <c r="E990" s="655"/>
      <c r="F990" s="655"/>
      <c r="G990" s="655"/>
      <c r="H990" s="655"/>
      <c r="I990" s="655"/>
      <c r="J990" s="655"/>
      <c r="K990" s="655"/>
    </row>
    <row r="991">
      <c r="A991" s="655"/>
      <c r="B991" s="655"/>
      <c r="C991" s="655"/>
      <c r="D991" s="655"/>
      <c r="E991" s="655"/>
      <c r="F991" s="655"/>
      <c r="G991" s="655"/>
      <c r="H991" s="655"/>
      <c r="I991" s="655"/>
      <c r="J991" s="655"/>
      <c r="K991" s="655"/>
    </row>
    <row r="992">
      <c r="A992" s="655"/>
      <c r="B992" s="655"/>
      <c r="C992" s="655"/>
      <c r="D992" s="655"/>
      <c r="E992" s="655"/>
      <c r="F992" s="655"/>
      <c r="G992" s="655"/>
      <c r="H992" s="655"/>
      <c r="I992" s="655"/>
      <c r="J992" s="655"/>
      <c r="K992" s="655"/>
    </row>
    <row r="993">
      <c r="A993" s="655"/>
      <c r="B993" s="655"/>
      <c r="C993" s="655"/>
      <c r="D993" s="655"/>
      <c r="E993" s="655"/>
      <c r="F993" s="655"/>
      <c r="G993" s="655"/>
      <c r="H993" s="655"/>
      <c r="I993" s="655"/>
      <c r="J993" s="655"/>
      <c r="K993" s="655"/>
    </row>
    <row r="994">
      <c r="A994" s="655"/>
      <c r="B994" s="655"/>
      <c r="C994" s="655"/>
      <c r="D994" s="655"/>
      <c r="E994" s="655"/>
      <c r="F994" s="655"/>
      <c r="G994" s="655"/>
      <c r="H994" s="655"/>
      <c r="I994" s="655"/>
      <c r="J994" s="655"/>
      <c r="K994" s="655"/>
    </row>
    <row r="995">
      <c r="A995" s="655"/>
      <c r="B995" s="655"/>
      <c r="C995" s="655"/>
      <c r="D995" s="655"/>
      <c r="E995" s="655"/>
      <c r="F995" s="655"/>
      <c r="G995" s="655"/>
      <c r="H995" s="655"/>
      <c r="I995" s="655"/>
      <c r="J995" s="655"/>
      <c r="K995" s="655"/>
    </row>
    <row r="996">
      <c r="A996" s="655"/>
      <c r="B996" s="655"/>
      <c r="C996" s="655"/>
      <c r="D996" s="655"/>
      <c r="E996" s="655"/>
      <c r="F996" s="655"/>
      <c r="G996" s="655"/>
      <c r="H996" s="655"/>
      <c r="I996" s="655"/>
      <c r="J996" s="655"/>
      <c r="K996" s="655"/>
    </row>
    <row r="997">
      <c r="A997" s="655"/>
      <c r="B997" s="655"/>
      <c r="C997" s="655"/>
      <c r="D997" s="655"/>
      <c r="E997" s="655"/>
      <c r="F997" s="655"/>
      <c r="G997" s="655"/>
      <c r="H997" s="655"/>
      <c r="I997" s="655"/>
      <c r="J997" s="655"/>
      <c r="K997" s="655"/>
    </row>
    <row r="998">
      <c r="A998" s="655"/>
      <c r="B998" s="655"/>
      <c r="C998" s="655"/>
      <c r="D998" s="655"/>
      <c r="E998" s="655"/>
      <c r="F998" s="655"/>
      <c r="G998" s="655"/>
      <c r="H998" s="655"/>
      <c r="I998" s="655"/>
      <c r="J998" s="655"/>
      <c r="K998" s="655"/>
    </row>
    <row r="999">
      <c r="A999" s="655"/>
      <c r="B999" s="655"/>
      <c r="C999" s="655"/>
      <c r="D999" s="655"/>
      <c r="E999" s="655"/>
      <c r="F999" s="655"/>
      <c r="G999" s="655"/>
      <c r="H999" s="655"/>
      <c r="I999" s="655"/>
      <c r="J999" s="655"/>
      <c r="K999" s="655"/>
    </row>
    <row r="1000">
      <c r="A1000" s="655"/>
      <c r="B1000" s="655"/>
      <c r="C1000" s="655"/>
      <c r="D1000" s="655"/>
      <c r="E1000" s="655"/>
      <c r="F1000" s="655"/>
      <c r="G1000" s="655"/>
      <c r="H1000" s="655"/>
      <c r="I1000" s="655"/>
      <c r="J1000" s="655"/>
      <c r="K1000" s="65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25"/>
    <col customWidth="1" min="5" max="5" width="13.38"/>
  </cols>
  <sheetData>
    <row r="1">
      <c r="A1" s="944" t="s">
        <v>1</v>
      </c>
      <c r="B1" s="674" t="s">
        <v>288</v>
      </c>
      <c r="C1" s="674" t="s">
        <v>288</v>
      </c>
      <c r="D1" s="674" t="s">
        <v>288</v>
      </c>
      <c r="E1" s="674" t="s">
        <v>288</v>
      </c>
      <c r="F1" s="674" t="s">
        <v>288</v>
      </c>
      <c r="G1" s="674" t="s">
        <v>288</v>
      </c>
      <c r="H1" s="945" t="s">
        <v>288</v>
      </c>
      <c r="I1" s="945" t="s">
        <v>288</v>
      </c>
      <c r="J1" s="945" t="s">
        <v>288</v>
      </c>
      <c r="K1" s="724" t="s">
        <v>288</v>
      </c>
      <c r="L1" s="724" t="s">
        <v>288</v>
      </c>
      <c r="M1" s="724" t="s">
        <v>288</v>
      </c>
      <c r="N1" s="721" t="s">
        <v>288</v>
      </c>
      <c r="O1" s="721" t="s">
        <v>288</v>
      </c>
      <c r="P1" s="721" t="s">
        <v>288</v>
      </c>
      <c r="Q1" s="721" t="s">
        <v>288</v>
      </c>
      <c r="R1" s="721" t="s">
        <v>288</v>
      </c>
      <c r="S1" s="724" t="s">
        <v>288</v>
      </c>
      <c r="T1" s="724" t="s">
        <v>288</v>
      </c>
      <c r="U1" s="721" t="s">
        <v>288</v>
      </c>
      <c r="V1" s="721" t="s">
        <v>288</v>
      </c>
      <c r="W1" s="721" t="s">
        <v>288</v>
      </c>
      <c r="X1" s="721" t="s">
        <v>288</v>
      </c>
      <c r="Y1" s="721" t="s">
        <v>288</v>
      </c>
      <c r="Z1" s="721" t="s">
        <v>288</v>
      </c>
      <c r="AA1" s="721" t="s">
        <v>288</v>
      </c>
    </row>
    <row r="2">
      <c r="A2" s="946"/>
      <c r="B2" s="800">
        <v>46039.0</v>
      </c>
      <c r="C2" s="800">
        <v>46045.0</v>
      </c>
      <c r="D2" s="727"/>
      <c r="E2" s="947"/>
      <c r="F2" s="727"/>
      <c r="G2" s="727"/>
      <c r="H2" s="727"/>
      <c r="I2" s="727"/>
      <c r="J2" s="727"/>
      <c r="K2" s="730"/>
      <c r="L2" s="730"/>
      <c r="M2" s="730"/>
      <c r="N2" s="729"/>
      <c r="O2" s="729"/>
      <c r="P2" s="729"/>
      <c r="Q2" s="729"/>
      <c r="R2" s="903"/>
      <c r="S2" s="730"/>
      <c r="T2" s="730"/>
      <c r="U2" s="729"/>
      <c r="V2" s="729"/>
      <c r="W2" s="729"/>
      <c r="X2" s="729"/>
      <c r="Y2" s="903"/>
      <c r="Z2" s="948"/>
    </row>
    <row r="3">
      <c r="A3" s="746"/>
      <c r="B3" s="605"/>
      <c r="C3" s="949"/>
      <c r="D3" s="949"/>
      <c r="E3" s="605"/>
      <c r="F3" s="605"/>
      <c r="G3" s="605"/>
      <c r="H3" s="950"/>
      <c r="I3" s="950"/>
      <c r="J3" s="950"/>
      <c r="K3" s="813"/>
      <c r="L3" s="813"/>
      <c r="M3" s="814"/>
      <c r="N3" s="951"/>
      <c r="O3" s="951"/>
      <c r="P3" s="951"/>
      <c r="Q3" s="951"/>
      <c r="R3" s="951"/>
      <c r="S3" s="814"/>
      <c r="T3" s="814"/>
      <c r="U3" s="951"/>
      <c r="V3" s="951"/>
      <c r="W3" s="951"/>
      <c r="X3" s="951"/>
      <c r="Y3" s="951"/>
      <c r="Z3" s="952"/>
      <c r="AA3" s="953"/>
    </row>
    <row r="4">
      <c r="A4" s="746" t="s">
        <v>6951</v>
      </c>
      <c r="B4" s="681" t="s">
        <v>220</v>
      </c>
      <c r="C4" s="681" t="s">
        <v>61</v>
      </c>
      <c r="D4" s="699"/>
      <c r="E4" s="748"/>
      <c r="F4" s="748"/>
      <c r="G4" s="512"/>
      <c r="H4" s="512"/>
      <c r="I4" s="749"/>
      <c r="J4" s="954"/>
      <c r="K4" s="751"/>
      <c r="L4" s="751"/>
      <c r="M4" s="829"/>
      <c r="N4" s="753"/>
      <c r="O4" s="753"/>
      <c r="P4" s="753"/>
      <c r="Q4" s="955"/>
      <c r="R4" s="955"/>
      <c r="S4" s="955"/>
      <c r="T4" s="955"/>
      <c r="U4" s="753"/>
      <c r="V4" s="769"/>
      <c r="W4" s="769"/>
      <c r="X4" s="769"/>
      <c r="Y4" s="769"/>
      <c r="Z4" s="956"/>
      <c r="AA4" s="957"/>
    </row>
    <row r="5">
      <c r="A5" s="758" t="s">
        <v>6955</v>
      </c>
      <c r="B5" s="699"/>
      <c r="C5" s="681" t="s">
        <v>6958</v>
      </c>
      <c r="D5" s="699"/>
      <c r="E5" s="916"/>
      <c r="F5" s="759"/>
      <c r="G5" s="835"/>
      <c r="H5" s="606"/>
      <c r="I5" s="779"/>
      <c r="J5" s="958"/>
      <c r="K5" s="818"/>
      <c r="L5" s="818"/>
      <c r="M5" s="959"/>
      <c r="N5" s="753"/>
      <c r="O5" s="753"/>
      <c r="P5" s="753"/>
      <c r="Q5" s="960"/>
      <c r="R5" s="961"/>
      <c r="S5" s="962"/>
      <c r="T5" s="960"/>
      <c r="U5" s="769"/>
      <c r="V5" s="769"/>
      <c r="W5" s="769"/>
      <c r="X5" s="753"/>
      <c r="Y5" s="769"/>
      <c r="Z5" s="956"/>
      <c r="AA5" s="957"/>
    </row>
    <row r="6">
      <c r="A6" s="608" t="s">
        <v>6961</v>
      </c>
      <c r="B6" s="699"/>
      <c r="C6" s="699"/>
      <c r="D6" s="963"/>
      <c r="E6" s="748"/>
      <c r="F6" s="748"/>
      <c r="G6" s="748"/>
      <c r="H6" s="835"/>
      <c r="I6" s="749"/>
      <c r="J6" s="954"/>
      <c r="K6" s="765"/>
      <c r="L6" s="751"/>
      <c r="M6" s="829"/>
      <c r="N6" s="753"/>
      <c r="O6" s="753"/>
      <c r="P6" s="753"/>
      <c r="Q6" s="753"/>
      <c r="R6" s="753"/>
      <c r="S6" s="751"/>
      <c r="T6" s="829"/>
      <c r="U6" s="769"/>
      <c r="V6" s="753"/>
      <c r="W6" s="769"/>
      <c r="X6" s="753"/>
      <c r="Y6" s="753"/>
      <c r="Z6" s="854"/>
      <c r="AA6" s="964"/>
    </row>
    <row r="7">
      <c r="A7" s="758" t="s">
        <v>6965</v>
      </c>
      <c r="B7" s="699"/>
      <c r="C7" s="699"/>
      <c r="D7" s="699"/>
      <c r="E7" s="748"/>
      <c r="F7" s="748"/>
      <c r="G7" s="748"/>
      <c r="H7" s="748"/>
      <c r="I7" s="749"/>
      <c r="J7" s="954"/>
      <c r="K7" s="751"/>
      <c r="L7" s="751"/>
      <c r="M7" s="829"/>
      <c r="N7" s="753"/>
      <c r="O7" s="753"/>
      <c r="P7" s="753"/>
      <c r="Q7" s="753"/>
      <c r="R7" s="753"/>
      <c r="S7" s="751"/>
      <c r="T7" s="829"/>
      <c r="U7" s="769"/>
      <c r="V7" s="753"/>
      <c r="W7" s="753"/>
      <c r="X7" s="753"/>
      <c r="Y7" s="753"/>
      <c r="Z7" s="854"/>
      <c r="AA7" s="964"/>
    </row>
    <row r="8">
      <c r="A8" s="758" t="s">
        <v>6966</v>
      </c>
      <c r="B8" s="699"/>
      <c r="C8" s="699"/>
      <c r="D8" s="699"/>
      <c r="E8" s="748"/>
      <c r="F8" s="767"/>
      <c r="G8" s="748"/>
      <c r="H8" s="767"/>
      <c r="I8" s="749"/>
      <c r="J8" s="954"/>
      <c r="K8" s="751"/>
      <c r="L8" s="751"/>
      <c r="M8" s="829"/>
      <c r="N8" s="753"/>
      <c r="O8" s="753"/>
      <c r="P8" s="753"/>
      <c r="Q8" s="753"/>
      <c r="R8" s="753"/>
      <c r="S8" s="818"/>
      <c r="T8" s="829"/>
      <c r="U8" s="769"/>
      <c r="V8" s="753"/>
      <c r="W8" s="753"/>
      <c r="X8" s="753"/>
      <c r="Y8" s="753"/>
      <c r="Z8" s="854"/>
      <c r="AA8" s="964"/>
    </row>
    <row r="9">
      <c r="A9" s="758" t="s">
        <v>6967</v>
      </c>
      <c r="B9" s="699"/>
      <c r="C9" s="699"/>
      <c r="D9" s="699"/>
      <c r="E9" s="748"/>
      <c r="F9" s="767"/>
      <c r="G9" s="767"/>
      <c r="H9" s="767"/>
      <c r="I9" s="965"/>
      <c r="J9" s="954"/>
      <c r="K9" s="765"/>
      <c r="L9" s="751"/>
      <c r="M9" s="959"/>
      <c r="N9" s="753"/>
      <c r="O9" s="753"/>
      <c r="P9" s="753"/>
      <c r="Q9" s="753"/>
      <c r="R9" s="753"/>
      <c r="S9" s="751"/>
      <c r="T9" s="829"/>
      <c r="U9" s="769"/>
      <c r="V9" s="753"/>
      <c r="W9" s="753"/>
      <c r="X9" s="753"/>
      <c r="Y9" s="753"/>
      <c r="Z9" s="854"/>
      <c r="AA9" s="964"/>
    </row>
    <row r="10">
      <c r="A10" s="758" t="s">
        <v>6970</v>
      </c>
      <c r="B10" s="699"/>
      <c r="C10" s="699"/>
      <c r="D10" s="699"/>
      <c r="E10" s="772"/>
      <c r="F10" s="772"/>
      <c r="G10" s="772"/>
      <c r="H10" s="772"/>
      <c r="I10" s="835"/>
      <c r="J10" s="954"/>
      <c r="K10" s="751"/>
      <c r="L10" s="751"/>
      <c r="M10" s="966"/>
      <c r="N10" s="754"/>
      <c r="O10" s="754"/>
      <c r="P10" s="754"/>
      <c r="Q10" s="754"/>
      <c r="R10" s="754"/>
      <c r="S10" s="751"/>
      <c r="T10" s="832"/>
      <c r="U10" s="763"/>
      <c r="V10" s="754"/>
      <c r="W10" s="754"/>
      <c r="X10" s="754"/>
      <c r="Y10" s="754"/>
      <c r="Z10" s="107"/>
      <c r="AA10" s="964"/>
    </row>
    <row r="11">
      <c r="A11" s="758" t="s">
        <v>6971</v>
      </c>
      <c r="B11" s="699"/>
      <c r="C11" s="699"/>
      <c r="D11" s="699"/>
      <c r="E11" s="835"/>
      <c r="F11" s="772"/>
      <c r="G11" s="772"/>
      <c r="H11" s="772"/>
      <c r="I11" s="749"/>
      <c r="J11" s="835"/>
      <c r="K11" s="751"/>
      <c r="L11" s="751"/>
      <c r="M11" s="832"/>
      <c r="N11" s="754"/>
      <c r="O11" s="754"/>
      <c r="P11" s="754"/>
      <c r="Q11" s="754"/>
      <c r="R11" s="754"/>
      <c r="S11" s="751"/>
      <c r="T11" s="832"/>
      <c r="U11" s="763"/>
      <c r="V11" s="754"/>
      <c r="W11" s="754"/>
      <c r="X11" s="754"/>
      <c r="Y11" s="754"/>
      <c r="Z11" s="107"/>
      <c r="AA11" s="964"/>
    </row>
    <row r="12">
      <c r="A12" s="775" t="s">
        <v>6972</v>
      </c>
      <c r="B12" s="699"/>
      <c r="C12" s="699"/>
      <c r="D12" s="699"/>
      <c r="E12" s="772"/>
      <c r="F12" s="772"/>
      <c r="G12" s="967"/>
      <c r="H12" s="967"/>
      <c r="I12" s="749"/>
      <c r="J12" s="958"/>
      <c r="K12" s="765"/>
      <c r="L12" s="751"/>
      <c r="M12" s="832"/>
      <c r="N12" s="754"/>
      <c r="O12" s="754"/>
      <c r="P12" s="754"/>
      <c r="Q12" s="754"/>
      <c r="R12" s="754"/>
      <c r="S12" s="968"/>
      <c r="T12" s="832"/>
      <c r="U12" s="763"/>
      <c r="V12" s="754"/>
      <c r="W12" s="754"/>
      <c r="X12" s="754"/>
      <c r="Y12" s="754"/>
      <c r="Z12" s="107"/>
      <c r="AA12" s="964"/>
    </row>
    <row r="13">
      <c r="A13" s="758" t="s">
        <v>6974</v>
      </c>
      <c r="B13" s="823" t="s">
        <v>7017</v>
      </c>
      <c r="C13" s="969"/>
      <c r="D13" s="681"/>
      <c r="E13" s="772"/>
      <c r="F13" s="772"/>
      <c r="G13" s="835"/>
      <c r="H13" s="777"/>
      <c r="I13" s="749"/>
      <c r="J13" s="835"/>
      <c r="K13" s="751"/>
      <c r="L13" s="751"/>
      <c r="M13" s="832"/>
      <c r="N13" s="754"/>
      <c r="O13" s="754"/>
      <c r="P13" s="765"/>
      <c r="Q13" s="754"/>
      <c r="R13" s="769"/>
      <c r="S13" s="818"/>
      <c r="T13" s="832"/>
      <c r="U13" s="763"/>
      <c r="V13" s="754"/>
      <c r="W13" s="754"/>
      <c r="X13" s="754"/>
      <c r="Y13" s="754"/>
      <c r="Z13" s="107"/>
      <c r="AA13" s="964"/>
    </row>
    <row r="14">
      <c r="A14" s="758" t="s">
        <v>6976</v>
      </c>
      <c r="B14" s="699"/>
      <c r="C14" s="699"/>
      <c r="D14" s="699"/>
      <c r="E14" s="772"/>
      <c r="F14" s="772"/>
      <c r="G14" s="777"/>
      <c r="H14" s="777"/>
      <c r="I14" s="749"/>
      <c r="J14" s="954"/>
      <c r="K14" s="751"/>
      <c r="L14" s="751"/>
      <c r="M14" s="832"/>
      <c r="N14" s="754"/>
      <c r="O14" s="754"/>
      <c r="P14" s="754"/>
      <c r="Q14" s="754"/>
      <c r="R14" s="754"/>
      <c r="S14" s="751"/>
      <c r="T14" s="832"/>
      <c r="U14" s="763"/>
      <c r="V14" s="754"/>
      <c r="W14" s="754"/>
      <c r="X14" s="754"/>
      <c r="Y14" s="763"/>
      <c r="Z14" s="25"/>
      <c r="AA14" s="964"/>
    </row>
    <row r="15">
      <c r="A15" s="608" t="s">
        <v>6977</v>
      </c>
      <c r="B15" s="969"/>
      <c r="C15" s="699"/>
      <c r="D15" s="699"/>
      <c r="E15" s="772"/>
      <c r="F15" s="772"/>
      <c r="G15" s="777"/>
      <c r="H15" s="777"/>
      <c r="I15" s="749"/>
      <c r="J15" s="835"/>
      <c r="K15" s="751"/>
      <c r="L15" s="751"/>
      <c r="M15" s="832"/>
      <c r="N15" s="754"/>
      <c r="O15" s="754"/>
      <c r="P15" s="754"/>
      <c r="Q15" s="754"/>
      <c r="R15" s="754"/>
      <c r="S15" s="818"/>
      <c r="T15" s="832"/>
      <c r="U15" s="763"/>
      <c r="V15" s="754"/>
      <c r="W15" s="754"/>
      <c r="X15" s="754"/>
      <c r="Y15" s="763"/>
      <c r="Z15" s="25"/>
      <c r="AA15" s="964"/>
    </row>
    <row r="16">
      <c r="A16" s="608" t="s">
        <v>6979</v>
      </c>
      <c r="B16" s="699"/>
      <c r="C16" s="699"/>
      <c r="D16" s="699"/>
      <c r="E16" s="772"/>
      <c r="F16" s="772"/>
      <c r="G16" s="777"/>
      <c r="H16" s="777"/>
      <c r="I16" s="749"/>
      <c r="J16" s="954"/>
      <c r="K16" s="751"/>
      <c r="L16" s="751"/>
      <c r="M16" s="832"/>
      <c r="N16" s="754"/>
      <c r="O16" s="754"/>
      <c r="P16" s="754"/>
      <c r="Q16" s="754"/>
      <c r="R16" s="754"/>
      <c r="S16" s="751"/>
      <c r="T16" s="832"/>
      <c r="U16" s="763"/>
      <c r="V16" s="754"/>
      <c r="W16" s="754"/>
      <c r="X16" s="754"/>
      <c r="Y16" s="754"/>
      <c r="Z16" s="107"/>
      <c r="AA16" s="964"/>
    </row>
    <row r="17">
      <c r="A17" s="608" t="s">
        <v>6980</v>
      </c>
      <c r="B17" s="699"/>
      <c r="C17" s="699"/>
      <c r="D17" s="699"/>
      <c r="E17" s="772"/>
      <c r="F17" s="772"/>
      <c r="G17" s="777"/>
      <c r="H17" s="777"/>
      <c r="I17" s="749"/>
      <c r="J17" s="954"/>
      <c r="K17" s="751"/>
      <c r="L17" s="751"/>
      <c r="M17" s="832"/>
      <c r="N17" s="754"/>
      <c r="O17" s="763"/>
      <c r="P17" s="754"/>
      <c r="Q17" s="754"/>
      <c r="R17" s="754"/>
      <c r="S17" s="751"/>
      <c r="T17" s="832"/>
      <c r="U17" s="754"/>
      <c r="V17" s="754"/>
      <c r="W17" s="754"/>
      <c r="X17" s="754"/>
      <c r="Y17" s="754"/>
      <c r="Z17" s="107"/>
      <c r="AA17" s="964"/>
    </row>
    <row r="18">
      <c r="A18" s="608" t="s">
        <v>6981</v>
      </c>
      <c r="B18" s="699"/>
      <c r="C18" s="699"/>
      <c r="D18" s="699"/>
      <c r="E18" s="772"/>
      <c r="F18" s="772"/>
      <c r="G18" s="777"/>
      <c r="H18" s="777"/>
      <c r="I18" s="749"/>
      <c r="J18" s="954"/>
      <c r="K18" s="751"/>
      <c r="L18" s="751"/>
      <c r="M18" s="832"/>
      <c r="N18" s="754"/>
      <c r="O18" s="754"/>
      <c r="P18" s="754"/>
      <c r="Q18" s="754"/>
      <c r="R18" s="754"/>
      <c r="S18" s="751"/>
      <c r="T18" s="832"/>
      <c r="U18" s="754"/>
      <c r="V18" s="754"/>
      <c r="W18" s="754"/>
      <c r="X18" s="754"/>
      <c r="Y18" s="754"/>
      <c r="Z18" s="107"/>
      <c r="AA18" s="964"/>
    </row>
    <row r="19">
      <c r="A19" s="608" t="s">
        <v>6982</v>
      </c>
      <c r="B19" s="970" t="s">
        <v>7016</v>
      </c>
      <c r="C19" s="699"/>
      <c r="D19" s="699"/>
      <c r="E19" s="772"/>
      <c r="F19" s="772"/>
      <c r="G19" s="777"/>
      <c r="H19" s="777"/>
      <c r="I19" s="749"/>
      <c r="J19" s="954"/>
      <c r="K19" s="751"/>
      <c r="L19" s="751"/>
      <c r="M19" s="832"/>
      <c r="N19" s="754"/>
      <c r="O19" s="754"/>
      <c r="P19" s="754"/>
      <c r="Q19" s="754"/>
      <c r="R19" s="754"/>
      <c r="S19" s="751"/>
      <c r="T19" s="832"/>
      <c r="U19" s="754"/>
      <c r="V19" s="754"/>
      <c r="W19" s="754"/>
      <c r="X19" s="754"/>
      <c r="Y19" s="754"/>
      <c r="Z19" s="107"/>
      <c r="AA19" s="964"/>
    </row>
    <row r="20">
      <c r="A20" s="758" t="s">
        <v>6983</v>
      </c>
      <c r="B20" s="969"/>
      <c r="C20" s="699"/>
      <c r="D20" s="699"/>
      <c r="E20" s="772"/>
      <c r="F20" s="772"/>
      <c r="G20" s="777"/>
      <c r="H20" s="777"/>
      <c r="I20" s="779"/>
      <c r="J20" s="958"/>
      <c r="K20" s="765"/>
      <c r="L20" s="818"/>
      <c r="M20" s="836"/>
      <c r="N20" s="754"/>
      <c r="O20" s="754"/>
      <c r="P20" s="754"/>
      <c r="Q20" s="754"/>
      <c r="R20" s="754"/>
      <c r="S20" s="818"/>
      <c r="T20" s="836"/>
      <c r="U20" s="754"/>
      <c r="V20" s="754"/>
      <c r="W20" s="754"/>
      <c r="X20" s="754"/>
      <c r="Y20" s="763"/>
      <c r="Z20" s="25"/>
      <c r="AA20" s="964"/>
    </row>
    <row r="21">
      <c r="A21" s="758" t="s">
        <v>6985</v>
      </c>
      <c r="B21" s="777"/>
      <c r="C21" s="777"/>
      <c r="D21" s="777"/>
      <c r="E21" s="772"/>
      <c r="F21" s="772"/>
      <c r="G21" s="777"/>
      <c r="H21" s="777"/>
      <c r="I21" s="772"/>
      <c r="J21" s="971"/>
      <c r="K21" s="790"/>
      <c r="L21" s="790"/>
      <c r="M21" s="838"/>
      <c r="N21" s="312"/>
      <c r="O21" s="312"/>
      <c r="P21" s="312"/>
      <c r="Q21" s="312"/>
      <c r="R21" s="312"/>
      <c r="S21" s="790"/>
      <c r="T21" s="838"/>
      <c r="U21" s="312"/>
      <c r="V21" s="312"/>
      <c r="W21" s="312"/>
      <c r="X21" s="312"/>
      <c r="Y21" s="469"/>
      <c r="Z21" s="54"/>
      <c r="AA21" s="964"/>
    </row>
    <row r="22">
      <c r="A22" s="758" t="s">
        <v>6986</v>
      </c>
      <c r="B22" s="777"/>
      <c r="C22" s="777"/>
      <c r="D22" s="777"/>
      <c r="E22" s="772"/>
      <c r="F22" s="793"/>
      <c r="G22" s="702"/>
      <c r="H22" s="777"/>
      <c r="I22" s="772"/>
      <c r="J22" s="971"/>
      <c r="K22" s="790"/>
      <c r="L22" s="790"/>
      <c r="M22" s="838"/>
      <c r="N22" s="312"/>
      <c r="O22" s="312"/>
      <c r="P22" s="312"/>
      <c r="Q22" s="312"/>
      <c r="R22" s="312"/>
      <c r="S22" s="790"/>
      <c r="T22" s="838"/>
      <c r="U22" s="312"/>
      <c r="V22" s="312"/>
      <c r="W22" s="312"/>
      <c r="X22" s="312"/>
      <c r="Y22" s="312"/>
      <c r="Z22" s="2"/>
      <c r="AA22" s="964"/>
    </row>
    <row r="23">
      <c r="A23" s="758" t="s">
        <v>6988</v>
      </c>
      <c r="B23" s="777"/>
      <c r="C23" s="777"/>
      <c r="D23" s="777"/>
      <c r="E23" s="772"/>
      <c r="F23" s="772"/>
      <c r="G23" s="777"/>
      <c r="H23" s="777"/>
      <c r="I23" s="772"/>
      <c r="J23" s="971"/>
      <c r="K23" s="790"/>
      <c r="L23" s="790"/>
      <c r="M23" s="838"/>
      <c r="N23" s="312"/>
      <c r="O23" s="312"/>
      <c r="P23" s="312"/>
      <c r="Q23" s="312"/>
      <c r="R23" s="312"/>
      <c r="S23" s="790"/>
      <c r="T23" s="838"/>
      <c r="U23" s="312"/>
      <c r="V23" s="312"/>
      <c r="W23" s="312"/>
      <c r="X23" s="312"/>
      <c r="Y23" s="312"/>
      <c r="Z23" s="2"/>
    </row>
    <row r="24">
      <c r="A24" s="758" t="s">
        <v>6990</v>
      </c>
      <c r="B24" s="777"/>
      <c r="C24" s="777"/>
      <c r="D24" s="777"/>
      <c r="E24" s="772"/>
      <c r="F24" s="772"/>
      <c r="G24" s="835"/>
      <c r="H24" s="777"/>
      <c r="I24" s="772"/>
      <c r="J24" s="971"/>
      <c r="K24" s="790"/>
      <c r="L24" s="790"/>
      <c r="M24" s="838"/>
      <c r="N24" s="312"/>
      <c r="O24" s="312"/>
      <c r="P24" s="312"/>
      <c r="Q24" s="312"/>
      <c r="R24" s="312"/>
      <c r="S24" s="790"/>
      <c r="T24" s="838"/>
      <c r="U24" s="312"/>
      <c r="V24" s="312"/>
      <c r="W24" s="312"/>
      <c r="X24" s="312"/>
      <c r="Y24" s="469"/>
      <c r="Z24" s="54"/>
    </row>
    <row r="25">
      <c r="A25" s="758" t="s">
        <v>6991</v>
      </c>
      <c r="B25" s="777"/>
      <c r="C25" s="777"/>
      <c r="D25" s="777"/>
      <c r="E25" s="772"/>
      <c r="F25" s="772"/>
      <c r="G25" s="777"/>
      <c r="H25" s="777"/>
      <c r="I25" s="772"/>
      <c r="J25" s="971"/>
      <c r="K25" s="790"/>
      <c r="L25" s="790"/>
      <c r="M25" s="838"/>
      <c r="N25" s="312"/>
      <c r="O25" s="312"/>
      <c r="P25" s="312"/>
      <c r="Q25" s="312"/>
      <c r="R25" s="312"/>
      <c r="S25" s="790"/>
      <c r="T25" s="838"/>
      <c r="U25" s="312"/>
      <c r="V25" s="312"/>
      <c r="W25" s="312"/>
      <c r="X25" s="312"/>
      <c r="Y25" s="312"/>
      <c r="Z25" s="2"/>
    </row>
    <row r="26">
      <c r="A26" s="758" t="s">
        <v>6992</v>
      </c>
      <c r="B26" s="969"/>
      <c r="C26" s="777"/>
      <c r="D26" s="777"/>
      <c r="E26" s="835"/>
      <c r="F26" s="772"/>
      <c r="G26" s="777"/>
      <c r="H26" s="777"/>
      <c r="I26" s="835"/>
      <c r="J26" s="972"/>
      <c r="K26" s="765"/>
      <c r="L26" s="791"/>
      <c r="M26" s="973"/>
      <c r="N26" s="312"/>
      <c r="O26" s="312"/>
      <c r="P26" s="765"/>
      <c r="Q26" s="312"/>
      <c r="R26" s="312"/>
      <c r="S26" s="791"/>
      <c r="T26" s="841"/>
      <c r="U26" s="469"/>
      <c r="V26" s="312"/>
      <c r="W26" s="312"/>
      <c r="X26" s="312"/>
      <c r="Y26" s="312"/>
      <c r="Z26" s="2"/>
    </row>
    <row r="27">
      <c r="A27" s="758" t="s">
        <v>6997</v>
      </c>
      <c r="B27" s="777"/>
      <c r="C27" s="777"/>
      <c r="D27" s="777"/>
      <c r="E27" s="772"/>
      <c r="F27" s="772"/>
      <c r="G27" s="777"/>
      <c r="H27" s="777"/>
      <c r="I27" s="772"/>
      <c r="J27" s="971"/>
      <c r="K27" s="790"/>
      <c r="L27" s="790"/>
      <c r="M27" s="838"/>
      <c r="N27" s="312"/>
      <c r="O27" s="312"/>
      <c r="P27" s="312"/>
      <c r="Q27" s="312"/>
      <c r="R27" s="312"/>
      <c r="S27" s="790"/>
      <c r="T27" s="838"/>
      <c r="U27" s="312"/>
      <c r="V27" s="312"/>
      <c r="W27" s="312"/>
      <c r="X27" s="312"/>
      <c r="Y27" s="312"/>
      <c r="Z27" s="2"/>
    </row>
    <row r="28">
      <c r="A28" s="758" t="s">
        <v>7025</v>
      </c>
      <c r="B28" s="777"/>
      <c r="C28" s="777"/>
      <c r="D28" s="777"/>
      <c r="E28" s="772"/>
      <c r="F28" s="772"/>
      <c r="G28" s="777"/>
      <c r="H28" s="777"/>
      <c r="I28" s="772"/>
      <c r="J28" s="971"/>
      <c r="K28" s="790"/>
      <c r="L28" s="790"/>
      <c r="M28" s="838"/>
      <c r="N28" s="312"/>
      <c r="O28" s="312"/>
      <c r="P28" s="312"/>
      <c r="Q28" s="312"/>
      <c r="R28" s="312"/>
      <c r="S28" s="790"/>
      <c r="T28" s="838"/>
      <c r="U28" s="312"/>
      <c r="V28" s="312"/>
      <c r="W28" s="312"/>
      <c r="X28" s="312"/>
      <c r="Y28" s="312"/>
      <c r="Z28" s="2"/>
    </row>
    <row r="29">
      <c r="A29" s="758" t="s">
        <v>6999</v>
      </c>
      <c r="B29" s="777"/>
      <c r="C29" s="777"/>
      <c r="D29" s="777"/>
      <c r="E29" s="772"/>
      <c r="F29" s="772"/>
      <c r="G29" s="777"/>
      <c r="H29" s="777"/>
      <c r="I29" s="772"/>
      <c r="J29" s="971"/>
      <c r="K29" s="790"/>
      <c r="L29" s="790"/>
      <c r="M29" s="838"/>
      <c r="N29" s="312"/>
      <c r="O29" s="312"/>
      <c r="P29" s="312"/>
      <c r="Q29" s="312"/>
      <c r="R29" s="312"/>
      <c r="S29" s="790"/>
      <c r="T29" s="838"/>
      <c r="U29" s="312"/>
      <c r="V29" s="312"/>
      <c r="W29" s="312"/>
      <c r="X29" s="312"/>
      <c r="Y29" s="312"/>
      <c r="Z29" s="2"/>
    </row>
    <row r="30">
      <c r="A30" s="758" t="s">
        <v>7000</v>
      </c>
      <c r="B30" s="777"/>
      <c r="C30" s="777"/>
      <c r="D30" s="777"/>
      <c r="E30" s="772"/>
      <c r="F30" s="772"/>
      <c r="G30" s="777"/>
      <c r="H30" s="777"/>
      <c r="I30" s="772"/>
      <c r="J30" s="971"/>
      <c r="K30" s="790"/>
      <c r="L30" s="790"/>
      <c r="M30" s="838"/>
      <c r="N30" s="312"/>
      <c r="O30" s="312"/>
      <c r="P30" s="312"/>
      <c r="Q30" s="312"/>
      <c r="R30" s="312"/>
      <c r="S30" s="790"/>
      <c r="T30" s="838"/>
      <c r="U30" s="312"/>
      <c r="V30" s="312"/>
      <c r="W30" s="312"/>
      <c r="X30" s="312"/>
      <c r="Y30" s="312"/>
      <c r="Z30" s="2"/>
    </row>
    <row r="31">
      <c r="A31" s="758" t="s">
        <v>7001</v>
      </c>
      <c r="B31" s="777"/>
      <c r="C31" s="777"/>
      <c r="D31" s="777"/>
      <c r="E31" s="772"/>
      <c r="F31" s="772"/>
      <c r="G31" s="777"/>
      <c r="H31" s="777"/>
      <c r="I31" s="772"/>
      <c r="J31" s="971"/>
      <c r="K31" s="790"/>
      <c r="L31" s="790"/>
      <c r="M31" s="838"/>
      <c r="N31" s="312"/>
      <c r="O31" s="312"/>
      <c r="P31" s="312"/>
      <c r="Q31" s="312"/>
      <c r="R31" s="312"/>
      <c r="S31" s="790"/>
      <c r="T31" s="838"/>
      <c r="U31" s="312"/>
      <c r="V31" s="312"/>
      <c r="W31" s="312"/>
      <c r="X31" s="312"/>
      <c r="Y31" s="312"/>
      <c r="Z31" s="2"/>
    </row>
    <row r="32">
      <c r="A32" s="758" t="s">
        <v>7198</v>
      </c>
      <c r="B32" s="777"/>
      <c r="C32" s="777"/>
      <c r="D32" s="777"/>
      <c r="E32" s="772"/>
      <c r="F32" s="772"/>
      <c r="G32" s="777"/>
      <c r="H32" s="777"/>
      <c r="I32" s="772"/>
      <c r="J32" s="971"/>
      <c r="K32" s="765"/>
      <c r="L32" s="790"/>
      <c r="M32" s="838"/>
      <c r="N32" s="312"/>
      <c r="O32" s="469"/>
      <c r="P32" s="312"/>
      <c r="Q32" s="312"/>
      <c r="R32" s="312"/>
      <c r="S32" s="790"/>
      <c r="T32" s="838"/>
      <c r="U32" s="312"/>
      <c r="V32" s="312"/>
      <c r="W32" s="312"/>
      <c r="X32" s="312"/>
      <c r="Y32" s="469"/>
      <c r="Z32" s="54"/>
    </row>
    <row r="33">
      <c r="A33" s="758" t="s">
        <v>7026</v>
      </c>
      <c r="B33" s="777"/>
      <c r="C33" s="969"/>
      <c r="D33" s="777"/>
      <c r="E33" s="772"/>
      <c r="F33" s="772"/>
      <c r="G33" s="777"/>
      <c r="H33" s="777"/>
      <c r="I33" s="772"/>
      <c r="J33" s="971"/>
      <c r="K33" s="790"/>
      <c r="L33" s="790"/>
      <c r="M33" s="841"/>
      <c r="N33" s="469"/>
      <c r="O33" s="469"/>
      <c r="P33" s="312"/>
      <c r="Q33" s="312"/>
      <c r="R33" s="769"/>
      <c r="S33" s="790"/>
      <c r="T33" s="838"/>
      <c r="U33" s="312"/>
      <c r="V33" s="312"/>
      <c r="W33" s="312"/>
      <c r="X33" s="312"/>
      <c r="Y33" s="469"/>
      <c r="Z33" s="54"/>
    </row>
    <row r="34">
      <c r="A34" s="758" t="s">
        <v>7027</v>
      </c>
      <c r="B34" s="777"/>
      <c r="C34" s="777"/>
      <c r="D34" s="777"/>
      <c r="E34" s="772"/>
      <c r="F34" s="772"/>
      <c r="G34" s="512"/>
      <c r="H34" s="777"/>
      <c r="I34" s="772"/>
      <c r="J34" s="971"/>
      <c r="K34" s="790"/>
      <c r="L34" s="790"/>
      <c r="M34" s="838"/>
      <c r="N34" s="312"/>
      <c r="O34" s="312"/>
      <c r="P34" s="312"/>
      <c r="Q34" s="312"/>
      <c r="R34" s="312"/>
      <c r="S34" s="790"/>
      <c r="T34" s="838"/>
      <c r="U34" s="312"/>
      <c r="V34" s="312"/>
      <c r="W34" s="312"/>
      <c r="X34" s="312"/>
      <c r="Y34" s="312"/>
      <c r="Z34" s="2"/>
    </row>
    <row r="35">
      <c r="A35" s="502" t="s">
        <v>7028</v>
      </c>
      <c r="B35" s="702"/>
      <c r="C35" s="777"/>
      <c r="D35" s="748"/>
      <c r="E35" s="772"/>
      <c r="F35" s="777"/>
      <c r="G35" s="512"/>
      <c r="H35" s="777"/>
      <c r="I35" s="793"/>
      <c r="J35" s="972"/>
      <c r="K35" s="791"/>
      <c r="L35" s="791"/>
      <c r="M35" s="841"/>
      <c r="N35" s="312"/>
      <c r="O35" s="312"/>
      <c r="P35" s="312"/>
      <c r="Q35" s="312"/>
      <c r="R35" s="312"/>
      <c r="S35" s="791"/>
      <c r="T35" s="841"/>
      <c r="U35" s="312"/>
      <c r="V35" s="312"/>
      <c r="W35" s="312"/>
      <c r="X35" s="312"/>
      <c r="Y35" s="312"/>
      <c r="Z35" s="2"/>
    </row>
    <row r="36">
      <c r="A36" s="758" t="s">
        <v>7029</v>
      </c>
      <c r="B36" s="702"/>
      <c r="C36" s="702"/>
      <c r="D36" s="702"/>
      <c r="E36" s="702"/>
      <c r="F36" s="702"/>
      <c r="G36" s="702"/>
      <c r="H36" s="702"/>
      <c r="I36" s="793"/>
      <c r="J36" s="972"/>
      <c r="K36" s="791"/>
      <c r="L36" s="791"/>
      <c r="M36" s="841"/>
      <c r="N36" s="469"/>
      <c r="O36" s="469"/>
      <c r="P36" s="469"/>
      <c r="Q36" s="469"/>
      <c r="R36" s="469"/>
      <c r="S36" s="791"/>
      <c r="T36" s="841"/>
      <c r="U36" s="469"/>
      <c r="V36" s="469"/>
      <c r="W36" s="469"/>
      <c r="X36" s="469"/>
      <c r="Y36" s="469"/>
      <c r="Z36" s="54"/>
    </row>
    <row r="37">
      <c r="A37" s="974" t="s">
        <v>7009</v>
      </c>
      <c r="B37" s="777"/>
      <c r="C37" s="777"/>
      <c r="D37" s="772"/>
      <c r="E37" s="772"/>
      <c r="F37" s="777"/>
      <c r="G37" s="777"/>
      <c r="H37" s="777"/>
      <c r="I37" s="777"/>
      <c r="J37" s="975"/>
      <c r="K37" s="765"/>
      <c r="L37" s="768"/>
      <c r="M37" s="312"/>
      <c r="N37" s="312"/>
      <c r="O37" s="312"/>
      <c r="P37" s="312"/>
      <c r="Q37" s="312"/>
      <c r="R37" s="312"/>
      <c r="S37" s="768"/>
      <c r="T37" s="312"/>
      <c r="U37" s="312"/>
      <c r="V37" s="312"/>
      <c r="W37" s="312"/>
      <c r="X37" s="312"/>
      <c r="Y37" s="312"/>
      <c r="Z37" s="2"/>
    </row>
    <row r="38">
      <c r="A38" s="502" t="s">
        <v>7010</v>
      </c>
      <c r="B38" s="777"/>
      <c r="C38" s="777"/>
      <c r="D38" s="772"/>
      <c r="E38" s="772"/>
      <c r="F38" s="777"/>
      <c r="G38" s="777"/>
      <c r="H38" s="777"/>
      <c r="I38" s="777"/>
      <c r="J38" s="976"/>
      <c r="K38" s="765"/>
      <c r="L38" s="768"/>
      <c r="M38" s="312"/>
      <c r="N38" s="312"/>
      <c r="O38" s="312"/>
      <c r="P38" s="312"/>
      <c r="Q38" s="469"/>
      <c r="R38" s="312"/>
      <c r="S38" s="768"/>
      <c r="T38" s="469"/>
      <c r="U38" s="312"/>
      <c r="V38" s="312"/>
      <c r="W38" s="312"/>
      <c r="X38" s="312"/>
      <c r="Y38" s="312"/>
      <c r="Z38" s="2"/>
    </row>
    <row r="39">
      <c r="A39" s="531"/>
      <c r="B39" s="977"/>
      <c r="C39" s="119"/>
      <c r="D39" s="977"/>
      <c r="E39" s="977"/>
      <c r="F39" s="119"/>
      <c r="G39" s="119"/>
      <c r="H39" s="119"/>
      <c r="I39" s="119"/>
      <c r="J39" s="119"/>
      <c r="K39" s="117"/>
      <c r="L39" s="117"/>
      <c r="M39" s="2"/>
      <c r="N39" s="2"/>
      <c r="O39" s="2"/>
      <c r="P39" s="2"/>
      <c r="Q39" s="2"/>
      <c r="R39" s="2"/>
      <c r="S39" s="847"/>
      <c r="T39" s="847"/>
      <c r="U39" s="116"/>
      <c r="V39" s="116"/>
      <c r="W39" s="116"/>
      <c r="X39" s="116"/>
      <c r="Y39" s="116"/>
      <c r="Z39" s="116"/>
    </row>
    <row r="40">
      <c r="A40" s="531"/>
      <c r="B40" s="977"/>
      <c r="C40" s="119"/>
      <c r="D40" s="977"/>
      <c r="E40" s="977"/>
      <c r="F40" s="119"/>
      <c r="G40" s="119"/>
      <c r="H40" s="119"/>
      <c r="I40" s="119"/>
      <c r="J40" s="119"/>
      <c r="K40" s="117"/>
      <c r="L40" s="117"/>
      <c r="M40" s="2"/>
      <c r="N40" s="2"/>
      <c r="O40" s="2"/>
      <c r="P40" s="2"/>
      <c r="Q40" s="2"/>
      <c r="R40" s="2"/>
      <c r="S40" s="848"/>
      <c r="T40" s="848"/>
      <c r="U40" s="848"/>
      <c r="V40" s="848"/>
      <c r="W40" s="848"/>
      <c r="X40" s="848"/>
      <c r="Y40" s="848"/>
      <c r="Z40" s="848"/>
    </row>
    <row r="41">
      <c r="A41" s="531"/>
      <c r="B41" s="977"/>
      <c r="C41" s="119"/>
      <c r="D41" s="977"/>
      <c r="E41" s="977"/>
      <c r="F41" s="119"/>
      <c r="G41" s="119"/>
      <c r="H41" s="119"/>
      <c r="I41" s="119"/>
      <c r="J41" s="119"/>
      <c r="K41" s="117"/>
      <c r="L41" s="117"/>
      <c r="M41" s="2"/>
      <c r="N41" s="2"/>
      <c r="O41" s="2"/>
      <c r="P41" s="2"/>
      <c r="Q41" s="2"/>
      <c r="R41" s="2"/>
      <c r="S41" s="849"/>
      <c r="T41" s="850"/>
      <c r="U41" s="851"/>
      <c r="V41" s="851"/>
      <c r="W41" s="851"/>
      <c r="X41" s="851"/>
      <c r="Y41" s="851"/>
      <c r="Z41" s="851"/>
    </row>
    <row r="42">
      <c r="A42" s="531"/>
      <c r="B42" s="977"/>
      <c r="C42" s="119"/>
      <c r="D42" s="977"/>
      <c r="E42" s="977"/>
      <c r="F42" s="119"/>
      <c r="G42" s="119"/>
      <c r="H42" s="119"/>
      <c r="I42" s="119"/>
      <c r="J42" s="119"/>
      <c r="K42" s="117"/>
      <c r="L42" s="117"/>
      <c r="M42" s="2"/>
      <c r="N42" s="2"/>
      <c r="O42" s="2"/>
      <c r="P42" s="2"/>
      <c r="Q42" s="2"/>
      <c r="R42" s="2"/>
      <c r="S42" s="852"/>
      <c r="T42" s="853"/>
      <c r="U42" s="854"/>
      <c r="V42" s="854"/>
      <c r="W42" s="854"/>
      <c r="X42" s="854"/>
      <c r="Y42" s="854"/>
      <c r="Z42" s="854"/>
    </row>
    <row r="43">
      <c r="A43" s="531"/>
      <c r="B43" s="977"/>
      <c r="C43" s="119"/>
      <c r="D43" s="977"/>
      <c r="E43" s="977"/>
      <c r="F43" s="119"/>
      <c r="G43" s="119"/>
      <c r="H43" s="119"/>
      <c r="I43" s="119"/>
      <c r="J43" s="119"/>
      <c r="K43" s="117"/>
      <c r="L43" s="117"/>
      <c r="M43" s="2"/>
      <c r="N43" s="2"/>
      <c r="O43" s="2"/>
      <c r="P43" s="2"/>
      <c r="Q43" s="2"/>
      <c r="R43" s="2"/>
      <c r="S43" s="855"/>
      <c r="T43" s="856"/>
      <c r="U43" s="854"/>
      <c r="V43" s="854"/>
      <c r="W43" s="854"/>
      <c r="X43" s="854"/>
      <c r="Y43" s="854"/>
      <c r="Z43" s="854"/>
    </row>
    <row r="44">
      <c r="A44" s="531"/>
      <c r="B44" s="977"/>
      <c r="C44" s="119"/>
      <c r="D44" s="977"/>
      <c r="E44" s="977"/>
      <c r="F44" s="119"/>
      <c r="G44" s="119"/>
      <c r="H44" s="119"/>
      <c r="I44" s="119"/>
      <c r="J44" s="119"/>
      <c r="K44" s="117"/>
      <c r="L44" s="117"/>
      <c r="M44" s="2"/>
      <c r="N44" s="2"/>
      <c r="O44" s="2"/>
      <c r="P44" s="2"/>
      <c r="Q44" s="2"/>
      <c r="R44" s="2"/>
      <c r="S44" s="855"/>
      <c r="T44" s="856"/>
      <c r="U44" s="854"/>
      <c r="V44" s="854"/>
      <c r="W44" s="854"/>
      <c r="X44" s="854"/>
      <c r="Y44" s="854"/>
      <c r="Z44" s="854"/>
    </row>
    <row r="45">
      <c r="A45" s="531"/>
      <c r="B45" s="977"/>
      <c r="C45" s="119"/>
      <c r="D45" s="977"/>
      <c r="E45" s="977"/>
      <c r="F45" s="119"/>
      <c r="G45" s="119"/>
      <c r="H45" s="119"/>
      <c r="I45" s="119"/>
      <c r="J45" s="119"/>
      <c r="K45" s="117"/>
      <c r="L45" s="117"/>
      <c r="M45" s="2"/>
      <c r="N45" s="2"/>
      <c r="O45" s="2"/>
      <c r="P45" s="2"/>
      <c r="Q45" s="2"/>
      <c r="R45" s="2"/>
      <c r="S45" s="852"/>
      <c r="T45" s="853"/>
      <c r="U45" s="854"/>
      <c r="V45" s="854"/>
      <c r="W45" s="854"/>
      <c r="X45" s="854"/>
      <c r="Y45" s="854"/>
      <c r="Z45" s="854"/>
    </row>
    <row r="46">
      <c r="A46" s="531"/>
      <c r="B46" s="977"/>
      <c r="C46" s="119"/>
      <c r="D46" s="977"/>
      <c r="E46" s="977"/>
      <c r="F46" s="119"/>
      <c r="G46" s="119"/>
      <c r="H46" s="119"/>
      <c r="I46" s="119"/>
      <c r="J46" s="119"/>
      <c r="K46" s="117"/>
      <c r="L46" s="117"/>
      <c r="M46" s="2"/>
      <c r="N46" s="2"/>
      <c r="O46" s="2"/>
      <c r="P46" s="2"/>
      <c r="Q46" s="2"/>
      <c r="R46" s="2"/>
      <c r="S46" s="857"/>
      <c r="T46" s="858"/>
      <c r="U46" s="854"/>
      <c r="V46" s="854"/>
      <c r="W46" s="854"/>
      <c r="X46" s="854"/>
      <c r="Y46" s="854"/>
      <c r="Z46" s="854"/>
    </row>
    <row r="47">
      <c r="A47" s="531"/>
      <c r="B47" s="977"/>
      <c r="C47" s="119"/>
      <c r="D47" s="977"/>
      <c r="E47" s="977"/>
      <c r="F47" s="119"/>
      <c r="G47" s="119"/>
      <c r="H47" s="119"/>
      <c r="I47" s="119"/>
      <c r="J47" s="119"/>
      <c r="K47" s="117"/>
      <c r="L47" s="117"/>
      <c r="M47" s="2"/>
      <c r="N47" s="2"/>
      <c r="O47" s="2"/>
      <c r="P47" s="2"/>
      <c r="Q47" s="2"/>
      <c r="R47" s="2"/>
      <c r="S47" s="857"/>
      <c r="T47" s="858"/>
      <c r="U47" s="854"/>
      <c r="V47" s="854"/>
      <c r="W47" s="854"/>
      <c r="X47" s="854"/>
      <c r="Y47" s="854"/>
      <c r="Z47" s="854"/>
    </row>
    <row r="48">
      <c r="A48" s="531"/>
      <c r="B48" s="977"/>
      <c r="C48" s="119"/>
      <c r="D48" s="977"/>
      <c r="E48" s="977"/>
      <c r="F48" s="119"/>
      <c r="G48" s="119"/>
      <c r="H48" s="119"/>
      <c r="I48" s="119"/>
      <c r="J48" s="119"/>
      <c r="K48" s="117"/>
      <c r="L48" s="117"/>
      <c r="M48" s="2"/>
      <c r="N48" s="2"/>
      <c r="O48" s="2"/>
      <c r="P48" s="2"/>
      <c r="Q48" s="2"/>
      <c r="R48" s="2"/>
      <c r="S48" s="857"/>
      <c r="T48" s="858"/>
      <c r="U48" s="854"/>
      <c r="V48" s="854"/>
      <c r="W48" s="854"/>
      <c r="X48" s="854"/>
      <c r="Y48" s="854"/>
      <c r="Z48" s="854"/>
    </row>
    <row r="49">
      <c r="A49" s="531"/>
      <c r="B49" s="977"/>
      <c r="C49" s="119"/>
      <c r="D49" s="977"/>
      <c r="E49" s="977"/>
      <c r="F49" s="119"/>
      <c r="G49" s="119"/>
      <c r="H49" s="119"/>
      <c r="I49" s="119"/>
      <c r="J49" s="119"/>
      <c r="K49" s="117"/>
      <c r="L49" s="117"/>
      <c r="M49" s="2"/>
      <c r="N49" s="2"/>
      <c r="O49" s="2"/>
      <c r="P49" s="2"/>
      <c r="Q49" s="2"/>
      <c r="R49" s="2"/>
      <c r="S49" s="852"/>
      <c r="T49" s="853"/>
      <c r="U49" s="854"/>
      <c r="V49" s="854"/>
      <c r="W49" s="854"/>
      <c r="X49" s="854"/>
      <c r="Y49" s="854"/>
      <c r="Z49" s="854"/>
    </row>
    <row r="50">
      <c r="A50" s="531"/>
      <c r="B50" s="977"/>
      <c r="C50" s="119"/>
      <c r="D50" s="977"/>
      <c r="E50" s="977"/>
      <c r="F50" s="119"/>
      <c r="G50" s="119"/>
      <c r="H50" s="119"/>
      <c r="I50" s="119"/>
      <c r="J50" s="119"/>
      <c r="K50" s="117"/>
      <c r="L50" s="117"/>
      <c r="M50" s="2"/>
      <c r="N50" s="2"/>
      <c r="O50" s="2"/>
      <c r="P50" s="2"/>
      <c r="Q50" s="2"/>
      <c r="R50" s="2"/>
      <c r="S50" s="852"/>
      <c r="T50" s="853"/>
      <c r="U50" s="854"/>
      <c r="V50" s="854"/>
      <c r="W50" s="854"/>
      <c r="X50" s="854"/>
      <c r="Y50" s="854"/>
      <c r="Z50" s="854"/>
    </row>
    <row r="51">
      <c r="A51" s="531"/>
      <c r="B51" s="977"/>
      <c r="C51" s="119"/>
      <c r="D51" s="977"/>
      <c r="E51" s="977"/>
      <c r="F51" s="119"/>
      <c r="G51" s="119"/>
      <c r="H51" s="119"/>
      <c r="I51" s="119"/>
      <c r="J51" s="119"/>
      <c r="K51" s="117"/>
      <c r="L51" s="117"/>
      <c r="M51" s="2"/>
      <c r="N51" s="2"/>
      <c r="O51" s="2"/>
      <c r="P51" s="2"/>
      <c r="Q51" s="2"/>
      <c r="R51" s="2"/>
      <c r="S51" s="852"/>
      <c r="T51" s="853"/>
      <c r="U51" s="854"/>
      <c r="V51" s="854"/>
      <c r="W51" s="854"/>
      <c r="X51" s="854"/>
      <c r="Y51" s="854"/>
      <c r="Z51" s="854"/>
    </row>
    <row r="52">
      <c r="A52" s="531"/>
      <c r="B52" s="977"/>
      <c r="C52" s="119"/>
      <c r="D52" s="977"/>
      <c r="E52" s="977"/>
      <c r="F52" s="119"/>
      <c r="G52" s="119"/>
      <c r="H52" s="119"/>
      <c r="I52" s="119"/>
      <c r="J52" s="119"/>
      <c r="K52" s="117"/>
      <c r="L52" s="117"/>
      <c r="M52" s="2"/>
      <c r="N52" s="2"/>
      <c r="O52" s="2"/>
      <c r="P52" s="2"/>
      <c r="Q52" s="2"/>
      <c r="R52" s="2"/>
      <c r="S52" s="852"/>
      <c r="T52" s="853"/>
      <c r="U52" s="854"/>
      <c r="V52" s="854"/>
      <c r="W52" s="854"/>
      <c r="X52" s="854"/>
      <c r="Y52" s="854"/>
      <c r="Z52" s="854"/>
    </row>
    <row r="53">
      <c r="A53" s="531"/>
      <c r="B53" s="977"/>
      <c r="C53" s="119"/>
      <c r="D53" s="977"/>
      <c r="E53" s="977"/>
      <c r="F53" s="119"/>
      <c r="G53" s="119"/>
      <c r="H53" s="119"/>
      <c r="I53" s="119"/>
      <c r="J53" s="119"/>
      <c r="K53" s="117"/>
      <c r="L53" s="117"/>
      <c r="M53" s="2"/>
      <c r="N53" s="2"/>
      <c r="O53" s="2"/>
      <c r="P53" s="2"/>
      <c r="Q53" s="2"/>
      <c r="R53" s="2"/>
      <c r="S53" s="852"/>
      <c r="T53" s="859"/>
      <c r="U53" s="107"/>
      <c r="V53" s="107"/>
      <c r="W53" s="107"/>
      <c r="X53" s="107"/>
      <c r="Y53" s="107"/>
      <c r="Z53" s="107"/>
    </row>
    <row r="54">
      <c r="A54" s="531"/>
      <c r="B54" s="977"/>
      <c r="C54" s="119"/>
      <c r="D54" s="977"/>
      <c r="E54" s="977"/>
      <c r="F54" s="119"/>
      <c r="G54" s="119"/>
      <c r="H54" s="119"/>
      <c r="I54" s="119"/>
      <c r="J54" s="119"/>
      <c r="K54" s="117"/>
      <c r="L54" s="117"/>
      <c r="M54" s="2"/>
      <c r="N54" s="2"/>
      <c r="O54" s="2"/>
      <c r="P54" s="2"/>
      <c r="Q54" s="2"/>
      <c r="R54" s="2"/>
      <c r="S54" s="852"/>
      <c r="T54" s="859"/>
      <c r="U54" s="107"/>
      <c r="V54" s="107"/>
      <c r="W54" s="107"/>
      <c r="X54" s="107"/>
      <c r="Y54" s="107"/>
      <c r="Z54" s="107"/>
    </row>
    <row r="55">
      <c r="A55" s="531"/>
      <c r="B55" s="977"/>
      <c r="C55" s="119"/>
      <c r="D55" s="977"/>
      <c r="E55" s="977"/>
      <c r="F55" s="119"/>
      <c r="G55" s="119"/>
      <c r="H55" s="119"/>
      <c r="I55" s="119"/>
      <c r="J55" s="119"/>
      <c r="K55" s="117"/>
      <c r="L55" s="117"/>
      <c r="M55" s="2"/>
      <c r="N55" s="2"/>
      <c r="O55" s="2"/>
      <c r="P55" s="2"/>
      <c r="Q55" s="2"/>
      <c r="R55" s="2"/>
      <c r="S55" s="852"/>
      <c r="T55" s="859"/>
      <c r="U55" s="107"/>
      <c r="V55" s="107"/>
      <c r="W55" s="107"/>
      <c r="X55" s="107"/>
      <c r="Y55" s="107"/>
      <c r="Z55" s="107"/>
    </row>
    <row r="56">
      <c r="A56" s="531"/>
      <c r="B56" s="977"/>
      <c r="C56" s="119"/>
      <c r="D56" s="977"/>
      <c r="E56" s="977"/>
      <c r="F56" s="119"/>
      <c r="G56" s="119"/>
      <c r="H56" s="119"/>
      <c r="I56" s="119"/>
      <c r="J56" s="119"/>
      <c r="K56" s="117"/>
      <c r="L56" s="117"/>
      <c r="M56" s="2"/>
      <c r="N56" s="2"/>
      <c r="O56" s="2"/>
      <c r="P56" s="2"/>
      <c r="Q56" s="2"/>
      <c r="R56" s="2"/>
      <c r="S56" s="852"/>
      <c r="T56" s="859"/>
      <c r="U56" s="107"/>
      <c r="V56" s="107"/>
      <c r="W56" s="107"/>
      <c r="X56" s="107"/>
      <c r="Y56" s="107"/>
      <c r="Z56" s="107"/>
    </row>
    <row r="57">
      <c r="A57" s="531"/>
      <c r="B57" s="977"/>
      <c r="C57" s="119"/>
      <c r="D57" s="977"/>
      <c r="E57" s="977"/>
      <c r="F57" s="119"/>
      <c r="G57" s="119"/>
      <c r="H57" s="119"/>
      <c r="I57" s="119"/>
      <c r="J57" s="119"/>
      <c r="K57" s="117"/>
      <c r="L57" s="117"/>
      <c r="M57" s="2"/>
      <c r="N57" s="2"/>
      <c r="O57" s="2"/>
      <c r="P57" s="2"/>
      <c r="Q57" s="2"/>
      <c r="R57" s="2"/>
      <c r="S57" s="852"/>
      <c r="T57" s="859"/>
      <c r="U57" s="107"/>
      <c r="V57" s="107"/>
      <c r="W57" s="107"/>
      <c r="X57" s="107"/>
      <c r="Y57" s="107"/>
      <c r="Z57" s="107"/>
    </row>
    <row r="58">
      <c r="A58" s="531"/>
      <c r="B58" s="977"/>
      <c r="C58" s="119"/>
      <c r="D58" s="977"/>
      <c r="E58" s="977"/>
      <c r="F58" s="119"/>
      <c r="G58" s="119"/>
      <c r="H58" s="119"/>
      <c r="I58" s="119"/>
      <c r="J58" s="119"/>
      <c r="K58" s="117"/>
      <c r="L58" s="117"/>
      <c r="M58" s="2"/>
      <c r="N58" s="2"/>
      <c r="O58" s="2"/>
      <c r="P58" s="2"/>
      <c r="Q58" s="2"/>
      <c r="R58" s="2"/>
      <c r="S58" s="852"/>
      <c r="T58" s="859"/>
      <c r="U58" s="107"/>
      <c r="V58" s="107"/>
      <c r="W58" s="107"/>
      <c r="X58" s="107"/>
      <c r="Y58" s="107"/>
      <c r="Z58" s="107"/>
    </row>
    <row r="59">
      <c r="A59" s="531"/>
      <c r="B59" s="977"/>
      <c r="C59" s="119"/>
      <c r="D59" s="977"/>
      <c r="E59" s="977"/>
      <c r="F59" s="119"/>
      <c r="G59" s="119"/>
      <c r="H59" s="119"/>
      <c r="I59" s="119"/>
      <c r="J59" s="119"/>
      <c r="K59" s="117"/>
      <c r="L59" s="117"/>
      <c r="M59" s="2"/>
      <c r="N59" s="2"/>
      <c r="O59" s="2"/>
      <c r="P59" s="2"/>
      <c r="Q59" s="2"/>
      <c r="R59" s="2"/>
      <c r="S59" s="852"/>
      <c r="T59" s="859"/>
      <c r="U59" s="107"/>
      <c r="V59" s="107"/>
      <c r="W59" s="107"/>
      <c r="X59" s="107"/>
      <c r="Y59" s="107"/>
      <c r="Z59" s="107"/>
    </row>
    <row r="60">
      <c r="A60" s="531"/>
      <c r="B60" s="977"/>
      <c r="C60" s="119"/>
      <c r="D60" s="977"/>
      <c r="E60" s="977"/>
      <c r="F60" s="119"/>
      <c r="G60" s="119"/>
      <c r="H60" s="119"/>
      <c r="I60" s="119"/>
      <c r="J60" s="119"/>
      <c r="K60" s="117"/>
      <c r="L60" s="117"/>
      <c r="M60" s="2"/>
      <c r="N60" s="2"/>
      <c r="O60" s="2"/>
      <c r="P60" s="2"/>
      <c r="Q60" s="2"/>
      <c r="R60" s="2"/>
      <c r="S60" s="852"/>
      <c r="T60" s="859"/>
      <c r="U60" s="107"/>
      <c r="V60" s="107"/>
      <c r="W60" s="107"/>
      <c r="X60" s="107"/>
      <c r="Y60" s="107"/>
      <c r="Z60" s="107"/>
    </row>
    <row r="61">
      <c r="A61" s="531"/>
      <c r="B61" s="977"/>
      <c r="C61" s="119"/>
      <c r="D61" s="977"/>
      <c r="E61" s="977"/>
      <c r="F61" s="119"/>
      <c r="G61" s="119"/>
      <c r="H61" s="119"/>
      <c r="I61" s="119"/>
      <c r="J61" s="119"/>
      <c r="K61" s="117"/>
      <c r="L61" s="117"/>
      <c r="M61" s="2"/>
      <c r="N61" s="2"/>
      <c r="O61" s="2"/>
      <c r="P61" s="2"/>
      <c r="Q61" s="2"/>
      <c r="R61" s="2"/>
      <c r="S61" s="852"/>
      <c r="T61" s="859"/>
      <c r="U61" s="107"/>
      <c r="V61" s="107"/>
      <c r="W61" s="107"/>
      <c r="X61" s="107"/>
      <c r="Y61" s="107"/>
      <c r="Z61" s="107"/>
    </row>
    <row r="62">
      <c r="A62" s="531"/>
      <c r="B62" s="977"/>
      <c r="C62" s="119"/>
      <c r="D62" s="977"/>
      <c r="E62" s="977"/>
      <c r="F62" s="119"/>
      <c r="G62" s="119"/>
      <c r="H62" s="119"/>
      <c r="I62" s="119"/>
      <c r="J62" s="119"/>
      <c r="K62" s="117"/>
      <c r="L62" s="117"/>
      <c r="M62" s="2"/>
      <c r="N62" s="2"/>
      <c r="O62" s="2"/>
      <c r="P62" s="2"/>
      <c r="Q62" s="2"/>
      <c r="R62" s="2"/>
      <c r="S62" s="852"/>
      <c r="T62" s="859"/>
      <c r="U62" s="107"/>
      <c r="V62" s="107"/>
      <c r="W62" s="107"/>
      <c r="X62" s="107"/>
      <c r="Y62" s="107"/>
      <c r="Z62" s="107"/>
    </row>
    <row r="63">
      <c r="A63" s="531"/>
      <c r="B63" s="977"/>
      <c r="C63" s="119"/>
      <c r="D63" s="977"/>
      <c r="E63" s="977"/>
      <c r="F63" s="119"/>
      <c r="G63" s="119"/>
      <c r="H63" s="119"/>
      <c r="I63" s="119"/>
      <c r="J63" s="119"/>
      <c r="K63" s="117"/>
      <c r="L63" s="117"/>
      <c r="M63" s="2"/>
      <c r="N63" s="2"/>
      <c r="O63" s="2"/>
      <c r="P63" s="2"/>
      <c r="Q63" s="2"/>
      <c r="R63" s="2"/>
      <c r="S63" s="857"/>
      <c r="T63" s="860"/>
      <c r="U63" s="107"/>
      <c r="V63" s="107"/>
      <c r="W63" s="107"/>
      <c r="X63" s="107"/>
      <c r="Y63" s="107"/>
      <c r="Z63" s="107"/>
    </row>
    <row r="64">
      <c r="A64" s="531"/>
      <c r="B64" s="977"/>
      <c r="C64" s="119"/>
      <c r="D64" s="977"/>
      <c r="E64" s="977"/>
      <c r="F64" s="119"/>
      <c r="G64" s="119"/>
      <c r="H64" s="119"/>
      <c r="I64" s="119"/>
      <c r="J64" s="119"/>
      <c r="K64" s="117"/>
      <c r="L64" s="117"/>
      <c r="M64" s="2"/>
      <c r="N64" s="2"/>
      <c r="O64" s="2"/>
      <c r="P64" s="2"/>
      <c r="Q64" s="2"/>
      <c r="R64" s="2"/>
      <c r="S64" s="861"/>
      <c r="T64" s="111"/>
      <c r="U64" s="2"/>
      <c r="V64" s="2"/>
      <c r="W64" s="2"/>
      <c r="X64" s="2"/>
      <c r="Y64" s="2"/>
      <c r="Z64" s="2"/>
    </row>
    <row r="65">
      <c r="A65" s="531"/>
      <c r="B65" s="977"/>
      <c r="C65" s="119"/>
      <c r="D65" s="977"/>
      <c r="E65" s="977"/>
      <c r="F65" s="119"/>
      <c r="G65" s="119"/>
      <c r="H65" s="119"/>
      <c r="I65" s="119"/>
      <c r="J65" s="119"/>
      <c r="K65" s="117"/>
      <c r="L65" s="117"/>
      <c r="M65" s="2"/>
      <c r="N65" s="2"/>
      <c r="O65" s="2"/>
      <c r="P65" s="2"/>
      <c r="Q65" s="2"/>
      <c r="R65" s="2"/>
      <c r="S65" s="861"/>
      <c r="T65" s="111"/>
      <c r="U65" s="2"/>
      <c r="V65" s="2"/>
      <c r="W65" s="2"/>
      <c r="X65" s="2"/>
      <c r="Y65" s="2"/>
      <c r="Z65" s="2"/>
    </row>
    <row r="66">
      <c r="A66" s="531"/>
      <c r="B66" s="977"/>
      <c r="C66" s="119"/>
      <c r="D66" s="977"/>
      <c r="E66" s="977"/>
      <c r="F66" s="119"/>
      <c r="G66" s="119"/>
      <c r="H66" s="119"/>
      <c r="I66" s="119"/>
      <c r="J66" s="119"/>
      <c r="K66" s="117"/>
      <c r="L66" s="117"/>
      <c r="M66" s="2"/>
      <c r="N66" s="2"/>
      <c r="O66" s="2"/>
      <c r="P66" s="2"/>
      <c r="Q66" s="2"/>
      <c r="R66" s="2"/>
      <c r="S66" s="861"/>
      <c r="T66" s="111"/>
      <c r="U66" s="2"/>
      <c r="V66" s="2"/>
      <c r="W66" s="2"/>
      <c r="X66" s="2"/>
      <c r="Y66" s="2"/>
      <c r="Z66" s="2"/>
    </row>
    <row r="67">
      <c r="A67" s="531"/>
      <c r="B67" s="977"/>
      <c r="C67" s="119"/>
      <c r="D67" s="977"/>
      <c r="E67" s="977"/>
      <c r="F67" s="119"/>
      <c r="G67" s="119"/>
      <c r="H67" s="119"/>
      <c r="I67" s="119"/>
      <c r="J67" s="119"/>
      <c r="K67" s="117"/>
      <c r="L67" s="117"/>
      <c r="M67" s="2"/>
      <c r="N67" s="2"/>
      <c r="O67" s="2"/>
      <c r="P67" s="2"/>
      <c r="Q67" s="2"/>
      <c r="R67" s="2"/>
      <c r="S67" s="861"/>
      <c r="T67" s="111"/>
      <c r="U67" s="2"/>
      <c r="V67" s="2"/>
      <c r="W67" s="2"/>
      <c r="X67" s="2"/>
      <c r="Y67" s="2"/>
      <c r="Z67" s="2"/>
    </row>
    <row r="68">
      <c r="A68" s="531"/>
      <c r="B68" s="977"/>
      <c r="C68" s="119"/>
      <c r="D68" s="977"/>
      <c r="E68" s="977"/>
      <c r="F68" s="119"/>
      <c r="G68" s="119"/>
      <c r="H68" s="119"/>
      <c r="I68" s="119"/>
      <c r="J68" s="119"/>
      <c r="K68" s="117"/>
      <c r="L68" s="117"/>
      <c r="M68" s="2"/>
      <c r="N68" s="2"/>
      <c r="O68" s="2"/>
      <c r="P68" s="2"/>
      <c r="Q68" s="2"/>
      <c r="R68" s="2"/>
      <c r="S68" s="861"/>
      <c r="T68" s="111"/>
      <c r="U68" s="2"/>
      <c r="V68" s="2"/>
      <c r="W68" s="2"/>
      <c r="X68" s="2"/>
      <c r="Y68" s="2"/>
      <c r="Z68" s="2"/>
    </row>
    <row r="69">
      <c r="A69" s="531"/>
      <c r="B69" s="977"/>
      <c r="C69" s="119"/>
      <c r="D69" s="977"/>
      <c r="E69" s="977"/>
      <c r="F69" s="119"/>
      <c r="G69" s="119"/>
      <c r="H69" s="119"/>
      <c r="I69" s="119"/>
      <c r="J69" s="119"/>
      <c r="K69" s="117"/>
      <c r="L69" s="117"/>
      <c r="M69" s="2"/>
      <c r="N69" s="2"/>
      <c r="O69" s="2"/>
      <c r="P69" s="2"/>
      <c r="Q69" s="2"/>
      <c r="R69" s="2"/>
      <c r="S69" s="862"/>
      <c r="T69" s="109"/>
      <c r="U69" s="2"/>
      <c r="V69" s="2"/>
      <c r="W69" s="2"/>
      <c r="X69" s="2"/>
      <c r="Y69" s="2"/>
      <c r="Z69" s="2"/>
    </row>
    <row r="70">
      <c r="A70" s="531"/>
      <c r="B70" s="977"/>
      <c r="C70" s="119"/>
      <c r="D70" s="977"/>
      <c r="E70" s="977"/>
      <c r="F70" s="119"/>
      <c r="G70" s="119"/>
      <c r="H70" s="119"/>
      <c r="I70" s="119"/>
      <c r="J70" s="119"/>
      <c r="K70" s="117"/>
      <c r="L70" s="117"/>
      <c r="M70" s="2"/>
      <c r="N70" s="2"/>
      <c r="O70" s="2"/>
      <c r="P70" s="2"/>
      <c r="Q70" s="2"/>
      <c r="R70" s="2"/>
      <c r="S70" s="861"/>
      <c r="T70" s="111"/>
      <c r="U70" s="2"/>
      <c r="V70" s="2"/>
      <c r="W70" s="2"/>
      <c r="X70" s="2"/>
      <c r="Y70" s="2"/>
      <c r="Z70" s="2"/>
    </row>
    <row r="71">
      <c r="A71" s="531"/>
      <c r="B71" s="977"/>
      <c r="C71" s="119"/>
      <c r="D71" s="977"/>
      <c r="E71" s="977"/>
      <c r="F71" s="119"/>
      <c r="G71" s="119"/>
      <c r="H71" s="119"/>
      <c r="I71" s="119"/>
      <c r="J71" s="119"/>
      <c r="K71" s="117"/>
      <c r="L71" s="117"/>
      <c r="M71" s="2"/>
      <c r="N71" s="2"/>
      <c r="O71" s="2"/>
      <c r="P71" s="2"/>
      <c r="Q71" s="2"/>
      <c r="R71" s="2"/>
      <c r="S71" s="861"/>
      <c r="T71" s="111"/>
      <c r="U71" s="2"/>
      <c r="V71" s="2"/>
      <c r="W71" s="2"/>
      <c r="X71" s="2"/>
      <c r="Y71" s="2"/>
      <c r="Z71" s="2"/>
    </row>
    <row r="72">
      <c r="A72" s="531"/>
      <c r="B72" s="977"/>
      <c r="C72" s="119"/>
      <c r="D72" s="977"/>
      <c r="E72" s="977"/>
      <c r="F72" s="119"/>
      <c r="G72" s="119"/>
      <c r="H72" s="119"/>
      <c r="I72" s="119"/>
      <c r="J72" s="119"/>
      <c r="K72" s="117"/>
      <c r="L72" s="117"/>
      <c r="M72" s="2"/>
      <c r="N72" s="2"/>
      <c r="O72" s="2"/>
      <c r="P72" s="2"/>
      <c r="Q72" s="2"/>
      <c r="R72" s="2"/>
      <c r="S72" s="861"/>
      <c r="T72" s="111"/>
      <c r="U72" s="2"/>
      <c r="V72" s="2"/>
      <c r="W72" s="2"/>
      <c r="X72" s="2"/>
      <c r="Y72" s="2"/>
      <c r="Z72" s="2"/>
    </row>
    <row r="73">
      <c r="A73" s="531"/>
      <c r="B73" s="977"/>
      <c r="C73" s="119"/>
      <c r="D73" s="977"/>
      <c r="E73" s="977"/>
      <c r="F73" s="119"/>
      <c r="G73" s="119"/>
      <c r="H73" s="119"/>
      <c r="I73" s="119"/>
      <c r="J73" s="119"/>
      <c r="K73" s="117"/>
      <c r="L73" s="117"/>
      <c r="M73" s="2"/>
      <c r="N73" s="2"/>
      <c r="O73" s="2"/>
      <c r="P73" s="2"/>
      <c r="Q73" s="2"/>
      <c r="R73" s="2"/>
      <c r="S73" s="861"/>
      <c r="T73" s="111"/>
      <c r="U73" s="2"/>
      <c r="V73" s="2"/>
      <c r="W73" s="2"/>
      <c r="X73" s="2"/>
      <c r="Y73" s="2"/>
      <c r="Z73" s="2"/>
    </row>
    <row r="74">
      <c r="A74" s="531"/>
      <c r="B74" s="977"/>
      <c r="C74" s="119"/>
      <c r="D74" s="977"/>
      <c r="E74" s="977"/>
      <c r="F74" s="119"/>
      <c r="G74" s="119"/>
      <c r="H74" s="119"/>
      <c r="I74" s="119"/>
      <c r="J74" s="119"/>
      <c r="K74" s="117"/>
      <c r="L74" s="117"/>
      <c r="M74" s="2"/>
      <c r="N74" s="2"/>
      <c r="O74" s="2"/>
      <c r="P74" s="2"/>
      <c r="Q74" s="2"/>
      <c r="R74" s="2"/>
      <c r="S74" s="861"/>
      <c r="T74" s="111"/>
      <c r="U74" s="2"/>
      <c r="V74" s="2"/>
      <c r="W74" s="2"/>
      <c r="X74" s="2"/>
      <c r="Y74" s="2"/>
      <c r="Z74" s="2"/>
    </row>
    <row r="75">
      <c r="A75" s="531"/>
      <c r="B75" s="977"/>
      <c r="C75" s="119"/>
      <c r="D75" s="977"/>
      <c r="E75" s="977"/>
      <c r="F75" s="119"/>
      <c r="G75" s="119"/>
      <c r="H75" s="119"/>
      <c r="I75" s="119"/>
      <c r="J75" s="119"/>
      <c r="K75" s="117"/>
      <c r="L75" s="117"/>
      <c r="M75" s="2"/>
      <c r="N75" s="2"/>
      <c r="O75" s="2"/>
      <c r="P75" s="2"/>
      <c r="Q75" s="2"/>
      <c r="R75" s="2"/>
      <c r="S75" s="861"/>
      <c r="T75" s="111"/>
      <c r="U75" s="2"/>
      <c r="V75" s="2"/>
      <c r="W75" s="2"/>
      <c r="X75" s="2"/>
      <c r="Y75" s="2"/>
      <c r="Z75" s="2"/>
    </row>
    <row r="76">
      <c r="A76" s="531"/>
      <c r="B76" s="977"/>
      <c r="C76" s="119"/>
      <c r="D76" s="977"/>
      <c r="E76" s="977"/>
      <c r="F76" s="119"/>
      <c r="G76" s="119"/>
      <c r="H76" s="119"/>
      <c r="I76" s="119"/>
      <c r="J76" s="119"/>
      <c r="K76" s="117"/>
      <c r="L76" s="117"/>
      <c r="M76" s="2"/>
      <c r="N76" s="2"/>
      <c r="O76" s="2"/>
      <c r="P76" s="2"/>
      <c r="Q76" s="2"/>
      <c r="R76" s="2"/>
      <c r="S76" s="861"/>
      <c r="T76" s="111"/>
      <c r="U76" s="2"/>
      <c r="V76" s="2"/>
      <c r="W76" s="2"/>
      <c r="X76" s="2"/>
      <c r="Y76" s="2"/>
      <c r="Z76" s="2"/>
    </row>
    <row r="77">
      <c r="A77" s="531"/>
      <c r="B77" s="977"/>
      <c r="C77" s="119"/>
      <c r="D77" s="977"/>
      <c r="E77" s="977"/>
      <c r="F77" s="119"/>
      <c r="G77" s="119"/>
      <c r="H77" s="119"/>
      <c r="I77" s="119"/>
      <c r="J77" s="119"/>
      <c r="K77" s="117"/>
      <c r="L77" s="117"/>
      <c r="M77" s="2"/>
      <c r="N77" s="2"/>
      <c r="O77" s="2"/>
      <c r="P77" s="2"/>
      <c r="Q77" s="2"/>
      <c r="R77" s="2"/>
      <c r="S77" s="861"/>
      <c r="T77" s="111"/>
      <c r="U77" s="2"/>
      <c r="V77" s="2"/>
      <c r="W77" s="2"/>
      <c r="X77" s="2"/>
      <c r="Y77" s="2"/>
      <c r="Z77" s="2"/>
    </row>
    <row r="78">
      <c r="A78" s="531"/>
      <c r="B78" s="977"/>
      <c r="C78" s="119"/>
      <c r="D78" s="977"/>
      <c r="E78" s="977"/>
      <c r="F78" s="119"/>
      <c r="G78" s="119"/>
      <c r="H78" s="119"/>
      <c r="I78" s="119"/>
      <c r="J78" s="119"/>
      <c r="K78" s="117"/>
      <c r="L78" s="117"/>
      <c r="M78" s="2"/>
      <c r="N78" s="2"/>
      <c r="O78" s="2"/>
      <c r="P78" s="2"/>
      <c r="Q78" s="2"/>
      <c r="R78" s="2"/>
      <c r="S78" s="862"/>
      <c r="T78" s="109"/>
      <c r="U78" s="2"/>
      <c r="V78" s="2"/>
      <c r="W78" s="2"/>
      <c r="X78" s="2"/>
      <c r="Y78" s="2"/>
      <c r="Z78" s="2"/>
    </row>
    <row r="79">
      <c r="A79" s="531"/>
      <c r="B79" s="977"/>
      <c r="C79" s="119"/>
      <c r="D79" s="977"/>
      <c r="E79" s="977"/>
      <c r="F79" s="119"/>
      <c r="G79" s="119"/>
      <c r="H79" s="119"/>
      <c r="I79" s="119"/>
      <c r="J79" s="119"/>
      <c r="K79" s="117"/>
      <c r="L79" s="117"/>
      <c r="M79" s="2"/>
      <c r="N79" s="2"/>
      <c r="O79" s="2"/>
      <c r="P79" s="2"/>
      <c r="Q79" s="2"/>
      <c r="R79" s="2"/>
      <c r="S79" s="862"/>
      <c r="T79" s="109"/>
      <c r="U79" s="54"/>
      <c r="V79" s="54"/>
      <c r="W79" s="54"/>
      <c r="X79" s="54"/>
      <c r="Y79" s="54"/>
      <c r="Z79" s="54"/>
    </row>
    <row r="80">
      <c r="A80" s="531"/>
      <c r="B80" s="977"/>
      <c r="C80" s="119"/>
      <c r="D80" s="977"/>
      <c r="E80" s="977"/>
      <c r="F80" s="119"/>
      <c r="G80" s="119"/>
      <c r="H80" s="119"/>
      <c r="I80" s="119"/>
      <c r="J80" s="119"/>
      <c r="K80" s="117"/>
      <c r="L80" s="117"/>
      <c r="M80" s="2"/>
      <c r="N80" s="2"/>
      <c r="O80" s="2"/>
      <c r="P80" s="2"/>
      <c r="Q80" s="2"/>
      <c r="R80" s="2"/>
      <c r="S80" s="117"/>
      <c r="T80" s="2"/>
      <c r="U80" s="2"/>
      <c r="V80" s="2"/>
      <c r="W80" s="2"/>
      <c r="X80" s="2"/>
      <c r="Y80" s="2"/>
      <c r="Z80" s="2"/>
    </row>
    <row r="81">
      <c r="A81" s="531"/>
      <c r="B81" s="977"/>
      <c r="C81" s="119"/>
      <c r="D81" s="977"/>
      <c r="E81" s="977"/>
      <c r="F81" s="119"/>
      <c r="G81" s="119"/>
      <c r="H81" s="119"/>
      <c r="I81" s="119"/>
      <c r="J81" s="119"/>
      <c r="K81" s="117"/>
      <c r="L81" s="117"/>
      <c r="M81" s="2"/>
      <c r="N81" s="2"/>
      <c r="O81" s="2"/>
      <c r="P81" s="2"/>
      <c r="Q81" s="2"/>
      <c r="R81" s="2"/>
      <c r="S81" s="117"/>
      <c r="T81" s="2"/>
      <c r="U81" s="2"/>
      <c r="V81" s="2"/>
      <c r="W81" s="2"/>
      <c r="X81" s="2"/>
      <c r="Y81" s="2"/>
      <c r="Z81" s="2"/>
    </row>
    <row r="82">
      <c r="A82" s="531"/>
      <c r="B82" s="977"/>
      <c r="C82" s="119"/>
      <c r="D82" s="977"/>
      <c r="E82" s="977"/>
      <c r="F82" s="119"/>
      <c r="G82" s="119"/>
      <c r="H82" s="119"/>
      <c r="I82" s="119"/>
      <c r="J82" s="119"/>
      <c r="K82" s="117"/>
      <c r="L82" s="117"/>
      <c r="M82" s="2"/>
      <c r="N82" s="2"/>
      <c r="O82" s="2"/>
      <c r="P82" s="2"/>
      <c r="Q82" s="2"/>
      <c r="R82" s="2"/>
      <c r="S82" s="847"/>
      <c r="T82" s="847"/>
      <c r="U82" s="116"/>
      <c r="V82" s="116"/>
      <c r="W82" s="116"/>
      <c r="X82" s="116"/>
      <c r="Y82" s="116"/>
      <c r="Z82" s="116"/>
    </row>
    <row r="83">
      <c r="A83" s="531"/>
      <c r="B83" s="977"/>
      <c r="C83" s="119"/>
      <c r="D83" s="977"/>
      <c r="E83" s="977"/>
      <c r="F83" s="119"/>
      <c r="G83" s="119"/>
      <c r="H83" s="119"/>
      <c r="I83" s="119"/>
      <c r="J83" s="119"/>
      <c r="K83" s="117"/>
      <c r="L83" s="117"/>
      <c r="M83" s="2"/>
      <c r="N83" s="2"/>
      <c r="O83" s="2"/>
      <c r="P83" s="2"/>
      <c r="Q83" s="2"/>
      <c r="R83" s="2"/>
      <c r="S83" s="848"/>
      <c r="T83" s="848"/>
      <c r="U83" s="848"/>
      <c r="V83" s="848"/>
      <c r="W83" s="848"/>
      <c r="X83" s="848"/>
      <c r="Y83" s="848"/>
      <c r="Z83" s="848"/>
    </row>
    <row r="84">
      <c r="A84" s="531"/>
      <c r="B84" s="977"/>
      <c r="C84" s="119"/>
      <c r="D84" s="977"/>
      <c r="E84" s="977"/>
      <c r="F84" s="119"/>
      <c r="G84" s="119"/>
      <c r="H84" s="119"/>
      <c r="I84" s="119"/>
      <c r="J84" s="119"/>
      <c r="K84" s="117"/>
      <c r="L84" s="117"/>
      <c r="M84" s="2"/>
      <c r="N84" s="2"/>
      <c r="O84" s="2"/>
      <c r="P84" s="2"/>
      <c r="Q84" s="2"/>
      <c r="R84" s="2"/>
      <c r="S84" s="849"/>
      <c r="T84" s="850"/>
      <c r="U84" s="851"/>
      <c r="V84" s="851"/>
      <c r="W84" s="851"/>
      <c r="X84" s="851"/>
      <c r="Y84" s="851"/>
      <c r="Z84" s="851"/>
    </row>
    <row r="85">
      <c r="A85" s="531"/>
      <c r="B85" s="977"/>
      <c r="C85" s="119"/>
      <c r="D85" s="977"/>
      <c r="E85" s="977"/>
      <c r="F85" s="119"/>
      <c r="G85" s="119"/>
      <c r="H85" s="119"/>
      <c r="I85" s="119"/>
      <c r="J85" s="119"/>
      <c r="K85" s="117"/>
      <c r="L85" s="117"/>
      <c r="M85" s="2"/>
      <c r="N85" s="2"/>
      <c r="O85" s="2"/>
      <c r="P85" s="2"/>
      <c r="Q85" s="2"/>
      <c r="R85" s="2"/>
      <c r="S85" s="852"/>
      <c r="T85" s="853"/>
      <c r="U85" s="854"/>
      <c r="V85" s="854"/>
      <c r="W85" s="854"/>
      <c r="X85" s="854"/>
      <c r="Y85" s="854"/>
      <c r="Z85" s="854"/>
    </row>
    <row r="86">
      <c r="A86" s="531"/>
      <c r="B86" s="977"/>
      <c r="C86" s="119"/>
      <c r="D86" s="977"/>
      <c r="E86" s="977"/>
      <c r="F86" s="119"/>
      <c r="G86" s="119"/>
      <c r="H86" s="119"/>
      <c r="I86" s="119"/>
      <c r="J86" s="119"/>
      <c r="K86" s="117"/>
      <c r="L86" s="117"/>
      <c r="M86" s="2"/>
      <c r="N86" s="2"/>
      <c r="O86" s="2"/>
      <c r="P86" s="2"/>
      <c r="Q86" s="2"/>
      <c r="R86" s="2"/>
      <c r="S86" s="855"/>
      <c r="T86" s="856"/>
      <c r="U86" s="854"/>
      <c r="V86" s="854"/>
      <c r="W86" s="854"/>
      <c r="X86" s="854"/>
      <c r="Y86" s="854"/>
      <c r="Z86" s="854"/>
    </row>
    <row r="87">
      <c r="A87" s="531"/>
      <c r="B87" s="977"/>
      <c r="C87" s="119"/>
      <c r="D87" s="977"/>
      <c r="E87" s="977"/>
      <c r="F87" s="119"/>
      <c r="G87" s="119"/>
      <c r="H87" s="119"/>
      <c r="I87" s="119"/>
      <c r="J87" s="119"/>
      <c r="K87" s="117"/>
      <c r="L87" s="117"/>
      <c r="M87" s="2"/>
      <c r="N87" s="2"/>
      <c r="O87" s="2"/>
      <c r="P87" s="2"/>
      <c r="Q87" s="2"/>
      <c r="R87" s="2"/>
      <c r="S87" s="855"/>
      <c r="T87" s="856"/>
      <c r="U87" s="854"/>
      <c r="V87" s="854"/>
      <c r="W87" s="854"/>
      <c r="X87" s="854"/>
      <c r="Y87" s="854"/>
      <c r="Z87" s="854"/>
    </row>
    <row r="88">
      <c r="A88" s="531"/>
      <c r="B88" s="977"/>
      <c r="C88" s="119"/>
      <c r="D88" s="977"/>
      <c r="E88" s="977"/>
      <c r="F88" s="119"/>
      <c r="G88" s="119"/>
      <c r="H88" s="119"/>
      <c r="I88" s="119"/>
      <c r="J88" s="119"/>
      <c r="K88" s="117"/>
      <c r="L88" s="117"/>
      <c r="M88" s="2"/>
      <c r="N88" s="2"/>
      <c r="O88" s="2"/>
      <c r="P88" s="2"/>
      <c r="Q88" s="2"/>
      <c r="R88" s="2"/>
      <c r="S88" s="852"/>
      <c r="T88" s="853"/>
      <c r="U88" s="854"/>
      <c r="V88" s="854"/>
      <c r="W88" s="854"/>
      <c r="X88" s="854"/>
      <c r="Y88" s="854"/>
      <c r="Z88" s="854"/>
    </row>
    <row r="89">
      <c r="A89" s="531"/>
      <c r="B89" s="977"/>
      <c r="C89" s="119"/>
      <c r="D89" s="977"/>
      <c r="E89" s="977"/>
      <c r="F89" s="119"/>
      <c r="G89" s="119"/>
      <c r="H89" s="119"/>
      <c r="I89" s="119"/>
      <c r="J89" s="119"/>
      <c r="K89" s="117"/>
      <c r="L89" s="117"/>
      <c r="M89" s="2"/>
      <c r="N89" s="2"/>
      <c r="O89" s="2"/>
      <c r="P89" s="2"/>
      <c r="Q89" s="2"/>
      <c r="R89" s="2"/>
      <c r="S89" s="857"/>
      <c r="T89" s="858"/>
      <c r="U89" s="854"/>
      <c r="V89" s="854"/>
      <c r="W89" s="854"/>
      <c r="X89" s="854"/>
      <c r="Y89" s="854"/>
      <c r="Z89" s="854"/>
    </row>
    <row r="90">
      <c r="A90" s="531"/>
      <c r="B90" s="977"/>
      <c r="C90" s="119"/>
      <c r="D90" s="977"/>
      <c r="E90" s="977"/>
      <c r="F90" s="119"/>
      <c r="G90" s="119"/>
      <c r="H90" s="119"/>
      <c r="I90" s="119"/>
      <c r="J90" s="119"/>
      <c r="K90" s="117"/>
      <c r="L90" s="117"/>
      <c r="M90" s="2"/>
      <c r="N90" s="2"/>
      <c r="O90" s="2"/>
      <c r="P90" s="2"/>
      <c r="Q90" s="2"/>
      <c r="R90" s="2"/>
      <c r="S90" s="857"/>
      <c r="T90" s="858"/>
      <c r="U90" s="854"/>
      <c r="V90" s="854"/>
      <c r="W90" s="854"/>
      <c r="X90" s="854"/>
      <c r="Y90" s="854"/>
      <c r="Z90" s="854"/>
    </row>
    <row r="91">
      <c r="A91" s="531"/>
      <c r="B91" s="977"/>
      <c r="C91" s="119"/>
      <c r="D91" s="977"/>
      <c r="E91" s="977"/>
      <c r="F91" s="119"/>
      <c r="G91" s="119"/>
      <c r="H91" s="119"/>
      <c r="I91" s="119"/>
      <c r="J91" s="119"/>
      <c r="K91" s="117"/>
      <c r="L91" s="117"/>
      <c r="M91" s="2"/>
      <c r="N91" s="2"/>
      <c r="O91" s="2"/>
      <c r="P91" s="2"/>
      <c r="Q91" s="2"/>
      <c r="R91" s="2"/>
      <c r="S91" s="857"/>
      <c r="T91" s="858"/>
      <c r="U91" s="854"/>
      <c r="V91" s="854"/>
      <c r="W91" s="854"/>
      <c r="X91" s="854"/>
      <c r="Y91" s="854"/>
      <c r="Z91" s="854"/>
    </row>
    <row r="92">
      <c r="A92" s="531"/>
      <c r="B92" s="977"/>
      <c r="C92" s="119"/>
      <c r="D92" s="977"/>
      <c r="E92" s="977"/>
      <c r="F92" s="119"/>
      <c r="G92" s="119"/>
      <c r="H92" s="119"/>
      <c r="I92" s="119"/>
      <c r="J92" s="119"/>
      <c r="K92" s="117"/>
      <c r="L92" s="117"/>
      <c r="M92" s="2"/>
      <c r="N92" s="2"/>
      <c r="O92" s="2"/>
      <c r="P92" s="2"/>
      <c r="Q92" s="2"/>
      <c r="R92" s="2"/>
      <c r="S92" s="852"/>
      <c r="T92" s="853"/>
      <c r="U92" s="854"/>
      <c r="V92" s="854"/>
      <c r="W92" s="854"/>
      <c r="X92" s="854"/>
      <c r="Y92" s="854"/>
      <c r="Z92" s="854"/>
    </row>
    <row r="93">
      <c r="A93" s="531"/>
      <c r="B93" s="977"/>
      <c r="C93" s="119"/>
      <c r="D93" s="977"/>
      <c r="E93" s="977"/>
      <c r="F93" s="119"/>
      <c r="G93" s="119"/>
      <c r="H93" s="119"/>
      <c r="I93" s="119"/>
      <c r="J93" s="119"/>
      <c r="K93" s="117"/>
      <c r="L93" s="117"/>
      <c r="M93" s="2"/>
      <c r="N93" s="2"/>
      <c r="O93" s="2"/>
      <c r="P93" s="2"/>
      <c r="Q93" s="2"/>
      <c r="R93" s="2"/>
      <c r="S93" s="852"/>
      <c r="T93" s="853"/>
      <c r="U93" s="854"/>
      <c r="V93" s="854"/>
      <c r="W93" s="854"/>
      <c r="X93" s="854"/>
      <c r="Y93" s="854"/>
      <c r="Z93" s="854"/>
    </row>
    <row r="94">
      <c r="A94" s="531"/>
      <c r="B94" s="977"/>
      <c r="C94" s="119"/>
      <c r="D94" s="977"/>
      <c r="E94" s="977"/>
      <c r="F94" s="119"/>
      <c r="G94" s="119"/>
      <c r="H94" s="119"/>
      <c r="I94" s="119"/>
      <c r="J94" s="119"/>
      <c r="K94" s="117"/>
      <c r="L94" s="117"/>
      <c r="M94" s="2"/>
      <c r="N94" s="2"/>
      <c r="O94" s="2"/>
      <c r="P94" s="2"/>
      <c r="Q94" s="2"/>
      <c r="R94" s="2"/>
      <c r="S94" s="852"/>
      <c r="T94" s="853"/>
      <c r="U94" s="854"/>
      <c r="V94" s="854"/>
      <c r="W94" s="854"/>
      <c r="X94" s="854"/>
      <c r="Y94" s="854"/>
      <c r="Z94" s="854"/>
    </row>
    <row r="95">
      <c r="A95" s="531"/>
      <c r="B95" s="977"/>
      <c r="C95" s="119"/>
      <c r="D95" s="977"/>
      <c r="E95" s="977"/>
      <c r="F95" s="119"/>
      <c r="G95" s="119"/>
      <c r="H95" s="119"/>
      <c r="I95" s="119"/>
      <c r="J95" s="119"/>
      <c r="K95" s="117"/>
      <c r="L95" s="117"/>
      <c r="M95" s="2"/>
      <c r="N95" s="2"/>
      <c r="O95" s="2"/>
      <c r="P95" s="2"/>
      <c r="Q95" s="2"/>
      <c r="R95" s="2"/>
      <c r="S95" s="852"/>
      <c r="T95" s="853"/>
      <c r="U95" s="854"/>
      <c r="V95" s="854"/>
      <c r="W95" s="854"/>
      <c r="X95" s="854"/>
      <c r="Y95" s="854"/>
      <c r="Z95" s="854"/>
    </row>
    <row r="96">
      <c r="A96" s="531"/>
      <c r="B96" s="977"/>
      <c r="C96" s="119"/>
      <c r="D96" s="977"/>
      <c r="E96" s="977"/>
      <c r="F96" s="119"/>
      <c r="G96" s="119"/>
      <c r="H96" s="119"/>
      <c r="I96" s="119"/>
      <c r="J96" s="119"/>
      <c r="K96" s="117"/>
      <c r="L96" s="117"/>
      <c r="M96" s="2"/>
      <c r="N96" s="2"/>
      <c r="O96" s="2"/>
      <c r="P96" s="2"/>
      <c r="Q96" s="2"/>
      <c r="R96" s="2"/>
      <c r="S96" s="852"/>
      <c r="T96" s="859"/>
      <c r="U96" s="107"/>
      <c r="V96" s="107"/>
      <c r="W96" s="107"/>
      <c r="X96" s="107"/>
      <c r="Y96" s="107"/>
      <c r="Z96" s="107"/>
    </row>
    <row r="97">
      <c r="A97" s="531"/>
      <c r="B97" s="977"/>
      <c r="C97" s="119"/>
      <c r="D97" s="977"/>
      <c r="E97" s="977"/>
      <c r="F97" s="119"/>
      <c r="G97" s="119"/>
      <c r="H97" s="119"/>
      <c r="I97" s="119"/>
      <c r="J97" s="119"/>
      <c r="K97" s="117"/>
      <c r="L97" s="117"/>
      <c r="M97" s="2"/>
      <c r="N97" s="2"/>
      <c r="O97" s="2"/>
      <c r="P97" s="2"/>
      <c r="Q97" s="2"/>
      <c r="R97" s="2"/>
      <c r="S97" s="852"/>
      <c r="T97" s="859"/>
      <c r="U97" s="107"/>
      <c r="V97" s="107"/>
      <c r="W97" s="107"/>
      <c r="X97" s="107"/>
      <c r="Y97" s="107"/>
      <c r="Z97" s="107"/>
    </row>
    <row r="98">
      <c r="A98" s="531"/>
      <c r="B98" s="977"/>
      <c r="C98" s="119"/>
      <c r="D98" s="977"/>
      <c r="E98" s="977"/>
      <c r="F98" s="119"/>
      <c r="G98" s="119"/>
      <c r="H98" s="119"/>
      <c r="I98" s="119"/>
      <c r="J98" s="119"/>
      <c r="K98" s="117"/>
      <c r="L98" s="117"/>
      <c r="M98" s="2"/>
      <c r="N98" s="2"/>
      <c r="O98" s="2"/>
      <c r="P98" s="2"/>
      <c r="Q98" s="2"/>
      <c r="R98" s="2"/>
      <c r="S98" s="852"/>
      <c r="T98" s="859"/>
      <c r="U98" s="107"/>
      <c r="V98" s="107"/>
      <c r="W98" s="107"/>
      <c r="X98" s="107"/>
      <c r="Y98" s="107"/>
      <c r="Z98" s="107"/>
    </row>
    <row r="99">
      <c r="A99" s="531"/>
      <c r="B99" s="977"/>
      <c r="C99" s="119"/>
      <c r="D99" s="977"/>
      <c r="E99" s="977"/>
      <c r="F99" s="119"/>
      <c r="G99" s="119"/>
      <c r="H99" s="119"/>
      <c r="I99" s="119"/>
      <c r="J99" s="119"/>
      <c r="K99" s="117"/>
      <c r="L99" s="117"/>
      <c r="M99" s="2"/>
      <c r="N99" s="2"/>
      <c r="O99" s="2"/>
      <c r="P99" s="2"/>
      <c r="Q99" s="2"/>
      <c r="R99" s="2"/>
      <c r="S99" s="852"/>
      <c r="T99" s="859"/>
      <c r="U99" s="107"/>
      <c r="V99" s="107"/>
      <c r="W99" s="107"/>
      <c r="X99" s="107"/>
      <c r="Y99" s="107"/>
      <c r="Z99" s="107"/>
    </row>
    <row r="100">
      <c r="A100" s="531"/>
      <c r="B100" s="977"/>
      <c r="C100" s="119"/>
      <c r="D100" s="977"/>
      <c r="E100" s="977"/>
      <c r="F100" s="119"/>
      <c r="G100" s="119"/>
      <c r="H100" s="119"/>
      <c r="I100" s="119"/>
      <c r="J100" s="119"/>
      <c r="K100" s="117"/>
      <c r="L100" s="117"/>
      <c r="M100" s="2"/>
      <c r="N100" s="2"/>
      <c r="O100" s="2"/>
      <c r="P100" s="2"/>
      <c r="Q100" s="2"/>
      <c r="R100" s="2"/>
      <c r="S100" s="852"/>
      <c r="T100" s="859"/>
      <c r="U100" s="107"/>
      <c r="V100" s="107"/>
      <c r="W100" s="107"/>
      <c r="X100" s="107"/>
      <c r="Y100" s="107"/>
      <c r="Z100" s="107"/>
    </row>
    <row r="101">
      <c r="A101" s="531"/>
      <c r="B101" s="977"/>
      <c r="C101" s="119"/>
      <c r="D101" s="977"/>
      <c r="E101" s="977"/>
      <c r="F101" s="119"/>
      <c r="G101" s="119"/>
      <c r="H101" s="119"/>
      <c r="I101" s="119"/>
      <c r="J101" s="119"/>
      <c r="K101" s="117"/>
      <c r="L101" s="117"/>
      <c r="M101" s="2"/>
      <c r="N101" s="2"/>
      <c r="O101" s="2"/>
      <c r="P101" s="2"/>
      <c r="Q101" s="2"/>
      <c r="R101" s="2"/>
      <c r="S101" s="852"/>
      <c r="T101" s="859"/>
      <c r="U101" s="107"/>
      <c r="V101" s="107"/>
      <c r="W101" s="107"/>
      <c r="X101" s="107"/>
      <c r="Y101" s="107"/>
      <c r="Z101" s="107"/>
    </row>
    <row r="102">
      <c r="A102" s="531"/>
      <c r="B102" s="977"/>
      <c r="C102" s="119"/>
      <c r="D102" s="977"/>
      <c r="E102" s="977"/>
      <c r="F102" s="119"/>
      <c r="G102" s="119"/>
      <c r="H102" s="119"/>
      <c r="I102" s="119"/>
      <c r="J102" s="119"/>
      <c r="K102" s="117"/>
      <c r="L102" s="117"/>
      <c r="M102" s="2"/>
      <c r="N102" s="2"/>
      <c r="O102" s="2"/>
      <c r="P102" s="2"/>
      <c r="Q102" s="2"/>
      <c r="R102" s="2"/>
      <c r="S102" s="852"/>
      <c r="T102" s="859"/>
      <c r="U102" s="107"/>
      <c r="V102" s="107"/>
      <c r="W102" s="107"/>
      <c r="X102" s="107"/>
      <c r="Y102" s="107"/>
      <c r="Z102" s="107"/>
    </row>
    <row r="103">
      <c r="A103" s="531"/>
      <c r="B103" s="977"/>
      <c r="C103" s="119"/>
      <c r="D103" s="977"/>
      <c r="E103" s="977"/>
      <c r="F103" s="119"/>
      <c r="G103" s="119"/>
      <c r="H103" s="119"/>
      <c r="I103" s="119"/>
      <c r="J103" s="119"/>
      <c r="K103" s="117"/>
      <c r="L103" s="117"/>
      <c r="M103" s="2"/>
      <c r="N103" s="2"/>
      <c r="O103" s="2"/>
      <c r="P103" s="2"/>
      <c r="Q103" s="2"/>
      <c r="R103" s="2"/>
      <c r="S103" s="852"/>
      <c r="T103" s="859"/>
      <c r="U103" s="107"/>
      <c r="V103" s="107"/>
      <c r="W103" s="107"/>
      <c r="X103" s="107"/>
      <c r="Y103" s="107"/>
      <c r="Z103" s="107"/>
    </row>
    <row r="104">
      <c r="A104" s="531"/>
      <c r="B104" s="977"/>
      <c r="C104" s="119"/>
      <c r="D104" s="977"/>
      <c r="E104" s="977"/>
      <c r="F104" s="119"/>
      <c r="G104" s="119"/>
      <c r="H104" s="119"/>
      <c r="I104" s="119"/>
      <c r="J104" s="119"/>
      <c r="K104" s="117"/>
      <c r="L104" s="117"/>
      <c r="M104" s="2"/>
      <c r="N104" s="2"/>
      <c r="O104" s="2"/>
      <c r="P104" s="2"/>
      <c r="Q104" s="2"/>
      <c r="R104" s="2"/>
      <c r="S104" s="852"/>
      <c r="T104" s="859"/>
      <c r="U104" s="107"/>
      <c r="V104" s="107"/>
      <c r="W104" s="107"/>
      <c r="X104" s="107"/>
      <c r="Y104" s="107"/>
      <c r="Z104" s="107"/>
    </row>
    <row r="105">
      <c r="A105" s="531"/>
      <c r="B105" s="977"/>
      <c r="C105" s="119"/>
      <c r="D105" s="977"/>
      <c r="E105" s="977"/>
      <c r="F105" s="119"/>
      <c r="G105" s="119"/>
      <c r="H105" s="119"/>
      <c r="I105" s="119"/>
      <c r="J105" s="119"/>
      <c r="K105" s="117"/>
      <c r="L105" s="117"/>
      <c r="M105" s="2"/>
      <c r="N105" s="2"/>
      <c r="O105" s="2"/>
      <c r="P105" s="2"/>
      <c r="Q105" s="2"/>
      <c r="R105" s="2"/>
      <c r="S105" s="852"/>
      <c r="T105" s="859"/>
      <c r="U105" s="107"/>
      <c r="V105" s="107"/>
      <c r="W105" s="107"/>
      <c r="X105" s="107"/>
      <c r="Y105" s="107"/>
      <c r="Z105" s="107"/>
    </row>
    <row r="106">
      <c r="A106" s="531"/>
      <c r="B106" s="977"/>
      <c r="C106" s="119"/>
      <c r="D106" s="977"/>
      <c r="E106" s="977"/>
      <c r="F106" s="119"/>
      <c r="G106" s="119"/>
      <c r="H106" s="119"/>
      <c r="I106" s="119"/>
      <c r="J106" s="119"/>
      <c r="K106" s="117"/>
      <c r="L106" s="117"/>
      <c r="M106" s="2"/>
      <c r="N106" s="2"/>
      <c r="O106" s="2"/>
      <c r="P106" s="2"/>
      <c r="Q106" s="2"/>
      <c r="R106" s="2"/>
      <c r="S106" s="857"/>
      <c r="T106" s="860"/>
      <c r="U106" s="107"/>
      <c r="V106" s="107"/>
      <c r="W106" s="107"/>
      <c r="X106" s="107"/>
      <c r="Y106" s="107"/>
      <c r="Z106" s="107"/>
    </row>
    <row r="107">
      <c r="A107" s="531"/>
      <c r="B107" s="977"/>
      <c r="C107" s="119"/>
      <c r="D107" s="977"/>
      <c r="E107" s="977"/>
      <c r="F107" s="119"/>
      <c r="G107" s="119"/>
      <c r="H107" s="119"/>
      <c r="I107" s="119"/>
      <c r="J107" s="119"/>
      <c r="K107" s="117"/>
      <c r="L107" s="117"/>
      <c r="M107" s="2"/>
      <c r="N107" s="2"/>
      <c r="O107" s="2"/>
      <c r="P107" s="2"/>
      <c r="Q107" s="2"/>
      <c r="R107" s="2"/>
      <c r="S107" s="861"/>
      <c r="T107" s="111"/>
      <c r="U107" s="2"/>
      <c r="V107" s="2"/>
      <c r="W107" s="2"/>
      <c r="X107" s="2"/>
      <c r="Y107" s="2"/>
      <c r="Z107" s="2"/>
    </row>
    <row r="108">
      <c r="A108" s="531"/>
      <c r="B108" s="977"/>
      <c r="C108" s="119"/>
      <c r="D108" s="977"/>
      <c r="E108" s="977"/>
      <c r="F108" s="119"/>
      <c r="G108" s="119"/>
      <c r="H108" s="119"/>
      <c r="I108" s="119"/>
      <c r="J108" s="119"/>
      <c r="K108" s="117"/>
      <c r="L108" s="117"/>
      <c r="M108" s="2"/>
      <c r="N108" s="2"/>
      <c r="O108" s="2"/>
      <c r="P108" s="2"/>
      <c r="Q108" s="2"/>
      <c r="R108" s="2"/>
      <c r="S108" s="861"/>
      <c r="T108" s="111"/>
      <c r="U108" s="2"/>
      <c r="V108" s="2"/>
      <c r="W108" s="2"/>
      <c r="X108" s="2"/>
      <c r="Y108" s="2"/>
      <c r="Z108" s="2"/>
    </row>
    <row r="109">
      <c r="A109" s="531"/>
      <c r="B109" s="977"/>
      <c r="C109" s="119"/>
      <c r="D109" s="977"/>
      <c r="E109" s="977"/>
      <c r="F109" s="119"/>
      <c r="G109" s="119"/>
      <c r="H109" s="119"/>
      <c r="I109" s="119"/>
      <c r="J109" s="119"/>
      <c r="K109" s="117"/>
      <c r="L109" s="117"/>
      <c r="M109" s="2"/>
      <c r="N109" s="2"/>
      <c r="O109" s="2"/>
      <c r="P109" s="2"/>
      <c r="Q109" s="2"/>
      <c r="R109" s="2"/>
      <c r="S109" s="861"/>
      <c r="T109" s="111"/>
      <c r="U109" s="2"/>
      <c r="V109" s="2"/>
      <c r="W109" s="2"/>
      <c r="X109" s="2"/>
      <c r="Y109" s="2"/>
      <c r="Z109" s="2"/>
    </row>
    <row r="110">
      <c r="A110" s="531"/>
      <c r="B110" s="977"/>
      <c r="C110" s="119"/>
      <c r="D110" s="977"/>
      <c r="E110" s="977"/>
      <c r="F110" s="119"/>
      <c r="G110" s="119"/>
      <c r="H110" s="119"/>
      <c r="I110" s="119"/>
      <c r="J110" s="119"/>
      <c r="K110" s="117"/>
      <c r="L110" s="117"/>
      <c r="M110" s="2"/>
      <c r="N110" s="2"/>
      <c r="O110" s="2"/>
      <c r="P110" s="2"/>
      <c r="Q110" s="2"/>
      <c r="R110" s="2"/>
      <c r="S110" s="861"/>
      <c r="T110" s="111"/>
      <c r="U110" s="2"/>
      <c r="V110" s="2"/>
      <c r="W110" s="2"/>
      <c r="X110" s="2"/>
      <c r="Y110" s="2"/>
      <c r="Z110" s="2"/>
    </row>
    <row r="111">
      <c r="A111" s="531"/>
      <c r="B111" s="977"/>
      <c r="C111" s="119"/>
      <c r="D111" s="977"/>
      <c r="E111" s="977"/>
      <c r="F111" s="119"/>
      <c r="G111" s="119"/>
      <c r="H111" s="119"/>
      <c r="I111" s="119"/>
      <c r="J111" s="119"/>
      <c r="K111" s="117"/>
      <c r="L111" s="117"/>
      <c r="M111" s="2"/>
      <c r="N111" s="2"/>
      <c r="O111" s="2"/>
      <c r="P111" s="2"/>
      <c r="Q111" s="2"/>
      <c r="R111" s="2"/>
      <c r="S111" s="861"/>
      <c r="T111" s="111"/>
      <c r="U111" s="2"/>
      <c r="V111" s="2"/>
      <c r="W111" s="2"/>
      <c r="X111" s="2"/>
      <c r="Y111" s="2"/>
      <c r="Z111" s="2"/>
    </row>
    <row r="112">
      <c r="A112" s="531"/>
      <c r="B112" s="977"/>
      <c r="C112" s="119"/>
      <c r="D112" s="977"/>
      <c r="E112" s="977"/>
      <c r="F112" s="119"/>
      <c r="G112" s="119"/>
      <c r="H112" s="119"/>
      <c r="I112" s="119"/>
      <c r="J112" s="119"/>
      <c r="K112" s="117"/>
      <c r="L112" s="117"/>
      <c r="M112" s="2"/>
      <c r="N112" s="2"/>
      <c r="O112" s="2"/>
      <c r="P112" s="2"/>
      <c r="Q112" s="2"/>
      <c r="R112" s="2"/>
      <c r="S112" s="862"/>
      <c r="T112" s="109"/>
      <c r="U112" s="2"/>
      <c r="V112" s="2"/>
      <c r="W112" s="2"/>
      <c r="X112" s="2"/>
      <c r="Y112" s="2"/>
      <c r="Z112" s="2"/>
    </row>
    <row r="113">
      <c r="A113" s="531"/>
      <c r="B113" s="977"/>
      <c r="C113" s="119"/>
      <c r="D113" s="977"/>
      <c r="E113" s="977"/>
      <c r="F113" s="119"/>
      <c r="G113" s="119"/>
      <c r="H113" s="119"/>
      <c r="I113" s="119"/>
      <c r="J113" s="119"/>
      <c r="K113" s="117"/>
      <c r="L113" s="117"/>
      <c r="M113" s="2"/>
      <c r="N113" s="2"/>
      <c r="O113" s="2"/>
      <c r="P113" s="2"/>
      <c r="Q113" s="2"/>
      <c r="R113" s="2"/>
      <c r="S113" s="861"/>
      <c r="T113" s="111"/>
      <c r="U113" s="2"/>
      <c r="V113" s="2"/>
      <c r="W113" s="2"/>
      <c r="X113" s="2"/>
      <c r="Y113" s="2"/>
      <c r="Z113" s="2"/>
    </row>
    <row r="114">
      <c r="A114" s="531"/>
      <c r="B114" s="977"/>
      <c r="C114" s="119"/>
      <c r="D114" s="977"/>
      <c r="E114" s="977"/>
      <c r="F114" s="119"/>
      <c r="G114" s="119"/>
      <c r="H114" s="119"/>
      <c r="I114" s="119"/>
      <c r="J114" s="119"/>
      <c r="K114" s="117"/>
      <c r="L114" s="117"/>
      <c r="M114" s="2"/>
      <c r="N114" s="2"/>
      <c r="O114" s="2"/>
      <c r="P114" s="2"/>
      <c r="Q114" s="2"/>
      <c r="R114" s="2"/>
      <c r="S114" s="861"/>
      <c r="T114" s="111"/>
      <c r="U114" s="2"/>
      <c r="V114" s="2"/>
      <c r="W114" s="2"/>
      <c r="X114" s="2"/>
      <c r="Y114" s="2"/>
      <c r="Z114" s="2"/>
    </row>
    <row r="115">
      <c r="A115" s="531"/>
      <c r="B115" s="977"/>
      <c r="C115" s="119"/>
      <c r="D115" s="977"/>
      <c r="E115" s="977"/>
      <c r="F115" s="119"/>
      <c r="G115" s="119"/>
      <c r="H115" s="119"/>
      <c r="I115" s="119"/>
      <c r="J115" s="119"/>
      <c r="K115" s="117"/>
      <c r="L115" s="117"/>
      <c r="M115" s="2"/>
      <c r="N115" s="2"/>
      <c r="O115" s="2"/>
      <c r="P115" s="2"/>
      <c r="Q115" s="2"/>
      <c r="R115" s="2"/>
      <c r="S115" s="861"/>
      <c r="T115" s="111"/>
      <c r="U115" s="2"/>
      <c r="V115" s="2"/>
      <c r="W115" s="2"/>
      <c r="X115" s="2"/>
      <c r="Y115" s="2"/>
      <c r="Z115" s="2"/>
    </row>
    <row r="116">
      <c r="A116" s="531"/>
      <c r="B116" s="977"/>
      <c r="C116" s="119"/>
      <c r="D116" s="977"/>
      <c r="E116" s="977"/>
      <c r="F116" s="119"/>
      <c r="G116" s="119"/>
      <c r="H116" s="119"/>
      <c r="I116" s="119"/>
      <c r="J116" s="119"/>
      <c r="K116" s="117"/>
      <c r="L116" s="117"/>
      <c r="M116" s="2"/>
      <c r="N116" s="2"/>
      <c r="O116" s="2"/>
      <c r="P116" s="2"/>
      <c r="Q116" s="2"/>
      <c r="R116" s="2"/>
      <c r="S116" s="861"/>
      <c r="T116" s="111"/>
      <c r="U116" s="2"/>
      <c r="V116" s="2"/>
      <c r="W116" s="2"/>
      <c r="X116" s="2"/>
      <c r="Y116" s="2"/>
      <c r="Z116" s="2"/>
    </row>
    <row r="117">
      <c r="A117" s="531"/>
      <c r="B117" s="977"/>
      <c r="C117" s="119"/>
      <c r="D117" s="977"/>
      <c r="E117" s="977"/>
      <c r="F117" s="119"/>
      <c r="G117" s="119"/>
      <c r="H117" s="119"/>
      <c r="I117" s="119"/>
      <c r="J117" s="119"/>
      <c r="K117" s="117"/>
      <c r="L117" s="117"/>
      <c r="M117" s="2"/>
      <c r="N117" s="2"/>
      <c r="O117" s="2"/>
      <c r="P117" s="2"/>
      <c r="Q117" s="2"/>
      <c r="R117" s="2"/>
      <c r="S117" s="861"/>
      <c r="T117" s="111"/>
      <c r="U117" s="2"/>
      <c r="V117" s="2"/>
      <c r="W117" s="2"/>
      <c r="X117" s="2"/>
      <c r="Y117" s="2"/>
      <c r="Z117" s="2"/>
    </row>
    <row r="118">
      <c r="A118" s="531"/>
      <c r="B118" s="977"/>
      <c r="C118" s="119"/>
      <c r="D118" s="977"/>
      <c r="E118" s="977"/>
      <c r="F118" s="119"/>
      <c r="G118" s="119"/>
      <c r="H118" s="119"/>
      <c r="I118" s="119"/>
      <c r="J118" s="119"/>
      <c r="K118" s="117"/>
      <c r="L118" s="117"/>
      <c r="M118" s="2"/>
      <c r="N118" s="2"/>
      <c r="O118" s="2"/>
      <c r="P118" s="2"/>
      <c r="Q118" s="2"/>
      <c r="R118" s="2"/>
      <c r="S118" s="861"/>
      <c r="T118" s="111"/>
      <c r="U118" s="2"/>
      <c r="V118" s="2"/>
      <c r="W118" s="2"/>
      <c r="X118" s="2"/>
      <c r="Y118" s="2"/>
      <c r="Z118" s="2"/>
    </row>
    <row r="119">
      <c r="A119" s="531"/>
      <c r="B119" s="977"/>
      <c r="C119" s="119"/>
      <c r="D119" s="977"/>
      <c r="E119" s="977"/>
      <c r="F119" s="119"/>
      <c r="G119" s="119"/>
      <c r="H119" s="119"/>
      <c r="I119" s="119"/>
      <c r="J119" s="119"/>
      <c r="K119" s="117"/>
      <c r="L119" s="117"/>
      <c r="M119" s="2"/>
      <c r="N119" s="2"/>
      <c r="O119" s="2"/>
      <c r="P119" s="2"/>
      <c r="Q119" s="2"/>
      <c r="R119" s="2"/>
      <c r="S119" s="861"/>
      <c r="T119" s="111"/>
      <c r="U119" s="2"/>
      <c r="V119" s="2"/>
      <c r="W119" s="2"/>
      <c r="X119" s="2"/>
      <c r="Y119" s="2"/>
      <c r="Z119" s="2"/>
    </row>
    <row r="120">
      <c r="A120" s="531"/>
      <c r="B120" s="977"/>
      <c r="C120" s="119"/>
      <c r="D120" s="977"/>
      <c r="E120" s="977"/>
      <c r="F120" s="119"/>
      <c r="G120" s="119"/>
      <c r="H120" s="119"/>
      <c r="I120" s="119"/>
      <c r="J120" s="119"/>
      <c r="K120" s="117"/>
      <c r="L120" s="117"/>
      <c r="M120" s="2"/>
      <c r="N120" s="2"/>
      <c r="O120" s="2"/>
      <c r="P120" s="2"/>
      <c r="Q120" s="2"/>
      <c r="R120" s="2"/>
      <c r="S120" s="861"/>
      <c r="T120" s="111"/>
      <c r="U120" s="2"/>
      <c r="V120" s="2"/>
      <c r="W120" s="2"/>
      <c r="X120" s="2"/>
      <c r="Y120" s="2"/>
      <c r="Z120" s="2"/>
    </row>
    <row r="121">
      <c r="A121" s="531"/>
      <c r="B121" s="977"/>
      <c r="C121" s="119"/>
      <c r="D121" s="977"/>
      <c r="E121" s="977"/>
      <c r="F121" s="119"/>
      <c r="G121" s="119"/>
      <c r="H121" s="119"/>
      <c r="I121" s="119"/>
      <c r="J121" s="119"/>
      <c r="K121" s="117"/>
      <c r="L121" s="117"/>
      <c r="M121" s="2"/>
      <c r="N121" s="2"/>
      <c r="O121" s="2"/>
      <c r="P121" s="2"/>
      <c r="Q121" s="2"/>
      <c r="R121" s="2"/>
      <c r="S121" s="862"/>
      <c r="T121" s="109"/>
      <c r="U121" s="2"/>
      <c r="V121" s="2"/>
      <c r="W121" s="2"/>
      <c r="X121" s="2"/>
      <c r="Y121" s="2"/>
      <c r="Z121" s="2"/>
    </row>
    <row r="122">
      <c r="A122" s="531"/>
      <c r="B122" s="977"/>
      <c r="C122" s="119"/>
      <c r="D122" s="977"/>
      <c r="E122" s="977"/>
      <c r="F122" s="119"/>
      <c r="G122" s="119"/>
      <c r="H122" s="119"/>
      <c r="I122" s="119"/>
      <c r="J122" s="119"/>
      <c r="K122" s="117"/>
      <c r="L122" s="117"/>
      <c r="M122" s="2"/>
      <c r="N122" s="2"/>
      <c r="O122" s="2"/>
      <c r="P122" s="2"/>
      <c r="Q122" s="2"/>
      <c r="R122" s="2"/>
      <c r="S122" s="862"/>
      <c r="T122" s="109"/>
      <c r="U122" s="54"/>
      <c r="V122" s="54"/>
      <c r="W122" s="54"/>
      <c r="X122" s="54"/>
      <c r="Y122" s="54"/>
      <c r="Z122" s="54"/>
    </row>
    <row r="123">
      <c r="A123" s="531"/>
      <c r="B123" s="977"/>
      <c r="C123" s="119"/>
      <c r="D123" s="977"/>
      <c r="E123" s="977"/>
      <c r="F123" s="119"/>
      <c r="G123" s="119"/>
      <c r="H123" s="119"/>
      <c r="I123" s="119"/>
      <c r="J123" s="119"/>
      <c r="K123" s="117"/>
      <c r="L123" s="117"/>
      <c r="M123" s="2"/>
      <c r="N123" s="2"/>
      <c r="O123" s="2"/>
      <c r="P123" s="2"/>
      <c r="Q123" s="2"/>
      <c r="R123" s="2"/>
      <c r="S123" s="117"/>
      <c r="T123" s="2"/>
      <c r="U123" s="2"/>
      <c r="V123" s="2"/>
      <c r="W123" s="2"/>
      <c r="X123" s="2"/>
      <c r="Y123" s="2"/>
      <c r="Z123" s="2"/>
    </row>
    <row r="124">
      <c r="A124" s="531"/>
      <c r="B124" s="977"/>
      <c r="C124" s="119"/>
      <c r="D124" s="977"/>
      <c r="E124" s="977"/>
      <c r="F124" s="119"/>
      <c r="G124" s="119"/>
      <c r="H124" s="119"/>
      <c r="I124" s="119"/>
      <c r="J124" s="119"/>
      <c r="K124" s="117"/>
      <c r="L124" s="117"/>
      <c r="M124" s="2"/>
      <c r="N124" s="2"/>
      <c r="O124" s="2"/>
      <c r="P124" s="2"/>
      <c r="Q124" s="2"/>
      <c r="R124" s="2"/>
      <c r="S124" s="117"/>
      <c r="T124" s="2"/>
      <c r="U124" s="2"/>
      <c r="V124" s="2"/>
      <c r="W124" s="2"/>
      <c r="X124" s="2"/>
      <c r="Y124" s="2"/>
      <c r="Z124" s="2"/>
    </row>
    <row r="125">
      <c r="A125" s="531"/>
      <c r="B125" s="977"/>
      <c r="C125" s="119"/>
      <c r="D125" s="977"/>
      <c r="E125" s="977"/>
      <c r="F125" s="119"/>
      <c r="G125" s="119"/>
      <c r="H125" s="119"/>
      <c r="I125" s="119"/>
      <c r="J125" s="119"/>
      <c r="K125" s="117"/>
      <c r="L125" s="117"/>
      <c r="M125" s="2"/>
      <c r="N125" s="2"/>
      <c r="O125" s="2"/>
      <c r="P125" s="2"/>
      <c r="Q125" s="2"/>
      <c r="R125" s="2"/>
      <c r="S125" s="847"/>
      <c r="T125" s="847"/>
      <c r="U125" s="116"/>
      <c r="V125" s="116"/>
      <c r="W125" s="116"/>
      <c r="X125" s="116"/>
      <c r="Y125" s="116"/>
      <c r="Z125" s="116"/>
    </row>
    <row r="126">
      <c r="A126" s="531"/>
      <c r="B126" s="977"/>
      <c r="C126" s="119"/>
      <c r="D126" s="977"/>
      <c r="E126" s="977"/>
      <c r="F126" s="119"/>
      <c r="G126" s="119"/>
      <c r="H126" s="119"/>
      <c r="I126" s="119"/>
      <c r="J126" s="119"/>
      <c r="K126" s="117"/>
      <c r="L126" s="117"/>
      <c r="M126" s="2"/>
      <c r="N126" s="2"/>
      <c r="O126" s="2"/>
      <c r="P126" s="2"/>
      <c r="Q126" s="2"/>
      <c r="R126" s="2"/>
      <c r="S126" s="848"/>
      <c r="T126" s="848"/>
      <c r="U126" s="848"/>
      <c r="V126" s="848"/>
      <c r="W126" s="848"/>
      <c r="X126" s="848"/>
      <c r="Y126" s="848"/>
      <c r="Z126" s="848"/>
    </row>
    <row r="127">
      <c r="A127" s="531"/>
      <c r="B127" s="977"/>
      <c r="C127" s="119"/>
      <c r="D127" s="977"/>
      <c r="E127" s="977"/>
      <c r="F127" s="119"/>
      <c r="G127" s="119"/>
      <c r="H127" s="119"/>
      <c r="I127" s="119"/>
      <c r="J127" s="119"/>
      <c r="K127" s="117"/>
      <c r="L127" s="117"/>
      <c r="M127" s="2"/>
      <c r="N127" s="2"/>
      <c r="O127" s="2"/>
      <c r="P127" s="2"/>
      <c r="Q127" s="2"/>
      <c r="R127" s="2"/>
      <c r="S127" s="849"/>
      <c r="T127" s="850"/>
      <c r="U127" s="851"/>
      <c r="V127" s="851"/>
      <c r="W127" s="851"/>
      <c r="X127" s="851"/>
      <c r="Y127" s="851"/>
      <c r="Z127" s="851"/>
    </row>
    <row r="128">
      <c r="A128" s="531"/>
      <c r="B128" s="977"/>
      <c r="C128" s="119"/>
      <c r="D128" s="977"/>
      <c r="E128" s="977"/>
      <c r="F128" s="119"/>
      <c r="G128" s="119"/>
      <c r="H128" s="119"/>
      <c r="I128" s="119"/>
      <c r="J128" s="119"/>
      <c r="K128" s="117"/>
      <c r="L128" s="117"/>
      <c r="M128" s="2"/>
      <c r="N128" s="2"/>
      <c r="O128" s="2"/>
      <c r="P128" s="2"/>
      <c r="Q128" s="2"/>
      <c r="R128" s="2"/>
      <c r="S128" s="852"/>
      <c r="T128" s="853"/>
      <c r="U128" s="854"/>
      <c r="V128" s="854"/>
      <c r="W128" s="854"/>
      <c r="X128" s="854"/>
      <c r="Y128" s="854"/>
      <c r="Z128" s="854"/>
    </row>
    <row r="129">
      <c r="A129" s="531"/>
      <c r="B129" s="977"/>
      <c r="C129" s="119"/>
      <c r="D129" s="977"/>
      <c r="E129" s="977"/>
      <c r="F129" s="119"/>
      <c r="G129" s="119"/>
      <c r="H129" s="119"/>
      <c r="I129" s="119"/>
      <c r="J129" s="119"/>
      <c r="K129" s="117"/>
      <c r="L129" s="117"/>
      <c r="M129" s="2"/>
      <c r="N129" s="2"/>
      <c r="O129" s="2"/>
      <c r="P129" s="2"/>
      <c r="Q129" s="2"/>
      <c r="R129" s="2"/>
      <c r="S129" s="855"/>
      <c r="T129" s="856"/>
      <c r="U129" s="854"/>
      <c r="V129" s="854"/>
      <c r="W129" s="854"/>
      <c r="X129" s="854"/>
      <c r="Y129" s="854"/>
      <c r="Z129" s="854"/>
    </row>
    <row r="130">
      <c r="A130" s="531"/>
      <c r="B130" s="977"/>
      <c r="C130" s="119"/>
      <c r="D130" s="977"/>
      <c r="E130" s="977"/>
      <c r="F130" s="119"/>
      <c r="G130" s="119"/>
      <c r="H130" s="119"/>
      <c r="I130" s="119"/>
      <c r="J130" s="119"/>
      <c r="K130" s="117"/>
      <c r="L130" s="117"/>
      <c r="M130" s="2"/>
      <c r="N130" s="2"/>
      <c r="O130" s="2"/>
      <c r="P130" s="2"/>
      <c r="Q130" s="2"/>
      <c r="R130" s="2"/>
      <c r="S130" s="855"/>
      <c r="T130" s="856"/>
      <c r="U130" s="854"/>
      <c r="V130" s="854"/>
      <c r="W130" s="854"/>
      <c r="X130" s="854"/>
      <c r="Y130" s="854"/>
      <c r="Z130" s="854"/>
    </row>
    <row r="131">
      <c r="A131" s="531"/>
      <c r="B131" s="977"/>
      <c r="C131" s="119"/>
      <c r="D131" s="977"/>
      <c r="E131" s="977"/>
      <c r="F131" s="119"/>
      <c r="G131" s="119"/>
      <c r="H131" s="119"/>
      <c r="I131" s="119"/>
      <c r="J131" s="119"/>
      <c r="K131" s="117"/>
      <c r="L131" s="117"/>
      <c r="M131" s="2"/>
      <c r="N131" s="2"/>
      <c r="O131" s="2"/>
      <c r="P131" s="2"/>
      <c r="Q131" s="2"/>
      <c r="R131" s="2"/>
      <c r="S131" s="852"/>
      <c r="T131" s="853"/>
      <c r="U131" s="854"/>
      <c r="V131" s="854"/>
      <c r="W131" s="854"/>
      <c r="X131" s="854"/>
      <c r="Y131" s="854"/>
      <c r="Z131" s="854"/>
    </row>
    <row r="132">
      <c r="A132" s="531"/>
      <c r="B132" s="977"/>
      <c r="C132" s="119"/>
      <c r="D132" s="977"/>
      <c r="E132" s="977"/>
      <c r="F132" s="119"/>
      <c r="G132" s="119"/>
      <c r="H132" s="119"/>
      <c r="I132" s="119"/>
      <c r="J132" s="119"/>
      <c r="K132" s="117"/>
      <c r="L132" s="117"/>
      <c r="M132" s="2"/>
      <c r="N132" s="2"/>
      <c r="O132" s="2"/>
      <c r="P132" s="2"/>
      <c r="Q132" s="2"/>
      <c r="R132" s="2"/>
      <c r="S132" s="857"/>
      <c r="T132" s="858"/>
      <c r="U132" s="854"/>
      <c r="V132" s="854"/>
      <c r="W132" s="854"/>
      <c r="X132" s="854"/>
      <c r="Y132" s="854"/>
      <c r="Z132" s="854"/>
    </row>
    <row r="133">
      <c r="A133" s="531"/>
      <c r="B133" s="977"/>
      <c r="C133" s="119"/>
      <c r="D133" s="977"/>
      <c r="E133" s="977"/>
      <c r="F133" s="119"/>
      <c r="G133" s="119"/>
      <c r="H133" s="119"/>
      <c r="I133" s="119"/>
      <c r="J133" s="119"/>
      <c r="K133" s="117"/>
      <c r="L133" s="117"/>
      <c r="M133" s="2"/>
      <c r="N133" s="2"/>
      <c r="O133" s="2"/>
      <c r="P133" s="2"/>
      <c r="Q133" s="2"/>
      <c r="R133" s="2"/>
      <c r="S133" s="857"/>
      <c r="T133" s="858"/>
      <c r="U133" s="854"/>
      <c r="V133" s="854"/>
      <c r="W133" s="854"/>
      <c r="X133" s="854"/>
      <c r="Y133" s="854"/>
      <c r="Z133" s="854"/>
    </row>
    <row r="134">
      <c r="A134" s="531"/>
      <c r="B134" s="977"/>
      <c r="C134" s="119"/>
      <c r="D134" s="977"/>
      <c r="E134" s="977"/>
      <c r="F134" s="119"/>
      <c r="G134" s="119"/>
      <c r="H134" s="119"/>
      <c r="I134" s="119"/>
      <c r="J134" s="119"/>
      <c r="K134" s="117"/>
      <c r="L134" s="117"/>
      <c r="M134" s="2"/>
      <c r="N134" s="2"/>
      <c r="O134" s="2"/>
      <c r="P134" s="2"/>
      <c r="Q134" s="2"/>
      <c r="R134" s="2"/>
      <c r="S134" s="857"/>
      <c r="T134" s="858"/>
      <c r="U134" s="854"/>
      <c r="V134" s="854"/>
      <c r="W134" s="854"/>
      <c r="X134" s="854"/>
      <c r="Y134" s="854"/>
      <c r="Z134" s="854"/>
    </row>
    <row r="135">
      <c r="A135" s="531"/>
      <c r="B135" s="977"/>
      <c r="C135" s="119"/>
      <c r="D135" s="977"/>
      <c r="E135" s="977"/>
      <c r="F135" s="119"/>
      <c r="G135" s="119"/>
      <c r="H135" s="119"/>
      <c r="I135" s="119"/>
      <c r="J135" s="119"/>
      <c r="K135" s="117"/>
      <c r="L135" s="117"/>
      <c r="M135" s="2"/>
      <c r="N135" s="2"/>
      <c r="O135" s="2"/>
      <c r="P135" s="2"/>
      <c r="Q135" s="2"/>
      <c r="R135" s="2"/>
      <c r="S135" s="852"/>
      <c r="T135" s="853"/>
      <c r="U135" s="854"/>
      <c r="V135" s="854"/>
      <c r="W135" s="854"/>
      <c r="X135" s="854"/>
      <c r="Y135" s="854"/>
      <c r="Z135" s="854"/>
    </row>
    <row r="136">
      <c r="A136" s="531"/>
      <c r="B136" s="977"/>
      <c r="C136" s="119"/>
      <c r="D136" s="977"/>
      <c r="E136" s="977"/>
      <c r="F136" s="119"/>
      <c r="G136" s="119"/>
      <c r="H136" s="119"/>
      <c r="I136" s="119"/>
      <c r="J136" s="119"/>
      <c r="K136" s="117"/>
      <c r="L136" s="117"/>
      <c r="M136" s="2"/>
      <c r="N136" s="2"/>
      <c r="O136" s="2"/>
      <c r="P136" s="2"/>
      <c r="Q136" s="2"/>
      <c r="R136" s="2"/>
      <c r="S136" s="852"/>
      <c r="T136" s="853"/>
      <c r="U136" s="854"/>
      <c r="V136" s="854"/>
      <c r="W136" s="854"/>
      <c r="X136" s="854"/>
      <c r="Y136" s="854"/>
      <c r="Z136" s="854"/>
    </row>
    <row r="137">
      <c r="A137" s="531"/>
      <c r="B137" s="977"/>
      <c r="C137" s="119"/>
      <c r="D137" s="977"/>
      <c r="E137" s="977"/>
      <c r="F137" s="119"/>
      <c r="G137" s="119"/>
      <c r="H137" s="119"/>
      <c r="I137" s="119"/>
      <c r="J137" s="119"/>
      <c r="K137" s="117"/>
      <c r="L137" s="117"/>
      <c r="M137" s="2"/>
      <c r="N137" s="2"/>
      <c r="O137" s="2"/>
      <c r="P137" s="2"/>
      <c r="Q137" s="2"/>
      <c r="R137" s="2"/>
      <c r="S137" s="852"/>
      <c r="T137" s="853"/>
      <c r="U137" s="854"/>
      <c r="V137" s="854"/>
      <c r="W137" s="854"/>
      <c r="X137" s="854"/>
      <c r="Y137" s="854"/>
      <c r="Z137" s="854"/>
    </row>
    <row r="138">
      <c r="A138" s="531"/>
      <c r="B138" s="977"/>
      <c r="C138" s="119"/>
      <c r="D138" s="977"/>
      <c r="E138" s="977"/>
      <c r="F138" s="119"/>
      <c r="G138" s="119"/>
      <c r="H138" s="119"/>
      <c r="I138" s="119"/>
      <c r="J138" s="119"/>
      <c r="K138" s="117"/>
      <c r="L138" s="117"/>
      <c r="M138" s="2"/>
      <c r="N138" s="2"/>
      <c r="O138" s="2"/>
      <c r="P138" s="2"/>
      <c r="Q138" s="2"/>
      <c r="R138" s="2"/>
      <c r="S138" s="852"/>
      <c r="T138" s="853"/>
      <c r="U138" s="854"/>
      <c r="V138" s="854"/>
      <c r="W138" s="854"/>
      <c r="X138" s="854"/>
      <c r="Y138" s="854"/>
      <c r="Z138" s="854"/>
    </row>
    <row r="139">
      <c r="A139" s="531"/>
      <c r="B139" s="977"/>
      <c r="C139" s="119"/>
      <c r="D139" s="977"/>
      <c r="E139" s="977"/>
      <c r="F139" s="119"/>
      <c r="G139" s="119"/>
      <c r="H139" s="119"/>
      <c r="I139" s="119"/>
      <c r="J139" s="119"/>
      <c r="K139" s="117"/>
      <c r="L139" s="117"/>
      <c r="M139" s="2"/>
      <c r="N139" s="2"/>
      <c r="O139" s="2"/>
      <c r="P139" s="2"/>
      <c r="Q139" s="2"/>
      <c r="R139" s="2"/>
      <c r="S139" s="852"/>
      <c r="T139" s="859"/>
      <c r="U139" s="107"/>
      <c r="V139" s="107"/>
      <c r="W139" s="107"/>
      <c r="X139" s="107"/>
      <c r="Y139" s="107"/>
      <c r="Z139" s="107"/>
    </row>
    <row r="140">
      <c r="A140" s="531"/>
      <c r="B140" s="977"/>
      <c r="C140" s="119"/>
      <c r="D140" s="977"/>
      <c r="E140" s="977"/>
      <c r="F140" s="119"/>
      <c r="G140" s="119"/>
      <c r="H140" s="119"/>
      <c r="I140" s="119"/>
      <c r="J140" s="119"/>
      <c r="K140" s="117"/>
      <c r="L140" s="117"/>
      <c r="M140" s="2"/>
      <c r="N140" s="2"/>
      <c r="O140" s="2"/>
      <c r="P140" s="2"/>
      <c r="Q140" s="2"/>
      <c r="R140" s="2"/>
      <c r="S140" s="852"/>
      <c r="T140" s="859"/>
      <c r="U140" s="107"/>
      <c r="V140" s="107"/>
      <c r="W140" s="107"/>
      <c r="X140" s="107"/>
      <c r="Y140" s="107"/>
      <c r="Z140" s="107"/>
    </row>
    <row r="141">
      <c r="A141" s="531"/>
      <c r="B141" s="977"/>
      <c r="C141" s="119"/>
      <c r="D141" s="977"/>
      <c r="E141" s="977"/>
      <c r="F141" s="119"/>
      <c r="G141" s="119"/>
      <c r="H141" s="119"/>
      <c r="I141" s="119"/>
      <c r="J141" s="119"/>
      <c r="K141" s="117"/>
      <c r="L141" s="117"/>
      <c r="M141" s="2"/>
      <c r="N141" s="2"/>
      <c r="O141" s="2"/>
      <c r="P141" s="2"/>
      <c r="Q141" s="2"/>
      <c r="R141" s="2"/>
      <c r="S141" s="852"/>
      <c r="T141" s="859"/>
      <c r="U141" s="107"/>
      <c r="V141" s="107"/>
      <c r="W141" s="107"/>
      <c r="X141" s="107"/>
      <c r="Y141" s="107"/>
      <c r="Z141" s="107"/>
    </row>
    <row r="142">
      <c r="A142" s="531"/>
      <c r="B142" s="977"/>
      <c r="C142" s="119"/>
      <c r="D142" s="977"/>
      <c r="E142" s="977"/>
      <c r="F142" s="119"/>
      <c r="G142" s="119"/>
      <c r="H142" s="119"/>
      <c r="I142" s="119"/>
      <c r="J142" s="119"/>
      <c r="K142" s="117"/>
      <c r="L142" s="117"/>
      <c r="M142" s="2"/>
      <c r="N142" s="2"/>
      <c r="O142" s="2"/>
      <c r="P142" s="2"/>
      <c r="Q142" s="2"/>
      <c r="R142" s="2"/>
      <c r="S142" s="852"/>
      <c r="T142" s="859"/>
      <c r="U142" s="107"/>
      <c r="V142" s="107"/>
      <c r="W142" s="107"/>
      <c r="X142" s="107"/>
      <c r="Y142" s="107"/>
      <c r="Z142" s="107"/>
    </row>
    <row r="143">
      <c r="A143" s="531"/>
      <c r="B143" s="977"/>
      <c r="C143" s="119"/>
      <c r="D143" s="977"/>
      <c r="E143" s="977"/>
      <c r="F143" s="119"/>
      <c r="G143" s="119"/>
      <c r="H143" s="119"/>
      <c r="I143" s="119"/>
      <c r="J143" s="119"/>
      <c r="K143" s="117"/>
      <c r="L143" s="117"/>
      <c r="M143" s="2"/>
      <c r="N143" s="2"/>
      <c r="O143" s="2"/>
      <c r="P143" s="2"/>
      <c r="Q143" s="2"/>
      <c r="R143" s="2"/>
      <c r="S143" s="852"/>
      <c r="T143" s="859"/>
      <c r="U143" s="107"/>
      <c r="V143" s="107"/>
      <c r="W143" s="107"/>
      <c r="X143" s="107"/>
      <c r="Y143" s="107"/>
      <c r="Z143" s="107"/>
    </row>
    <row r="144">
      <c r="A144" s="531"/>
      <c r="B144" s="977"/>
      <c r="C144" s="119"/>
      <c r="D144" s="977"/>
      <c r="E144" s="977"/>
      <c r="F144" s="119"/>
      <c r="G144" s="119"/>
      <c r="H144" s="119"/>
      <c r="I144" s="119"/>
      <c r="J144" s="119"/>
      <c r="K144" s="117"/>
      <c r="L144" s="117"/>
      <c r="M144" s="2"/>
      <c r="N144" s="2"/>
      <c r="O144" s="2"/>
      <c r="P144" s="2"/>
      <c r="Q144" s="2"/>
      <c r="R144" s="2"/>
      <c r="S144" s="852"/>
      <c r="T144" s="859"/>
      <c r="U144" s="107"/>
      <c r="V144" s="107"/>
      <c r="W144" s="107"/>
      <c r="X144" s="107"/>
      <c r="Y144" s="107"/>
      <c r="Z144" s="107"/>
    </row>
    <row r="145">
      <c r="A145" s="531"/>
      <c r="B145" s="977"/>
      <c r="C145" s="119"/>
      <c r="D145" s="977"/>
      <c r="E145" s="977"/>
      <c r="F145" s="119"/>
      <c r="G145" s="119"/>
      <c r="H145" s="119"/>
      <c r="I145" s="119"/>
      <c r="J145" s="119"/>
      <c r="K145" s="117"/>
      <c r="L145" s="117"/>
      <c r="M145" s="2"/>
      <c r="N145" s="2"/>
      <c r="O145" s="2"/>
      <c r="P145" s="2"/>
      <c r="Q145" s="2"/>
      <c r="R145" s="2"/>
      <c r="S145" s="852"/>
      <c r="T145" s="859"/>
      <c r="U145" s="107"/>
      <c r="V145" s="107"/>
      <c r="W145" s="107"/>
      <c r="X145" s="107"/>
      <c r="Y145" s="107"/>
      <c r="Z145" s="107"/>
    </row>
    <row r="146">
      <c r="A146" s="531"/>
      <c r="B146" s="977"/>
      <c r="C146" s="119"/>
      <c r="D146" s="977"/>
      <c r="E146" s="977"/>
      <c r="F146" s="119"/>
      <c r="G146" s="119"/>
      <c r="H146" s="119"/>
      <c r="I146" s="119"/>
      <c r="J146" s="119"/>
      <c r="K146" s="117"/>
      <c r="L146" s="117"/>
      <c r="M146" s="2"/>
      <c r="N146" s="2"/>
      <c r="O146" s="2"/>
      <c r="P146" s="2"/>
      <c r="Q146" s="2"/>
      <c r="R146" s="2"/>
      <c r="S146" s="852"/>
      <c r="T146" s="859"/>
      <c r="U146" s="107"/>
      <c r="V146" s="107"/>
      <c r="W146" s="107"/>
      <c r="X146" s="107"/>
      <c r="Y146" s="107"/>
      <c r="Z146" s="107"/>
    </row>
    <row r="147">
      <c r="A147" s="531"/>
      <c r="B147" s="977"/>
      <c r="C147" s="119"/>
      <c r="D147" s="977"/>
      <c r="E147" s="977"/>
      <c r="F147" s="119"/>
      <c r="G147" s="119"/>
      <c r="H147" s="119"/>
      <c r="I147" s="119"/>
      <c r="J147" s="119"/>
      <c r="K147" s="117"/>
      <c r="L147" s="117"/>
      <c r="M147" s="2"/>
      <c r="N147" s="2"/>
      <c r="O147" s="2"/>
      <c r="P147" s="2"/>
      <c r="Q147" s="2"/>
      <c r="R147" s="2"/>
      <c r="S147" s="852"/>
      <c r="T147" s="859"/>
      <c r="U147" s="107"/>
      <c r="V147" s="107"/>
      <c r="W147" s="107"/>
      <c r="X147" s="107"/>
      <c r="Y147" s="107"/>
      <c r="Z147" s="107"/>
    </row>
    <row r="148">
      <c r="A148" s="531"/>
      <c r="B148" s="977"/>
      <c r="C148" s="119"/>
      <c r="D148" s="977"/>
      <c r="E148" s="977"/>
      <c r="F148" s="119"/>
      <c r="G148" s="119"/>
      <c r="H148" s="119"/>
      <c r="I148" s="119"/>
      <c r="J148" s="119"/>
      <c r="K148" s="117"/>
      <c r="L148" s="117"/>
      <c r="M148" s="2"/>
      <c r="N148" s="2"/>
      <c r="O148" s="2"/>
      <c r="P148" s="2"/>
      <c r="Q148" s="2"/>
      <c r="R148" s="2"/>
      <c r="S148" s="852"/>
      <c r="T148" s="859"/>
      <c r="U148" s="107"/>
      <c r="V148" s="107"/>
      <c r="W148" s="107"/>
      <c r="X148" s="107"/>
      <c r="Y148" s="107"/>
      <c r="Z148" s="107"/>
    </row>
    <row r="149">
      <c r="A149" s="531"/>
      <c r="B149" s="977"/>
      <c r="C149" s="119"/>
      <c r="D149" s="977"/>
      <c r="E149" s="977"/>
      <c r="F149" s="119"/>
      <c r="G149" s="119"/>
      <c r="H149" s="119"/>
      <c r="I149" s="119"/>
      <c r="J149" s="119"/>
      <c r="K149" s="117"/>
      <c r="L149" s="117"/>
      <c r="M149" s="2"/>
      <c r="N149" s="2"/>
      <c r="O149" s="2"/>
      <c r="P149" s="2"/>
      <c r="Q149" s="2"/>
      <c r="R149" s="2"/>
      <c r="S149" s="857"/>
      <c r="T149" s="860"/>
      <c r="U149" s="107"/>
      <c r="V149" s="107"/>
      <c r="W149" s="107"/>
      <c r="X149" s="107"/>
      <c r="Y149" s="107"/>
      <c r="Z149" s="107"/>
    </row>
    <row r="150">
      <c r="A150" s="531"/>
      <c r="B150" s="977"/>
      <c r="C150" s="119"/>
      <c r="D150" s="977"/>
      <c r="E150" s="977"/>
      <c r="F150" s="119"/>
      <c r="G150" s="119"/>
      <c r="H150" s="119"/>
      <c r="I150" s="119"/>
      <c r="J150" s="119"/>
      <c r="K150" s="117"/>
      <c r="L150" s="117"/>
      <c r="M150" s="2"/>
      <c r="N150" s="2"/>
      <c r="O150" s="2"/>
      <c r="P150" s="2"/>
      <c r="Q150" s="2"/>
      <c r="R150" s="2"/>
      <c r="S150" s="861"/>
      <c r="T150" s="111"/>
      <c r="U150" s="2"/>
      <c r="V150" s="2"/>
      <c r="W150" s="2"/>
      <c r="X150" s="2"/>
      <c r="Y150" s="2"/>
      <c r="Z150" s="2"/>
    </row>
    <row r="151">
      <c r="A151" s="531"/>
      <c r="B151" s="977"/>
      <c r="C151" s="119"/>
      <c r="D151" s="977"/>
      <c r="E151" s="977"/>
      <c r="F151" s="119"/>
      <c r="G151" s="119"/>
      <c r="H151" s="119"/>
      <c r="I151" s="119"/>
      <c r="J151" s="119"/>
      <c r="K151" s="117"/>
      <c r="L151" s="117"/>
      <c r="M151" s="2"/>
      <c r="N151" s="2"/>
      <c r="O151" s="2"/>
      <c r="P151" s="2"/>
      <c r="Q151" s="2"/>
      <c r="R151" s="2"/>
      <c r="S151" s="861"/>
      <c r="T151" s="111"/>
      <c r="U151" s="2"/>
      <c r="V151" s="2"/>
      <c r="W151" s="2"/>
      <c r="X151" s="2"/>
      <c r="Y151" s="2"/>
      <c r="Z151" s="2"/>
    </row>
    <row r="152">
      <c r="A152" s="531"/>
      <c r="B152" s="977"/>
      <c r="C152" s="119"/>
      <c r="D152" s="977"/>
      <c r="E152" s="977"/>
      <c r="F152" s="119"/>
      <c r="G152" s="119"/>
      <c r="H152" s="119"/>
      <c r="I152" s="119"/>
      <c r="J152" s="119"/>
      <c r="K152" s="117"/>
      <c r="L152" s="117"/>
      <c r="M152" s="2"/>
      <c r="N152" s="2"/>
      <c r="O152" s="2"/>
      <c r="P152" s="2"/>
      <c r="Q152" s="2"/>
      <c r="R152" s="2"/>
      <c r="S152" s="861"/>
      <c r="T152" s="111"/>
      <c r="U152" s="2"/>
      <c r="V152" s="2"/>
      <c r="W152" s="2"/>
      <c r="X152" s="2"/>
      <c r="Y152" s="2"/>
      <c r="Z152" s="2"/>
    </row>
    <row r="153">
      <c r="A153" s="531"/>
      <c r="B153" s="977"/>
      <c r="C153" s="119"/>
      <c r="D153" s="977"/>
      <c r="E153" s="977"/>
      <c r="F153" s="119"/>
      <c r="G153" s="119"/>
      <c r="H153" s="119"/>
      <c r="I153" s="119"/>
      <c r="J153" s="119"/>
      <c r="K153" s="117"/>
      <c r="L153" s="117"/>
      <c r="M153" s="2"/>
      <c r="N153" s="2"/>
      <c r="O153" s="2"/>
      <c r="P153" s="2"/>
      <c r="Q153" s="2"/>
      <c r="R153" s="2"/>
      <c r="S153" s="861"/>
      <c r="T153" s="111"/>
      <c r="U153" s="2"/>
      <c r="V153" s="2"/>
      <c r="W153" s="2"/>
      <c r="X153" s="2"/>
      <c r="Y153" s="2"/>
      <c r="Z153" s="2"/>
    </row>
    <row r="154">
      <c r="A154" s="531"/>
      <c r="B154" s="977"/>
      <c r="C154" s="119"/>
      <c r="D154" s="977"/>
      <c r="E154" s="977"/>
      <c r="F154" s="119"/>
      <c r="G154" s="119"/>
      <c r="H154" s="119"/>
      <c r="I154" s="119"/>
      <c r="J154" s="119"/>
      <c r="K154" s="117"/>
      <c r="L154" s="117"/>
      <c r="M154" s="2"/>
      <c r="N154" s="2"/>
      <c r="O154" s="2"/>
      <c r="P154" s="2"/>
      <c r="Q154" s="2"/>
      <c r="R154" s="2"/>
      <c r="S154" s="861"/>
      <c r="T154" s="111"/>
      <c r="U154" s="2"/>
      <c r="V154" s="2"/>
      <c r="W154" s="2"/>
      <c r="X154" s="2"/>
      <c r="Y154" s="2"/>
      <c r="Z154" s="2"/>
    </row>
    <row r="155">
      <c r="A155" s="531"/>
      <c r="B155" s="977"/>
      <c r="C155" s="119"/>
      <c r="D155" s="977"/>
      <c r="E155" s="977"/>
      <c r="F155" s="119"/>
      <c r="G155" s="119"/>
      <c r="H155" s="119"/>
      <c r="I155" s="119"/>
      <c r="J155" s="119"/>
      <c r="K155" s="117"/>
      <c r="L155" s="117"/>
      <c r="M155" s="2"/>
      <c r="N155" s="2"/>
      <c r="O155" s="2"/>
      <c r="P155" s="2"/>
      <c r="Q155" s="2"/>
      <c r="R155" s="2"/>
      <c r="S155" s="862"/>
      <c r="T155" s="109"/>
      <c r="U155" s="2"/>
      <c r="V155" s="2"/>
      <c r="W155" s="2"/>
      <c r="X155" s="2"/>
      <c r="Y155" s="2"/>
      <c r="Z155" s="2"/>
    </row>
    <row r="156">
      <c r="A156" s="531"/>
      <c r="B156" s="977"/>
      <c r="C156" s="119"/>
      <c r="D156" s="977"/>
      <c r="E156" s="977"/>
      <c r="F156" s="119"/>
      <c r="G156" s="119"/>
      <c r="H156" s="119"/>
      <c r="I156" s="119"/>
      <c r="J156" s="119"/>
      <c r="K156" s="117"/>
      <c r="L156" s="117"/>
      <c r="M156" s="2"/>
      <c r="N156" s="2"/>
      <c r="O156" s="2"/>
      <c r="P156" s="2"/>
      <c r="Q156" s="2"/>
      <c r="R156" s="2"/>
      <c r="S156" s="861"/>
      <c r="T156" s="111"/>
      <c r="U156" s="2"/>
      <c r="V156" s="2"/>
      <c r="W156" s="2"/>
      <c r="X156" s="2"/>
      <c r="Y156" s="2"/>
      <c r="Z156" s="2"/>
    </row>
    <row r="157">
      <c r="A157" s="531"/>
      <c r="B157" s="977"/>
      <c r="C157" s="119"/>
      <c r="D157" s="977"/>
      <c r="E157" s="977"/>
      <c r="F157" s="119"/>
      <c r="G157" s="119"/>
      <c r="H157" s="119"/>
      <c r="I157" s="119"/>
      <c r="J157" s="119"/>
      <c r="K157" s="117"/>
      <c r="L157" s="117"/>
      <c r="M157" s="2"/>
      <c r="N157" s="2"/>
      <c r="O157" s="2"/>
      <c r="P157" s="2"/>
      <c r="Q157" s="2"/>
      <c r="R157" s="2"/>
      <c r="S157" s="861"/>
      <c r="T157" s="111"/>
      <c r="U157" s="2"/>
      <c r="V157" s="2"/>
      <c r="W157" s="2"/>
      <c r="X157" s="2"/>
      <c r="Y157" s="2"/>
      <c r="Z157" s="2"/>
    </row>
    <row r="158">
      <c r="A158" s="531"/>
      <c r="B158" s="977"/>
      <c r="C158" s="119"/>
      <c r="D158" s="977"/>
      <c r="E158" s="977"/>
      <c r="F158" s="119"/>
      <c r="G158" s="119"/>
      <c r="H158" s="119"/>
      <c r="I158" s="119"/>
      <c r="J158" s="119"/>
      <c r="K158" s="117"/>
      <c r="L158" s="117"/>
      <c r="M158" s="2"/>
      <c r="N158" s="2"/>
      <c r="O158" s="2"/>
      <c r="P158" s="2"/>
      <c r="Q158" s="2"/>
      <c r="R158" s="2"/>
      <c r="S158" s="861"/>
      <c r="T158" s="111"/>
      <c r="U158" s="2"/>
      <c r="V158" s="2"/>
      <c r="W158" s="2"/>
      <c r="X158" s="2"/>
      <c r="Y158" s="2"/>
      <c r="Z158" s="2"/>
    </row>
    <row r="159">
      <c r="A159" s="531"/>
      <c r="B159" s="977"/>
      <c r="C159" s="119"/>
      <c r="D159" s="977"/>
      <c r="E159" s="977"/>
      <c r="F159" s="119"/>
      <c r="G159" s="119"/>
      <c r="H159" s="119"/>
      <c r="I159" s="119"/>
      <c r="J159" s="119"/>
      <c r="K159" s="117"/>
      <c r="L159" s="117"/>
      <c r="M159" s="2"/>
      <c r="N159" s="2"/>
      <c r="O159" s="2"/>
      <c r="P159" s="2"/>
      <c r="Q159" s="2"/>
      <c r="R159" s="2"/>
      <c r="S159" s="861"/>
      <c r="T159" s="111"/>
      <c r="U159" s="2"/>
      <c r="V159" s="2"/>
      <c r="W159" s="2"/>
      <c r="X159" s="2"/>
      <c r="Y159" s="2"/>
      <c r="Z159" s="2"/>
    </row>
    <row r="160">
      <c r="A160" s="531"/>
      <c r="B160" s="977"/>
      <c r="C160" s="119"/>
      <c r="D160" s="977"/>
      <c r="E160" s="977"/>
      <c r="F160" s="119"/>
      <c r="G160" s="119"/>
      <c r="H160" s="119"/>
      <c r="I160" s="119"/>
      <c r="J160" s="119"/>
      <c r="K160" s="117"/>
      <c r="L160" s="117"/>
      <c r="M160" s="2"/>
      <c r="N160" s="2"/>
      <c r="O160" s="2"/>
      <c r="P160" s="2"/>
      <c r="Q160" s="2"/>
      <c r="R160" s="2"/>
      <c r="S160" s="861"/>
      <c r="T160" s="111"/>
      <c r="U160" s="2"/>
      <c r="V160" s="2"/>
      <c r="W160" s="2"/>
      <c r="X160" s="2"/>
      <c r="Y160" s="2"/>
      <c r="Z160" s="2"/>
    </row>
    <row r="161">
      <c r="A161" s="531"/>
      <c r="B161" s="977"/>
      <c r="C161" s="119"/>
      <c r="D161" s="977"/>
      <c r="E161" s="977"/>
      <c r="F161" s="119"/>
      <c r="G161" s="119"/>
      <c r="H161" s="119"/>
      <c r="I161" s="119"/>
      <c r="J161" s="119"/>
      <c r="K161" s="117"/>
      <c r="L161" s="117"/>
      <c r="M161" s="2"/>
      <c r="N161" s="2"/>
      <c r="O161" s="2"/>
      <c r="P161" s="2"/>
      <c r="Q161" s="2"/>
      <c r="R161" s="2"/>
      <c r="S161" s="861"/>
      <c r="T161" s="111"/>
      <c r="U161" s="2"/>
      <c r="V161" s="2"/>
      <c r="W161" s="2"/>
      <c r="X161" s="2"/>
      <c r="Y161" s="2"/>
      <c r="Z161" s="2"/>
    </row>
    <row r="162">
      <c r="A162" s="531"/>
      <c r="B162" s="977"/>
      <c r="C162" s="119"/>
      <c r="D162" s="977"/>
      <c r="E162" s="977"/>
      <c r="F162" s="119"/>
      <c r="G162" s="119"/>
      <c r="H162" s="119"/>
      <c r="I162" s="119"/>
      <c r="J162" s="119"/>
      <c r="K162" s="117"/>
      <c r="L162" s="117"/>
      <c r="M162" s="2"/>
      <c r="N162" s="2"/>
      <c r="O162" s="2"/>
      <c r="P162" s="2"/>
      <c r="Q162" s="2"/>
      <c r="R162" s="2"/>
      <c r="S162" s="861"/>
      <c r="T162" s="111"/>
      <c r="U162" s="2"/>
      <c r="V162" s="2"/>
      <c r="W162" s="2"/>
      <c r="X162" s="2"/>
      <c r="Y162" s="2"/>
      <c r="Z162" s="2"/>
    </row>
    <row r="163">
      <c r="A163" s="531"/>
      <c r="B163" s="977"/>
      <c r="C163" s="119"/>
      <c r="D163" s="977"/>
      <c r="E163" s="977"/>
      <c r="F163" s="119"/>
      <c r="G163" s="119"/>
      <c r="H163" s="119"/>
      <c r="I163" s="119"/>
      <c r="J163" s="119"/>
      <c r="K163" s="117"/>
      <c r="L163" s="117"/>
      <c r="M163" s="2"/>
      <c r="N163" s="2"/>
      <c r="O163" s="2"/>
      <c r="P163" s="2"/>
      <c r="Q163" s="2"/>
      <c r="R163" s="2"/>
      <c r="S163" s="861"/>
      <c r="T163" s="111"/>
      <c r="U163" s="2"/>
      <c r="V163" s="2"/>
      <c r="W163" s="2"/>
      <c r="X163" s="2"/>
      <c r="Y163" s="2"/>
      <c r="Z163" s="2"/>
    </row>
    <row r="164">
      <c r="A164" s="531"/>
      <c r="B164" s="977"/>
      <c r="C164" s="119"/>
      <c r="D164" s="977"/>
      <c r="E164" s="977"/>
      <c r="F164" s="119"/>
      <c r="G164" s="119"/>
      <c r="H164" s="119"/>
      <c r="I164" s="119"/>
      <c r="J164" s="119"/>
      <c r="K164" s="117"/>
      <c r="L164" s="117"/>
      <c r="M164" s="2"/>
      <c r="N164" s="2"/>
      <c r="O164" s="2"/>
      <c r="P164" s="2"/>
      <c r="Q164" s="2"/>
      <c r="R164" s="2"/>
      <c r="S164" s="862"/>
      <c r="T164" s="109"/>
      <c r="U164" s="2"/>
      <c r="V164" s="2"/>
      <c r="W164" s="2"/>
      <c r="X164" s="2"/>
      <c r="Y164" s="2"/>
      <c r="Z164" s="2"/>
    </row>
    <row r="165">
      <c r="A165" s="531"/>
      <c r="B165" s="977"/>
      <c r="C165" s="119"/>
      <c r="D165" s="977"/>
      <c r="E165" s="977"/>
      <c r="F165" s="119"/>
      <c r="G165" s="119"/>
      <c r="H165" s="119"/>
      <c r="I165" s="119"/>
      <c r="J165" s="119"/>
      <c r="K165" s="117"/>
      <c r="L165" s="117"/>
      <c r="M165" s="2"/>
      <c r="N165" s="2"/>
      <c r="O165" s="2"/>
      <c r="P165" s="2"/>
      <c r="Q165" s="2"/>
      <c r="R165" s="2"/>
      <c r="S165" s="862"/>
      <c r="T165" s="109"/>
      <c r="U165" s="54"/>
      <c r="V165" s="54"/>
      <c r="W165" s="54"/>
      <c r="X165" s="54"/>
      <c r="Y165" s="54"/>
      <c r="Z165" s="54"/>
    </row>
    <row r="166">
      <c r="A166" s="531"/>
      <c r="B166" s="977"/>
      <c r="C166" s="119"/>
      <c r="D166" s="977"/>
      <c r="E166" s="977"/>
      <c r="F166" s="119"/>
      <c r="G166" s="119"/>
      <c r="H166" s="119"/>
      <c r="I166" s="119"/>
      <c r="J166" s="119"/>
      <c r="K166" s="117"/>
      <c r="L166" s="117"/>
      <c r="M166" s="2"/>
      <c r="N166" s="2"/>
      <c r="O166" s="2"/>
      <c r="P166" s="2"/>
      <c r="Q166" s="2"/>
      <c r="R166" s="2"/>
      <c r="S166" s="117"/>
      <c r="T166" s="2"/>
      <c r="U166" s="2"/>
      <c r="V166" s="2"/>
      <c r="W166" s="2"/>
      <c r="X166" s="2"/>
      <c r="Y166" s="2"/>
      <c r="Z166" s="2"/>
    </row>
    <row r="167">
      <c r="A167" s="531"/>
      <c r="B167" s="977"/>
      <c r="C167" s="119"/>
      <c r="D167" s="977"/>
      <c r="E167" s="977"/>
      <c r="F167" s="119"/>
      <c r="G167" s="119"/>
      <c r="H167" s="119"/>
      <c r="I167" s="119"/>
      <c r="J167" s="119"/>
      <c r="K167" s="117"/>
      <c r="L167" s="117"/>
      <c r="M167" s="2"/>
      <c r="N167" s="2"/>
      <c r="O167" s="2"/>
      <c r="P167" s="2"/>
      <c r="Q167" s="2"/>
      <c r="R167" s="2"/>
      <c r="S167" s="117"/>
      <c r="T167" s="2"/>
      <c r="U167" s="2"/>
      <c r="V167" s="2"/>
      <c r="W167" s="2"/>
      <c r="X167" s="2"/>
      <c r="Y167" s="2"/>
      <c r="Z167" s="2"/>
    </row>
    <row r="168">
      <c r="A168" s="531"/>
      <c r="B168" s="977"/>
      <c r="C168" s="119"/>
      <c r="D168" s="977"/>
      <c r="E168" s="977"/>
      <c r="F168" s="119"/>
      <c r="G168" s="119"/>
      <c r="H168" s="119"/>
      <c r="I168" s="119"/>
      <c r="J168" s="119"/>
      <c r="K168" s="117"/>
      <c r="L168" s="117"/>
      <c r="M168" s="2"/>
      <c r="N168" s="2"/>
      <c r="O168" s="2"/>
      <c r="P168" s="2"/>
      <c r="Q168" s="2"/>
      <c r="R168" s="2"/>
      <c r="S168" s="847"/>
      <c r="T168" s="847"/>
      <c r="U168" s="116"/>
      <c r="V168" s="116"/>
      <c r="W168" s="116"/>
      <c r="X168" s="116"/>
      <c r="Y168" s="116"/>
      <c r="Z168" s="116"/>
    </row>
    <row r="169">
      <c r="A169" s="531"/>
      <c r="B169" s="977"/>
      <c r="C169" s="119"/>
      <c r="D169" s="977"/>
      <c r="E169" s="977"/>
      <c r="F169" s="119"/>
      <c r="G169" s="119"/>
      <c r="H169" s="119"/>
      <c r="I169" s="119"/>
      <c r="J169" s="119"/>
      <c r="K169" s="117"/>
      <c r="L169" s="117"/>
      <c r="M169" s="2"/>
      <c r="N169" s="2"/>
      <c r="O169" s="2"/>
      <c r="P169" s="2"/>
      <c r="Q169" s="2"/>
      <c r="R169" s="2"/>
      <c r="S169" s="848"/>
      <c r="T169" s="848"/>
      <c r="U169" s="848"/>
      <c r="V169" s="848"/>
      <c r="W169" s="848"/>
      <c r="X169" s="848"/>
      <c r="Y169" s="848"/>
      <c r="Z169" s="848"/>
    </row>
    <row r="170">
      <c r="A170" s="531"/>
      <c r="B170" s="977"/>
      <c r="C170" s="119"/>
      <c r="D170" s="977"/>
      <c r="E170" s="977"/>
      <c r="F170" s="119"/>
      <c r="G170" s="119"/>
      <c r="H170" s="119"/>
      <c r="I170" s="119"/>
      <c r="J170" s="119"/>
      <c r="K170" s="117"/>
      <c r="L170" s="117"/>
      <c r="M170" s="2"/>
      <c r="N170" s="2"/>
      <c r="O170" s="2"/>
      <c r="P170" s="2"/>
      <c r="Q170" s="2"/>
      <c r="R170" s="2"/>
      <c r="S170" s="849"/>
      <c r="T170" s="850"/>
      <c r="U170" s="851"/>
      <c r="V170" s="851"/>
      <c r="W170" s="851"/>
      <c r="X170" s="851"/>
      <c r="Y170" s="851"/>
      <c r="Z170" s="851"/>
    </row>
    <row r="171">
      <c r="A171" s="531"/>
      <c r="B171" s="977"/>
      <c r="C171" s="119"/>
      <c r="D171" s="977"/>
      <c r="E171" s="977"/>
      <c r="F171" s="119"/>
      <c r="G171" s="119"/>
      <c r="H171" s="119"/>
      <c r="I171" s="119"/>
      <c r="J171" s="119"/>
      <c r="K171" s="117"/>
      <c r="L171" s="117"/>
      <c r="M171" s="2"/>
      <c r="N171" s="2"/>
      <c r="O171" s="2"/>
      <c r="P171" s="2"/>
      <c r="Q171" s="2"/>
      <c r="R171" s="2"/>
      <c r="S171" s="852"/>
      <c r="T171" s="853"/>
      <c r="U171" s="854"/>
      <c r="V171" s="854"/>
      <c r="W171" s="854"/>
      <c r="X171" s="854"/>
      <c r="Y171" s="854"/>
      <c r="Z171" s="854"/>
    </row>
    <row r="172">
      <c r="A172" s="531"/>
      <c r="B172" s="977"/>
      <c r="C172" s="119"/>
      <c r="D172" s="977"/>
      <c r="E172" s="977"/>
      <c r="F172" s="119"/>
      <c r="G172" s="119"/>
      <c r="H172" s="119"/>
      <c r="I172" s="119"/>
      <c r="J172" s="119"/>
      <c r="K172" s="117"/>
      <c r="L172" s="117"/>
      <c r="M172" s="2"/>
      <c r="N172" s="2"/>
      <c r="O172" s="2"/>
      <c r="P172" s="2"/>
      <c r="Q172" s="2"/>
      <c r="R172" s="2"/>
      <c r="S172" s="855"/>
      <c r="T172" s="856"/>
      <c r="U172" s="854"/>
      <c r="V172" s="854"/>
      <c r="W172" s="854"/>
      <c r="X172" s="854"/>
      <c r="Y172" s="854"/>
      <c r="Z172" s="854"/>
    </row>
    <row r="173">
      <c r="A173" s="531"/>
      <c r="B173" s="977"/>
      <c r="C173" s="119"/>
      <c r="D173" s="977"/>
      <c r="E173" s="977"/>
      <c r="F173" s="119"/>
      <c r="G173" s="119"/>
      <c r="H173" s="119"/>
      <c r="I173" s="119"/>
      <c r="J173" s="119"/>
      <c r="K173" s="117"/>
      <c r="L173" s="117"/>
      <c r="M173" s="2"/>
      <c r="N173" s="2"/>
      <c r="O173" s="2"/>
      <c r="P173" s="2"/>
      <c r="Q173" s="2"/>
      <c r="R173" s="2"/>
      <c r="S173" s="855"/>
      <c r="T173" s="856"/>
      <c r="U173" s="854"/>
      <c r="V173" s="854"/>
      <c r="W173" s="854"/>
      <c r="X173" s="854"/>
      <c r="Y173" s="854"/>
      <c r="Z173" s="854"/>
    </row>
    <row r="174">
      <c r="A174" s="531"/>
      <c r="B174" s="977"/>
      <c r="C174" s="119"/>
      <c r="D174" s="977"/>
      <c r="E174" s="977"/>
      <c r="F174" s="119"/>
      <c r="G174" s="119"/>
      <c r="H174" s="119"/>
      <c r="I174" s="119"/>
      <c r="J174" s="119"/>
      <c r="K174" s="117"/>
      <c r="L174" s="117"/>
      <c r="M174" s="2"/>
      <c r="N174" s="2"/>
      <c r="O174" s="2"/>
      <c r="P174" s="2"/>
      <c r="Q174" s="2"/>
      <c r="R174" s="2"/>
      <c r="S174" s="852"/>
      <c r="T174" s="853"/>
      <c r="U174" s="854"/>
      <c r="V174" s="854"/>
      <c r="W174" s="854"/>
      <c r="X174" s="854"/>
      <c r="Y174" s="854"/>
      <c r="Z174" s="854"/>
    </row>
    <row r="175">
      <c r="A175" s="531"/>
      <c r="B175" s="977"/>
      <c r="C175" s="119"/>
      <c r="D175" s="977"/>
      <c r="E175" s="977"/>
      <c r="F175" s="119"/>
      <c r="G175" s="119"/>
      <c r="H175" s="119"/>
      <c r="I175" s="119"/>
      <c r="J175" s="119"/>
      <c r="K175" s="117"/>
      <c r="L175" s="117"/>
      <c r="M175" s="2"/>
      <c r="N175" s="2"/>
      <c r="O175" s="2"/>
      <c r="P175" s="2"/>
      <c r="Q175" s="2"/>
      <c r="R175" s="2"/>
      <c r="S175" s="857"/>
      <c r="T175" s="858"/>
      <c r="U175" s="854"/>
      <c r="V175" s="854"/>
      <c r="W175" s="854"/>
      <c r="X175" s="854"/>
      <c r="Y175" s="854"/>
      <c r="Z175" s="854"/>
    </row>
    <row r="176">
      <c r="A176" s="531"/>
      <c r="B176" s="977"/>
      <c r="C176" s="119"/>
      <c r="D176" s="977"/>
      <c r="E176" s="977"/>
      <c r="F176" s="119"/>
      <c r="G176" s="119"/>
      <c r="H176" s="119"/>
      <c r="I176" s="119"/>
      <c r="J176" s="119"/>
      <c r="K176" s="117"/>
      <c r="L176" s="117"/>
      <c r="M176" s="2"/>
      <c r="N176" s="2"/>
      <c r="O176" s="2"/>
      <c r="P176" s="2"/>
      <c r="Q176" s="2"/>
      <c r="R176" s="2"/>
      <c r="S176" s="857"/>
      <c r="T176" s="858"/>
      <c r="U176" s="854"/>
      <c r="V176" s="854"/>
      <c r="W176" s="854"/>
      <c r="X176" s="854"/>
      <c r="Y176" s="854"/>
      <c r="Z176" s="854"/>
    </row>
    <row r="177">
      <c r="A177" s="531"/>
      <c r="B177" s="977"/>
      <c r="C177" s="119"/>
      <c r="D177" s="977"/>
      <c r="E177" s="977"/>
      <c r="F177" s="119"/>
      <c r="G177" s="119"/>
      <c r="H177" s="119"/>
      <c r="I177" s="119"/>
      <c r="J177" s="119"/>
      <c r="K177" s="117"/>
      <c r="L177" s="117"/>
      <c r="M177" s="2"/>
      <c r="N177" s="2"/>
      <c r="O177" s="2"/>
      <c r="P177" s="2"/>
      <c r="Q177" s="2"/>
      <c r="R177" s="2"/>
      <c r="S177" s="857"/>
      <c r="T177" s="858"/>
      <c r="U177" s="854"/>
      <c r="V177" s="854"/>
      <c r="W177" s="854"/>
      <c r="X177" s="854"/>
      <c r="Y177" s="854"/>
      <c r="Z177" s="854"/>
    </row>
    <row r="178">
      <c r="A178" s="531"/>
      <c r="B178" s="977"/>
      <c r="C178" s="119"/>
      <c r="D178" s="977"/>
      <c r="E178" s="977"/>
      <c r="F178" s="119"/>
      <c r="G178" s="119"/>
      <c r="H178" s="119"/>
      <c r="I178" s="119"/>
      <c r="J178" s="119"/>
      <c r="K178" s="117"/>
      <c r="L178" s="117"/>
      <c r="M178" s="2"/>
      <c r="N178" s="2"/>
      <c r="O178" s="2"/>
      <c r="P178" s="2"/>
      <c r="Q178" s="2"/>
      <c r="R178" s="2"/>
      <c r="S178" s="852"/>
      <c r="T178" s="853"/>
      <c r="U178" s="854"/>
      <c r="V178" s="854"/>
      <c r="W178" s="854"/>
      <c r="X178" s="854"/>
      <c r="Y178" s="854"/>
      <c r="Z178" s="854"/>
    </row>
    <row r="179">
      <c r="A179" s="531"/>
      <c r="B179" s="977"/>
      <c r="C179" s="119"/>
      <c r="D179" s="977"/>
      <c r="E179" s="977"/>
      <c r="F179" s="119"/>
      <c r="G179" s="119"/>
      <c r="H179" s="119"/>
      <c r="I179" s="119"/>
      <c r="J179" s="119"/>
      <c r="K179" s="117"/>
      <c r="L179" s="117"/>
      <c r="M179" s="2"/>
      <c r="N179" s="2"/>
      <c r="O179" s="2"/>
      <c r="P179" s="2"/>
      <c r="Q179" s="2"/>
      <c r="R179" s="2"/>
      <c r="S179" s="852"/>
      <c r="T179" s="853"/>
      <c r="U179" s="854"/>
      <c r="V179" s="854"/>
      <c r="W179" s="854"/>
      <c r="X179" s="854"/>
      <c r="Y179" s="854"/>
      <c r="Z179" s="854"/>
    </row>
    <row r="180">
      <c r="A180" s="531"/>
      <c r="B180" s="977"/>
      <c r="C180" s="119"/>
      <c r="D180" s="977"/>
      <c r="E180" s="977"/>
      <c r="F180" s="119"/>
      <c r="G180" s="119"/>
      <c r="H180" s="119"/>
      <c r="I180" s="119"/>
      <c r="J180" s="119"/>
      <c r="K180" s="117"/>
      <c r="L180" s="117"/>
      <c r="M180" s="2"/>
      <c r="N180" s="2"/>
      <c r="O180" s="2"/>
      <c r="P180" s="2"/>
      <c r="Q180" s="2"/>
      <c r="R180" s="2"/>
      <c r="S180" s="852"/>
      <c r="T180" s="853"/>
      <c r="U180" s="854"/>
      <c r="V180" s="854"/>
      <c r="W180" s="854"/>
      <c r="X180" s="854"/>
      <c r="Y180" s="854"/>
      <c r="Z180" s="854"/>
    </row>
    <row r="181">
      <c r="A181" s="531"/>
      <c r="B181" s="977"/>
      <c r="C181" s="119"/>
      <c r="D181" s="977"/>
      <c r="E181" s="977"/>
      <c r="F181" s="119"/>
      <c r="G181" s="119"/>
      <c r="H181" s="119"/>
      <c r="I181" s="119"/>
      <c r="J181" s="119"/>
      <c r="K181" s="117"/>
      <c r="L181" s="117"/>
      <c r="M181" s="2"/>
      <c r="N181" s="2"/>
      <c r="O181" s="2"/>
      <c r="P181" s="2"/>
      <c r="Q181" s="2"/>
      <c r="R181" s="2"/>
      <c r="S181" s="852"/>
      <c r="T181" s="853"/>
      <c r="U181" s="854"/>
      <c r="V181" s="854"/>
      <c r="W181" s="854"/>
      <c r="X181" s="854"/>
      <c r="Y181" s="854"/>
      <c r="Z181" s="854"/>
    </row>
    <row r="182">
      <c r="A182" s="531"/>
      <c r="B182" s="977"/>
      <c r="C182" s="119"/>
      <c r="D182" s="977"/>
      <c r="E182" s="977"/>
      <c r="F182" s="119"/>
      <c r="G182" s="119"/>
      <c r="H182" s="119"/>
      <c r="I182" s="119"/>
      <c r="J182" s="119"/>
      <c r="K182" s="117"/>
      <c r="L182" s="117"/>
      <c r="M182" s="2"/>
      <c r="N182" s="2"/>
      <c r="O182" s="2"/>
      <c r="P182" s="2"/>
      <c r="Q182" s="2"/>
      <c r="R182" s="2"/>
      <c r="S182" s="852"/>
      <c r="T182" s="859"/>
      <c r="U182" s="107"/>
      <c r="V182" s="107"/>
      <c r="W182" s="107"/>
      <c r="X182" s="107"/>
      <c r="Y182" s="107"/>
      <c r="Z182" s="107"/>
    </row>
    <row r="183">
      <c r="A183" s="531"/>
      <c r="B183" s="977"/>
      <c r="C183" s="119"/>
      <c r="D183" s="977"/>
      <c r="E183" s="977"/>
      <c r="F183" s="119"/>
      <c r="G183" s="119"/>
      <c r="H183" s="119"/>
      <c r="I183" s="119"/>
      <c r="J183" s="119"/>
      <c r="K183" s="117"/>
      <c r="L183" s="117"/>
      <c r="M183" s="2"/>
      <c r="N183" s="2"/>
      <c r="O183" s="2"/>
      <c r="P183" s="2"/>
      <c r="Q183" s="2"/>
      <c r="R183" s="2"/>
      <c r="S183" s="852"/>
      <c r="T183" s="859"/>
      <c r="U183" s="107"/>
      <c r="V183" s="107"/>
      <c r="W183" s="107"/>
      <c r="X183" s="107"/>
      <c r="Y183" s="107"/>
      <c r="Z183" s="107"/>
    </row>
    <row r="184">
      <c r="A184" s="531"/>
      <c r="B184" s="977"/>
      <c r="C184" s="119"/>
      <c r="D184" s="977"/>
      <c r="E184" s="977"/>
      <c r="F184" s="119"/>
      <c r="G184" s="119"/>
      <c r="H184" s="119"/>
      <c r="I184" s="119"/>
      <c r="J184" s="119"/>
      <c r="K184" s="117"/>
      <c r="L184" s="117"/>
      <c r="M184" s="2"/>
      <c r="N184" s="2"/>
      <c r="O184" s="2"/>
      <c r="P184" s="2"/>
      <c r="Q184" s="2"/>
      <c r="R184" s="2"/>
      <c r="S184" s="852"/>
      <c r="T184" s="859"/>
      <c r="U184" s="107"/>
      <c r="V184" s="107"/>
      <c r="W184" s="107"/>
      <c r="X184" s="107"/>
      <c r="Y184" s="107"/>
      <c r="Z184" s="107"/>
    </row>
    <row r="185">
      <c r="A185" s="531"/>
      <c r="B185" s="977"/>
      <c r="C185" s="119"/>
      <c r="D185" s="977"/>
      <c r="E185" s="977"/>
      <c r="F185" s="119"/>
      <c r="G185" s="119"/>
      <c r="H185" s="119"/>
      <c r="I185" s="119"/>
      <c r="J185" s="119"/>
      <c r="K185" s="117"/>
      <c r="L185" s="117"/>
      <c r="M185" s="2"/>
      <c r="N185" s="2"/>
      <c r="O185" s="2"/>
      <c r="P185" s="2"/>
      <c r="Q185" s="2"/>
      <c r="R185" s="2"/>
      <c r="S185" s="852"/>
      <c r="T185" s="859"/>
      <c r="U185" s="107"/>
      <c r="V185" s="107"/>
      <c r="W185" s="107"/>
      <c r="X185" s="107"/>
      <c r="Y185" s="107"/>
      <c r="Z185" s="107"/>
    </row>
    <row r="186">
      <c r="A186" s="531"/>
      <c r="B186" s="977"/>
      <c r="C186" s="119"/>
      <c r="D186" s="977"/>
      <c r="E186" s="977"/>
      <c r="F186" s="119"/>
      <c r="G186" s="119"/>
      <c r="H186" s="119"/>
      <c r="I186" s="119"/>
      <c r="J186" s="119"/>
      <c r="K186" s="117"/>
      <c r="L186" s="117"/>
      <c r="M186" s="2"/>
      <c r="N186" s="2"/>
      <c r="O186" s="2"/>
      <c r="P186" s="2"/>
      <c r="Q186" s="2"/>
      <c r="R186" s="2"/>
      <c r="S186" s="852"/>
      <c r="T186" s="859"/>
      <c r="U186" s="107"/>
      <c r="V186" s="107"/>
      <c r="W186" s="107"/>
      <c r="X186" s="107"/>
      <c r="Y186" s="107"/>
      <c r="Z186" s="107"/>
    </row>
    <row r="187">
      <c r="A187" s="531"/>
      <c r="B187" s="977"/>
      <c r="C187" s="119"/>
      <c r="D187" s="977"/>
      <c r="E187" s="977"/>
      <c r="F187" s="119"/>
      <c r="G187" s="119"/>
      <c r="H187" s="119"/>
      <c r="I187" s="119"/>
      <c r="J187" s="119"/>
      <c r="K187" s="117"/>
      <c r="L187" s="117"/>
      <c r="M187" s="2"/>
      <c r="N187" s="2"/>
      <c r="O187" s="2"/>
      <c r="P187" s="2"/>
      <c r="Q187" s="2"/>
      <c r="R187" s="2"/>
      <c r="S187" s="852"/>
      <c r="T187" s="859"/>
      <c r="U187" s="107"/>
      <c r="V187" s="107"/>
      <c r="W187" s="107"/>
      <c r="X187" s="107"/>
      <c r="Y187" s="107"/>
      <c r="Z187" s="107"/>
    </row>
    <row r="188">
      <c r="A188" s="531"/>
      <c r="B188" s="977"/>
      <c r="C188" s="119"/>
      <c r="D188" s="977"/>
      <c r="E188" s="977"/>
      <c r="F188" s="119"/>
      <c r="G188" s="119"/>
      <c r="H188" s="119"/>
      <c r="I188" s="119"/>
      <c r="J188" s="119"/>
      <c r="K188" s="117"/>
      <c r="L188" s="117"/>
      <c r="M188" s="2"/>
      <c r="N188" s="2"/>
      <c r="O188" s="2"/>
      <c r="P188" s="2"/>
      <c r="Q188" s="2"/>
      <c r="R188" s="2"/>
      <c r="S188" s="852"/>
      <c r="T188" s="859"/>
      <c r="U188" s="107"/>
      <c r="V188" s="107"/>
      <c r="W188" s="107"/>
      <c r="X188" s="107"/>
      <c r="Y188" s="107"/>
      <c r="Z188" s="107"/>
    </row>
    <row r="189">
      <c r="A189" s="531"/>
      <c r="B189" s="977"/>
      <c r="C189" s="119"/>
      <c r="D189" s="977"/>
      <c r="E189" s="977"/>
      <c r="F189" s="119"/>
      <c r="G189" s="119"/>
      <c r="H189" s="119"/>
      <c r="I189" s="119"/>
      <c r="J189" s="119"/>
      <c r="K189" s="117"/>
      <c r="L189" s="117"/>
      <c r="M189" s="2"/>
      <c r="N189" s="2"/>
      <c r="O189" s="2"/>
      <c r="P189" s="2"/>
      <c r="Q189" s="2"/>
      <c r="R189" s="2"/>
      <c r="S189" s="852"/>
      <c r="T189" s="859"/>
      <c r="U189" s="107"/>
      <c r="V189" s="107"/>
      <c r="W189" s="107"/>
      <c r="X189" s="107"/>
      <c r="Y189" s="107"/>
      <c r="Z189" s="107"/>
    </row>
    <row r="190">
      <c r="A190" s="531"/>
      <c r="B190" s="977"/>
      <c r="C190" s="119"/>
      <c r="D190" s="977"/>
      <c r="E190" s="977"/>
      <c r="F190" s="119"/>
      <c r="G190" s="119"/>
      <c r="H190" s="119"/>
      <c r="I190" s="119"/>
      <c r="J190" s="119"/>
      <c r="K190" s="117"/>
      <c r="L190" s="117"/>
      <c r="M190" s="2"/>
      <c r="N190" s="2"/>
      <c r="O190" s="2"/>
      <c r="P190" s="2"/>
      <c r="Q190" s="2"/>
      <c r="R190" s="2"/>
      <c r="S190" s="852"/>
      <c r="T190" s="859"/>
      <c r="U190" s="107"/>
      <c r="V190" s="107"/>
      <c r="W190" s="107"/>
      <c r="X190" s="107"/>
      <c r="Y190" s="107"/>
      <c r="Z190" s="107"/>
    </row>
    <row r="191">
      <c r="A191" s="531"/>
      <c r="B191" s="977"/>
      <c r="C191" s="119"/>
      <c r="D191" s="977"/>
      <c r="E191" s="977"/>
      <c r="F191" s="119"/>
      <c r="G191" s="119"/>
      <c r="H191" s="119"/>
      <c r="I191" s="119"/>
      <c r="J191" s="119"/>
      <c r="K191" s="117"/>
      <c r="L191" s="117"/>
      <c r="M191" s="2"/>
      <c r="N191" s="2"/>
      <c r="O191" s="2"/>
      <c r="P191" s="2"/>
      <c r="Q191" s="2"/>
      <c r="R191" s="2"/>
      <c r="S191" s="852"/>
      <c r="T191" s="859"/>
      <c r="U191" s="107"/>
      <c r="V191" s="107"/>
      <c r="W191" s="107"/>
      <c r="X191" s="107"/>
      <c r="Y191" s="107"/>
      <c r="Z191" s="107"/>
    </row>
    <row r="192">
      <c r="A192" s="531"/>
      <c r="B192" s="977"/>
      <c r="C192" s="119"/>
      <c r="D192" s="977"/>
      <c r="E192" s="977"/>
      <c r="F192" s="119"/>
      <c r="G192" s="119"/>
      <c r="H192" s="119"/>
      <c r="I192" s="119"/>
      <c r="J192" s="119"/>
      <c r="K192" s="117"/>
      <c r="L192" s="117"/>
      <c r="M192" s="2"/>
      <c r="N192" s="2"/>
      <c r="O192" s="2"/>
      <c r="P192" s="2"/>
      <c r="Q192" s="2"/>
      <c r="R192" s="2"/>
      <c r="S192" s="857"/>
      <c r="T192" s="860"/>
      <c r="U192" s="107"/>
      <c r="V192" s="107"/>
      <c r="W192" s="107"/>
      <c r="X192" s="107"/>
      <c r="Y192" s="107"/>
      <c r="Z192" s="107"/>
    </row>
    <row r="193">
      <c r="A193" s="531"/>
      <c r="B193" s="977"/>
      <c r="C193" s="119"/>
      <c r="D193" s="977"/>
      <c r="E193" s="977"/>
      <c r="F193" s="119"/>
      <c r="G193" s="119"/>
      <c r="H193" s="119"/>
      <c r="I193" s="119"/>
      <c r="J193" s="119"/>
      <c r="K193" s="117"/>
      <c r="L193" s="117"/>
      <c r="M193" s="2"/>
      <c r="N193" s="2"/>
      <c r="O193" s="2"/>
      <c r="P193" s="2"/>
      <c r="Q193" s="2"/>
      <c r="R193" s="2"/>
      <c r="S193" s="861"/>
      <c r="T193" s="111"/>
      <c r="U193" s="2"/>
      <c r="V193" s="2"/>
      <c r="W193" s="2"/>
      <c r="X193" s="2"/>
      <c r="Y193" s="2"/>
      <c r="Z193" s="2"/>
    </row>
    <row r="194">
      <c r="A194" s="531"/>
      <c r="B194" s="977"/>
      <c r="C194" s="119"/>
      <c r="D194" s="977"/>
      <c r="E194" s="977"/>
      <c r="F194" s="119"/>
      <c r="G194" s="119"/>
      <c r="H194" s="119"/>
      <c r="I194" s="119"/>
      <c r="J194" s="119"/>
      <c r="K194" s="117"/>
      <c r="L194" s="117"/>
      <c r="M194" s="2"/>
      <c r="N194" s="2"/>
      <c r="O194" s="2"/>
      <c r="P194" s="2"/>
      <c r="Q194" s="2"/>
      <c r="R194" s="2"/>
      <c r="S194" s="861"/>
      <c r="T194" s="111"/>
      <c r="U194" s="2"/>
      <c r="V194" s="2"/>
      <c r="W194" s="2"/>
      <c r="X194" s="2"/>
      <c r="Y194" s="2"/>
      <c r="Z194" s="2"/>
    </row>
    <row r="195">
      <c r="A195" s="531"/>
      <c r="B195" s="977"/>
      <c r="C195" s="119"/>
      <c r="D195" s="977"/>
      <c r="E195" s="977"/>
      <c r="F195" s="119"/>
      <c r="G195" s="119"/>
      <c r="H195" s="119"/>
      <c r="I195" s="119"/>
      <c r="J195" s="119"/>
      <c r="K195" s="117"/>
      <c r="L195" s="117"/>
      <c r="M195" s="2"/>
      <c r="N195" s="2"/>
      <c r="O195" s="2"/>
      <c r="P195" s="2"/>
      <c r="Q195" s="2"/>
      <c r="R195" s="2"/>
      <c r="S195" s="861"/>
      <c r="T195" s="111"/>
      <c r="U195" s="2"/>
      <c r="V195" s="2"/>
      <c r="W195" s="2"/>
      <c r="X195" s="2"/>
      <c r="Y195" s="2"/>
      <c r="Z195" s="2"/>
    </row>
    <row r="196">
      <c r="A196" s="531"/>
      <c r="B196" s="977"/>
      <c r="C196" s="119"/>
      <c r="D196" s="977"/>
      <c r="E196" s="977"/>
      <c r="F196" s="119"/>
      <c r="G196" s="119"/>
      <c r="H196" s="119"/>
      <c r="I196" s="119"/>
      <c r="J196" s="119"/>
      <c r="K196" s="117"/>
      <c r="L196" s="117"/>
      <c r="M196" s="2"/>
      <c r="N196" s="2"/>
      <c r="O196" s="2"/>
      <c r="P196" s="2"/>
      <c r="Q196" s="2"/>
      <c r="R196" s="2"/>
      <c r="S196" s="861"/>
      <c r="T196" s="111"/>
      <c r="U196" s="2"/>
      <c r="V196" s="2"/>
      <c r="W196" s="2"/>
      <c r="X196" s="2"/>
      <c r="Y196" s="2"/>
      <c r="Z196" s="2"/>
    </row>
    <row r="197">
      <c r="A197" s="531"/>
      <c r="B197" s="977"/>
      <c r="C197" s="119"/>
      <c r="D197" s="977"/>
      <c r="E197" s="977"/>
      <c r="F197" s="119"/>
      <c r="G197" s="119"/>
      <c r="H197" s="119"/>
      <c r="I197" s="119"/>
      <c r="J197" s="119"/>
      <c r="K197" s="117"/>
      <c r="L197" s="117"/>
      <c r="M197" s="2"/>
      <c r="N197" s="2"/>
      <c r="O197" s="2"/>
      <c r="P197" s="2"/>
      <c r="Q197" s="2"/>
      <c r="R197" s="2"/>
      <c r="S197" s="861"/>
      <c r="T197" s="111"/>
      <c r="U197" s="2"/>
      <c r="V197" s="2"/>
      <c r="W197" s="2"/>
      <c r="X197" s="2"/>
      <c r="Y197" s="2"/>
      <c r="Z197" s="2"/>
    </row>
    <row r="198">
      <c r="A198" s="531"/>
      <c r="B198" s="977"/>
      <c r="C198" s="119"/>
      <c r="D198" s="977"/>
      <c r="E198" s="977"/>
      <c r="F198" s="119"/>
      <c r="G198" s="119"/>
      <c r="H198" s="119"/>
      <c r="I198" s="119"/>
      <c r="J198" s="119"/>
      <c r="K198" s="117"/>
      <c r="L198" s="117"/>
      <c r="M198" s="2"/>
      <c r="N198" s="2"/>
      <c r="O198" s="2"/>
      <c r="P198" s="2"/>
      <c r="Q198" s="2"/>
      <c r="R198" s="2"/>
      <c r="S198" s="862"/>
      <c r="T198" s="109"/>
      <c r="U198" s="2"/>
      <c r="V198" s="2"/>
      <c r="W198" s="2"/>
      <c r="X198" s="2"/>
      <c r="Y198" s="2"/>
      <c r="Z198" s="2"/>
    </row>
    <row r="199">
      <c r="A199" s="531"/>
      <c r="B199" s="977"/>
      <c r="C199" s="119"/>
      <c r="D199" s="977"/>
      <c r="E199" s="977"/>
      <c r="F199" s="119"/>
      <c r="G199" s="119"/>
      <c r="H199" s="119"/>
      <c r="I199" s="119"/>
      <c r="J199" s="119"/>
      <c r="K199" s="117"/>
      <c r="L199" s="117"/>
      <c r="M199" s="2"/>
      <c r="N199" s="2"/>
      <c r="O199" s="2"/>
      <c r="P199" s="2"/>
      <c r="Q199" s="2"/>
      <c r="R199" s="2"/>
      <c r="S199" s="861"/>
      <c r="T199" s="111"/>
      <c r="U199" s="2"/>
      <c r="V199" s="2"/>
      <c r="W199" s="2"/>
      <c r="X199" s="2"/>
      <c r="Y199" s="2"/>
      <c r="Z199" s="2"/>
    </row>
    <row r="200">
      <c r="A200" s="531"/>
      <c r="B200" s="977"/>
      <c r="C200" s="119"/>
      <c r="D200" s="977"/>
      <c r="E200" s="977"/>
      <c r="F200" s="119"/>
      <c r="G200" s="119"/>
      <c r="H200" s="119"/>
      <c r="I200" s="119"/>
      <c r="J200" s="119"/>
      <c r="K200" s="117"/>
      <c r="L200" s="117"/>
      <c r="M200" s="2"/>
      <c r="N200" s="2"/>
      <c r="O200" s="2"/>
      <c r="P200" s="2"/>
      <c r="Q200" s="2"/>
      <c r="R200" s="2"/>
      <c r="S200" s="861"/>
      <c r="T200" s="111"/>
      <c r="U200" s="2"/>
      <c r="V200" s="2"/>
      <c r="W200" s="2"/>
      <c r="X200" s="2"/>
      <c r="Y200" s="2"/>
      <c r="Z200" s="2"/>
    </row>
    <row r="201">
      <c r="A201" s="531"/>
      <c r="B201" s="977"/>
      <c r="C201" s="119"/>
      <c r="D201" s="977"/>
      <c r="E201" s="977"/>
      <c r="F201" s="119"/>
      <c r="G201" s="119"/>
      <c r="H201" s="119"/>
      <c r="I201" s="119"/>
      <c r="J201" s="119"/>
      <c r="K201" s="117"/>
      <c r="L201" s="117"/>
      <c r="M201" s="2"/>
      <c r="N201" s="2"/>
      <c r="O201" s="2"/>
      <c r="P201" s="2"/>
      <c r="Q201" s="2"/>
      <c r="R201" s="2"/>
      <c r="S201" s="861"/>
      <c r="T201" s="111"/>
      <c r="U201" s="2"/>
      <c r="V201" s="2"/>
      <c r="W201" s="2"/>
      <c r="X201" s="2"/>
      <c r="Y201" s="2"/>
      <c r="Z201" s="2"/>
    </row>
    <row r="202">
      <c r="A202" s="531"/>
      <c r="B202" s="977"/>
      <c r="C202" s="119"/>
      <c r="D202" s="977"/>
      <c r="E202" s="977"/>
      <c r="F202" s="119"/>
      <c r="G202" s="119"/>
      <c r="H202" s="119"/>
      <c r="I202" s="119"/>
      <c r="J202" s="119"/>
      <c r="K202" s="117"/>
      <c r="L202" s="117"/>
      <c r="M202" s="2"/>
      <c r="N202" s="2"/>
      <c r="O202" s="2"/>
      <c r="P202" s="2"/>
      <c r="Q202" s="2"/>
      <c r="R202" s="2"/>
      <c r="S202" s="861"/>
      <c r="T202" s="111"/>
      <c r="U202" s="2"/>
      <c r="V202" s="2"/>
      <c r="W202" s="2"/>
      <c r="X202" s="2"/>
      <c r="Y202" s="2"/>
      <c r="Z202" s="2"/>
    </row>
    <row r="203">
      <c r="A203" s="531"/>
      <c r="B203" s="977"/>
      <c r="C203" s="119"/>
      <c r="D203" s="977"/>
      <c r="E203" s="977"/>
      <c r="F203" s="119"/>
      <c r="G203" s="119"/>
      <c r="H203" s="119"/>
      <c r="I203" s="119"/>
      <c r="J203" s="119"/>
      <c r="K203" s="117"/>
      <c r="L203" s="117"/>
      <c r="M203" s="2"/>
      <c r="N203" s="2"/>
      <c r="O203" s="2"/>
      <c r="P203" s="2"/>
      <c r="Q203" s="2"/>
      <c r="R203" s="2"/>
      <c r="S203" s="861"/>
      <c r="T203" s="111"/>
      <c r="U203" s="2"/>
      <c r="V203" s="2"/>
      <c r="W203" s="2"/>
      <c r="X203" s="2"/>
      <c r="Y203" s="2"/>
      <c r="Z203" s="2"/>
    </row>
    <row r="204">
      <c r="A204" s="531"/>
      <c r="B204" s="977"/>
      <c r="C204" s="119"/>
      <c r="D204" s="977"/>
      <c r="E204" s="977"/>
      <c r="F204" s="119"/>
      <c r="G204" s="119"/>
      <c r="H204" s="119"/>
      <c r="I204" s="119"/>
      <c r="J204" s="119"/>
      <c r="K204" s="117"/>
      <c r="L204" s="117"/>
      <c r="M204" s="2"/>
      <c r="N204" s="2"/>
      <c r="O204" s="2"/>
      <c r="P204" s="2"/>
      <c r="Q204" s="2"/>
      <c r="R204" s="2"/>
      <c r="S204" s="861"/>
      <c r="T204" s="111"/>
      <c r="U204" s="2"/>
      <c r="V204" s="2"/>
      <c r="W204" s="2"/>
      <c r="X204" s="2"/>
      <c r="Y204" s="2"/>
      <c r="Z204" s="2"/>
    </row>
    <row r="205">
      <c r="A205" s="531"/>
      <c r="B205" s="977"/>
      <c r="C205" s="119"/>
      <c r="D205" s="977"/>
      <c r="E205" s="977"/>
      <c r="F205" s="119"/>
      <c r="G205" s="119"/>
      <c r="H205" s="119"/>
      <c r="I205" s="119"/>
      <c r="J205" s="119"/>
      <c r="K205" s="117"/>
      <c r="L205" s="117"/>
      <c r="M205" s="2"/>
      <c r="N205" s="2"/>
      <c r="O205" s="2"/>
      <c r="P205" s="2"/>
      <c r="Q205" s="2"/>
      <c r="R205" s="2"/>
      <c r="S205" s="861"/>
      <c r="T205" s="111"/>
      <c r="U205" s="2"/>
      <c r="V205" s="2"/>
      <c r="W205" s="2"/>
      <c r="X205" s="2"/>
      <c r="Y205" s="2"/>
      <c r="Z205" s="2"/>
    </row>
    <row r="206">
      <c r="A206" s="531"/>
      <c r="B206" s="977"/>
      <c r="C206" s="119"/>
      <c r="D206" s="977"/>
      <c r="E206" s="977"/>
      <c r="F206" s="119"/>
      <c r="G206" s="119"/>
      <c r="H206" s="119"/>
      <c r="I206" s="119"/>
      <c r="J206" s="119"/>
      <c r="K206" s="117"/>
      <c r="L206" s="117"/>
      <c r="M206" s="2"/>
      <c r="N206" s="2"/>
      <c r="O206" s="2"/>
      <c r="P206" s="2"/>
      <c r="Q206" s="2"/>
      <c r="R206" s="2"/>
      <c r="S206" s="861"/>
      <c r="T206" s="111"/>
      <c r="U206" s="2"/>
      <c r="V206" s="2"/>
      <c r="W206" s="2"/>
      <c r="X206" s="2"/>
      <c r="Y206" s="2"/>
      <c r="Z206" s="2"/>
    </row>
    <row r="207">
      <c r="A207" s="531"/>
      <c r="B207" s="977"/>
      <c r="C207" s="119"/>
      <c r="D207" s="977"/>
      <c r="E207" s="977"/>
      <c r="F207" s="119"/>
      <c r="G207" s="119"/>
      <c r="H207" s="119"/>
      <c r="I207" s="119"/>
      <c r="J207" s="119"/>
      <c r="K207" s="117"/>
      <c r="L207" s="117"/>
      <c r="M207" s="2"/>
      <c r="N207" s="2"/>
      <c r="O207" s="2"/>
      <c r="P207" s="2"/>
      <c r="Q207" s="2"/>
      <c r="R207" s="2"/>
      <c r="S207" s="862"/>
      <c r="T207" s="109"/>
      <c r="U207" s="2"/>
      <c r="V207" s="2"/>
      <c r="W207" s="2"/>
      <c r="X207" s="2"/>
      <c r="Y207" s="2"/>
      <c r="Z207" s="2"/>
    </row>
    <row r="208">
      <c r="A208" s="531"/>
      <c r="B208" s="977"/>
      <c r="C208" s="119"/>
      <c r="D208" s="977"/>
      <c r="E208" s="977"/>
      <c r="F208" s="119"/>
      <c r="G208" s="119"/>
      <c r="H208" s="119"/>
      <c r="I208" s="119"/>
      <c r="J208" s="119"/>
      <c r="K208" s="117"/>
      <c r="L208" s="117"/>
      <c r="M208" s="2"/>
      <c r="N208" s="2"/>
      <c r="O208" s="2"/>
      <c r="P208" s="2"/>
      <c r="Q208" s="2"/>
      <c r="R208" s="2"/>
      <c r="S208" s="862"/>
      <c r="T208" s="109"/>
      <c r="U208" s="54"/>
      <c r="V208" s="54"/>
      <c r="W208" s="54"/>
      <c r="X208" s="54"/>
      <c r="Y208" s="54"/>
      <c r="Z208" s="54"/>
    </row>
    <row r="209">
      <c r="A209" s="531"/>
      <c r="B209" s="977"/>
      <c r="C209" s="119"/>
      <c r="D209" s="977"/>
      <c r="E209" s="977"/>
      <c r="F209" s="119"/>
      <c r="G209" s="119"/>
      <c r="H209" s="119"/>
      <c r="I209" s="119"/>
      <c r="J209" s="119"/>
      <c r="K209" s="117"/>
      <c r="L209" s="117"/>
      <c r="M209" s="2"/>
      <c r="N209" s="2"/>
      <c r="O209" s="2"/>
      <c r="P209" s="2"/>
      <c r="Q209" s="2"/>
      <c r="R209" s="2"/>
      <c r="S209" s="117"/>
      <c r="T209" s="2"/>
      <c r="U209" s="2"/>
      <c r="V209" s="2"/>
      <c r="W209" s="2"/>
      <c r="X209" s="2"/>
      <c r="Y209" s="2"/>
      <c r="Z209" s="2"/>
    </row>
    <row r="210">
      <c r="A210" s="531"/>
      <c r="B210" s="977"/>
      <c r="C210" s="119"/>
      <c r="D210" s="977"/>
      <c r="E210" s="977"/>
      <c r="F210" s="119"/>
      <c r="G210" s="119"/>
      <c r="H210" s="119"/>
      <c r="I210" s="119"/>
      <c r="J210" s="119"/>
      <c r="K210" s="117"/>
      <c r="L210" s="117"/>
      <c r="M210" s="2"/>
      <c r="N210" s="2"/>
      <c r="O210" s="2"/>
      <c r="P210" s="2"/>
      <c r="Q210" s="2"/>
      <c r="R210" s="2"/>
      <c r="S210" s="117"/>
      <c r="T210" s="2"/>
      <c r="U210" s="2"/>
      <c r="V210" s="2"/>
      <c r="W210" s="2"/>
      <c r="X210" s="2"/>
      <c r="Y210" s="2"/>
      <c r="Z210" s="2"/>
    </row>
    <row r="211">
      <c r="A211" s="531"/>
      <c r="B211" s="977"/>
      <c r="C211" s="119"/>
      <c r="D211" s="977"/>
      <c r="E211" s="977"/>
      <c r="F211" s="119"/>
      <c r="G211" s="119"/>
      <c r="H211" s="119"/>
      <c r="I211" s="119"/>
      <c r="J211" s="119"/>
      <c r="K211" s="117"/>
      <c r="L211" s="117"/>
      <c r="M211" s="2"/>
      <c r="N211" s="2"/>
      <c r="O211" s="2"/>
      <c r="P211" s="2"/>
      <c r="Q211" s="2"/>
      <c r="R211" s="2"/>
      <c r="S211" s="847"/>
      <c r="T211" s="847"/>
      <c r="U211" s="116"/>
      <c r="V211" s="116"/>
      <c r="W211" s="116"/>
      <c r="X211" s="116"/>
      <c r="Y211" s="116"/>
      <c r="Z211" s="116"/>
    </row>
    <row r="212">
      <c r="A212" s="531"/>
      <c r="B212" s="977"/>
      <c r="C212" s="119"/>
      <c r="D212" s="977"/>
      <c r="E212" s="977"/>
      <c r="F212" s="119"/>
      <c r="G212" s="119"/>
      <c r="H212" s="119"/>
      <c r="I212" s="119"/>
      <c r="J212" s="119"/>
      <c r="K212" s="117"/>
      <c r="L212" s="117"/>
      <c r="M212" s="2"/>
      <c r="N212" s="2"/>
      <c r="O212" s="2"/>
      <c r="P212" s="2"/>
      <c r="Q212" s="2"/>
      <c r="R212" s="2"/>
      <c r="S212" s="848"/>
      <c r="T212" s="848"/>
      <c r="U212" s="848"/>
      <c r="V212" s="848"/>
      <c r="W212" s="848"/>
      <c r="X212" s="848"/>
      <c r="Y212" s="848"/>
      <c r="Z212" s="848"/>
    </row>
    <row r="213">
      <c r="A213" s="531"/>
      <c r="B213" s="977"/>
      <c r="C213" s="119"/>
      <c r="D213" s="977"/>
      <c r="E213" s="977"/>
      <c r="F213" s="119"/>
      <c r="G213" s="119"/>
      <c r="H213" s="119"/>
      <c r="I213" s="119"/>
      <c r="J213" s="119"/>
      <c r="K213" s="117"/>
      <c r="L213" s="117"/>
      <c r="M213" s="2"/>
      <c r="N213" s="2"/>
      <c r="O213" s="2"/>
      <c r="P213" s="2"/>
      <c r="Q213" s="2"/>
      <c r="R213" s="2"/>
      <c r="S213" s="849"/>
      <c r="T213" s="850"/>
      <c r="U213" s="851"/>
      <c r="V213" s="851"/>
      <c r="W213" s="851"/>
      <c r="X213" s="851"/>
      <c r="Y213" s="851"/>
      <c r="Z213" s="851"/>
    </row>
    <row r="214">
      <c r="A214" s="531"/>
      <c r="B214" s="977"/>
      <c r="C214" s="119"/>
      <c r="D214" s="977"/>
      <c r="E214" s="977"/>
      <c r="F214" s="119"/>
      <c r="G214" s="119"/>
      <c r="H214" s="119"/>
      <c r="I214" s="119"/>
      <c r="J214" s="119"/>
      <c r="K214" s="117"/>
      <c r="L214" s="117"/>
      <c r="M214" s="2"/>
      <c r="N214" s="2"/>
      <c r="O214" s="2"/>
      <c r="P214" s="2"/>
      <c r="Q214" s="2"/>
      <c r="R214" s="2"/>
      <c r="S214" s="852"/>
      <c r="T214" s="853"/>
      <c r="U214" s="854"/>
      <c r="V214" s="854"/>
      <c r="W214" s="854"/>
      <c r="X214" s="854"/>
      <c r="Y214" s="854"/>
      <c r="Z214" s="854"/>
    </row>
    <row r="215">
      <c r="A215" s="531"/>
      <c r="B215" s="977"/>
      <c r="C215" s="119"/>
      <c r="D215" s="977"/>
      <c r="E215" s="977"/>
      <c r="F215" s="119"/>
      <c r="G215" s="119"/>
      <c r="H215" s="119"/>
      <c r="I215" s="119"/>
      <c r="J215" s="119"/>
      <c r="K215" s="117"/>
      <c r="L215" s="117"/>
      <c r="M215" s="2"/>
      <c r="N215" s="2"/>
      <c r="O215" s="2"/>
      <c r="P215" s="2"/>
      <c r="Q215" s="2"/>
      <c r="R215" s="2"/>
      <c r="S215" s="855"/>
      <c r="T215" s="856"/>
      <c r="U215" s="854"/>
      <c r="V215" s="854"/>
      <c r="W215" s="854"/>
      <c r="X215" s="854"/>
      <c r="Y215" s="854"/>
      <c r="Z215" s="854"/>
    </row>
    <row r="216">
      <c r="A216" s="531"/>
      <c r="B216" s="977"/>
      <c r="C216" s="119"/>
      <c r="D216" s="977"/>
      <c r="E216" s="977"/>
      <c r="F216" s="119"/>
      <c r="G216" s="119"/>
      <c r="H216" s="119"/>
      <c r="I216" s="119"/>
      <c r="J216" s="119"/>
      <c r="K216" s="117"/>
      <c r="L216" s="117"/>
      <c r="M216" s="2"/>
      <c r="N216" s="2"/>
      <c r="O216" s="2"/>
      <c r="P216" s="2"/>
      <c r="Q216" s="2"/>
      <c r="R216" s="2"/>
      <c r="S216" s="855"/>
      <c r="T216" s="856"/>
      <c r="U216" s="854"/>
      <c r="V216" s="854"/>
      <c r="W216" s="854"/>
      <c r="X216" s="854"/>
      <c r="Y216" s="854"/>
      <c r="Z216" s="854"/>
    </row>
    <row r="217">
      <c r="A217" s="531"/>
      <c r="B217" s="977"/>
      <c r="C217" s="119"/>
      <c r="D217" s="977"/>
      <c r="E217" s="977"/>
      <c r="F217" s="119"/>
      <c r="G217" s="119"/>
      <c r="H217" s="119"/>
      <c r="I217" s="119"/>
      <c r="J217" s="119"/>
      <c r="K217" s="117"/>
      <c r="L217" s="117"/>
      <c r="M217" s="2"/>
      <c r="N217" s="2"/>
      <c r="O217" s="2"/>
      <c r="P217" s="2"/>
      <c r="Q217" s="2"/>
      <c r="R217" s="2"/>
      <c r="S217" s="852"/>
      <c r="T217" s="853"/>
      <c r="U217" s="854"/>
      <c r="V217" s="854"/>
      <c r="W217" s="854"/>
      <c r="X217" s="854"/>
      <c r="Y217" s="854"/>
      <c r="Z217" s="854"/>
    </row>
    <row r="218">
      <c r="A218" s="531"/>
      <c r="B218" s="977"/>
      <c r="C218" s="119"/>
      <c r="D218" s="977"/>
      <c r="E218" s="977"/>
      <c r="F218" s="119"/>
      <c r="G218" s="119"/>
      <c r="H218" s="119"/>
      <c r="I218" s="119"/>
      <c r="J218" s="119"/>
      <c r="K218" s="117"/>
      <c r="L218" s="117"/>
      <c r="M218" s="2"/>
      <c r="N218" s="2"/>
      <c r="O218" s="2"/>
      <c r="P218" s="2"/>
      <c r="Q218" s="2"/>
      <c r="R218" s="2"/>
      <c r="S218" s="857"/>
      <c r="T218" s="858"/>
      <c r="U218" s="854"/>
      <c r="V218" s="854"/>
      <c r="W218" s="854"/>
      <c r="X218" s="854"/>
      <c r="Y218" s="854"/>
      <c r="Z218" s="854"/>
    </row>
    <row r="219">
      <c r="A219" s="531"/>
      <c r="B219" s="977"/>
      <c r="C219" s="119"/>
      <c r="D219" s="977"/>
      <c r="E219" s="977"/>
      <c r="F219" s="119"/>
      <c r="G219" s="119"/>
      <c r="H219" s="119"/>
      <c r="I219" s="119"/>
      <c r="J219" s="119"/>
      <c r="K219" s="117"/>
      <c r="L219" s="117"/>
      <c r="M219" s="2"/>
      <c r="N219" s="2"/>
      <c r="O219" s="2"/>
      <c r="P219" s="2"/>
      <c r="Q219" s="2"/>
      <c r="R219" s="2"/>
      <c r="S219" s="857"/>
      <c r="T219" s="858"/>
      <c r="U219" s="854"/>
      <c r="V219" s="854"/>
      <c r="W219" s="854"/>
      <c r="X219" s="854"/>
      <c r="Y219" s="854"/>
      <c r="Z219" s="854"/>
    </row>
    <row r="220">
      <c r="A220" s="531"/>
      <c r="B220" s="977"/>
      <c r="C220" s="119"/>
      <c r="D220" s="977"/>
      <c r="E220" s="977"/>
      <c r="F220" s="119"/>
      <c r="G220" s="119"/>
      <c r="H220" s="119"/>
      <c r="I220" s="119"/>
      <c r="J220" s="119"/>
      <c r="K220" s="117"/>
      <c r="L220" s="117"/>
      <c r="M220" s="2"/>
      <c r="N220" s="2"/>
      <c r="O220" s="2"/>
      <c r="P220" s="2"/>
      <c r="Q220" s="2"/>
      <c r="R220" s="2"/>
      <c r="S220" s="857"/>
      <c r="T220" s="858"/>
      <c r="U220" s="854"/>
      <c r="V220" s="854"/>
      <c r="W220" s="854"/>
      <c r="X220" s="854"/>
      <c r="Y220" s="854"/>
      <c r="Z220" s="854"/>
    </row>
    <row r="221">
      <c r="A221" s="531"/>
      <c r="B221" s="977"/>
      <c r="C221" s="119"/>
      <c r="D221" s="977"/>
      <c r="E221" s="977"/>
      <c r="F221" s="119"/>
      <c r="G221" s="119"/>
      <c r="H221" s="119"/>
      <c r="I221" s="119"/>
      <c r="J221" s="119"/>
      <c r="K221" s="117"/>
      <c r="L221" s="117"/>
      <c r="M221" s="2"/>
      <c r="N221" s="2"/>
      <c r="O221" s="2"/>
      <c r="P221" s="2"/>
      <c r="Q221" s="2"/>
      <c r="R221" s="2"/>
      <c r="S221" s="852"/>
      <c r="T221" s="853"/>
      <c r="U221" s="854"/>
      <c r="V221" s="854"/>
      <c r="W221" s="854"/>
      <c r="X221" s="854"/>
      <c r="Y221" s="854"/>
      <c r="Z221" s="854"/>
    </row>
    <row r="222">
      <c r="A222" s="531"/>
      <c r="B222" s="977"/>
      <c r="C222" s="119"/>
      <c r="D222" s="977"/>
      <c r="E222" s="977"/>
      <c r="F222" s="119"/>
      <c r="G222" s="119"/>
      <c r="H222" s="119"/>
      <c r="I222" s="119"/>
      <c r="J222" s="119"/>
      <c r="K222" s="117"/>
      <c r="L222" s="117"/>
      <c r="M222" s="2"/>
      <c r="N222" s="2"/>
      <c r="O222" s="2"/>
      <c r="P222" s="2"/>
      <c r="Q222" s="2"/>
      <c r="R222" s="2"/>
      <c r="S222" s="852"/>
      <c r="T222" s="853"/>
      <c r="U222" s="854"/>
      <c r="V222" s="854"/>
      <c r="W222" s="854"/>
      <c r="X222" s="854"/>
      <c r="Y222" s="854"/>
      <c r="Z222" s="854"/>
    </row>
    <row r="223">
      <c r="A223" s="531"/>
      <c r="B223" s="977"/>
      <c r="C223" s="119"/>
      <c r="D223" s="977"/>
      <c r="E223" s="977"/>
      <c r="F223" s="119"/>
      <c r="G223" s="119"/>
      <c r="H223" s="119"/>
      <c r="I223" s="119"/>
      <c r="J223" s="119"/>
      <c r="K223" s="117"/>
      <c r="L223" s="117"/>
      <c r="M223" s="2"/>
      <c r="N223" s="2"/>
      <c r="O223" s="2"/>
      <c r="P223" s="2"/>
      <c r="Q223" s="2"/>
      <c r="R223" s="2"/>
      <c r="S223" s="852"/>
      <c r="T223" s="853"/>
      <c r="U223" s="854"/>
      <c r="V223" s="854"/>
      <c r="W223" s="854"/>
      <c r="X223" s="854"/>
      <c r="Y223" s="854"/>
      <c r="Z223" s="854"/>
    </row>
    <row r="224">
      <c r="A224" s="531"/>
      <c r="B224" s="977"/>
      <c r="C224" s="119"/>
      <c r="D224" s="977"/>
      <c r="E224" s="977"/>
      <c r="F224" s="119"/>
      <c r="G224" s="119"/>
      <c r="H224" s="119"/>
      <c r="I224" s="119"/>
      <c r="J224" s="119"/>
      <c r="K224" s="117"/>
      <c r="L224" s="117"/>
      <c r="M224" s="2"/>
      <c r="N224" s="2"/>
      <c r="O224" s="2"/>
      <c r="P224" s="2"/>
      <c r="Q224" s="2"/>
      <c r="R224" s="2"/>
      <c r="S224" s="852"/>
      <c r="T224" s="853"/>
      <c r="U224" s="854"/>
      <c r="V224" s="854"/>
      <c r="W224" s="854"/>
      <c r="X224" s="854"/>
      <c r="Y224" s="854"/>
      <c r="Z224" s="854"/>
    </row>
    <row r="225">
      <c r="A225" s="531"/>
      <c r="B225" s="977"/>
      <c r="C225" s="119"/>
      <c r="D225" s="977"/>
      <c r="E225" s="977"/>
      <c r="F225" s="119"/>
      <c r="G225" s="119"/>
      <c r="H225" s="119"/>
      <c r="I225" s="119"/>
      <c r="J225" s="119"/>
      <c r="K225" s="117"/>
      <c r="L225" s="117"/>
      <c r="M225" s="2"/>
      <c r="N225" s="2"/>
      <c r="O225" s="2"/>
      <c r="P225" s="2"/>
      <c r="Q225" s="2"/>
      <c r="R225" s="2"/>
      <c r="S225" s="852"/>
      <c r="T225" s="859"/>
      <c r="U225" s="107"/>
      <c r="V225" s="107"/>
      <c r="W225" s="107"/>
      <c r="X225" s="107"/>
      <c r="Y225" s="107"/>
      <c r="Z225" s="107"/>
    </row>
    <row r="226">
      <c r="A226" s="531"/>
      <c r="B226" s="977"/>
      <c r="C226" s="119"/>
      <c r="D226" s="977"/>
      <c r="E226" s="977"/>
      <c r="F226" s="119"/>
      <c r="G226" s="119"/>
      <c r="H226" s="119"/>
      <c r="I226" s="119"/>
      <c r="J226" s="119"/>
      <c r="K226" s="117"/>
      <c r="L226" s="117"/>
      <c r="M226" s="2"/>
      <c r="N226" s="2"/>
      <c r="O226" s="2"/>
      <c r="P226" s="2"/>
      <c r="Q226" s="2"/>
      <c r="R226" s="2"/>
      <c r="S226" s="852"/>
      <c r="T226" s="859"/>
      <c r="U226" s="107"/>
      <c r="V226" s="107"/>
      <c r="W226" s="107"/>
      <c r="X226" s="107"/>
      <c r="Y226" s="107"/>
      <c r="Z226" s="107"/>
    </row>
    <row r="227">
      <c r="A227" s="531"/>
      <c r="B227" s="977"/>
      <c r="C227" s="119"/>
      <c r="D227" s="977"/>
      <c r="E227" s="977"/>
      <c r="F227" s="119"/>
      <c r="G227" s="119"/>
      <c r="H227" s="119"/>
      <c r="I227" s="119"/>
      <c r="J227" s="119"/>
      <c r="K227" s="117"/>
      <c r="L227" s="117"/>
      <c r="M227" s="2"/>
      <c r="N227" s="2"/>
      <c r="O227" s="2"/>
      <c r="P227" s="2"/>
      <c r="Q227" s="2"/>
      <c r="R227" s="2"/>
      <c r="S227" s="852"/>
      <c r="T227" s="859"/>
      <c r="U227" s="107"/>
      <c r="V227" s="107"/>
      <c r="W227" s="107"/>
      <c r="X227" s="107"/>
      <c r="Y227" s="107"/>
      <c r="Z227" s="107"/>
    </row>
    <row r="228">
      <c r="A228" s="531"/>
      <c r="B228" s="977"/>
      <c r="C228" s="119"/>
      <c r="D228" s="977"/>
      <c r="E228" s="977"/>
      <c r="F228" s="119"/>
      <c r="G228" s="119"/>
      <c r="H228" s="119"/>
      <c r="I228" s="119"/>
      <c r="J228" s="119"/>
      <c r="K228" s="117"/>
      <c r="L228" s="117"/>
      <c r="M228" s="2"/>
      <c r="N228" s="2"/>
      <c r="O228" s="2"/>
      <c r="P228" s="2"/>
      <c r="Q228" s="2"/>
      <c r="R228" s="2"/>
      <c r="S228" s="852"/>
      <c r="T228" s="859"/>
      <c r="U228" s="107"/>
      <c r="V228" s="107"/>
      <c r="W228" s="107"/>
      <c r="X228" s="107"/>
      <c r="Y228" s="107"/>
      <c r="Z228" s="107"/>
    </row>
    <row r="229">
      <c r="A229" s="531"/>
      <c r="B229" s="977"/>
      <c r="C229" s="119"/>
      <c r="D229" s="977"/>
      <c r="E229" s="977"/>
      <c r="F229" s="119"/>
      <c r="G229" s="119"/>
      <c r="H229" s="119"/>
      <c r="I229" s="119"/>
      <c r="J229" s="119"/>
      <c r="K229" s="117"/>
      <c r="L229" s="117"/>
      <c r="M229" s="2"/>
      <c r="N229" s="2"/>
      <c r="O229" s="2"/>
      <c r="P229" s="2"/>
      <c r="Q229" s="2"/>
      <c r="R229" s="2"/>
      <c r="S229" s="852"/>
      <c r="T229" s="859"/>
      <c r="U229" s="107"/>
      <c r="V229" s="107"/>
      <c r="W229" s="107"/>
      <c r="X229" s="107"/>
      <c r="Y229" s="107"/>
      <c r="Z229" s="107"/>
    </row>
    <row r="230">
      <c r="A230" s="531"/>
      <c r="B230" s="977"/>
      <c r="C230" s="119"/>
      <c r="D230" s="977"/>
      <c r="E230" s="977"/>
      <c r="F230" s="119"/>
      <c r="G230" s="119"/>
      <c r="H230" s="119"/>
      <c r="I230" s="119"/>
      <c r="J230" s="119"/>
      <c r="K230" s="117"/>
      <c r="L230" s="117"/>
      <c r="M230" s="2"/>
      <c r="N230" s="2"/>
      <c r="O230" s="2"/>
      <c r="P230" s="2"/>
      <c r="Q230" s="2"/>
      <c r="R230" s="2"/>
      <c r="S230" s="852"/>
      <c r="T230" s="859"/>
      <c r="U230" s="107"/>
      <c r="V230" s="107"/>
      <c r="W230" s="107"/>
      <c r="X230" s="107"/>
      <c r="Y230" s="107"/>
      <c r="Z230" s="107"/>
    </row>
    <row r="231">
      <c r="A231" s="531"/>
      <c r="B231" s="977"/>
      <c r="C231" s="119"/>
      <c r="D231" s="977"/>
      <c r="E231" s="977"/>
      <c r="F231" s="119"/>
      <c r="G231" s="119"/>
      <c r="H231" s="119"/>
      <c r="I231" s="119"/>
      <c r="J231" s="119"/>
      <c r="K231" s="117"/>
      <c r="L231" s="117"/>
      <c r="M231" s="2"/>
      <c r="N231" s="2"/>
      <c r="O231" s="2"/>
      <c r="P231" s="2"/>
      <c r="Q231" s="2"/>
      <c r="R231" s="2"/>
      <c r="S231" s="852"/>
      <c r="T231" s="859"/>
      <c r="U231" s="107"/>
      <c r="V231" s="107"/>
      <c r="W231" s="107"/>
      <c r="X231" s="107"/>
      <c r="Y231" s="107"/>
      <c r="Z231" s="107"/>
    </row>
    <row r="232">
      <c r="A232" s="531"/>
      <c r="B232" s="977"/>
      <c r="C232" s="119"/>
      <c r="D232" s="977"/>
      <c r="E232" s="977"/>
      <c r="F232" s="119"/>
      <c r="G232" s="119"/>
      <c r="H232" s="119"/>
      <c r="I232" s="119"/>
      <c r="J232" s="119"/>
      <c r="K232" s="117"/>
      <c r="L232" s="117"/>
      <c r="M232" s="2"/>
      <c r="N232" s="2"/>
      <c r="O232" s="2"/>
      <c r="P232" s="2"/>
      <c r="Q232" s="2"/>
      <c r="R232" s="2"/>
      <c r="S232" s="852"/>
      <c r="T232" s="859"/>
      <c r="U232" s="107"/>
      <c r="V232" s="107"/>
      <c r="W232" s="107"/>
      <c r="X232" s="107"/>
      <c r="Y232" s="107"/>
      <c r="Z232" s="107"/>
    </row>
    <row r="233">
      <c r="A233" s="531"/>
      <c r="B233" s="977"/>
      <c r="C233" s="119"/>
      <c r="D233" s="977"/>
      <c r="E233" s="977"/>
      <c r="F233" s="119"/>
      <c r="G233" s="119"/>
      <c r="H233" s="119"/>
      <c r="I233" s="119"/>
      <c r="J233" s="119"/>
      <c r="K233" s="117"/>
      <c r="L233" s="117"/>
      <c r="M233" s="2"/>
      <c r="N233" s="2"/>
      <c r="O233" s="2"/>
      <c r="P233" s="2"/>
      <c r="Q233" s="2"/>
      <c r="R233" s="2"/>
      <c r="S233" s="852"/>
      <c r="T233" s="859"/>
      <c r="U233" s="107"/>
      <c r="V233" s="107"/>
      <c r="W233" s="107"/>
      <c r="X233" s="107"/>
      <c r="Y233" s="107"/>
      <c r="Z233" s="107"/>
    </row>
    <row r="234">
      <c r="A234" s="531"/>
      <c r="B234" s="977"/>
      <c r="C234" s="119"/>
      <c r="D234" s="977"/>
      <c r="E234" s="977"/>
      <c r="F234" s="119"/>
      <c r="G234" s="119"/>
      <c r="H234" s="119"/>
      <c r="I234" s="119"/>
      <c r="J234" s="119"/>
      <c r="K234" s="117"/>
      <c r="L234" s="117"/>
      <c r="M234" s="2"/>
      <c r="N234" s="2"/>
      <c r="O234" s="2"/>
      <c r="P234" s="2"/>
      <c r="Q234" s="2"/>
      <c r="R234" s="2"/>
      <c r="S234" s="852"/>
      <c r="T234" s="859"/>
      <c r="U234" s="107"/>
      <c r="V234" s="107"/>
      <c r="W234" s="107"/>
      <c r="X234" s="107"/>
      <c r="Y234" s="107"/>
      <c r="Z234" s="107"/>
    </row>
    <row r="235">
      <c r="A235" s="531"/>
      <c r="B235" s="977"/>
      <c r="C235" s="119"/>
      <c r="D235" s="977"/>
      <c r="E235" s="977"/>
      <c r="F235" s="119"/>
      <c r="G235" s="119"/>
      <c r="H235" s="119"/>
      <c r="I235" s="119"/>
      <c r="J235" s="119"/>
      <c r="K235" s="117"/>
      <c r="L235" s="117"/>
      <c r="M235" s="2"/>
      <c r="N235" s="2"/>
      <c r="O235" s="2"/>
      <c r="P235" s="2"/>
      <c r="Q235" s="2"/>
      <c r="R235" s="2"/>
      <c r="S235" s="857"/>
      <c r="T235" s="860"/>
      <c r="U235" s="107"/>
      <c r="V235" s="107"/>
      <c r="W235" s="107"/>
      <c r="X235" s="107"/>
      <c r="Y235" s="107"/>
      <c r="Z235" s="107"/>
    </row>
    <row r="236">
      <c r="A236" s="531"/>
      <c r="B236" s="977"/>
      <c r="C236" s="119"/>
      <c r="D236" s="977"/>
      <c r="E236" s="977"/>
      <c r="F236" s="119"/>
      <c r="G236" s="119"/>
      <c r="H236" s="119"/>
      <c r="I236" s="119"/>
      <c r="J236" s="119"/>
      <c r="K236" s="117"/>
      <c r="L236" s="117"/>
      <c r="M236" s="2"/>
      <c r="N236" s="2"/>
      <c r="O236" s="2"/>
      <c r="P236" s="2"/>
      <c r="Q236" s="2"/>
      <c r="R236" s="2"/>
      <c r="S236" s="861"/>
      <c r="T236" s="111"/>
      <c r="U236" s="2"/>
      <c r="V236" s="2"/>
      <c r="W236" s="2"/>
      <c r="X236" s="2"/>
      <c r="Y236" s="2"/>
      <c r="Z236" s="2"/>
    </row>
    <row r="237">
      <c r="A237" s="531"/>
      <c r="B237" s="977"/>
      <c r="C237" s="119"/>
      <c r="D237" s="977"/>
      <c r="E237" s="977"/>
      <c r="F237" s="119"/>
      <c r="G237" s="119"/>
      <c r="H237" s="119"/>
      <c r="I237" s="119"/>
      <c r="J237" s="119"/>
      <c r="K237" s="117"/>
      <c r="L237" s="117"/>
      <c r="M237" s="2"/>
      <c r="N237" s="2"/>
      <c r="O237" s="2"/>
      <c r="P237" s="2"/>
      <c r="Q237" s="2"/>
      <c r="R237" s="2"/>
      <c r="S237" s="861"/>
      <c r="T237" s="111"/>
      <c r="U237" s="2"/>
      <c r="V237" s="2"/>
      <c r="W237" s="2"/>
      <c r="X237" s="2"/>
      <c r="Y237" s="2"/>
      <c r="Z237" s="2"/>
    </row>
    <row r="238">
      <c r="A238" s="531"/>
      <c r="B238" s="977"/>
      <c r="C238" s="119"/>
      <c r="D238" s="977"/>
      <c r="E238" s="977"/>
      <c r="F238" s="119"/>
      <c r="G238" s="119"/>
      <c r="H238" s="119"/>
      <c r="I238" s="119"/>
      <c r="J238" s="119"/>
      <c r="K238" s="117"/>
      <c r="L238" s="117"/>
      <c r="M238" s="2"/>
      <c r="N238" s="2"/>
      <c r="O238" s="2"/>
      <c r="P238" s="2"/>
      <c r="Q238" s="2"/>
      <c r="R238" s="2"/>
      <c r="S238" s="861"/>
      <c r="T238" s="111"/>
      <c r="U238" s="2"/>
      <c r="V238" s="2"/>
      <c r="W238" s="2"/>
      <c r="X238" s="2"/>
      <c r="Y238" s="2"/>
      <c r="Z238" s="2"/>
    </row>
    <row r="239">
      <c r="A239" s="531"/>
      <c r="B239" s="977"/>
      <c r="C239" s="119"/>
      <c r="D239" s="977"/>
      <c r="E239" s="977"/>
      <c r="F239" s="119"/>
      <c r="G239" s="119"/>
      <c r="H239" s="119"/>
      <c r="I239" s="119"/>
      <c r="J239" s="119"/>
      <c r="K239" s="117"/>
      <c r="L239" s="117"/>
      <c r="M239" s="2"/>
      <c r="N239" s="2"/>
      <c r="O239" s="2"/>
      <c r="P239" s="2"/>
      <c r="Q239" s="2"/>
      <c r="R239" s="2"/>
      <c r="S239" s="861"/>
      <c r="T239" s="111"/>
      <c r="U239" s="2"/>
      <c r="V239" s="2"/>
      <c r="W239" s="2"/>
      <c r="X239" s="2"/>
      <c r="Y239" s="2"/>
      <c r="Z239" s="2"/>
    </row>
    <row r="240">
      <c r="A240" s="531"/>
      <c r="B240" s="977"/>
      <c r="C240" s="119"/>
      <c r="D240" s="977"/>
      <c r="E240" s="977"/>
      <c r="F240" s="119"/>
      <c r="G240" s="119"/>
      <c r="H240" s="119"/>
      <c r="I240" s="119"/>
      <c r="J240" s="119"/>
      <c r="K240" s="117"/>
      <c r="L240" s="117"/>
      <c r="M240" s="2"/>
      <c r="N240" s="2"/>
      <c r="O240" s="2"/>
      <c r="P240" s="2"/>
      <c r="Q240" s="2"/>
      <c r="R240" s="2"/>
      <c r="S240" s="861"/>
      <c r="T240" s="111"/>
      <c r="U240" s="2"/>
      <c r="V240" s="2"/>
      <c r="W240" s="2"/>
      <c r="X240" s="2"/>
      <c r="Y240" s="2"/>
      <c r="Z240" s="2"/>
    </row>
    <row r="241">
      <c r="A241" s="531"/>
      <c r="B241" s="977"/>
      <c r="C241" s="119"/>
      <c r="D241" s="977"/>
      <c r="E241" s="977"/>
      <c r="F241" s="119"/>
      <c r="G241" s="119"/>
      <c r="H241" s="119"/>
      <c r="I241" s="119"/>
      <c r="J241" s="119"/>
      <c r="K241" s="117"/>
      <c r="L241" s="117"/>
      <c r="M241" s="2"/>
      <c r="N241" s="2"/>
      <c r="O241" s="2"/>
      <c r="P241" s="2"/>
      <c r="Q241" s="2"/>
      <c r="R241" s="2"/>
      <c r="S241" s="862"/>
      <c r="T241" s="109"/>
      <c r="U241" s="2"/>
      <c r="V241" s="2"/>
      <c r="W241" s="2"/>
      <c r="X241" s="2"/>
      <c r="Y241" s="2"/>
      <c r="Z241" s="2"/>
    </row>
    <row r="242">
      <c r="A242" s="531"/>
      <c r="B242" s="977"/>
      <c r="C242" s="119"/>
      <c r="D242" s="977"/>
      <c r="E242" s="977"/>
      <c r="F242" s="119"/>
      <c r="G242" s="119"/>
      <c r="H242" s="119"/>
      <c r="I242" s="119"/>
      <c r="J242" s="119"/>
      <c r="K242" s="117"/>
      <c r="L242" s="117"/>
      <c r="M242" s="2"/>
      <c r="N242" s="2"/>
      <c r="O242" s="2"/>
      <c r="P242" s="2"/>
      <c r="Q242" s="2"/>
      <c r="R242" s="2"/>
      <c r="S242" s="861"/>
      <c r="T242" s="111"/>
      <c r="U242" s="2"/>
      <c r="V242" s="2"/>
      <c r="W242" s="2"/>
      <c r="X242" s="2"/>
      <c r="Y242" s="2"/>
      <c r="Z242" s="2"/>
    </row>
    <row r="243">
      <c r="A243" s="531"/>
      <c r="B243" s="977"/>
      <c r="C243" s="119"/>
      <c r="D243" s="977"/>
      <c r="E243" s="977"/>
      <c r="F243" s="119"/>
      <c r="G243" s="119"/>
      <c r="H243" s="119"/>
      <c r="I243" s="119"/>
      <c r="J243" s="119"/>
      <c r="K243" s="117"/>
      <c r="L243" s="117"/>
      <c r="M243" s="2"/>
      <c r="N243" s="2"/>
      <c r="O243" s="2"/>
      <c r="P243" s="2"/>
      <c r="Q243" s="2"/>
      <c r="R243" s="2"/>
      <c r="S243" s="861"/>
      <c r="T243" s="111"/>
      <c r="U243" s="2"/>
      <c r="V243" s="2"/>
      <c r="W243" s="2"/>
      <c r="X243" s="2"/>
      <c r="Y243" s="2"/>
      <c r="Z243" s="2"/>
    </row>
    <row r="244">
      <c r="A244" s="531"/>
      <c r="B244" s="977"/>
      <c r="C244" s="119"/>
      <c r="D244" s="977"/>
      <c r="E244" s="977"/>
      <c r="F244" s="119"/>
      <c r="G244" s="119"/>
      <c r="H244" s="119"/>
      <c r="I244" s="119"/>
      <c r="J244" s="119"/>
      <c r="K244" s="117"/>
      <c r="L244" s="117"/>
      <c r="M244" s="2"/>
      <c r="N244" s="2"/>
      <c r="O244" s="2"/>
      <c r="P244" s="2"/>
      <c r="Q244" s="2"/>
      <c r="R244" s="2"/>
      <c r="S244" s="861"/>
      <c r="T244" s="111"/>
      <c r="U244" s="2"/>
      <c r="V244" s="2"/>
      <c r="W244" s="2"/>
      <c r="X244" s="2"/>
      <c r="Y244" s="2"/>
      <c r="Z244" s="2"/>
    </row>
    <row r="245">
      <c r="A245" s="531"/>
      <c r="B245" s="977"/>
      <c r="C245" s="119"/>
      <c r="D245" s="977"/>
      <c r="E245" s="977"/>
      <c r="F245" s="119"/>
      <c r="G245" s="119"/>
      <c r="H245" s="119"/>
      <c r="I245" s="119"/>
      <c r="J245" s="119"/>
      <c r="K245" s="117"/>
      <c r="L245" s="117"/>
      <c r="M245" s="2"/>
      <c r="N245" s="2"/>
      <c r="O245" s="2"/>
      <c r="P245" s="2"/>
      <c r="Q245" s="2"/>
      <c r="R245" s="2"/>
      <c r="S245" s="861"/>
      <c r="T245" s="111"/>
      <c r="U245" s="2"/>
      <c r="V245" s="2"/>
      <c r="W245" s="2"/>
      <c r="X245" s="2"/>
      <c r="Y245" s="2"/>
      <c r="Z245" s="2"/>
    </row>
    <row r="246">
      <c r="A246" s="531"/>
      <c r="B246" s="977"/>
      <c r="C246" s="119"/>
      <c r="D246" s="977"/>
      <c r="E246" s="977"/>
      <c r="F246" s="119"/>
      <c r="G246" s="119"/>
      <c r="H246" s="119"/>
      <c r="I246" s="119"/>
      <c r="J246" s="119"/>
      <c r="K246" s="117"/>
      <c r="L246" s="117"/>
      <c r="M246" s="2"/>
      <c r="N246" s="2"/>
      <c r="O246" s="2"/>
      <c r="P246" s="2"/>
      <c r="Q246" s="2"/>
      <c r="R246" s="2"/>
      <c r="S246" s="861"/>
      <c r="T246" s="111"/>
      <c r="U246" s="2"/>
      <c r="V246" s="2"/>
      <c r="W246" s="2"/>
      <c r="X246" s="2"/>
      <c r="Y246" s="2"/>
      <c r="Z246" s="2"/>
    </row>
    <row r="247">
      <c r="A247" s="531"/>
      <c r="B247" s="977"/>
      <c r="C247" s="119"/>
      <c r="D247" s="977"/>
      <c r="E247" s="977"/>
      <c r="F247" s="119"/>
      <c r="G247" s="119"/>
      <c r="H247" s="119"/>
      <c r="I247" s="119"/>
      <c r="J247" s="119"/>
      <c r="K247" s="117"/>
      <c r="L247" s="117"/>
      <c r="M247" s="2"/>
      <c r="N247" s="2"/>
      <c r="O247" s="2"/>
      <c r="P247" s="2"/>
      <c r="Q247" s="2"/>
      <c r="R247" s="2"/>
      <c r="S247" s="861"/>
      <c r="T247" s="111"/>
      <c r="U247" s="2"/>
      <c r="V247" s="2"/>
      <c r="W247" s="2"/>
      <c r="X247" s="2"/>
      <c r="Y247" s="2"/>
      <c r="Z247" s="2"/>
    </row>
    <row r="248">
      <c r="A248" s="531"/>
      <c r="B248" s="977"/>
      <c r="C248" s="119"/>
      <c r="D248" s="977"/>
      <c r="E248" s="977"/>
      <c r="F248" s="119"/>
      <c r="G248" s="119"/>
      <c r="H248" s="119"/>
      <c r="I248" s="119"/>
      <c r="J248" s="119"/>
      <c r="K248" s="117"/>
      <c r="L248" s="117"/>
      <c r="M248" s="2"/>
      <c r="N248" s="2"/>
      <c r="O248" s="2"/>
      <c r="P248" s="2"/>
      <c r="Q248" s="2"/>
      <c r="R248" s="2"/>
      <c r="S248" s="861"/>
      <c r="T248" s="111"/>
      <c r="U248" s="2"/>
      <c r="V248" s="2"/>
      <c r="W248" s="2"/>
      <c r="X248" s="2"/>
      <c r="Y248" s="2"/>
      <c r="Z248" s="2"/>
    </row>
    <row r="249">
      <c r="A249" s="531"/>
      <c r="B249" s="977"/>
      <c r="C249" s="119"/>
      <c r="D249" s="977"/>
      <c r="E249" s="977"/>
      <c r="F249" s="119"/>
      <c r="G249" s="119"/>
      <c r="H249" s="119"/>
      <c r="I249" s="119"/>
      <c r="J249" s="119"/>
      <c r="K249" s="117"/>
      <c r="L249" s="117"/>
      <c r="M249" s="2"/>
      <c r="N249" s="2"/>
      <c r="O249" s="2"/>
      <c r="P249" s="2"/>
      <c r="Q249" s="2"/>
      <c r="R249" s="2"/>
      <c r="S249" s="861"/>
      <c r="T249" s="111"/>
      <c r="U249" s="2"/>
      <c r="V249" s="2"/>
      <c r="W249" s="2"/>
      <c r="X249" s="2"/>
      <c r="Y249" s="2"/>
      <c r="Z249" s="2"/>
    </row>
    <row r="250">
      <c r="A250" s="531"/>
      <c r="B250" s="977"/>
      <c r="C250" s="119"/>
      <c r="D250" s="977"/>
      <c r="E250" s="977"/>
      <c r="F250" s="119"/>
      <c r="G250" s="119"/>
      <c r="H250" s="119"/>
      <c r="I250" s="119"/>
      <c r="J250" s="119"/>
      <c r="K250" s="117"/>
      <c r="L250" s="117"/>
      <c r="M250" s="2"/>
      <c r="N250" s="2"/>
      <c r="O250" s="2"/>
      <c r="P250" s="2"/>
      <c r="Q250" s="2"/>
      <c r="R250" s="2"/>
      <c r="S250" s="862"/>
      <c r="T250" s="109"/>
      <c r="U250" s="2"/>
      <c r="V250" s="2"/>
      <c r="W250" s="2"/>
      <c r="X250" s="2"/>
      <c r="Y250" s="2"/>
      <c r="Z250" s="2"/>
    </row>
    <row r="251">
      <c r="A251" s="531"/>
      <c r="B251" s="977"/>
      <c r="C251" s="119"/>
      <c r="D251" s="977"/>
      <c r="E251" s="977"/>
      <c r="F251" s="119"/>
      <c r="G251" s="119"/>
      <c r="H251" s="119"/>
      <c r="I251" s="119"/>
      <c r="J251" s="119"/>
      <c r="K251" s="117"/>
      <c r="L251" s="117"/>
      <c r="M251" s="2"/>
      <c r="N251" s="2"/>
      <c r="O251" s="2"/>
      <c r="P251" s="2"/>
      <c r="Q251" s="2"/>
      <c r="R251" s="2"/>
      <c r="S251" s="862"/>
      <c r="T251" s="109"/>
      <c r="U251" s="54"/>
      <c r="V251" s="54"/>
      <c r="W251" s="54"/>
      <c r="X251" s="54"/>
      <c r="Y251" s="54"/>
      <c r="Z251" s="54"/>
    </row>
    <row r="252">
      <c r="A252" s="531"/>
      <c r="B252" s="977"/>
      <c r="C252" s="119"/>
      <c r="D252" s="977"/>
      <c r="E252" s="977"/>
      <c r="F252" s="119"/>
      <c r="G252" s="119"/>
      <c r="H252" s="119"/>
      <c r="I252" s="119"/>
      <c r="J252" s="119"/>
      <c r="K252" s="117"/>
      <c r="L252" s="117"/>
      <c r="M252" s="2"/>
      <c r="N252" s="2"/>
      <c r="O252" s="2"/>
      <c r="P252" s="2"/>
      <c r="Q252" s="2"/>
      <c r="R252" s="2"/>
      <c r="S252" s="117"/>
      <c r="T252" s="2"/>
      <c r="U252" s="2"/>
      <c r="V252" s="2"/>
      <c r="W252" s="2"/>
      <c r="X252" s="2"/>
      <c r="Y252" s="2"/>
      <c r="Z252" s="2"/>
    </row>
    <row r="253">
      <c r="A253" s="531"/>
      <c r="B253" s="977"/>
      <c r="C253" s="119"/>
      <c r="D253" s="977"/>
      <c r="E253" s="977"/>
      <c r="F253" s="119"/>
      <c r="G253" s="119"/>
      <c r="H253" s="119"/>
      <c r="I253" s="119"/>
      <c r="J253" s="119"/>
      <c r="K253" s="117"/>
      <c r="L253" s="117"/>
      <c r="M253" s="2"/>
      <c r="N253" s="2"/>
      <c r="O253" s="2"/>
      <c r="P253" s="2"/>
      <c r="Q253" s="2"/>
      <c r="R253" s="2"/>
      <c r="S253" s="117"/>
      <c r="T253" s="2"/>
      <c r="U253" s="2"/>
      <c r="V253" s="2"/>
      <c r="W253" s="2"/>
      <c r="X253" s="2"/>
      <c r="Y253" s="2"/>
      <c r="Z253" s="2"/>
    </row>
    <row r="254">
      <c r="A254" s="531"/>
      <c r="B254" s="977"/>
      <c r="C254" s="119"/>
      <c r="D254" s="977"/>
      <c r="E254" s="977"/>
      <c r="F254" s="119"/>
      <c r="G254" s="119"/>
      <c r="H254" s="119"/>
      <c r="I254" s="119"/>
      <c r="J254" s="119"/>
      <c r="K254" s="117"/>
      <c r="L254" s="117"/>
      <c r="M254" s="2"/>
      <c r="N254" s="2"/>
      <c r="O254" s="2"/>
      <c r="P254" s="2"/>
      <c r="Q254" s="2"/>
      <c r="R254" s="2"/>
      <c r="S254" s="847"/>
      <c r="T254" s="847"/>
      <c r="U254" s="116"/>
      <c r="V254" s="116"/>
      <c r="W254" s="116"/>
      <c r="X254" s="116"/>
      <c r="Y254" s="116"/>
      <c r="Z254" s="116"/>
    </row>
    <row r="255">
      <c r="A255" s="531"/>
      <c r="B255" s="977"/>
      <c r="C255" s="119"/>
      <c r="D255" s="977"/>
      <c r="E255" s="977"/>
      <c r="F255" s="119"/>
      <c r="G255" s="119"/>
      <c r="H255" s="119"/>
      <c r="I255" s="119"/>
      <c r="J255" s="119"/>
      <c r="K255" s="117"/>
      <c r="L255" s="117"/>
      <c r="M255" s="2"/>
      <c r="N255" s="2"/>
      <c r="O255" s="2"/>
      <c r="P255" s="2"/>
      <c r="Q255" s="2"/>
      <c r="R255" s="2"/>
      <c r="S255" s="848"/>
      <c r="T255" s="848"/>
      <c r="U255" s="848"/>
      <c r="V255" s="848"/>
      <c r="W255" s="848"/>
      <c r="X255" s="848"/>
      <c r="Y255" s="848"/>
      <c r="Z255" s="848"/>
    </row>
    <row r="256">
      <c r="A256" s="531"/>
      <c r="B256" s="977"/>
      <c r="C256" s="119"/>
      <c r="D256" s="977"/>
      <c r="E256" s="977"/>
      <c r="F256" s="119"/>
      <c r="G256" s="119"/>
      <c r="H256" s="119"/>
      <c r="I256" s="119"/>
      <c r="J256" s="119"/>
      <c r="K256" s="117"/>
      <c r="L256" s="117"/>
      <c r="M256" s="2"/>
      <c r="N256" s="2"/>
      <c r="O256" s="2"/>
      <c r="P256" s="2"/>
      <c r="Q256" s="2"/>
      <c r="R256" s="2"/>
      <c r="S256" s="849"/>
      <c r="T256" s="850"/>
      <c r="U256" s="851"/>
      <c r="V256" s="851"/>
      <c r="W256" s="851"/>
      <c r="X256" s="851"/>
      <c r="Y256" s="851"/>
      <c r="Z256" s="851"/>
    </row>
    <row r="257">
      <c r="A257" s="531"/>
      <c r="B257" s="977"/>
      <c r="C257" s="119"/>
      <c r="D257" s="977"/>
      <c r="E257" s="977"/>
      <c r="F257" s="119"/>
      <c r="G257" s="119"/>
      <c r="H257" s="119"/>
      <c r="I257" s="119"/>
      <c r="J257" s="119"/>
      <c r="K257" s="117"/>
      <c r="L257" s="117"/>
      <c r="M257" s="2"/>
      <c r="N257" s="2"/>
      <c r="O257" s="2"/>
      <c r="P257" s="2"/>
      <c r="Q257" s="2"/>
      <c r="R257" s="2"/>
      <c r="S257" s="852"/>
      <c r="T257" s="853"/>
      <c r="U257" s="854"/>
      <c r="V257" s="854"/>
      <c r="W257" s="854"/>
      <c r="X257" s="854"/>
      <c r="Y257" s="854"/>
      <c r="Z257" s="854"/>
    </row>
    <row r="258">
      <c r="A258" s="531"/>
      <c r="B258" s="977"/>
      <c r="C258" s="119"/>
      <c r="D258" s="977"/>
      <c r="E258" s="977"/>
      <c r="F258" s="119"/>
      <c r="G258" s="119"/>
      <c r="H258" s="119"/>
      <c r="I258" s="119"/>
      <c r="J258" s="119"/>
      <c r="K258" s="117"/>
      <c r="L258" s="117"/>
      <c r="M258" s="2"/>
      <c r="N258" s="2"/>
      <c r="O258" s="2"/>
      <c r="P258" s="2"/>
      <c r="Q258" s="2"/>
      <c r="R258" s="2"/>
      <c r="S258" s="855"/>
      <c r="T258" s="856"/>
      <c r="U258" s="854"/>
      <c r="V258" s="854"/>
      <c r="W258" s="854"/>
      <c r="X258" s="854"/>
      <c r="Y258" s="854"/>
      <c r="Z258" s="854"/>
    </row>
    <row r="259">
      <c r="A259" s="531"/>
      <c r="B259" s="977"/>
      <c r="C259" s="119"/>
      <c r="D259" s="977"/>
      <c r="E259" s="977"/>
      <c r="F259" s="119"/>
      <c r="G259" s="119"/>
      <c r="H259" s="119"/>
      <c r="I259" s="119"/>
      <c r="J259" s="119"/>
      <c r="K259" s="117"/>
      <c r="L259" s="117"/>
      <c r="M259" s="2"/>
      <c r="N259" s="2"/>
      <c r="O259" s="2"/>
      <c r="P259" s="2"/>
      <c r="Q259" s="2"/>
      <c r="R259" s="2"/>
      <c r="S259" s="855"/>
      <c r="T259" s="856"/>
      <c r="U259" s="854"/>
      <c r="V259" s="854"/>
      <c r="W259" s="854"/>
      <c r="X259" s="854"/>
      <c r="Y259" s="854"/>
      <c r="Z259" s="854"/>
    </row>
    <row r="260">
      <c r="A260" s="531"/>
      <c r="B260" s="977"/>
      <c r="C260" s="119"/>
      <c r="D260" s="977"/>
      <c r="E260" s="977"/>
      <c r="F260" s="119"/>
      <c r="G260" s="119"/>
      <c r="H260" s="119"/>
      <c r="I260" s="119"/>
      <c r="J260" s="119"/>
      <c r="K260" s="117"/>
      <c r="L260" s="117"/>
      <c r="M260" s="2"/>
      <c r="N260" s="2"/>
      <c r="O260" s="2"/>
      <c r="P260" s="2"/>
      <c r="Q260" s="2"/>
      <c r="R260" s="2"/>
      <c r="S260" s="852"/>
      <c r="T260" s="853"/>
      <c r="U260" s="854"/>
      <c r="V260" s="854"/>
      <c r="W260" s="854"/>
      <c r="X260" s="854"/>
      <c r="Y260" s="854"/>
      <c r="Z260" s="854"/>
    </row>
    <row r="261">
      <c r="A261" s="531"/>
      <c r="B261" s="977"/>
      <c r="C261" s="119"/>
      <c r="D261" s="977"/>
      <c r="E261" s="977"/>
      <c r="F261" s="119"/>
      <c r="G261" s="119"/>
      <c r="H261" s="119"/>
      <c r="I261" s="119"/>
      <c r="J261" s="119"/>
      <c r="K261" s="117"/>
      <c r="L261" s="117"/>
      <c r="M261" s="2"/>
      <c r="N261" s="2"/>
      <c r="O261" s="2"/>
      <c r="P261" s="2"/>
      <c r="Q261" s="2"/>
      <c r="R261" s="2"/>
      <c r="S261" s="857"/>
      <c r="T261" s="858"/>
      <c r="U261" s="854"/>
      <c r="V261" s="854"/>
      <c r="W261" s="854"/>
      <c r="X261" s="854"/>
      <c r="Y261" s="854"/>
      <c r="Z261" s="854"/>
    </row>
    <row r="262">
      <c r="A262" s="531"/>
      <c r="B262" s="977"/>
      <c r="C262" s="119"/>
      <c r="D262" s="977"/>
      <c r="E262" s="977"/>
      <c r="F262" s="119"/>
      <c r="G262" s="119"/>
      <c r="H262" s="119"/>
      <c r="I262" s="119"/>
      <c r="J262" s="119"/>
      <c r="K262" s="117"/>
      <c r="L262" s="117"/>
      <c r="M262" s="2"/>
      <c r="N262" s="2"/>
      <c r="O262" s="2"/>
      <c r="P262" s="2"/>
      <c r="Q262" s="2"/>
      <c r="R262" s="2"/>
      <c r="S262" s="857"/>
      <c r="T262" s="858"/>
      <c r="U262" s="854"/>
      <c r="V262" s="854"/>
      <c r="W262" s="854"/>
      <c r="X262" s="854"/>
      <c r="Y262" s="854"/>
      <c r="Z262" s="854"/>
    </row>
    <row r="263">
      <c r="A263" s="531"/>
      <c r="B263" s="977"/>
      <c r="C263" s="119"/>
      <c r="D263" s="977"/>
      <c r="E263" s="977"/>
      <c r="F263" s="119"/>
      <c r="G263" s="119"/>
      <c r="H263" s="119"/>
      <c r="I263" s="119"/>
      <c r="J263" s="119"/>
      <c r="K263" s="117"/>
      <c r="L263" s="117"/>
      <c r="M263" s="2"/>
      <c r="N263" s="2"/>
      <c r="O263" s="2"/>
      <c r="P263" s="2"/>
      <c r="Q263" s="2"/>
      <c r="R263" s="2"/>
      <c r="S263" s="857"/>
      <c r="T263" s="858"/>
      <c r="U263" s="854"/>
      <c r="V263" s="854"/>
      <c r="W263" s="854"/>
      <c r="X263" s="854"/>
      <c r="Y263" s="854"/>
      <c r="Z263" s="854"/>
    </row>
    <row r="264">
      <c r="A264" s="531"/>
      <c r="B264" s="977"/>
      <c r="C264" s="119"/>
      <c r="D264" s="977"/>
      <c r="E264" s="977"/>
      <c r="F264" s="119"/>
      <c r="G264" s="119"/>
      <c r="H264" s="119"/>
      <c r="I264" s="119"/>
      <c r="J264" s="119"/>
      <c r="K264" s="117"/>
      <c r="L264" s="117"/>
      <c r="M264" s="2"/>
      <c r="N264" s="2"/>
      <c r="O264" s="2"/>
      <c r="P264" s="2"/>
      <c r="Q264" s="2"/>
      <c r="R264" s="2"/>
      <c r="S264" s="852"/>
      <c r="T264" s="853"/>
      <c r="U264" s="854"/>
      <c r="V264" s="854"/>
      <c r="W264" s="854"/>
      <c r="X264" s="854"/>
      <c r="Y264" s="854"/>
      <c r="Z264" s="854"/>
    </row>
    <row r="265">
      <c r="A265" s="531"/>
      <c r="B265" s="977"/>
      <c r="C265" s="119"/>
      <c r="D265" s="977"/>
      <c r="E265" s="977"/>
      <c r="F265" s="119"/>
      <c r="G265" s="119"/>
      <c r="H265" s="119"/>
      <c r="I265" s="119"/>
      <c r="J265" s="119"/>
      <c r="K265" s="117"/>
      <c r="L265" s="117"/>
      <c r="M265" s="2"/>
      <c r="N265" s="2"/>
      <c r="O265" s="2"/>
      <c r="P265" s="2"/>
      <c r="Q265" s="2"/>
      <c r="R265" s="2"/>
      <c r="S265" s="852"/>
      <c r="T265" s="853"/>
      <c r="U265" s="854"/>
      <c r="V265" s="854"/>
      <c r="W265" s="854"/>
      <c r="X265" s="854"/>
      <c r="Y265" s="854"/>
      <c r="Z265" s="854"/>
    </row>
    <row r="266">
      <c r="A266" s="531"/>
      <c r="B266" s="977"/>
      <c r="C266" s="119"/>
      <c r="D266" s="977"/>
      <c r="E266" s="977"/>
      <c r="F266" s="119"/>
      <c r="G266" s="119"/>
      <c r="H266" s="119"/>
      <c r="I266" s="119"/>
      <c r="J266" s="119"/>
      <c r="K266" s="117"/>
      <c r="L266" s="117"/>
      <c r="M266" s="2"/>
      <c r="N266" s="2"/>
      <c r="O266" s="2"/>
      <c r="P266" s="2"/>
      <c r="Q266" s="2"/>
      <c r="R266" s="2"/>
      <c r="S266" s="852"/>
      <c r="T266" s="853"/>
      <c r="U266" s="854"/>
      <c r="V266" s="854"/>
      <c r="W266" s="854"/>
      <c r="X266" s="854"/>
      <c r="Y266" s="854"/>
      <c r="Z266" s="854"/>
    </row>
    <row r="267">
      <c r="A267" s="531"/>
      <c r="B267" s="977"/>
      <c r="C267" s="119"/>
      <c r="D267" s="977"/>
      <c r="E267" s="977"/>
      <c r="F267" s="119"/>
      <c r="G267" s="119"/>
      <c r="H267" s="119"/>
      <c r="I267" s="119"/>
      <c r="J267" s="119"/>
      <c r="K267" s="117"/>
      <c r="L267" s="117"/>
      <c r="M267" s="2"/>
      <c r="N267" s="2"/>
      <c r="O267" s="2"/>
      <c r="P267" s="2"/>
      <c r="Q267" s="2"/>
      <c r="R267" s="2"/>
      <c r="S267" s="852"/>
      <c r="T267" s="853"/>
      <c r="U267" s="854"/>
      <c r="V267" s="854"/>
      <c r="W267" s="854"/>
      <c r="X267" s="854"/>
      <c r="Y267" s="854"/>
      <c r="Z267" s="854"/>
    </row>
    <row r="268">
      <c r="A268" s="531"/>
      <c r="B268" s="977"/>
      <c r="C268" s="119"/>
      <c r="D268" s="977"/>
      <c r="E268" s="977"/>
      <c r="F268" s="119"/>
      <c r="G268" s="119"/>
      <c r="H268" s="119"/>
      <c r="I268" s="119"/>
      <c r="J268" s="119"/>
      <c r="K268" s="117"/>
      <c r="L268" s="117"/>
      <c r="M268" s="2"/>
      <c r="N268" s="2"/>
      <c r="O268" s="2"/>
      <c r="P268" s="2"/>
      <c r="Q268" s="2"/>
      <c r="R268" s="2"/>
      <c r="S268" s="852"/>
      <c r="T268" s="859"/>
      <c r="U268" s="107"/>
      <c r="V268" s="107"/>
      <c r="W268" s="107"/>
      <c r="X268" s="107"/>
      <c r="Y268" s="107"/>
      <c r="Z268" s="107"/>
    </row>
    <row r="269">
      <c r="A269" s="531"/>
      <c r="B269" s="977"/>
      <c r="C269" s="119"/>
      <c r="D269" s="977"/>
      <c r="E269" s="977"/>
      <c r="F269" s="119"/>
      <c r="G269" s="119"/>
      <c r="H269" s="119"/>
      <c r="I269" s="119"/>
      <c r="J269" s="119"/>
      <c r="K269" s="117"/>
      <c r="L269" s="117"/>
      <c r="M269" s="2"/>
      <c r="N269" s="2"/>
      <c r="O269" s="2"/>
      <c r="P269" s="2"/>
      <c r="Q269" s="2"/>
      <c r="R269" s="2"/>
      <c r="S269" s="852"/>
      <c r="T269" s="859"/>
      <c r="U269" s="107"/>
      <c r="V269" s="107"/>
      <c r="W269" s="107"/>
      <c r="X269" s="107"/>
      <c r="Y269" s="107"/>
      <c r="Z269" s="107"/>
    </row>
    <row r="270">
      <c r="A270" s="531"/>
      <c r="B270" s="977"/>
      <c r="C270" s="119"/>
      <c r="D270" s="977"/>
      <c r="E270" s="977"/>
      <c r="F270" s="119"/>
      <c r="G270" s="119"/>
      <c r="H270" s="119"/>
      <c r="I270" s="119"/>
      <c r="J270" s="119"/>
      <c r="K270" s="117"/>
      <c r="L270" s="117"/>
      <c r="M270" s="2"/>
      <c r="N270" s="2"/>
      <c r="O270" s="2"/>
      <c r="P270" s="2"/>
      <c r="Q270" s="2"/>
      <c r="R270" s="2"/>
      <c r="S270" s="852"/>
      <c r="T270" s="859"/>
      <c r="U270" s="107"/>
      <c r="V270" s="107"/>
      <c r="W270" s="107"/>
      <c r="X270" s="107"/>
      <c r="Y270" s="107"/>
      <c r="Z270" s="107"/>
    </row>
    <row r="271">
      <c r="A271" s="531"/>
      <c r="B271" s="977"/>
      <c r="C271" s="119"/>
      <c r="D271" s="977"/>
      <c r="E271" s="977"/>
      <c r="F271" s="119"/>
      <c r="G271" s="119"/>
      <c r="H271" s="119"/>
      <c r="I271" s="119"/>
      <c r="J271" s="119"/>
      <c r="K271" s="117"/>
      <c r="L271" s="117"/>
      <c r="M271" s="2"/>
      <c r="N271" s="2"/>
      <c r="O271" s="2"/>
      <c r="P271" s="2"/>
      <c r="Q271" s="2"/>
      <c r="R271" s="2"/>
      <c r="S271" s="852"/>
      <c r="T271" s="859"/>
      <c r="U271" s="107"/>
      <c r="V271" s="107"/>
      <c r="W271" s="107"/>
      <c r="X271" s="107"/>
      <c r="Y271" s="107"/>
      <c r="Z271" s="107"/>
    </row>
    <row r="272">
      <c r="A272" s="531"/>
      <c r="B272" s="977"/>
      <c r="C272" s="119"/>
      <c r="D272" s="977"/>
      <c r="E272" s="977"/>
      <c r="F272" s="119"/>
      <c r="G272" s="119"/>
      <c r="H272" s="119"/>
      <c r="I272" s="119"/>
      <c r="J272" s="119"/>
      <c r="K272" s="117"/>
      <c r="L272" s="117"/>
      <c r="M272" s="2"/>
      <c r="N272" s="2"/>
      <c r="O272" s="2"/>
      <c r="P272" s="2"/>
      <c r="Q272" s="2"/>
      <c r="R272" s="2"/>
      <c r="S272" s="852"/>
      <c r="T272" s="859"/>
      <c r="U272" s="107"/>
      <c r="V272" s="107"/>
      <c r="W272" s="107"/>
      <c r="X272" s="107"/>
      <c r="Y272" s="107"/>
      <c r="Z272" s="107"/>
    </row>
    <row r="273">
      <c r="A273" s="531"/>
      <c r="B273" s="977"/>
      <c r="C273" s="119"/>
      <c r="D273" s="977"/>
      <c r="E273" s="977"/>
      <c r="F273" s="119"/>
      <c r="G273" s="119"/>
      <c r="H273" s="119"/>
      <c r="I273" s="119"/>
      <c r="J273" s="119"/>
      <c r="K273" s="117"/>
      <c r="L273" s="117"/>
      <c r="M273" s="2"/>
      <c r="N273" s="2"/>
      <c r="O273" s="2"/>
      <c r="P273" s="2"/>
      <c r="Q273" s="2"/>
      <c r="R273" s="2"/>
      <c r="S273" s="852"/>
      <c r="T273" s="859"/>
      <c r="U273" s="107"/>
      <c r="V273" s="107"/>
      <c r="W273" s="107"/>
      <c r="X273" s="107"/>
      <c r="Y273" s="107"/>
      <c r="Z273" s="107"/>
    </row>
    <row r="274">
      <c r="A274" s="531"/>
      <c r="B274" s="977"/>
      <c r="C274" s="119"/>
      <c r="D274" s="977"/>
      <c r="E274" s="977"/>
      <c r="F274" s="119"/>
      <c r="G274" s="119"/>
      <c r="H274" s="119"/>
      <c r="I274" s="119"/>
      <c r="J274" s="119"/>
      <c r="K274" s="117"/>
      <c r="L274" s="117"/>
      <c r="M274" s="2"/>
      <c r="N274" s="2"/>
      <c r="O274" s="2"/>
      <c r="P274" s="2"/>
      <c r="Q274" s="2"/>
      <c r="R274" s="2"/>
      <c r="S274" s="852"/>
      <c r="T274" s="859"/>
      <c r="U274" s="107"/>
      <c r="V274" s="107"/>
      <c r="W274" s="107"/>
      <c r="X274" s="107"/>
      <c r="Y274" s="107"/>
      <c r="Z274" s="107"/>
    </row>
    <row r="275">
      <c r="A275" s="531"/>
      <c r="B275" s="977"/>
      <c r="C275" s="119"/>
      <c r="D275" s="977"/>
      <c r="E275" s="977"/>
      <c r="F275" s="119"/>
      <c r="G275" s="119"/>
      <c r="H275" s="119"/>
      <c r="I275" s="119"/>
      <c r="J275" s="119"/>
      <c r="K275" s="117"/>
      <c r="L275" s="117"/>
      <c r="M275" s="2"/>
      <c r="N275" s="2"/>
      <c r="O275" s="2"/>
      <c r="P275" s="2"/>
      <c r="Q275" s="2"/>
      <c r="R275" s="2"/>
      <c r="S275" s="852"/>
      <c r="T275" s="859"/>
      <c r="U275" s="107"/>
      <c r="V275" s="107"/>
      <c r="W275" s="107"/>
      <c r="X275" s="107"/>
      <c r="Y275" s="107"/>
      <c r="Z275" s="107"/>
    </row>
    <row r="276">
      <c r="A276" s="531"/>
      <c r="B276" s="977"/>
      <c r="C276" s="119"/>
      <c r="D276" s="977"/>
      <c r="E276" s="977"/>
      <c r="F276" s="119"/>
      <c r="G276" s="119"/>
      <c r="H276" s="119"/>
      <c r="I276" s="119"/>
      <c r="J276" s="119"/>
      <c r="K276" s="117"/>
      <c r="L276" s="117"/>
      <c r="M276" s="2"/>
      <c r="N276" s="2"/>
      <c r="O276" s="2"/>
      <c r="P276" s="2"/>
      <c r="Q276" s="2"/>
      <c r="R276" s="2"/>
      <c r="S276" s="852"/>
      <c r="T276" s="859"/>
      <c r="U276" s="107"/>
      <c r="V276" s="107"/>
      <c r="W276" s="107"/>
      <c r="X276" s="107"/>
      <c r="Y276" s="107"/>
      <c r="Z276" s="107"/>
    </row>
    <row r="277">
      <c r="A277" s="531"/>
      <c r="B277" s="977"/>
      <c r="C277" s="119"/>
      <c r="D277" s="977"/>
      <c r="E277" s="977"/>
      <c r="F277" s="119"/>
      <c r="G277" s="119"/>
      <c r="H277" s="119"/>
      <c r="I277" s="119"/>
      <c r="J277" s="119"/>
      <c r="K277" s="117"/>
      <c r="L277" s="117"/>
      <c r="M277" s="2"/>
      <c r="N277" s="2"/>
      <c r="O277" s="2"/>
      <c r="P277" s="2"/>
      <c r="Q277" s="2"/>
      <c r="R277" s="2"/>
      <c r="S277" s="852"/>
      <c r="T277" s="859"/>
      <c r="U277" s="107"/>
      <c r="V277" s="107"/>
      <c r="W277" s="107"/>
      <c r="X277" s="107"/>
      <c r="Y277" s="107"/>
      <c r="Z277" s="107"/>
    </row>
    <row r="278">
      <c r="A278" s="531"/>
      <c r="B278" s="977"/>
      <c r="C278" s="119"/>
      <c r="D278" s="977"/>
      <c r="E278" s="977"/>
      <c r="F278" s="119"/>
      <c r="G278" s="119"/>
      <c r="H278" s="119"/>
      <c r="I278" s="119"/>
      <c r="J278" s="119"/>
      <c r="K278" s="117"/>
      <c r="L278" s="117"/>
      <c r="M278" s="2"/>
      <c r="N278" s="2"/>
      <c r="O278" s="2"/>
      <c r="P278" s="2"/>
      <c r="Q278" s="2"/>
      <c r="R278" s="2"/>
      <c r="S278" s="857"/>
      <c r="T278" s="860"/>
      <c r="U278" s="107"/>
      <c r="V278" s="107"/>
      <c r="W278" s="107"/>
      <c r="X278" s="107"/>
      <c r="Y278" s="107"/>
      <c r="Z278" s="107"/>
    </row>
    <row r="279">
      <c r="A279" s="531"/>
      <c r="B279" s="977"/>
      <c r="C279" s="119"/>
      <c r="D279" s="977"/>
      <c r="E279" s="977"/>
      <c r="F279" s="119"/>
      <c r="G279" s="119"/>
      <c r="H279" s="119"/>
      <c r="I279" s="119"/>
      <c r="J279" s="119"/>
      <c r="K279" s="117"/>
      <c r="L279" s="117"/>
      <c r="M279" s="2"/>
      <c r="N279" s="2"/>
      <c r="O279" s="2"/>
      <c r="P279" s="2"/>
      <c r="Q279" s="2"/>
      <c r="R279" s="2"/>
      <c r="S279" s="861"/>
      <c r="T279" s="111"/>
      <c r="U279" s="2"/>
      <c r="V279" s="2"/>
      <c r="W279" s="2"/>
      <c r="X279" s="2"/>
      <c r="Y279" s="2"/>
      <c r="Z279" s="2"/>
    </row>
    <row r="280">
      <c r="A280" s="531"/>
      <c r="B280" s="977"/>
      <c r="C280" s="119"/>
      <c r="D280" s="977"/>
      <c r="E280" s="977"/>
      <c r="F280" s="119"/>
      <c r="G280" s="119"/>
      <c r="H280" s="119"/>
      <c r="I280" s="119"/>
      <c r="J280" s="119"/>
      <c r="K280" s="117"/>
      <c r="L280" s="117"/>
      <c r="M280" s="2"/>
      <c r="N280" s="2"/>
      <c r="O280" s="2"/>
      <c r="P280" s="2"/>
      <c r="Q280" s="2"/>
      <c r="R280" s="2"/>
      <c r="S280" s="861"/>
      <c r="T280" s="111"/>
      <c r="U280" s="2"/>
      <c r="V280" s="2"/>
      <c r="W280" s="2"/>
      <c r="X280" s="2"/>
      <c r="Y280" s="2"/>
      <c r="Z280" s="2"/>
    </row>
    <row r="281">
      <c r="A281" s="531"/>
      <c r="B281" s="977"/>
      <c r="C281" s="119"/>
      <c r="D281" s="977"/>
      <c r="E281" s="977"/>
      <c r="F281" s="119"/>
      <c r="G281" s="119"/>
      <c r="H281" s="119"/>
      <c r="I281" s="119"/>
      <c r="J281" s="119"/>
      <c r="K281" s="117"/>
      <c r="L281" s="117"/>
      <c r="M281" s="2"/>
      <c r="N281" s="2"/>
      <c r="O281" s="2"/>
      <c r="P281" s="2"/>
      <c r="Q281" s="2"/>
      <c r="R281" s="2"/>
      <c r="S281" s="861"/>
      <c r="T281" s="111"/>
      <c r="U281" s="2"/>
      <c r="V281" s="2"/>
      <c r="W281" s="2"/>
      <c r="X281" s="2"/>
      <c r="Y281" s="2"/>
      <c r="Z281" s="2"/>
    </row>
    <row r="282">
      <c r="A282" s="531"/>
      <c r="B282" s="977"/>
      <c r="C282" s="119"/>
      <c r="D282" s="977"/>
      <c r="E282" s="977"/>
      <c r="F282" s="119"/>
      <c r="G282" s="119"/>
      <c r="H282" s="119"/>
      <c r="I282" s="119"/>
      <c r="J282" s="119"/>
      <c r="K282" s="117"/>
      <c r="L282" s="117"/>
      <c r="M282" s="2"/>
      <c r="N282" s="2"/>
      <c r="O282" s="2"/>
      <c r="P282" s="2"/>
      <c r="Q282" s="2"/>
      <c r="R282" s="2"/>
      <c r="S282" s="861"/>
      <c r="T282" s="111"/>
      <c r="U282" s="2"/>
      <c r="V282" s="2"/>
      <c r="W282" s="2"/>
      <c r="X282" s="2"/>
      <c r="Y282" s="2"/>
      <c r="Z282" s="2"/>
    </row>
    <row r="283">
      <c r="A283" s="531"/>
      <c r="B283" s="977"/>
      <c r="C283" s="119"/>
      <c r="D283" s="977"/>
      <c r="E283" s="977"/>
      <c r="F283" s="119"/>
      <c r="G283" s="119"/>
      <c r="H283" s="119"/>
      <c r="I283" s="119"/>
      <c r="J283" s="119"/>
      <c r="K283" s="117"/>
      <c r="L283" s="117"/>
      <c r="M283" s="2"/>
      <c r="N283" s="2"/>
      <c r="O283" s="2"/>
      <c r="P283" s="2"/>
      <c r="Q283" s="2"/>
      <c r="R283" s="2"/>
      <c r="S283" s="861"/>
      <c r="T283" s="111"/>
      <c r="U283" s="2"/>
      <c r="V283" s="2"/>
      <c r="W283" s="2"/>
      <c r="X283" s="2"/>
      <c r="Y283" s="2"/>
      <c r="Z283" s="2"/>
    </row>
    <row r="284">
      <c r="A284" s="531"/>
      <c r="B284" s="977"/>
      <c r="C284" s="119"/>
      <c r="D284" s="977"/>
      <c r="E284" s="977"/>
      <c r="F284" s="119"/>
      <c r="G284" s="119"/>
      <c r="H284" s="119"/>
      <c r="I284" s="119"/>
      <c r="J284" s="119"/>
      <c r="K284" s="117"/>
      <c r="L284" s="117"/>
      <c r="M284" s="2"/>
      <c r="N284" s="2"/>
      <c r="O284" s="2"/>
      <c r="P284" s="2"/>
      <c r="Q284" s="2"/>
      <c r="R284" s="2"/>
      <c r="S284" s="862"/>
      <c r="T284" s="109"/>
      <c r="U284" s="2"/>
      <c r="V284" s="2"/>
      <c r="W284" s="2"/>
      <c r="X284" s="2"/>
      <c r="Y284" s="2"/>
      <c r="Z284" s="2"/>
    </row>
    <row r="285">
      <c r="A285" s="531"/>
      <c r="B285" s="977"/>
      <c r="C285" s="119"/>
      <c r="D285" s="977"/>
      <c r="E285" s="977"/>
      <c r="F285" s="119"/>
      <c r="G285" s="119"/>
      <c r="H285" s="119"/>
      <c r="I285" s="119"/>
      <c r="J285" s="119"/>
      <c r="K285" s="117"/>
      <c r="L285" s="117"/>
      <c r="M285" s="2"/>
      <c r="N285" s="2"/>
      <c r="O285" s="2"/>
      <c r="P285" s="2"/>
      <c r="Q285" s="2"/>
      <c r="R285" s="2"/>
      <c r="S285" s="861"/>
      <c r="T285" s="111"/>
      <c r="U285" s="2"/>
      <c r="V285" s="2"/>
      <c r="W285" s="2"/>
      <c r="X285" s="2"/>
      <c r="Y285" s="2"/>
      <c r="Z285" s="2"/>
    </row>
    <row r="286">
      <c r="A286" s="531"/>
      <c r="B286" s="977"/>
      <c r="C286" s="119"/>
      <c r="D286" s="977"/>
      <c r="E286" s="977"/>
      <c r="F286" s="119"/>
      <c r="G286" s="119"/>
      <c r="H286" s="119"/>
      <c r="I286" s="119"/>
      <c r="J286" s="119"/>
      <c r="K286" s="117"/>
      <c r="L286" s="117"/>
      <c r="M286" s="2"/>
      <c r="N286" s="2"/>
      <c r="O286" s="2"/>
      <c r="P286" s="2"/>
      <c r="Q286" s="2"/>
      <c r="R286" s="2"/>
      <c r="S286" s="861"/>
      <c r="T286" s="111"/>
      <c r="U286" s="2"/>
      <c r="V286" s="2"/>
      <c r="W286" s="2"/>
      <c r="X286" s="2"/>
      <c r="Y286" s="2"/>
      <c r="Z286" s="2"/>
    </row>
    <row r="287">
      <c r="A287" s="531"/>
      <c r="B287" s="977"/>
      <c r="C287" s="119"/>
      <c r="D287" s="977"/>
      <c r="E287" s="977"/>
      <c r="F287" s="119"/>
      <c r="G287" s="119"/>
      <c r="H287" s="119"/>
      <c r="I287" s="119"/>
      <c r="J287" s="119"/>
      <c r="K287" s="117"/>
      <c r="L287" s="117"/>
      <c r="M287" s="2"/>
      <c r="N287" s="2"/>
      <c r="O287" s="2"/>
      <c r="P287" s="2"/>
      <c r="Q287" s="2"/>
      <c r="R287" s="2"/>
      <c r="S287" s="861"/>
      <c r="T287" s="111"/>
      <c r="U287" s="2"/>
      <c r="V287" s="2"/>
      <c r="W287" s="2"/>
      <c r="X287" s="2"/>
      <c r="Y287" s="2"/>
      <c r="Z287" s="2"/>
    </row>
    <row r="288">
      <c r="A288" s="531"/>
      <c r="B288" s="977"/>
      <c r="C288" s="119"/>
      <c r="D288" s="977"/>
      <c r="E288" s="977"/>
      <c r="F288" s="119"/>
      <c r="G288" s="119"/>
      <c r="H288" s="119"/>
      <c r="I288" s="119"/>
      <c r="J288" s="119"/>
      <c r="K288" s="117"/>
      <c r="L288" s="117"/>
      <c r="M288" s="2"/>
      <c r="N288" s="2"/>
      <c r="O288" s="2"/>
      <c r="P288" s="2"/>
      <c r="Q288" s="2"/>
      <c r="R288" s="2"/>
      <c r="S288" s="861"/>
      <c r="T288" s="111"/>
      <c r="U288" s="2"/>
      <c r="V288" s="2"/>
      <c r="W288" s="2"/>
      <c r="X288" s="2"/>
      <c r="Y288" s="2"/>
      <c r="Z288" s="2"/>
    </row>
    <row r="289">
      <c r="A289" s="531"/>
      <c r="B289" s="977"/>
      <c r="C289" s="119"/>
      <c r="D289" s="977"/>
      <c r="E289" s="977"/>
      <c r="F289" s="119"/>
      <c r="G289" s="119"/>
      <c r="H289" s="119"/>
      <c r="I289" s="119"/>
      <c r="J289" s="119"/>
      <c r="K289" s="117"/>
      <c r="L289" s="117"/>
      <c r="M289" s="2"/>
      <c r="N289" s="2"/>
      <c r="O289" s="2"/>
      <c r="P289" s="2"/>
      <c r="Q289" s="2"/>
      <c r="R289" s="2"/>
      <c r="S289" s="861"/>
      <c r="T289" s="111"/>
      <c r="U289" s="2"/>
      <c r="V289" s="2"/>
      <c r="W289" s="2"/>
      <c r="X289" s="2"/>
      <c r="Y289" s="2"/>
      <c r="Z289" s="2"/>
    </row>
    <row r="290">
      <c r="A290" s="531"/>
      <c r="B290" s="977"/>
      <c r="C290" s="119"/>
      <c r="D290" s="977"/>
      <c r="E290" s="977"/>
      <c r="F290" s="119"/>
      <c r="G290" s="119"/>
      <c r="H290" s="119"/>
      <c r="I290" s="119"/>
      <c r="J290" s="119"/>
      <c r="K290" s="117"/>
      <c r="L290" s="117"/>
      <c r="M290" s="2"/>
      <c r="N290" s="2"/>
      <c r="O290" s="2"/>
      <c r="P290" s="2"/>
      <c r="Q290" s="2"/>
      <c r="R290" s="2"/>
      <c r="S290" s="861"/>
      <c r="T290" s="111"/>
      <c r="U290" s="2"/>
      <c r="V290" s="2"/>
      <c r="W290" s="2"/>
      <c r="X290" s="2"/>
      <c r="Y290" s="2"/>
      <c r="Z290" s="2"/>
    </row>
    <row r="291">
      <c r="A291" s="531"/>
      <c r="B291" s="977"/>
      <c r="C291" s="119"/>
      <c r="D291" s="977"/>
      <c r="E291" s="977"/>
      <c r="F291" s="119"/>
      <c r="G291" s="119"/>
      <c r="H291" s="119"/>
      <c r="I291" s="119"/>
      <c r="J291" s="119"/>
      <c r="K291" s="117"/>
      <c r="L291" s="117"/>
      <c r="M291" s="2"/>
      <c r="N291" s="2"/>
      <c r="O291" s="2"/>
      <c r="P291" s="2"/>
      <c r="Q291" s="2"/>
      <c r="R291" s="2"/>
      <c r="S291" s="861"/>
      <c r="T291" s="111"/>
      <c r="U291" s="2"/>
      <c r="V291" s="2"/>
      <c r="W291" s="2"/>
      <c r="X291" s="2"/>
      <c r="Y291" s="2"/>
      <c r="Z291" s="2"/>
    </row>
    <row r="292">
      <c r="A292" s="531"/>
      <c r="B292" s="977"/>
      <c r="C292" s="119"/>
      <c r="D292" s="977"/>
      <c r="E292" s="977"/>
      <c r="F292" s="119"/>
      <c r="G292" s="119"/>
      <c r="H292" s="119"/>
      <c r="I292" s="119"/>
      <c r="J292" s="119"/>
      <c r="K292" s="117"/>
      <c r="L292" s="117"/>
      <c r="M292" s="2"/>
      <c r="N292" s="2"/>
      <c r="O292" s="2"/>
      <c r="P292" s="2"/>
      <c r="Q292" s="2"/>
      <c r="R292" s="2"/>
      <c r="S292" s="861"/>
      <c r="T292" s="111"/>
      <c r="U292" s="2"/>
      <c r="V292" s="2"/>
      <c r="W292" s="2"/>
      <c r="X292" s="2"/>
      <c r="Y292" s="2"/>
      <c r="Z292" s="2"/>
    </row>
    <row r="293">
      <c r="A293" s="531"/>
      <c r="B293" s="977"/>
      <c r="C293" s="119"/>
      <c r="D293" s="977"/>
      <c r="E293" s="977"/>
      <c r="F293" s="119"/>
      <c r="G293" s="119"/>
      <c r="H293" s="119"/>
      <c r="I293" s="119"/>
      <c r="J293" s="119"/>
      <c r="K293" s="117"/>
      <c r="L293" s="117"/>
      <c r="M293" s="2"/>
      <c r="N293" s="2"/>
      <c r="O293" s="2"/>
      <c r="P293" s="2"/>
      <c r="Q293" s="2"/>
      <c r="R293" s="2"/>
      <c r="S293" s="862"/>
      <c r="T293" s="109"/>
      <c r="U293" s="2"/>
      <c r="V293" s="2"/>
      <c r="W293" s="2"/>
      <c r="X293" s="2"/>
      <c r="Y293" s="2"/>
      <c r="Z293" s="2"/>
    </row>
    <row r="294">
      <c r="A294" s="531"/>
      <c r="B294" s="977"/>
      <c r="C294" s="119"/>
      <c r="D294" s="977"/>
      <c r="E294" s="977"/>
      <c r="F294" s="119"/>
      <c r="G294" s="119"/>
      <c r="H294" s="119"/>
      <c r="I294" s="119"/>
      <c r="J294" s="119"/>
      <c r="K294" s="117"/>
      <c r="L294" s="117"/>
      <c r="M294" s="2"/>
      <c r="N294" s="2"/>
      <c r="O294" s="2"/>
      <c r="P294" s="2"/>
      <c r="Q294" s="2"/>
      <c r="R294" s="2"/>
      <c r="S294" s="862"/>
      <c r="T294" s="109"/>
      <c r="U294" s="54"/>
      <c r="V294" s="54"/>
      <c r="W294" s="54"/>
      <c r="X294" s="54"/>
      <c r="Y294" s="54"/>
      <c r="Z294" s="54"/>
    </row>
    <row r="295">
      <c r="A295" s="531"/>
      <c r="B295" s="977"/>
      <c r="C295" s="119"/>
      <c r="D295" s="977"/>
      <c r="E295" s="977"/>
      <c r="F295" s="119"/>
      <c r="G295" s="119"/>
      <c r="H295" s="119"/>
      <c r="I295" s="119"/>
      <c r="J295" s="119"/>
      <c r="K295" s="117"/>
      <c r="L295" s="117"/>
      <c r="M295" s="2"/>
      <c r="N295" s="2"/>
      <c r="O295" s="2"/>
      <c r="P295" s="2"/>
      <c r="Q295" s="2"/>
      <c r="R295" s="2"/>
      <c r="S295" s="117"/>
      <c r="T295" s="2"/>
      <c r="U295" s="2"/>
      <c r="V295" s="2"/>
      <c r="W295" s="2"/>
      <c r="X295" s="2"/>
      <c r="Y295" s="2"/>
      <c r="Z295" s="2"/>
    </row>
    <row r="296">
      <c r="A296" s="531"/>
      <c r="B296" s="977"/>
      <c r="C296" s="119"/>
      <c r="D296" s="977"/>
      <c r="E296" s="977"/>
      <c r="F296" s="119"/>
      <c r="G296" s="119"/>
      <c r="H296" s="119"/>
      <c r="I296" s="119"/>
      <c r="J296" s="119"/>
      <c r="K296" s="117"/>
      <c r="L296" s="117"/>
      <c r="M296" s="2"/>
      <c r="N296" s="2"/>
      <c r="O296" s="2"/>
      <c r="P296" s="2"/>
      <c r="Q296" s="2"/>
      <c r="R296" s="2"/>
      <c r="S296" s="117"/>
      <c r="T296" s="2"/>
      <c r="U296" s="2"/>
      <c r="V296" s="2"/>
      <c r="W296" s="2"/>
      <c r="X296" s="2"/>
      <c r="Y296" s="2"/>
      <c r="Z296" s="2"/>
    </row>
    <row r="297">
      <c r="A297" s="531"/>
      <c r="B297" s="977"/>
      <c r="C297" s="119"/>
      <c r="D297" s="977"/>
      <c r="E297" s="977"/>
      <c r="F297" s="119"/>
      <c r="G297" s="119"/>
      <c r="H297" s="119"/>
      <c r="I297" s="119"/>
      <c r="J297" s="119"/>
      <c r="K297" s="117"/>
      <c r="L297" s="117"/>
      <c r="M297" s="2"/>
      <c r="N297" s="2"/>
      <c r="O297" s="2"/>
      <c r="P297" s="2"/>
      <c r="Q297" s="2"/>
      <c r="R297" s="2"/>
      <c r="S297" s="847"/>
      <c r="T297" s="847"/>
      <c r="U297" s="116"/>
      <c r="V297" s="116"/>
      <c r="W297" s="116"/>
      <c r="X297" s="116"/>
      <c r="Y297" s="116"/>
      <c r="Z297" s="116"/>
    </row>
    <row r="298">
      <c r="A298" s="531"/>
      <c r="B298" s="977"/>
      <c r="C298" s="119"/>
      <c r="D298" s="977"/>
      <c r="E298" s="977"/>
      <c r="F298" s="119"/>
      <c r="G298" s="119"/>
      <c r="H298" s="119"/>
      <c r="I298" s="119"/>
      <c r="J298" s="119"/>
      <c r="K298" s="117"/>
      <c r="L298" s="117"/>
      <c r="M298" s="2"/>
      <c r="N298" s="2"/>
      <c r="O298" s="2"/>
      <c r="P298" s="2"/>
      <c r="Q298" s="2"/>
      <c r="R298" s="2"/>
      <c r="S298" s="848"/>
      <c r="T298" s="848"/>
      <c r="U298" s="848"/>
      <c r="V298" s="848"/>
      <c r="W298" s="848"/>
      <c r="X298" s="848"/>
      <c r="Y298" s="848"/>
      <c r="Z298" s="848"/>
    </row>
    <row r="299">
      <c r="A299" s="531"/>
      <c r="B299" s="977"/>
      <c r="C299" s="119"/>
      <c r="D299" s="977"/>
      <c r="E299" s="977"/>
      <c r="F299" s="119"/>
      <c r="G299" s="119"/>
      <c r="H299" s="119"/>
      <c r="I299" s="119"/>
      <c r="J299" s="119"/>
      <c r="K299" s="117"/>
      <c r="L299" s="117"/>
      <c r="M299" s="2"/>
      <c r="N299" s="2"/>
      <c r="O299" s="2"/>
      <c r="P299" s="2"/>
      <c r="Q299" s="2"/>
      <c r="R299" s="2"/>
      <c r="S299" s="849"/>
      <c r="T299" s="850"/>
      <c r="U299" s="851"/>
      <c r="V299" s="851"/>
      <c r="W299" s="851"/>
      <c r="X299" s="851"/>
      <c r="Y299" s="851"/>
      <c r="Z299" s="851"/>
    </row>
    <row r="300">
      <c r="A300" s="531"/>
      <c r="B300" s="977"/>
      <c r="C300" s="119"/>
      <c r="D300" s="977"/>
      <c r="E300" s="977"/>
      <c r="F300" s="119"/>
      <c r="G300" s="119"/>
      <c r="H300" s="119"/>
      <c r="I300" s="119"/>
      <c r="J300" s="119"/>
      <c r="K300" s="117"/>
      <c r="L300" s="117"/>
      <c r="M300" s="2"/>
      <c r="N300" s="2"/>
      <c r="O300" s="2"/>
      <c r="P300" s="2"/>
      <c r="Q300" s="2"/>
      <c r="R300" s="2"/>
      <c r="S300" s="852"/>
      <c r="T300" s="853"/>
      <c r="U300" s="854"/>
      <c r="V300" s="854"/>
      <c r="W300" s="854"/>
      <c r="X300" s="854"/>
      <c r="Y300" s="854"/>
      <c r="Z300" s="854"/>
    </row>
    <row r="301">
      <c r="A301" s="531"/>
      <c r="B301" s="977"/>
      <c r="C301" s="119"/>
      <c r="D301" s="977"/>
      <c r="E301" s="977"/>
      <c r="F301" s="119"/>
      <c r="G301" s="119"/>
      <c r="H301" s="119"/>
      <c r="I301" s="119"/>
      <c r="J301" s="119"/>
      <c r="K301" s="117"/>
      <c r="L301" s="117"/>
      <c r="M301" s="2"/>
      <c r="N301" s="2"/>
      <c r="O301" s="2"/>
      <c r="P301" s="2"/>
      <c r="Q301" s="2"/>
      <c r="R301" s="2"/>
      <c r="S301" s="855"/>
      <c r="T301" s="856"/>
      <c r="U301" s="854"/>
      <c r="V301" s="854"/>
      <c r="W301" s="854"/>
      <c r="X301" s="854"/>
      <c r="Y301" s="854"/>
      <c r="Z301" s="854"/>
    </row>
    <row r="302">
      <c r="A302" s="531"/>
      <c r="B302" s="977"/>
      <c r="C302" s="119"/>
      <c r="D302" s="977"/>
      <c r="E302" s="977"/>
      <c r="F302" s="119"/>
      <c r="G302" s="119"/>
      <c r="H302" s="119"/>
      <c r="I302" s="119"/>
      <c r="J302" s="119"/>
      <c r="K302" s="117"/>
      <c r="L302" s="117"/>
      <c r="M302" s="2"/>
      <c r="N302" s="2"/>
      <c r="O302" s="2"/>
      <c r="P302" s="2"/>
      <c r="Q302" s="2"/>
      <c r="R302" s="2"/>
      <c r="S302" s="855"/>
      <c r="T302" s="856"/>
      <c r="U302" s="854"/>
      <c r="V302" s="854"/>
      <c r="W302" s="854"/>
      <c r="X302" s="854"/>
      <c r="Y302" s="854"/>
      <c r="Z302" s="854"/>
    </row>
    <row r="303">
      <c r="A303" s="531"/>
      <c r="B303" s="977"/>
      <c r="C303" s="119"/>
      <c r="D303" s="977"/>
      <c r="E303" s="977"/>
      <c r="F303" s="119"/>
      <c r="G303" s="119"/>
      <c r="H303" s="119"/>
      <c r="I303" s="119"/>
      <c r="J303" s="119"/>
      <c r="K303" s="117"/>
      <c r="L303" s="117"/>
      <c r="M303" s="2"/>
      <c r="N303" s="2"/>
      <c r="O303" s="2"/>
      <c r="P303" s="2"/>
      <c r="Q303" s="2"/>
      <c r="R303" s="2"/>
      <c r="S303" s="852"/>
      <c r="T303" s="853"/>
      <c r="U303" s="854"/>
      <c r="V303" s="854"/>
      <c r="W303" s="854"/>
      <c r="X303" s="854"/>
      <c r="Y303" s="854"/>
      <c r="Z303" s="854"/>
    </row>
    <row r="304">
      <c r="A304" s="531"/>
      <c r="B304" s="977"/>
      <c r="C304" s="119"/>
      <c r="D304" s="977"/>
      <c r="E304" s="977"/>
      <c r="F304" s="119"/>
      <c r="G304" s="119"/>
      <c r="H304" s="119"/>
      <c r="I304" s="119"/>
      <c r="J304" s="119"/>
      <c r="K304" s="117"/>
      <c r="L304" s="117"/>
      <c r="M304" s="2"/>
      <c r="N304" s="2"/>
      <c r="O304" s="2"/>
      <c r="P304" s="2"/>
      <c r="Q304" s="2"/>
      <c r="R304" s="2"/>
      <c r="S304" s="857"/>
      <c r="T304" s="858"/>
      <c r="U304" s="854"/>
      <c r="V304" s="854"/>
      <c r="W304" s="854"/>
      <c r="X304" s="854"/>
      <c r="Y304" s="854"/>
      <c r="Z304" s="854"/>
    </row>
    <row r="305">
      <c r="A305" s="531"/>
      <c r="B305" s="977"/>
      <c r="C305" s="119"/>
      <c r="D305" s="977"/>
      <c r="E305" s="977"/>
      <c r="F305" s="119"/>
      <c r="G305" s="119"/>
      <c r="H305" s="119"/>
      <c r="I305" s="119"/>
      <c r="J305" s="119"/>
      <c r="K305" s="117"/>
      <c r="L305" s="117"/>
      <c r="M305" s="2"/>
      <c r="N305" s="2"/>
      <c r="O305" s="2"/>
      <c r="P305" s="2"/>
      <c r="Q305" s="2"/>
      <c r="R305" s="2"/>
      <c r="S305" s="857"/>
      <c r="T305" s="858"/>
      <c r="U305" s="854"/>
      <c r="V305" s="854"/>
      <c r="W305" s="854"/>
      <c r="X305" s="854"/>
      <c r="Y305" s="854"/>
      <c r="Z305" s="854"/>
    </row>
    <row r="306">
      <c r="A306" s="531"/>
      <c r="B306" s="977"/>
      <c r="C306" s="119"/>
      <c r="D306" s="977"/>
      <c r="E306" s="977"/>
      <c r="F306" s="119"/>
      <c r="G306" s="119"/>
      <c r="H306" s="119"/>
      <c r="I306" s="119"/>
      <c r="J306" s="119"/>
      <c r="K306" s="117"/>
      <c r="L306" s="117"/>
      <c r="M306" s="2"/>
      <c r="N306" s="2"/>
      <c r="O306" s="2"/>
      <c r="P306" s="2"/>
      <c r="Q306" s="2"/>
      <c r="R306" s="2"/>
      <c r="S306" s="857"/>
      <c r="T306" s="858"/>
      <c r="U306" s="854"/>
      <c r="V306" s="854"/>
      <c r="W306" s="854"/>
      <c r="X306" s="854"/>
      <c r="Y306" s="854"/>
      <c r="Z306" s="854"/>
    </row>
    <row r="307">
      <c r="A307" s="531"/>
      <c r="B307" s="977"/>
      <c r="C307" s="119"/>
      <c r="D307" s="977"/>
      <c r="E307" s="977"/>
      <c r="F307" s="119"/>
      <c r="G307" s="119"/>
      <c r="H307" s="119"/>
      <c r="I307" s="119"/>
      <c r="J307" s="119"/>
      <c r="K307" s="117"/>
      <c r="L307" s="117"/>
      <c r="M307" s="2"/>
      <c r="N307" s="2"/>
      <c r="O307" s="2"/>
      <c r="P307" s="2"/>
      <c r="Q307" s="2"/>
      <c r="R307" s="2"/>
      <c r="S307" s="852"/>
      <c r="T307" s="853"/>
      <c r="U307" s="854"/>
      <c r="V307" s="854"/>
      <c r="W307" s="854"/>
      <c r="X307" s="854"/>
      <c r="Y307" s="854"/>
      <c r="Z307" s="854"/>
    </row>
    <row r="308">
      <c r="A308" s="531"/>
      <c r="B308" s="977"/>
      <c r="C308" s="119"/>
      <c r="D308" s="977"/>
      <c r="E308" s="977"/>
      <c r="F308" s="119"/>
      <c r="G308" s="119"/>
      <c r="H308" s="119"/>
      <c r="I308" s="119"/>
      <c r="J308" s="119"/>
      <c r="K308" s="117"/>
      <c r="L308" s="117"/>
      <c r="M308" s="2"/>
      <c r="N308" s="2"/>
      <c r="O308" s="2"/>
      <c r="P308" s="2"/>
      <c r="Q308" s="2"/>
      <c r="R308" s="2"/>
      <c r="S308" s="852"/>
      <c r="T308" s="853"/>
      <c r="U308" s="854"/>
      <c r="V308" s="854"/>
      <c r="W308" s="854"/>
      <c r="X308" s="854"/>
      <c r="Y308" s="854"/>
      <c r="Z308" s="854"/>
    </row>
    <row r="309">
      <c r="A309" s="531"/>
      <c r="B309" s="977"/>
      <c r="C309" s="119"/>
      <c r="D309" s="977"/>
      <c r="E309" s="977"/>
      <c r="F309" s="119"/>
      <c r="G309" s="119"/>
      <c r="H309" s="119"/>
      <c r="I309" s="119"/>
      <c r="J309" s="119"/>
      <c r="K309" s="117"/>
      <c r="L309" s="117"/>
      <c r="M309" s="2"/>
      <c r="N309" s="2"/>
      <c r="O309" s="2"/>
      <c r="P309" s="2"/>
      <c r="Q309" s="2"/>
      <c r="R309" s="2"/>
      <c r="S309" s="852"/>
      <c r="T309" s="853"/>
      <c r="U309" s="854"/>
      <c r="V309" s="854"/>
      <c r="W309" s="854"/>
      <c r="X309" s="854"/>
      <c r="Y309" s="854"/>
      <c r="Z309" s="854"/>
    </row>
    <row r="310">
      <c r="A310" s="531"/>
      <c r="B310" s="977"/>
      <c r="C310" s="119"/>
      <c r="D310" s="977"/>
      <c r="E310" s="977"/>
      <c r="F310" s="119"/>
      <c r="G310" s="119"/>
      <c r="H310" s="119"/>
      <c r="I310" s="119"/>
      <c r="J310" s="119"/>
      <c r="K310" s="117"/>
      <c r="L310" s="117"/>
      <c r="M310" s="2"/>
      <c r="N310" s="2"/>
      <c r="O310" s="2"/>
      <c r="P310" s="2"/>
      <c r="Q310" s="2"/>
      <c r="R310" s="2"/>
      <c r="S310" s="852"/>
      <c r="T310" s="853"/>
      <c r="U310" s="854"/>
      <c r="V310" s="854"/>
      <c r="W310" s="854"/>
      <c r="X310" s="854"/>
      <c r="Y310" s="854"/>
      <c r="Z310" s="854"/>
    </row>
    <row r="311">
      <c r="A311" s="531"/>
      <c r="B311" s="977"/>
      <c r="C311" s="119"/>
      <c r="D311" s="977"/>
      <c r="E311" s="977"/>
      <c r="F311" s="119"/>
      <c r="G311" s="119"/>
      <c r="H311" s="119"/>
      <c r="I311" s="119"/>
      <c r="J311" s="119"/>
      <c r="K311" s="117"/>
      <c r="L311" s="117"/>
      <c r="M311" s="2"/>
      <c r="N311" s="2"/>
      <c r="O311" s="2"/>
      <c r="P311" s="2"/>
      <c r="Q311" s="2"/>
      <c r="R311" s="2"/>
      <c r="S311" s="852"/>
      <c r="T311" s="859"/>
      <c r="U311" s="107"/>
      <c r="V311" s="107"/>
      <c r="W311" s="107"/>
      <c r="X311" s="107"/>
      <c r="Y311" s="107"/>
      <c r="Z311" s="107"/>
    </row>
    <row r="312">
      <c r="A312" s="531"/>
      <c r="B312" s="977"/>
      <c r="C312" s="119"/>
      <c r="D312" s="977"/>
      <c r="E312" s="977"/>
      <c r="F312" s="119"/>
      <c r="G312" s="119"/>
      <c r="H312" s="119"/>
      <c r="I312" s="119"/>
      <c r="J312" s="119"/>
      <c r="K312" s="117"/>
      <c r="L312" s="117"/>
      <c r="M312" s="2"/>
      <c r="N312" s="2"/>
      <c r="O312" s="2"/>
      <c r="P312" s="2"/>
      <c r="Q312" s="2"/>
      <c r="R312" s="2"/>
      <c r="S312" s="852"/>
      <c r="T312" s="859"/>
      <c r="U312" s="107"/>
      <c r="V312" s="107"/>
      <c r="W312" s="107"/>
      <c r="X312" s="107"/>
      <c r="Y312" s="107"/>
      <c r="Z312" s="107"/>
    </row>
    <row r="313">
      <c r="A313" s="531"/>
      <c r="B313" s="977"/>
      <c r="C313" s="119"/>
      <c r="D313" s="977"/>
      <c r="E313" s="977"/>
      <c r="F313" s="119"/>
      <c r="G313" s="119"/>
      <c r="H313" s="119"/>
      <c r="I313" s="119"/>
      <c r="J313" s="119"/>
      <c r="K313" s="117"/>
      <c r="L313" s="117"/>
      <c r="M313" s="2"/>
      <c r="N313" s="2"/>
      <c r="O313" s="2"/>
      <c r="P313" s="2"/>
      <c r="Q313" s="2"/>
      <c r="R313" s="2"/>
      <c r="S313" s="852"/>
      <c r="T313" s="859"/>
      <c r="U313" s="107"/>
      <c r="V313" s="107"/>
      <c r="W313" s="107"/>
      <c r="X313" s="107"/>
      <c r="Y313" s="107"/>
      <c r="Z313" s="107"/>
    </row>
    <row r="314">
      <c r="A314" s="531"/>
      <c r="B314" s="977"/>
      <c r="C314" s="119"/>
      <c r="D314" s="977"/>
      <c r="E314" s="977"/>
      <c r="F314" s="119"/>
      <c r="G314" s="119"/>
      <c r="H314" s="119"/>
      <c r="I314" s="119"/>
      <c r="J314" s="119"/>
      <c r="K314" s="117"/>
      <c r="L314" s="117"/>
      <c r="M314" s="2"/>
      <c r="N314" s="2"/>
      <c r="O314" s="2"/>
      <c r="P314" s="2"/>
      <c r="Q314" s="2"/>
      <c r="R314" s="2"/>
      <c r="S314" s="852"/>
      <c r="T314" s="859"/>
      <c r="U314" s="107"/>
      <c r="V314" s="107"/>
      <c r="W314" s="107"/>
      <c r="X314" s="107"/>
      <c r="Y314" s="107"/>
      <c r="Z314" s="107"/>
    </row>
    <row r="315">
      <c r="A315" s="531"/>
      <c r="B315" s="977"/>
      <c r="C315" s="119"/>
      <c r="D315" s="977"/>
      <c r="E315" s="977"/>
      <c r="F315" s="119"/>
      <c r="G315" s="119"/>
      <c r="H315" s="119"/>
      <c r="I315" s="119"/>
      <c r="J315" s="119"/>
      <c r="K315" s="117"/>
      <c r="L315" s="117"/>
      <c r="M315" s="2"/>
      <c r="N315" s="2"/>
      <c r="O315" s="2"/>
      <c r="P315" s="2"/>
      <c r="Q315" s="2"/>
      <c r="R315" s="2"/>
      <c r="S315" s="852"/>
      <c r="T315" s="859"/>
      <c r="U315" s="107"/>
      <c r="V315" s="107"/>
      <c r="W315" s="107"/>
      <c r="X315" s="107"/>
      <c r="Y315" s="107"/>
      <c r="Z315" s="107"/>
    </row>
    <row r="316">
      <c r="A316" s="531"/>
      <c r="B316" s="977"/>
      <c r="C316" s="119"/>
      <c r="D316" s="977"/>
      <c r="E316" s="977"/>
      <c r="F316" s="119"/>
      <c r="G316" s="119"/>
      <c r="H316" s="119"/>
      <c r="I316" s="119"/>
      <c r="J316" s="119"/>
      <c r="K316" s="117"/>
      <c r="L316" s="117"/>
      <c r="M316" s="2"/>
      <c r="N316" s="2"/>
      <c r="O316" s="2"/>
      <c r="P316" s="2"/>
      <c r="Q316" s="2"/>
      <c r="R316" s="2"/>
      <c r="S316" s="852"/>
      <c r="T316" s="859"/>
      <c r="U316" s="107"/>
      <c r="V316" s="107"/>
      <c r="W316" s="107"/>
      <c r="X316" s="107"/>
      <c r="Y316" s="107"/>
      <c r="Z316" s="107"/>
    </row>
    <row r="317">
      <c r="A317" s="531"/>
      <c r="B317" s="977"/>
      <c r="C317" s="119"/>
      <c r="D317" s="977"/>
      <c r="E317" s="977"/>
      <c r="F317" s="119"/>
      <c r="G317" s="119"/>
      <c r="H317" s="119"/>
      <c r="I317" s="119"/>
      <c r="J317" s="119"/>
      <c r="K317" s="117"/>
      <c r="L317" s="117"/>
      <c r="M317" s="2"/>
      <c r="N317" s="2"/>
      <c r="O317" s="2"/>
      <c r="P317" s="2"/>
      <c r="Q317" s="2"/>
      <c r="R317" s="2"/>
      <c r="S317" s="852"/>
      <c r="T317" s="859"/>
      <c r="U317" s="107"/>
      <c r="V317" s="107"/>
      <c r="W317" s="107"/>
      <c r="X317" s="107"/>
      <c r="Y317" s="107"/>
      <c r="Z317" s="107"/>
    </row>
    <row r="318">
      <c r="A318" s="531"/>
      <c r="B318" s="977"/>
      <c r="C318" s="119"/>
      <c r="D318" s="977"/>
      <c r="E318" s="977"/>
      <c r="F318" s="119"/>
      <c r="G318" s="119"/>
      <c r="H318" s="119"/>
      <c r="I318" s="119"/>
      <c r="J318" s="119"/>
      <c r="K318" s="117"/>
      <c r="L318" s="117"/>
      <c r="M318" s="2"/>
      <c r="N318" s="2"/>
      <c r="O318" s="2"/>
      <c r="P318" s="2"/>
      <c r="Q318" s="2"/>
      <c r="R318" s="2"/>
      <c r="S318" s="852"/>
      <c r="T318" s="859"/>
      <c r="U318" s="107"/>
      <c r="V318" s="107"/>
      <c r="W318" s="107"/>
      <c r="X318" s="107"/>
      <c r="Y318" s="107"/>
      <c r="Z318" s="107"/>
    </row>
    <row r="319">
      <c r="A319" s="531"/>
      <c r="B319" s="977"/>
      <c r="C319" s="119"/>
      <c r="D319" s="977"/>
      <c r="E319" s="977"/>
      <c r="F319" s="119"/>
      <c r="G319" s="119"/>
      <c r="H319" s="119"/>
      <c r="I319" s="119"/>
      <c r="J319" s="119"/>
      <c r="K319" s="117"/>
      <c r="L319" s="117"/>
      <c r="M319" s="2"/>
      <c r="N319" s="2"/>
      <c r="O319" s="2"/>
      <c r="P319" s="2"/>
      <c r="Q319" s="2"/>
      <c r="R319" s="2"/>
      <c r="S319" s="852"/>
      <c r="T319" s="859"/>
      <c r="U319" s="107"/>
      <c r="V319" s="107"/>
      <c r="W319" s="107"/>
      <c r="X319" s="107"/>
      <c r="Y319" s="107"/>
      <c r="Z319" s="107"/>
    </row>
    <row r="320">
      <c r="A320" s="531"/>
      <c r="B320" s="977"/>
      <c r="C320" s="119"/>
      <c r="D320" s="977"/>
      <c r="E320" s="977"/>
      <c r="F320" s="119"/>
      <c r="G320" s="119"/>
      <c r="H320" s="119"/>
      <c r="I320" s="119"/>
      <c r="J320" s="119"/>
      <c r="K320" s="117"/>
      <c r="L320" s="117"/>
      <c r="M320" s="2"/>
      <c r="N320" s="2"/>
      <c r="O320" s="2"/>
      <c r="P320" s="2"/>
      <c r="Q320" s="2"/>
      <c r="R320" s="2"/>
      <c r="S320" s="852"/>
      <c r="T320" s="859"/>
      <c r="U320" s="107"/>
      <c r="V320" s="107"/>
      <c r="W320" s="107"/>
      <c r="X320" s="107"/>
      <c r="Y320" s="107"/>
      <c r="Z320" s="107"/>
    </row>
    <row r="321">
      <c r="A321" s="531"/>
      <c r="B321" s="977"/>
      <c r="C321" s="119"/>
      <c r="D321" s="977"/>
      <c r="E321" s="977"/>
      <c r="F321" s="119"/>
      <c r="G321" s="119"/>
      <c r="H321" s="119"/>
      <c r="I321" s="119"/>
      <c r="J321" s="119"/>
      <c r="K321" s="117"/>
      <c r="L321" s="117"/>
      <c r="M321" s="2"/>
      <c r="N321" s="2"/>
      <c r="O321" s="2"/>
      <c r="P321" s="2"/>
      <c r="Q321" s="2"/>
      <c r="R321" s="2"/>
      <c r="S321" s="857"/>
      <c r="T321" s="860"/>
      <c r="U321" s="107"/>
      <c r="V321" s="107"/>
      <c r="W321" s="107"/>
      <c r="X321" s="107"/>
      <c r="Y321" s="107"/>
      <c r="Z321" s="107"/>
    </row>
    <row r="322">
      <c r="A322" s="531"/>
      <c r="B322" s="977"/>
      <c r="C322" s="119"/>
      <c r="D322" s="977"/>
      <c r="E322" s="977"/>
      <c r="F322" s="119"/>
      <c r="G322" s="119"/>
      <c r="H322" s="119"/>
      <c r="I322" s="119"/>
      <c r="J322" s="119"/>
      <c r="K322" s="117"/>
      <c r="L322" s="117"/>
      <c r="M322" s="2"/>
      <c r="N322" s="2"/>
      <c r="O322" s="2"/>
      <c r="P322" s="2"/>
      <c r="Q322" s="2"/>
      <c r="R322" s="2"/>
      <c r="S322" s="861"/>
      <c r="T322" s="111"/>
      <c r="U322" s="2"/>
      <c r="V322" s="2"/>
      <c r="W322" s="2"/>
      <c r="X322" s="2"/>
      <c r="Y322" s="2"/>
      <c r="Z322" s="2"/>
    </row>
    <row r="323">
      <c r="A323" s="531"/>
      <c r="B323" s="977"/>
      <c r="C323" s="119"/>
      <c r="D323" s="977"/>
      <c r="E323" s="977"/>
      <c r="F323" s="119"/>
      <c r="G323" s="119"/>
      <c r="H323" s="119"/>
      <c r="I323" s="119"/>
      <c r="J323" s="119"/>
      <c r="K323" s="117"/>
      <c r="L323" s="117"/>
      <c r="M323" s="2"/>
      <c r="N323" s="2"/>
      <c r="O323" s="2"/>
      <c r="P323" s="2"/>
      <c r="Q323" s="2"/>
      <c r="R323" s="2"/>
      <c r="S323" s="861"/>
      <c r="T323" s="111"/>
      <c r="U323" s="2"/>
      <c r="V323" s="2"/>
      <c r="W323" s="2"/>
      <c r="X323" s="2"/>
      <c r="Y323" s="2"/>
      <c r="Z323" s="2"/>
    </row>
    <row r="324">
      <c r="A324" s="531"/>
      <c r="B324" s="977"/>
      <c r="C324" s="119"/>
      <c r="D324" s="977"/>
      <c r="E324" s="977"/>
      <c r="F324" s="119"/>
      <c r="G324" s="119"/>
      <c r="H324" s="119"/>
      <c r="I324" s="119"/>
      <c r="J324" s="119"/>
      <c r="K324" s="117"/>
      <c r="L324" s="117"/>
      <c r="M324" s="2"/>
      <c r="N324" s="2"/>
      <c r="O324" s="2"/>
      <c r="P324" s="2"/>
      <c r="Q324" s="2"/>
      <c r="R324" s="2"/>
      <c r="S324" s="861"/>
      <c r="T324" s="111"/>
      <c r="U324" s="2"/>
      <c r="V324" s="2"/>
      <c r="W324" s="2"/>
      <c r="X324" s="2"/>
      <c r="Y324" s="2"/>
      <c r="Z324" s="2"/>
    </row>
    <row r="325">
      <c r="A325" s="531"/>
      <c r="B325" s="977"/>
      <c r="C325" s="119"/>
      <c r="D325" s="977"/>
      <c r="E325" s="977"/>
      <c r="F325" s="119"/>
      <c r="G325" s="119"/>
      <c r="H325" s="119"/>
      <c r="I325" s="119"/>
      <c r="J325" s="119"/>
      <c r="K325" s="117"/>
      <c r="L325" s="117"/>
      <c r="M325" s="2"/>
      <c r="N325" s="2"/>
      <c r="O325" s="2"/>
      <c r="P325" s="2"/>
      <c r="Q325" s="2"/>
      <c r="R325" s="2"/>
      <c r="S325" s="861"/>
      <c r="T325" s="111"/>
      <c r="U325" s="2"/>
      <c r="V325" s="2"/>
      <c r="W325" s="2"/>
      <c r="X325" s="2"/>
      <c r="Y325" s="2"/>
      <c r="Z325" s="2"/>
    </row>
    <row r="326">
      <c r="A326" s="531"/>
      <c r="B326" s="977"/>
      <c r="C326" s="119"/>
      <c r="D326" s="977"/>
      <c r="E326" s="977"/>
      <c r="F326" s="119"/>
      <c r="G326" s="119"/>
      <c r="H326" s="119"/>
      <c r="I326" s="119"/>
      <c r="J326" s="119"/>
      <c r="K326" s="117"/>
      <c r="L326" s="117"/>
      <c r="M326" s="2"/>
      <c r="N326" s="2"/>
      <c r="O326" s="2"/>
      <c r="P326" s="2"/>
      <c r="Q326" s="2"/>
      <c r="R326" s="2"/>
      <c r="S326" s="861"/>
      <c r="T326" s="111"/>
      <c r="U326" s="2"/>
      <c r="V326" s="2"/>
      <c r="W326" s="2"/>
      <c r="X326" s="2"/>
      <c r="Y326" s="2"/>
      <c r="Z326" s="2"/>
    </row>
    <row r="327">
      <c r="A327" s="531"/>
      <c r="B327" s="977"/>
      <c r="C327" s="119"/>
      <c r="D327" s="977"/>
      <c r="E327" s="977"/>
      <c r="F327" s="119"/>
      <c r="G327" s="119"/>
      <c r="H327" s="119"/>
      <c r="I327" s="119"/>
      <c r="J327" s="119"/>
      <c r="K327" s="117"/>
      <c r="L327" s="117"/>
      <c r="M327" s="2"/>
      <c r="N327" s="2"/>
      <c r="O327" s="2"/>
      <c r="P327" s="2"/>
      <c r="Q327" s="2"/>
      <c r="R327" s="2"/>
      <c r="S327" s="862"/>
      <c r="T327" s="109"/>
      <c r="U327" s="2"/>
      <c r="V327" s="2"/>
      <c r="W327" s="2"/>
      <c r="X327" s="2"/>
      <c r="Y327" s="2"/>
      <c r="Z327" s="2"/>
    </row>
    <row r="328">
      <c r="A328" s="531"/>
      <c r="B328" s="977"/>
      <c r="C328" s="119"/>
      <c r="D328" s="977"/>
      <c r="E328" s="977"/>
      <c r="F328" s="119"/>
      <c r="G328" s="119"/>
      <c r="H328" s="119"/>
      <c r="I328" s="119"/>
      <c r="J328" s="119"/>
      <c r="K328" s="117"/>
      <c r="L328" s="117"/>
      <c r="M328" s="2"/>
      <c r="N328" s="2"/>
      <c r="O328" s="2"/>
      <c r="P328" s="2"/>
      <c r="Q328" s="2"/>
      <c r="R328" s="2"/>
      <c r="S328" s="861"/>
      <c r="T328" s="111"/>
      <c r="U328" s="2"/>
      <c r="V328" s="2"/>
      <c r="W328" s="2"/>
      <c r="X328" s="2"/>
      <c r="Y328" s="2"/>
      <c r="Z328" s="2"/>
    </row>
    <row r="329">
      <c r="A329" s="531"/>
      <c r="B329" s="977"/>
      <c r="C329" s="119"/>
      <c r="D329" s="977"/>
      <c r="E329" s="977"/>
      <c r="F329" s="119"/>
      <c r="G329" s="119"/>
      <c r="H329" s="119"/>
      <c r="I329" s="119"/>
      <c r="J329" s="119"/>
      <c r="K329" s="117"/>
      <c r="L329" s="117"/>
      <c r="M329" s="2"/>
      <c r="N329" s="2"/>
      <c r="O329" s="2"/>
      <c r="P329" s="2"/>
      <c r="Q329" s="2"/>
      <c r="R329" s="2"/>
      <c r="S329" s="861"/>
      <c r="T329" s="111"/>
      <c r="U329" s="2"/>
      <c r="V329" s="2"/>
      <c r="W329" s="2"/>
      <c r="X329" s="2"/>
      <c r="Y329" s="2"/>
      <c r="Z329" s="2"/>
    </row>
    <row r="330">
      <c r="A330" s="531"/>
      <c r="B330" s="977"/>
      <c r="C330" s="119"/>
      <c r="D330" s="977"/>
      <c r="E330" s="977"/>
      <c r="F330" s="119"/>
      <c r="G330" s="119"/>
      <c r="H330" s="119"/>
      <c r="I330" s="119"/>
      <c r="J330" s="119"/>
      <c r="K330" s="117"/>
      <c r="L330" s="117"/>
      <c r="M330" s="2"/>
      <c r="N330" s="2"/>
      <c r="O330" s="2"/>
      <c r="P330" s="2"/>
      <c r="Q330" s="2"/>
      <c r="R330" s="2"/>
      <c r="S330" s="861"/>
      <c r="T330" s="111"/>
      <c r="U330" s="2"/>
      <c r="V330" s="2"/>
      <c r="W330" s="2"/>
      <c r="X330" s="2"/>
      <c r="Y330" s="2"/>
      <c r="Z330" s="2"/>
    </row>
    <row r="331">
      <c r="A331" s="531"/>
      <c r="B331" s="977"/>
      <c r="C331" s="119"/>
      <c r="D331" s="977"/>
      <c r="E331" s="977"/>
      <c r="F331" s="119"/>
      <c r="G331" s="119"/>
      <c r="H331" s="119"/>
      <c r="I331" s="119"/>
      <c r="J331" s="119"/>
      <c r="K331" s="117"/>
      <c r="L331" s="117"/>
      <c r="M331" s="2"/>
      <c r="N331" s="2"/>
      <c r="O331" s="2"/>
      <c r="P331" s="2"/>
      <c r="Q331" s="2"/>
      <c r="R331" s="2"/>
      <c r="S331" s="861"/>
      <c r="T331" s="111"/>
      <c r="U331" s="2"/>
      <c r="V331" s="2"/>
      <c r="W331" s="2"/>
      <c r="X331" s="2"/>
      <c r="Y331" s="2"/>
      <c r="Z331" s="2"/>
    </row>
    <row r="332">
      <c r="A332" s="531"/>
      <c r="B332" s="977"/>
      <c r="C332" s="119"/>
      <c r="D332" s="977"/>
      <c r="E332" s="977"/>
      <c r="F332" s="119"/>
      <c r="G332" s="119"/>
      <c r="H332" s="119"/>
      <c r="I332" s="119"/>
      <c r="J332" s="119"/>
      <c r="K332" s="117"/>
      <c r="L332" s="117"/>
      <c r="M332" s="2"/>
      <c r="N332" s="2"/>
      <c r="O332" s="2"/>
      <c r="P332" s="2"/>
      <c r="Q332" s="2"/>
      <c r="R332" s="2"/>
      <c r="S332" s="861"/>
      <c r="T332" s="111"/>
      <c r="U332" s="2"/>
      <c r="V332" s="2"/>
      <c r="W332" s="2"/>
      <c r="X332" s="2"/>
      <c r="Y332" s="2"/>
      <c r="Z332" s="2"/>
    </row>
    <row r="333">
      <c r="A333" s="531"/>
      <c r="B333" s="977"/>
      <c r="C333" s="119"/>
      <c r="D333" s="977"/>
      <c r="E333" s="977"/>
      <c r="F333" s="119"/>
      <c r="G333" s="119"/>
      <c r="H333" s="119"/>
      <c r="I333" s="119"/>
      <c r="J333" s="119"/>
      <c r="K333" s="117"/>
      <c r="L333" s="117"/>
      <c r="M333" s="2"/>
      <c r="N333" s="2"/>
      <c r="O333" s="2"/>
      <c r="P333" s="2"/>
      <c r="Q333" s="2"/>
      <c r="R333" s="2"/>
      <c r="S333" s="861"/>
      <c r="T333" s="111"/>
      <c r="U333" s="2"/>
      <c r="V333" s="2"/>
      <c r="W333" s="2"/>
      <c r="X333" s="2"/>
      <c r="Y333" s="2"/>
      <c r="Z333" s="2"/>
    </row>
    <row r="334">
      <c r="A334" s="531"/>
      <c r="B334" s="977"/>
      <c r="C334" s="119"/>
      <c r="D334" s="977"/>
      <c r="E334" s="977"/>
      <c r="F334" s="119"/>
      <c r="G334" s="119"/>
      <c r="H334" s="119"/>
      <c r="I334" s="119"/>
      <c r="J334" s="119"/>
      <c r="K334" s="117"/>
      <c r="L334" s="117"/>
      <c r="M334" s="2"/>
      <c r="N334" s="2"/>
      <c r="O334" s="2"/>
      <c r="P334" s="2"/>
      <c r="Q334" s="2"/>
      <c r="R334" s="2"/>
      <c r="S334" s="861"/>
      <c r="T334" s="111"/>
      <c r="U334" s="2"/>
      <c r="V334" s="2"/>
      <c r="W334" s="2"/>
      <c r="X334" s="2"/>
      <c r="Y334" s="2"/>
      <c r="Z334" s="2"/>
    </row>
    <row r="335">
      <c r="A335" s="531"/>
      <c r="B335" s="977"/>
      <c r="C335" s="119"/>
      <c r="D335" s="977"/>
      <c r="E335" s="977"/>
      <c r="F335" s="119"/>
      <c r="G335" s="119"/>
      <c r="H335" s="119"/>
      <c r="I335" s="119"/>
      <c r="J335" s="119"/>
      <c r="K335" s="117"/>
      <c r="L335" s="117"/>
      <c r="M335" s="2"/>
      <c r="N335" s="2"/>
      <c r="O335" s="2"/>
      <c r="P335" s="2"/>
      <c r="Q335" s="2"/>
      <c r="R335" s="2"/>
      <c r="S335" s="861"/>
      <c r="T335" s="111"/>
      <c r="U335" s="2"/>
      <c r="V335" s="2"/>
      <c r="W335" s="2"/>
      <c r="X335" s="2"/>
      <c r="Y335" s="2"/>
      <c r="Z335" s="2"/>
    </row>
    <row r="336">
      <c r="A336" s="531"/>
      <c r="B336" s="977"/>
      <c r="C336" s="119"/>
      <c r="D336" s="977"/>
      <c r="E336" s="977"/>
      <c r="F336" s="119"/>
      <c r="G336" s="119"/>
      <c r="H336" s="119"/>
      <c r="I336" s="119"/>
      <c r="J336" s="119"/>
      <c r="K336" s="117"/>
      <c r="L336" s="117"/>
      <c r="M336" s="2"/>
      <c r="N336" s="2"/>
      <c r="O336" s="2"/>
      <c r="P336" s="2"/>
      <c r="Q336" s="2"/>
      <c r="R336" s="2"/>
      <c r="S336" s="862"/>
      <c r="T336" s="109"/>
      <c r="U336" s="2"/>
      <c r="V336" s="2"/>
      <c r="W336" s="2"/>
      <c r="X336" s="2"/>
      <c r="Y336" s="2"/>
      <c r="Z336" s="2"/>
    </row>
    <row r="337">
      <c r="A337" s="531"/>
      <c r="B337" s="977"/>
      <c r="C337" s="119"/>
      <c r="D337" s="977"/>
      <c r="E337" s="977"/>
      <c r="F337" s="119"/>
      <c r="G337" s="119"/>
      <c r="H337" s="119"/>
      <c r="I337" s="119"/>
      <c r="J337" s="119"/>
      <c r="K337" s="117"/>
      <c r="L337" s="117"/>
      <c r="M337" s="2"/>
      <c r="N337" s="2"/>
      <c r="O337" s="2"/>
      <c r="P337" s="2"/>
      <c r="Q337" s="2"/>
      <c r="R337" s="2"/>
      <c r="S337" s="862"/>
      <c r="T337" s="109"/>
      <c r="U337" s="54"/>
      <c r="V337" s="54"/>
      <c r="W337" s="54"/>
      <c r="X337" s="54"/>
      <c r="Y337" s="54"/>
      <c r="Z337" s="54"/>
    </row>
    <row r="338">
      <c r="A338" s="531"/>
      <c r="B338" s="977"/>
      <c r="C338" s="119"/>
      <c r="D338" s="977"/>
      <c r="E338" s="977"/>
      <c r="F338" s="119"/>
      <c r="G338" s="119"/>
      <c r="H338" s="119"/>
      <c r="I338" s="119"/>
      <c r="J338" s="119"/>
      <c r="K338" s="117"/>
      <c r="L338" s="117"/>
      <c r="M338" s="2"/>
      <c r="N338" s="2"/>
      <c r="O338" s="2"/>
      <c r="P338" s="2"/>
      <c r="Q338" s="2"/>
      <c r="R338" s="2"/>
      <c r="S338" s="117"/>
      <c r="T338" s="2"/>
      <c r="U338" s="2"/>
      <c r="V338" s="2"/>
      <c r="W338" s="2"/>
      <c r="X338" s="2"/>
      <c r="Y338" s="2"/>
      <c r="Z338" s="2"/>
    </row>
    <row r="339">
      <c r="A339" s="531"/>
      <c r="B339" s="977"/>
      <c r="C339" s="119"/>
      <c r="D339" s="977"/>
      <c r="E339" s="977"/>
      <c r="F339" s="119"/>
      <c r="G339" s="119"/>
      <c r="H339" s="119"/>
      <c r="I339" s="119"/>
      <c r="J339" s="119"/>
      <c r="K339" s="117"/>
      <c r="L339" s="117"/>
      <c r="M339" s="2"/>
      <c r="N339" s="2"/>
      <c r="O339" s="2"/>
      <c r="P339" s="2"/>
      <c r="Q339" s="2"/>
      <c r="R339" s="2"/>
      <c r="S339" s="117"/>
      <c r="T339" s="2"/>
      <c r="U339" s="2"/>
      <c r="V339" s="2"/>
      <c r="W339" s="2"/>
      <c r="X339" s="2"/>
      <c r="Y339" s="2"/>
      <c r="Z339" s="2"/>
    </row>
    <row r="340">
      <c r="A340" s="531"/>
      <c r="B340" s="977"/>
      <c r="C340" s="119"/>
      <c r="D340" s="977"/>
      <c r="E340" s="977"/>
      <c r="F340" s="119"/>
      <c r="G340" s="119"/>
      <c r="H340" s="119"/>
      <c r="I340" s="119"/>
      <c r="J340" s="119"/>
      <c r="K340" s="117"/>
      <c r="L340" s="117"/>
      <c r="M340" s="2"/>
      <c r="N340" s="2"/>
      <c r="O340" s="2"/>
      <c r="P340" s="2"/>
      <c r="Q340" s="2"/>
      <c r="R340" s="2"/>
      <c r="S340" s="847"/>
      <c r="T340" s="847"/>
      <c r="U340" s="116"/>
      <c r="V340" s="116"/>
      <c r="W340" s="116"/>
      <c r="X340" s="116"/>
      <c r="Y340" s="116"/>
      <c r="Z340" s="116"/>
    </row>
    <row r="341">
      <c r="A341" s="531"/>
      <c r="B341" s="977"/>
      <c r="C341" s="119"/>
      <c r="D341" s="977"/>
      <c r="E341" s="977"/>
      <c r="F341" s="119"/>
      <c r="G341" s="119"/>
      <c r="H341" s="119"/>
      <c r="I341" s="119"/>
      <c r="J341" s="119"/>
      <c r="K341" s="117"/>
      <c r="L341" s="117"/>
      <c r="M341" s="2"/>
      <c r="N341" s="2"/>
      <c r="O341" s="2"/>
      <c r="P341" s="2"/>
      <c r="Q341" s="2"/>
      <c r="R341" s="2"/>
      <c r="S341" s="848"/>
      <c r="T341" s="848"/>
      <c r="U341" s="848"/>
      <c r="V341" s="848"/>
      <c r="W341" s="848"/>
      <c r="X341" s="848"/>
      <c r="Y341" s="848"/>
      <c r="Z341" s="848"/>
    </row>
    <row r="342">
      <c r="A342" s="531"/>
      <c r="B342" s="977"/>
      <c r="C342" s="119"/>
      <c r="D342" s="977"/>
      <c r="E342" s="977"/>
      <c r="F342" s="119"/>
      <c r="G342" s="119"/>
      <c r="H342" s="119"/>
      <c r="I342" s="119"/>
      <c r="J342" s="119"/>
      <c r="K342" s="117"/>
      <c r="L342" s="117"/>
      <c r="M342" s="2"/>
      <c r="N342" s="2"/>
      <c r="O342" s="2"/>
      <c r="P342" s="2"/>
      <c r="Q342" s="2"/>
      <c r="R342" s="2"/>
      <c r="S342" s="849"/>
      <c r="T342" s="850"/>
      <c r="U342" s="851"/>
      <c r="V342" s="851"/>
      <c r="W342" s="851"/>
      <c r="X342" s="851"/>
      <c r="Y342" s="851"/>
      <c r="Z342" s="851"/>
    </row>
    <row r="343">
      <c r="A343" s="531"/>
      <c r="B343" s="977"/>
      <c r="C343" s="119"/>
      <c r="D343" s="977"/>
      <c r="E343" s="977"/>
      <c r="F343" s="119"/>
      <c r="G343" s="119"/>
      <c r="H343" s="119"/>
      <c r="I343" s="119"/>
      <c r="J343" s="119"/>
      <c r="K343" s="117"/>
      <c r="L343" s="117"/>
      <c r="M343" s="2"/>
      <c r="N343" s="2"/>
      <c r="O343" s="2"/>
      <c r="P343" s="2"/>
      <c r="Q343" s="2"/>
      <c r="R343" s="2"/>
      <c r="S343" s="852"/>
      <c r="T343" s="853"/>
      <c r="U343" s="854"/>
      <c r="V343" s="854"/>
      <c r="W343" s="854"/>
      <c r="X343" s="854"/>
      <c r="Y343" s="854"/>
      <c r="Z343" s="854"/>
    </row>
    <row r="344">
      <c r="A344" s="531"/>
      <c r="B344" s="977"/>
      <c r="C344" s="119"/>
      <c r="D344" s="977"/>
      <c r="E344" s="977"/>
      <c r="F344" s="119"/>
      <c r="G344" s="119"/>
      <c r="H344" s="119"/>
      <c r="I344" s="119"/>
      <c r="J344" s="119"/>
      <c r="K344" s="117"/>
      <c r="L344" s="117"/>
      <c r="M344" s="2"/>
      <c r="N344" s="2"/>
      <c r="O344" s="2"/>
      <c r="P344" s="2"/>
      <c r="Q344" s="2"/>
      <c r="R344" s="2"/>
      <c r="S344" s="855"/>
      <c r="T344" s="856"/>
      <c r="U344" s="854"/>
      <c r="V344" s="854"/>
      <c r="W344" s="854"/>
      <c r="X344" s="854"/>
      <c r="Y344" s="854"/>
      <c r="Z344" s="854"/>
    </row>
    <row r="345">
      <c r="A345" s="531"/>
      <c r="B345" s="977"/>
      <c r="C345" s="119"/>
      <c r="D345" s="977"/>
      <c r="E345" s="977"/>
      <c r="F345" s="119"/>
      <c r="G345" s="119"/>
      <c r="H345" s="119"/>
      <c r="I345" s="119"/>
      <c r="J345" s="119"/>
      <c r="K345" s="117"/>
      <c r="L345" s="117"/>
      <c r="M345" s="2"/>
      <c r="N345" s="2"/>
      <c r="O345" s="2"/>
      <c r="P345" s="2"/>
      <c r="Q345" s="2"/>
      <c r="R345" s="2"/>
      <c r="S345" s="855"/>
      <c r="T345" s="856"/>
      <c r="U345" s="854"/>
      <c r="V345" s="854"/>
      <c r="W345" s="854"/>
      <c r="X345" s="854"/>
      <c r="Y345" s="854"/>
      <c r="Z345" s="854"/>
    </row>
    <row r="346">
      <c r="A346" s="531"/>
      <c r="B346" s="977"/>
      <c r="C346" s="119"/>
      <c r="D346" s="977"/>
      <c r="E346" s="977"/>
      <c r="F346" s="119"/>
      <c r="G346" s="119"/>
      <c r="H346" s="119"/>
      <c r="I346" s="119"/>
      <c r="J346" s="119"/>
      <c r="K346" s="117"/>
      <c r="L346" s="117"/>
      <c r="M346" s="2"/>
      <c r="N346" s="2"/>
      <c r="O346" s="2"/>
      <c r="P346" s="2"/>
      <c r="Q346" s="2"/>
      <c r="R346" s="2"/>
      <c r="S346" s="852"/>
      <c r="T346" s="853"/>
      <c r="U346" s="854"/>
      <c r="V346" s="854"/>
      <c r="W346" s="854"/>
      <c r="X346" s="854"/>
      <c r="Y346" s="854"/>
      <c r="Z346" s="854"/>
    </row>
    <row r="347">
      <c r="A347" s="531"/>
      <c r="B347" s="977"/>
      <c r="C347" s="119"/>
      <c r="D347" s="977"/>
      <c r="E347" s="977"/>
      <c r="F347" s="119"/>
      <c r="G347" s="119"/>
      <c r="H347" s="119"/>
      <c r="I347" s="119"/>
      <c r="J347" s="119"/>
      <c r="K347" s="117"/>
      <c r="L347" s="117"/>
      <c r="M347" s="2"/>
      <c r="N347" s="2"/>
      <c r="O347" s="2"/>
      <c r="P347" s="2"/>
      <c r="Q347" s="2"/>
      <c r="R347" s="2"/>
      <c r="S347" s="857"/>
      <c r="T347" s="858"/>
      <c r="U347" s="854"/>
      <c r="V347" s="854"/>
      <c r="W347" s="854"/>
      <c r="X347" s="854"/>
      <c r="Y347" s="854"/>
      <c r="Z347" s="854"/>
    </row>
    <row r="348">
      <c r="A348" s="531"/>
      <c r="B348" s="977"/>
      <c r="C348" s="119"/>
      <c r="D348" s="977"/>
      <c r="E348" s="977"/>
      <c r="F348" s="119"/>
      <c r="G348" s="119"/>
      <c r="H348" s="119"/>
      <c r="I348" s="119"/>
      <c r="J348" s="119"/>
      <c r="K348" s="117"/>
      <c r="L348" s="117"/>
      <c r="M348" s="2"/>
      <c r="N348" s="2"/>
      <c r="O348" s="2"/>
      <c r="P348" s="2"/>
      <c r="Q348" s="2"/>
      <c r="R348" s="2"/>
      <c r="S348" s="857"/>
      <c r="T348" s="858"/>
      <c r="U348" s="854"/>
      <c r="V348" s="854"/>
      <c r="W348" s="854"/>
      <c r="X348" s="854"/>
      <c r="Y348" s="854"/>
      <c r="Z348" s="854"/>
    </row>
    <row r="349">
      <c r="A349" s="531"/>
      <c r="B349" s="977"/>
      <c r="C349" s="119"/>
      <c r="D349" s="977"/>
      <c r="E349" s="977"/>
      <c r="F349" s="119"/>
      <c r="G349" s="119"/>
      <c r="H349" s="119"/>
      <c r="I349" s="119"/>
      <c r="J349" s="119"/>
      <c r="K349" s="117"/>
      <c r="L349" s="117"/>
      <c r="M349" s="2"/>
      <c r="N349" s="2"/>
      <c r="O349" s="2"/>
      <c r="P349" s="2"/>
      <c r="Q349" s="2"/>
      <c r="R349" s="2"/>
      <c r="S349" s="857"/>
      <c r="T349" s="858"/>
      <c r="U349" s="854"/>
      <c r="V349" s="854"/>
      <c r="W349" s="854"/>
      <c r="X349" s="854"/>
      <c r="Y349" s="854"/>
      <c r="Z349" s="854"/>
    </row>
    <row r="350">
      <c r="A350" s="531"/>
      <c r="B350" s="977"/>
      <c r="C350" s="119"/>
      <c r="D350" s="977"/>
      <c r="E350" s="977"/>
      <c r="F350" s="119"/>
      <c r="G350" s="119"/>
      <c r="H350" s="119"/>
      <c r="I350" s="119"/>
      <c r="J350" s="119"/>
      <c r="K350" s="117"/>
      <c r="L350" s="117"/>
      <c r="M350" s="2"/>
      <c r="N350" s="2"/>
      <c r="O350" s="2"/>
      <c r="P350" s="2"/>
      <c r="Q350" s="2"/>
      <c r="R350" s="2"/>
      <c r="S350" s="852"/>
      <c r="T350" s="853"/>
      <c r="U350" s="854"/>
      <c r="V350" s="854"/>
      <c r="W350" s="854"/>
      <c r="X350" s="854"/>
      <c r="Y350" s="854"/>
      <c r="Z350" s="854"/>
    </row>
    <row r="351">
      <c r="A351" s="531"/>
      <c r="B351" s="977"/>
      <c r="C351" s="119"/>
      <c r="D351" s="977"/>
      <c r="E351" s="977"/>
      <c r="F351" s="119"/>
      <c r="G351" s="119"/>
      <c r="H351" s="119"/>
      <c r="I351" s="119"/>
      <c r="J351" s="119"/>
      <c r="K351" s="117"/>
      <c r="L351" s="117"/>
      <c r="M351" s="2"/>
      <c r="N351" s="2"/>
      <c r="O351" s="2"/>
      <c r="P351" s="2"/>
      <c r="Q351" s="2"/>
      <c r="R351" s="2"/>
      <c r="S351" s="852"/>
      <c r="T351" s="853"/>
      <c r="U351" s="854"/>
      <c r="V351" s="854"/>
      <c r="W351" s="854"/>
      <c r="X351" s="854"/>
      <c r="Y351" s="854"/>
      <c r="Z351" s="854"/>
    </row>
    <row r="352">
      <c r="A352" s="531"/>
      <c r="B352" s="977"/>
      <c r="C352" s="119"/>
      <c r="D352" s="977"/>
      <c r="E352" s="977"/>
      <c r="F352" s="119"/>
      <c r="G352" s="119"/>
      <c r="H352" s="119"/>
      <c r="I352" s="119"/>
      <c r="J352" s="119"/>
      <c r="K352" s="117"/>
      <c r="L352" s="117"/>
      <c r="M352" s="2"/>
      <c r="N352" s="2"/>
      <c r="O352" s="2"/>
      <c r="P352" s="2"/>
      <c r="Q352" s="2"/>
      <c r="R352" s="2"/>
      <c r="S352" s="852"/>
      <c r="T352" s="853"/>
      <c r="U352" s="854"/>
      <c r="V352" s="854"/>
      <c r="W352" s="854"/>
      <c r="X352" s="854"/>
      <c r="Y352" s="854"/>
      <c r="Z352" s="854"/>
    </row>
    <row r="353">
      <c r="A353" s="531"/>
      <c r="B353" s="977"/>
      <c r="C353" s="119"/>
      <c r="D353" s="977"/>
      <c r="E353" s="977"/>
      <c r="F353" s="119"/>
      <c r="G353" s="119"/>
      <c r="H353" s="119"/>
      <c r="I353" s="119"/>
      <c r="J353" s="119"/>
      <c r="K353" s="117"/>
      <c r="L353" s="117"/>
      <c r="M353" s="2"/>
      <c r="N353" s="2"/>
      <c r="O353" s="2"/>
      <c r="P353" s="2"/>
      <c r="Q353" s="2"/>
      <c r="R353" s="2"/>
      <c r="S353" s="852"/>
      <c r="T353" s="853"/>
      <c r="U353" s="854"/>
      <c r="V353" s="854"/>
      <c r="W353" s="854"/>
      <c r="X353" s="854"/>
      <c r="Y353" s="854"/>
      <c r="Z353" s="854"/>
    </row>
    <row r="354">
      <c r="A354" s="531"/>
      <c r="B354" s="977"/>
      <c r="C354" s="119"/>
      <c r="D354" s="977"/>
      <c r="E354" s="977"/>
      <c r="F354" s="119"/>
      <c r="G354" s="119"/>
      <c r="H354" s="119"/>
      <c r="I354" s="119"/>
      <c r="J354" s="119"/>
      <c r="K354" s="117"/>
      <c r="L354" s="117"/>
      <c r="M354" s="2"/>
      <c r="N354" s="2"/>
      <c r="O354" s="2"/>
      <c r="P354" s="2"/>
      <c r="Q354" s="2"/>
      <c r="R354" s="2"/>
      <c r="S354" s="852"/>
      <c r="T354" s="859"/>
      <c r="U354" s="107"/>
      <c r="V354" s="107"/>
      <c r="W354" s="107"/>
      <c r="X354" s="107"/>
      <c r="Y354" s="107"/>
      <c r="Z354" s="107"/>
    </row>
    <row r="355">
      <c r="A355" s="531"/>
      <c r="B355" s="977"/>
      <c r="C355" s="119"/>
      <c r="D355" s="977"/>
      <c r="E355" s="977"/>
      <c r="F355" s="119"/>
      <c r="G355" s="119"/>
      <c r="H355" s="119"/>
      <c r="I355" s="119"/>
      <c r="J355" s="119"/>
      <c r="K355" s="117"/>
      <c r="L355" s="117"/>
      <c r="M355" s="2"/>
      <c r="N355" s="2"/>
      <c r="O355" s="2"/>
      <c r="P355" s="2"/>
      <c r="Q355" s="2"/>
      <c r="R355" s="2"/>
      <c r="S355" s="852"/>
      <c r="T355" s="859"/>
      <c r="U355" s="107"/>
      <c r="V355" s="107"/>
      <c r="W355" s="107"/>
      <c r="X355" s="107"/>
      <c r="Y355" s="107"/>
      <c r="Z355" s="107"/>
    </row>
    <row r="356">
      <c r="A356" s="531"/>
      <c r="B356" s="977"/>
      <c r="C356" s="119"/>
      <c r="D356" s="977"/>
      <c r="E356" s="977"/>
      <c r="F356" s="119"/>
      <c r="G356" s="119"/>
      <c r="H356" s="119"/>
      <c r="I356" s="119"/>
      <c r="J356" s="119"/>
      <c r="K356" s="117"/>
      <c r="L356" s="117"/>
      <c r="M356" s="2"/>
      <c r="N356" s="2"/>
      <c r="O356" s="2"/>
      <c r="P356" s="2"/>
      <c r="Q356" s="2"/>
      <c r="R356" s="2"/>
      <c r="S356" s="852"/>
      <c r="T356" s="859"/>
      <c r="U356" s="107"/>
      <c r="V356" s="107"/>
      <c r="W356" s="107"/>
      <c r="X356" s="107"/>
      <c r="Y356" s="107"/>
      <c r="Z356" s="107"/>
    </row>
    <row r="357">
      <c r="A357" s="531"/>
      <c r="B357" s="977"/>
      <c r="C357" s="119"/>
      <c r="D357" s="977"/>
      <c r="E357" s="977"/>
      <c r="F357" s="119"/>
      <c r="G357" s="119"/>
      <c r="H357" s="119"/>
      <c r="I357" s="119"/>
      <c r="J357" s="119"/>
      <c r="K357" s="117"/>
      <c r="L357" s="117"/>
      <c r="M357" s="2"/>
      <c r="N357" s="2"/>
      <c r="O357" s="2"/>
      <c r="P357" s="2"/>
      <c r="Q357" s="2"/>
      <c r="R357" s="2"/>
      <c r="S357" s="852"/>
      <c r="T357" s="859"/>
      <c r="U357" s="107"/>
      <c r="V357" s="107"/>
      <c r="W357" s="107"/>
      <c r="X357" s="107"/>
      <c r="Y357" s="107"/>
      <c r="Z357" s="107"/>
    </row>
    <row r="358">
      <c r="A358" s="531"/>
      <c r="B358" s="977"/>
      <c r="C358" s="119"/>
      <c r="D358" s="977"/>
      <c r="E358" s="977"/>
      <c r="F358" s="119"/>
      <c r="G358" s="119"/>
      <c r="H358" s="119"/>
      <c r="I358" s="119"/>
      <c r="J358" s="119"/>
      <c r="K358" s="117"/>
      <c r="L358" s="117"/>
      <c r="M358" s="2"/>
      <c r="N358" s="2"/>
      <c r="O358" s="2"/>
      <c r="P358" s="2"/>
      <c r="Q358" s="2"/>
      <c r="R358" s="2"/>
      <c r="S358" s="852"/>
      <c r="T358" s="859"/>
      <c r="U358" s="107"/>
      <c r="V358" s="107"/>
      <c r="W358" s="107"/>
      <c r="X358" s="107"/>
      <c r="Y358" s="107"/>
      <c r="Z358" s="107"/>
    </row>
    <row r="359">
      <c r="A359" s="531"/>
      <c r="B359" s="977"/>
      <c r="C359" s="119"/>
      <c r="D359" s="977"/>
      <c r="E359" s="977"/>
      <c r="F359" s="119"/>
      <c r="G359" s="119"/>
      <c r="H359" s="119"/>
      <c r="I359" s="119"/>
      <c r="J359" s="119"/>
      <c r="K359" s="117"/>
      <c r="L359" s="117"/>
      <c r="M359" s="2"/>
      <c r="N359" s="2"/>
      <c r="O359" s="2"/>
      <c r="P359" s="2"/>
      <c r="Q359" s="2"/>
      <c r="R359" s="2"/>
      <c r="S359" s="852"/>
      <c r="T359" s="859"/>
      <c r="U359" s="107"/>
      <c r="V359" s="107"/>
      <c r="W359" s="107"/>
      <c r="X359" s="107"/>
      <c r="Y359" s="107"/>
      <c r="Z359" s="107"/>
    </row>
    <row r="360">
      <c r="A360" s="531"/>
      <c r="B360" s="977"/>
      <c r="C360" s="119"/>
      <c r="D360" s="977"/>
      <c r="E360" s="977"/>
      <c r="F360" s="119"/>
      <c r="G360" s="119"/>
      <c r="H360" s="119"/>
      <c r="I360" s="119"/>
      <c r="J360" s="119"/>
      <c r="K360" s="117"/>
      <c r="L360" s="117"/>
      <c r="M360" s="2"/>
      <c r="N360" s="2"/>
      <c r="O360" s="2"/>
      <c r="P360" s="2"/>
      <c r="Q360" s="2"/>
      <c r="R360" s="2"/>
      <c r="S360" s="852"/>
      <c r="T360" s="859"/>
      <c r="U360" s="107"/>
      <c r="V360" s="107"/>
      <c r="W360" s="107"/>
      <c r="X360" s="107"/>
      <c r="Y360" s="107"/>
      <c r="Z360" s="107"/>
    </row>
    <row r="361">
      <c r="A361" s="531"/>
      <c r="B361" s="977"/>
      <c r="C361" s="119"/>
      <c r="D361" s="977"/>
      <c r="E361" s="977"/>
      <c r="F361" s="119"/>
      <c r="G361" s="119"/>
      <c r="H361" s="119"/>
      <c r="I361" s="119"/>
      <c r="J361" s="119"/>
      <c r="K361" s="117"/>
      <c r="L361" s="117"/>
      <c r="M361" s="2"/>
      <c r="N361" s="2"/>
      <c r="O361" s="2"/>
      <c r="P361" s="2"/>
      <c r="Q361" s="2"/>
      <c r="R361" s="2"/>
      <c r="S361" s="852"/>
      <c r="T361" s="859"/>
      <c r="U361" s="107"/>
      <c r="V361" s="107"/>
      <c r="W361" s="107"/>
      <c r="X361" s="107"/>
      <c r="Y361" s="107"/>
      <c r="Z361" s="107"/>
    </row>
    <row r="362">
      <c r="A362" s="531"/>
      <c r="B362" s="977"/>
      <c r="C362" s="119"/>
      <c r="D362" s="977"/>
      <c r="E362" s="977"/>
      <c r="F362" s="119"/>
      <c r="G362" s="119"/>
      <c r="H362" s="119"/>
      <c r="I362" s="119"/>
      <c r="J362" s="119"/>
      <c r="K362" s="117"/>
      <c r="L362" s="117"/>
      <c r="M362" s="2"/>
      <c r="N362" s="2"/>
      <c r="O362" s="2"/>
      <c r="P362" s="2"/>
      <c r="Q362" s="2"/>
      <c r="R362" s="2"/>
      <c r="S362" s="852"/>
      <c r="T362" s="859"/>
      <c r="U362" s="107"/>
      <c r="V362" s="107"/>
      <c r="W362" s="107"/>
      <c r="X362" s="107"/>
      <c r="Y362" s="107"/>
      <c r="Z362" s="107"/>
    </row>
    <row r="363">
      <c r="A363" s="531"/>
      <c r="B363" s="977"/>
      <c r="C363" s="119"/>
      <c r="D363" s="977"/>
      <c r="E363" s="977"/>
      <c r="F363" s="119"/>
      <c r="G363" s="119"/>
      <c r="H363" s="119"/>
      <c r="I363" s="119"/>
      <c r="J363" s="119"/>
      <c r="K363" s="117"/>
      <c r="L363" s="117"/>
      <c r="M363" s="2"/>
      <c r="N363" s="2"/>
      <c r="O363" s="2"/>
      <c r="P363" s="2"/>
      <c r="Q363" s="2"/>
      <c r="R363" s="2"/>
      <c r="S363" s="852"/>
      <c r="T363" s="859"/>
      <c r="U363" s="107"/>
      <c r="V363" s="107"/>
      <c r="W363" s="107"/>
      <c r="X363" s="107"/>
      <c r="Y363" s="107"/>
      <c r="Z363" s="107"/>
    </row>
    <row r="364">
      <c r="A364" s="531"/>
      <c r="B364" s="977"/>
      <c r="C364" s="119"/>
      <c r="D364" s="977"/>
      <c r="E364" s="977"/>
      <c r="F364" s="119"/>
      <c r="G364" s="119"/>
      <c r="H364" s="119"/>
      <c r="I364" s="119"/>
      <c r="J364" s="119"/>
      <c r="K364" s="117"/>
      <c r="L364" s="117"/>
      <c r="M364" s="2"/>
      <c r="N364" s="2"/>
      <c r="O364" s="2"/>
      <c r="P364" s="2"/>
      <c r="Q364" s="2"/>
      <c r="R364" s="2"/>
      <c r="S364" s="857"/>
      <c r="T364" s="860"/>
      <c r="U364" s="107"/>
      <c r="V364" s="107"/>
      <c r="W364" s="107"/>
      <c r="X364" s="107"/>
      <c r="Y364" s="107"/>
      <c r="Z364" s="107"/>
    </row>
    <row r="365">
      <c r="A365" s="531"/>
      <c r="B365" s="977"/>
      <c r="C365" s="119"/>
      <c r="D365" s="977"/>
      <c r="E365" s="977"/>
      <c r="F365" s="119"/>
      <c r="G365" s="119"/>
      <c r="H365" s="119"/>
      <c r="I365" s="119"/>
      <c r="J365" s="119"/>
      <c r="K365" s="117"/>
      <c r="L365" s="117"/>
      <c r="M365" s="2"/>
      <c r="N365" s="2"/>
      <c r="O365" s="2"/>
      <c r="P365" s="2"/>
      <c r="Q365" s="2"/>
      <c r="R365" s="2"/>
      <c r="S365" s="861"/>
      <c r="T365" s="111"/>
      <c r="U365" s="2"/>
      <c r="V365" s="2"/>
      <c r="W365" s="2"/>
      <c r="X365" s="2"/>
      <c r="Y365" s="2"/>
      <c r="Z365" s="2"/>
    </row>
    <row r="366">
      <c r="A366" s="531"/>
      <c r="B366" s="977"/>
      <c r="C366" s="119"/>
      <c r="D366" s="977"/>
      <c r="E366" s="977"/>
      <c r="F366" s="119"/>
      <c r="G366" s="119"/>
      <c r="H366" s="119"/>
      <c r="I366" s="119"/>
      <c r="J366" s="119"/>
      <c r="K366" s="117"/>
      <c r="L366" s="117"/>
      <c r="M366" s="2"/>
      <c r="N366" s="2"/>
      <c r="O366" s="2"/>
      <c r="P366" s="2"/>
      <c r="Q366" s="2"/>
      <c r="R366" s="2"/>
      <c r="S366" s="861"/>
      <c r="T366" s="111"/>
      <c r="U366" s="2"/>
      <c r="V366" s="2"/>
      <c r="W366" s="2"/>
      <c r="X366" s="2"/>
      <c r="Y366" s="2"/>
      <c r="Z366" s="2"/>
    </row>
    <row r="367">
      <c r="A367" s="531"/>
      <c r="B367" s="977"/>
      <c r="C367" s="119"/>
      <c r="D367" s="977"/>
      <c r="E367" s="977"/>
      <c r="F367" s="119"/>
      <c r="G367" s="119"/>
      <c r="H367" s="119"/>
      <c r="I367" s="119"/>
      <c r="J367" s="119"/>
      <c r="K367" s="117"/>
      <c r="L367" s="117"/>
      <c r="M367" s="2"/>
      <c r="N367" s="2"/>
      <c r="O367" s="2"/>
      <c r="P367" s="2"/>
      <c r="Q367" s="2"/>
      <c r="R367" s="2"/>
      <c r="S367" s="861"/>
      <c r="T367" s="111"/>
      <c r="U367" s="2"/>
      <c r="V367" s="2"/>
      <c r="W367" s="2"/>
      <c r="X367" s="2"/>
      <c r="Y367" s="2"/>
      <c r="Z367" s="2"/>
    </row>
    <row r="368">
      <c r="A368" s="531"/>
      <c r="B368" s="977"/>
      <c r="C368" s="119"/>
      <c r="D368" s="977"/>
      <c r="E368" s="977"/>
      <c r="F368" s="119"/>
      <c r="G368" s="119"/>
      <c r="H368" s="119"/>
      <c r="I368" s="119"/>
      <c r="J368" s="119"/>
      <c r="K368" s="117"/>
      <c r="L368" s="117"/>
      <c r="M368" s="2"/>
      <c r="N368" s="2"/>
      <c r="O368" s="2"/>
      <c r="P368" s="2"/>
      <c r="Q368" s="2"/>
      <c r="R368" s="2"/>
      <c r="S368" s="861"/>
      <c r="T368" s="111"/>
      <c r="U368" s="2"/>
      <c r="V368" s="2"/>
      <c r="W368" s="2"/>
      <c r="X368" s="2"/>
      <c r="Y368" s="2"/>
      <c r="Z368" s="2"/>
    </row>
    <row r="369">
      <c r="A369" s="531"/>
      <c r="B369" s="977"/>
      <c r="C369" s="119"/>
      <c r="D369" s="977"/>
      <c r="E369" s="977"/>
      <c r="F369" s="119"/>
      <c r="G369" s="119"/>
      <c r="H369" s="119"/>
      <c r="I369" s="119"/>
      <c r="J369" s="119"/>
      <c r="K369" s="117"/>
      <c r="L369" s="117"/>
      <c r="M369" s="2"/>
      <c r="N369" s="2"/>
      <c r="O369" s="2"/>
      <c r="P369" s="2"/>
      <c r="Q369" s="2"/>
      <c r="R369" s="2"/>
      <c r="S369" s="861"/>
      <c r="T369" s="111"/>
      <c r="U369" s="2"/>
      <c r="V369" s="2"/>
      <c r="W369" s="2"/>
      <c r="X369" s="2"/>
      <c r="Y369" s="2"/>
      <c r="Z369" s="2"/>
    </row>
    <row r="370">
      <c r="A370" s="531"/>
      <c r="B370" s="977"/>
      <c r="C370" s="119"/>
      <c r="D370" s="977"/>
      <c r="E370" s="977"/>
      <c r="F370" s="119"/>
      <c r="G370" s="119"/>
      <c r="H370" s="119"/>
      <c r="I370" s="119"/>
      <c r="J370" s="119"/>
      <c r="K370" s="117"/>
      <c r="L370" s="117"/>
      <c r="M370" s="2"/>
      <c r="N370" s="2"/>
      <c r="O370" s="2"/>
      <c r="P370" s="2"/>
      <c r="Q370" s="2"/>
      <c r="R370" s="2"/>
      <c r="S370" s="862"/>
      <c r="T370" s="109"/>
      <c r="U370" s="2"/>
      <c r="V370" s="2"/>
      <c r="W370" s="2"/>
      <c r="X370" s="2"/>
      <c r="Y370" s="2"/>
      <c r="Z370" s="2"/>
    </row>
    <row r="371">
      <c r="A371" s="531"/>
      <c r="B371" s="977"/>
      <c r="C371" s="119"/>
      <c r="D371" s="977"/>
      <c r="E371" s="977"/>
      <c r="F371" s="119"/>
      <c r="G371" s="119"/>
      <c r="H371" s="119"/>
      <c r="I371" s="119"/>
      <c r="J371" s="119"/>
      <c r="K371" s="117"/>
      <c r="L371" s="117"/>
      <c r="M371" s="2"/>
      <c r="N371" s="2"/>
      <c r="O371" s="2"/>
      <c r="P371" s="2"/>
      <c r="Q371" s="2"/>
      <c r="R371" s="2"/>
      <c r="S371" s="861"/>
      <c r="T371" s="111"/>
      <c r="U371" s="2"/>
      <c r="V371" s="2"/>
      <c r="W371" s="2"/>
      <c r="X371" s="2"/>
      <c r="Y371" s="2"/>
      <c r="Z371" s="2"/>
    </row>
    <row r="372">
      <c r="A372" s="531"/>
      <c r="B372" s="977"/>
      <c r="C372" s="119"/>
      <c r="D372" s="977"/>
      <c r="E372" s="977"/>
      <c r="F372" s="119"/>
      <c r="G372" s="119"/>
      <c r="H372" s="119"/>
      <c r="I372" s="119"/>
      <c r="J372" s="119"/>
      <c r="K372" s="117"/>
      <c r="L372" s="117"/>
      <c r="M372" s="2"/>
      <c r="N372" s="2"/>
      <c r="O372" s="2"/>
      <c r="P372" s="2"/>
      <c r="Q372" s="2"/>
      <c r="R372" s="2"/>
      <c r="S372" s="861"/>
      <c r="T372" s="111"/>
      <c r="U372" s="2"/>
      <c r="V372" s="2"/>
      <c r="W372" s="2"/>
      <c r="X372" s="2"/>
      <c r="Y372" s="2"/>
      <c r="Z372" s="2"/>
    </row>
    <row r="373">
      <c r="A373" s="531"/>
      <c r="B373" s="977"/>
      <c r="C373" s="119"/>
      <c r="D373" s="977"/>
      <c r="E373" s="977"/>
      <c r="F373" s="119"/>
      <c r="G373" s="119"/>
      <c r="H373" s="119"/>
      <c r="I373" s="119"/>
      <c r="J373" s="119"/>
      <c r="K373" s="117"/>
      <c r="L373" s="117"/>
      <c r="M373" s="2"/>
      <c r="N373" s="2"/>
      <c r="O373" s="2"/>
      <c r="P373" s="2"/>
      <c r="Q373" s="2"/>
      <c r="R373" s="2"/>
      <c r="S373" s="861"/>
      <c r="T373" s="111"/>
      <c r="U373" s="2"/>
      <c r="V373" s="2"/>
      <c r="W373" s="2"/>
      <c r="X373" s="2"/>
      <c r="Y373" s="2"/>
      <c r="Z373" s="2"/>
    </row>
    <row r="374">
      <c r="A374" s="531"/>
      <c r="B374" s="977"/>
      <c r="C374" s="119"/>
      <c r="D374" s="977"/>
      <c r="E374" s="977"/>
      <c r="F374" s="119"/>
      <c r="G374" s="119"/>
      <c r="H374" s="119"/>
      <c r="I374" s="119"/>
      <c r="J374" s="119"/>
      <c r="K374" s="117"/>
      <c r="L374" s="117"/>
      <c r="M374" s="2"/>
      <c r="N374" s="2"/>
      <c r="O374" s="2"/>
      <c r="P374" s="2"/>
      <c r="Q374" s="2"/>
      <c r="R374" s="2"/>
      <c r="S374" s="861"/>
      <c r="T374" s="111"/>
      <c r="U374" s="2"/>
      <c r="V374" s="2"/>
      <c r="W374" s="2"/>
      <c r="X374" s="2"/>
      <c r="Y374" s="2"/>
      <c r="Z374" s="2"/>
    </row>
    <row r="375">
      <c r="A375" s="531"/>
      <c r="B375" s="977"/>
      <c r="C375" s="119"/>
      <c r="D375" s="977"/>
      <c r="E375" s="977"/>
      <c r="F375" s="119"/>
      <c r="G375" s="119"/>
      <c r="H375" s="119"/>
      <c r="I375" s="119"/>
      <c r="J375" s="119"/>
      <c r="K375" s="117"/>
      <c r="L375" s="117"/>
      <c r="M375" s="2"/>
      <c r="N375" s="2"/>
      <c r="O375" s="2"/>
      <c r="P375" s="2"/>
      <c r="Q375" s="2"/>
      <c r="R375" s="2"/>
      <c r="S375" s="861"/>
      <c r="T375" s="111"/>
      <c r="U375" s="2"/>
      <c r="V375" s="2"/>
      <c r="W375" s="2"/>
      <c r="X375" s="2"/>
      <c r="Y375" s="2"/>
      <c r="Z375" s="2"/>
    </row>
    <row r="376">
      <c r="A376" s="531"/>
      <c r="B376" s="977"/>
      <c r="C376" s="119"/>
      <c r="D376" s="977"/>
      <c r="E376" s="977"/>
      <c r="F376" s="119"/>
      <c r="G376" s="119"/>
      <c r="H376" s="119"/>
      <c r="I376" s="119"/>
      <c r="J376" s="119"/>
      <c r="K376" s="117"/>
      <c r="L376" s="117"/>
      <c r="M376" s="2"/>
      <c r="N376" s="2"/>
      <c r="O376" s="2"/>
      <c r="P376" s="2"/>
      <c r="Q376" s="2"/>
      <c r="R376" s="2"/>
      <c r="S376" s="861"/>
      <c r="T376" s="111"/>
      <c r="U376" s="2"/>
      <c r="V376" s="2"/>
      <c r="W376" s="2"/>
      <c r="X376" s="2"/>
      <c r="Y376" s="2"/>
      <c r="Z376" s="2"/>
    </row>
    <row r="377">
      <c r="A377" s="531"/>
      <c r="B377" s="977"/>
      <c r="C377" s="119"/>
      <c r="D377" s="977"/>
      <c r="E377" s="977"/>
      <c r="F377" s="119"/>
      <c r="G377" s="119"/>
      <c r="H377" s="119"/>
      <c r="I377" s="119"/>
      <c r="J377" s="119"/>
      <c r="K377" s="117"/>
      <c r="L377" s="117"/>
      <c r="M377" s="2"/>
      <c r="N377" s="2"/>
      <c r="O377" s="2"/>
      <c r="P377" s="2"/>
      <c r="Q377" s="2"/>
      <c r="R377" s="2"/>
      <c r="S377" s="861"/>
      <c r="T377" s="111"/>
      <c r="U377" s="2"/>
      <c r="V377" s="2"/>
      <c r="W377" s="2"/>
      <c r="X377" s="2"/>
      <c r="Y377" s="2"/>
      <c r="Z377" s="2"/>
    </row>
    <row r="378">
      <c r="A378" s="531"/>
      <c r="B378" s="977"/>
      <c r="C378" s="119"/>
      <c r="D378" s="977"/>
      <c r="E378" s="977"/>
      <c r="F378" s="119"/>
      <c r="G378" s="119"/>
      <c r="H378" s="119"/>
      <c r="I378" s="119"/>
      <c r="J378" s="119"/>
      <c r="K378" s="117"/>
      <c r="L378" s="117"/>
      <c r="M378" s="2"/>
      <c r="N378" s="2"/>
      <c r="O378" s="2"/>
      <c r="P378" s="2"/>
      <c r="Q378" s="2"/>
      <c r="R378" s="2"/>
      <c r="S378" s="861"/>
      <c r="T378" s="111"/>
      <c r="U378" s="2"/>
      <c r="V378" s="2"/>
      <c r="W378" s="2"/>
      <c r="X378" s="2"/>
      <c r="Y378" s="2"/>
      <c r="Z378" s="2"/>
    </row>
    <row r="379">
      <c r="A379" s="531"/>
      <c r="B379" s="977"/>
      <c r="C379" s="119"/>
      <c r="D379" s="977"/>
      <c r="E379" s="977"/>
      <c r="F379" s="119"/>
      <c r="G379" s="119"/>
      <c r="H379" s="119"/>
      <c r="I379" s="119"/>
      <c r="J379" s="119"/>
      <c r="K379" s="117"/>
      <c r="L379" s="117"/>
      <c r="M379" s="2"/>
      <c r="N379" s="2"/>
      <c r="O379" s="2"/>
      <c r="P379" s="2"/>
      <c r="Q379" s="2"/>
      <c r="R379" s="2"/>
      <c r="S379" s="862"/>
      <c r="T379" s="109"/>
      <c r="U379" s="2"/>
      <c r="V379" s="2"/>
      <c r="W379" s="2"/>
      <c r="X379" s="2"/>
      <c r="Y379" s="2"/>
      <c r="Z379" s="2"/>
    </row>
    <row r="380">
      <c r="A380" s="531"/>
      <c r="B380" s="977"/>
      <c r="C380" s="119"/>
      <c r="D380" s="977"/>
      <c r="E380" s="977"/>
      <c r="F380" s="119"/>
      <c r="G380" s="119"/>
      <c r="H380" s="119"/>
      <c r="I380" s="119"/>
      <c r="J380" s="119"/>
      <c r="K380" s="117"/>
      <c r="L380" s="117"/>
      <c r="M380" s="2"/>
      <c r="N380" s="2"/>
      <c r="O380" s="2"/>
      <c r="P380" s="2"/>
      <c r="Q380" s="2"/>
      <c r="R380" s="2"/>
      <c r="S380" s="862"/>
      <c r="T380" s="109"/>
      <c r="U380" s="54"/>
      <c r="V380" s="54"/>
      <c r="W380" s="54"/>
      <c r="X380" s="54"/>
      <c r="Y380" s="54"/>
      <c r="Z380" s="54"/>
    </row>
    <row r="381">
      <c r="A381" s="531"/>
      <c r="B381" s="977"/>
      <c r="C381" s="119"/>
      <c r="D381" s="977"/>
      <c r="E381" s="977"/>
      <c r="F381" s="119"/>
      <c r="G381" s="119"/>
      <c r="H381" s="119"/>
      <c r="I381" s="119"/>
      <c r="J381" s="119"/>
      <c r="K381" s="117"/>
      <c r="L381" s="117"/>
      <c r="M381" s="2"/>
      <c r="N381" s="2"/>
      <c r="O381" s="2"/>
      <c r="P381" s="2"/>
      <c r="Q381" s="2"/>
      <c r="R381" s="2"/>
      <c r="S381" s="117"/>
      <c r="T381" s="2"/>
      <c r="U381" s="2"/>
      <c r="V381" s="2"/>
      <c r="W381" s="2"/>
      <c r="X381" s="2"/>
      <c r="Y381" s="2"/>
      <c r="Z381" s="2"/>
    </row>
    <row r="382">
      <c r="A382" s="531"/>
      <c r="B382" s="977"/>
      <c r="C382" s="119"/>
      <c r="D382" s="977"/>
      <c r="E382" s="977"/>
      <c r="F382" s="119"/>
      <c r="G382" s="119"/>
      <c r="H382" s="119"/>
      <c r="I382" s="119"/>
      <c r="J382" s="119"/>
      <c r="K382" s="117"/>
      <c r="L382" s="117"/>
      <c r="M382" s="2"/>
      <c r="N382" s="2"/>
      <c r="O382" s="2"/>
      <c r="P382" s="2"/>
      <c r="Q382" s="2"/>
      <c r="R382" s="2"/>
      <c r="S382" s="117"/>
      <c r="T382" s="2"/>
      <c r="U382" s="2"/>
      <c r="V382" s="2"/>
      <c r="W382" s="2"/>
      <c r="X382" s="2"/>
      <c r="Y382" s="2"/>
      <c r="Z382" s="2"/>
    </row>
    <row r="383">
      <c r="A383" s="531"/>
      <c r="B383" s="977"/>
      <c r="C383" s="119"/>
      <c r="D383" s="977"/>
      <c r="E383" s="977"/>
      <c r="F383" s="119"/>
      <c r="G383" s="119"/>
      <c r="H383" s="119"/>
      <c r="I383" s="119"/>
      <c r="J383" s="119"/>
      <c r="K383" s="117"/>
      <c r="L383" s="117"/>
      <c r="M383" s="2"/>
      <c r="N383" s="2"/>
      <c r="O383" s="2"/>
      <c r="P383" s="2"/>
      <c r="Q383" s="2"/>
      <c r="R383" s="2"/>
      <c r="S383" s="847"/>
      <c r="T383" s="847"/>
      <c r="U383" s="116"/>
      <c r="V383" s="116"/>
      <c r="W383" s="116"/>
      <c r="X383" s="116"/>
      <c r="Y383" s="116"/>
      <c r="Z383" s="116"/>
    </row>
    <row r="384">
      <c r="A384" s="531"/>
      <c r="B384" s="977"/>
      <c r="C384" s="119"/>
      <c r="D384" s="977"/>
      <c r="E384" s="977"/>
      <c r="F384" s="119"/>
      <c r="G384" s="119"/>
      <c r="H384" s="119"/>
      <c r="I384" s="119"/>
      <c r="J384" s="119"/>
      <c r="K384" s="117"/>
      <c r="L384" s="117"/>
      <c r="M384" s="2"/>
      <c r="N384" s="2"/>
      <c r="O384" s="2"/>
      <c r="P384" s="2"/>
      <c r="Q384" s="2"/>
      <c r="R384" s="2"/>
      <c r="S384" s="848"/>
      <c r="T384" s="848"/>
      <c r="U384" s="848"/>
      <c r="V384" s="848"/>
      <c r="W384" s="848"/>
      <c r="X384" s="848"/>
      <c r="Y384" s="848"/>
      <c r="Z384" s="848"/>
    </row>
    <row r="385">
      <c r="A385" s="531"/>
      <c r="B385" s="977"/>
      <c r="C385" s="119"/>
      <c r="D385" s="977"/>
      <c r="E385" s="977"/>
      <c r="F385" s="119"/>
      <c r="G385" s="119"/>
      <c r="H385" s="119"/>
      <c r="I385" s="119"/>
      <c r="J385" s="119"/>
      <c r="K385" s="117"/>
      <c r="L385" s="117"/>
      <c r="M385" s="2"/>
      <c r="N385" s="2"/>
      <c r="O385" s="2"/>
      <c r="P385" s="2"/>
      <c r="Q385" s="2"/>
      <c r="R385" s="2"/>
      <c r="S385" s="849"/>
      <c r="T385" s="850"/>
      <c r="U385" s="851"/>
      <c r="V385" s="851"/>
      <c r="W385" s="851"/>
      <c r="X385" s="851"/>
      <c r="Y385" s="851"/>
      <c r="Z385" s="851"/>
    </row>
    <row r="386">
      <c r="A386" s="531"/>
      <c r="B386" s="977"/>
      <c r="C386" s="119"/>
      <c r="D386" s="977"/>
      <c r="E386" s="977"/>
      <c r="F386" s="119"/>
      <c r="G386" s="119"/>
      <c r="H386" s="119"/>
      <c r="I386" s="119"/>
      <c r="J386" s="119"/>
      <c r="K386" s="117"/>
      <c r="L386" s="117"/>
      <c r="M386" s="2"/>
      <c r="N386" s="2"/>
      <c r="O386" s="2"/>
      <c r="P386" s="2"/>
      <c r="Q386" s="2"/>
      <c r="R386" s="2"/>
      <c r="S386" s="852"/>
      <c r="T386" s="853"/>
      <c r="U386" s="854"/>
      <c r="V386" s="854"/>
      <c r="W386" s="854"/>
      <c r="X386" s="854"/>
      <c r="Y386" s="854"/>
      <c r="Z386" s="854"/>
    </row>
    <row r="387">
      <c r="A387" s="531"/>
      <c r="B387" s="977"/>
      <c r="C387" s="119"/>
      <c r="D387" s="977"/>
      <c r="E387" s="977"/>
      <c r="F387" s="119"/>
      <c r="G387" s="119"/>
      <c r="H387" s="119"/>
      <c r="I387" s="119"/>
      <c r="J387" s="119"/>
      <c r="K387" s="117"/>
      <c r="L387" s="117"/>
      <c r="M387" s="2"/>
      <c r="N387" s="2"/>
      <c r="O387" s="2"/>
      <c r="P387" s="2"/>
      <c r="Q387" s="2"/>
      <c r="R387" s="2"/>
      <c r="S387" s="855"/>
      <c r="T387" s="856"/>
      <c r="U387" s="854"/>
      <c r="V387" s="854"/>
      <c r="W387" s="854"/>
      <c r="X387" s="854"/>
      <c r="Y387" s="854"/>
      <c r="Z387" s="854"/>
    </row>
    <row r="388">
      <c r="A388" s="531"/>
      <c r="B388" s="977"/>
      <c r="C388" s="119"/>
      <c r="D388" s="977"/>
      <c r="E388" s="977"/>
      <c r="F388" s="119"/>
      <c r="G388" s="119"/>
      <c r="H388" s="119"/>
      <c r="I388" s="119"/>
      <c r="J388" s="119"/>
      <c r="K388" s="117"/>
      <c r="L388" s="117"/>
      <c r="M388" s="2"/>
      <c r="N388" s="2"/>
      <c r="O388" s="2"/>
      <c r="P388" s="2"/>
      <c r="Q388" s="2"/>
      <c r="R388" s="2"/>
      <c r="S388" s="855"/>
      <c r="T388" s="856"/>
      <c r="U388" s="854"/>
      <c r="V388" s="854"/>
      <c r="W388" s="854"/>
      <c r="X388" s="854"/>
      <c r="Y388" s="854"/>
      <c r="Z388" s="854"/>
    </row>
    <row r="389">
      <c r="A389" s="531"/>
      <c r="B389" s="977"/>
      <c r="C389" s="119"/>
      <c r="D389" s="977"/>
      <c r="E389" s="977"/>
      <c r="F389" s="119"/>
      <c r="G389" s="119"/>
      <c r="H389" s="119"/>
      <c r="I389" s="119"/>
      <c r="J389" s="119"/>
      <c r="K389" s="117"/>
      <c r="L389" s="117"/>
      <c r="M389" s="2"/>
      <c r="N389" s="2"/>
      <c r="O389" s="2"/>
      <c r="P389" s="2"/>
      <c r="Q389" s="2"/>
      <c r="R389" s="2"/>
      <c r="S389" s="852"/>
      <c r="T389" s="853"/>
      <c r="U389" s="854"/>
      <c r="V389" s="854"/>
      <c r="W389" s="854"/>
      <c r="X389" s="854"/>
      <c r="Y389" s="854"/>
      <c r="Z389" s="854"/>
    </row>
    <row r="390">
      <c r="A390" s="531"/>
      <c r="B390" s="977"/>
      <c r="C390" s="119"/>
      <c r="D390" s="977"/>
      <c r="E390" s="977"/>
      <c r="F390" s="119"/>
      <c r="G390" s="119"/>
      <c r="H390" s="119"/>
      <c r="I390" s="119"/>
      <c r="J390" s="119"/>
      <c r="K390" s="117"/>
      <c r="L390" s="117"/>
      <c r="M390" s="2"/>
      <c r="N390" s="2"/>
      <c r="O390" s="2"/>
      <c r="P390" s="2"/>
      <c r="Q390" s="2"/>
      <c r="R390" s="2"/>
      <c r="S390" s="857"/>
      <c r="T390" s="858"/>
      <c r="U390" s="854"/>
      <c r="V390" s="854"/>
      <c r="W390" s="854"/>
      <c r="X390" s="854"/>
      <c r="Y390" s="854"/>
      <c r="Z390" s="854"/>
    </row>
    <row r="391">
      <c r="A391" s="531"/>
      <c r="B391" s="977"/>
      <c r="C391" s="119"/>
      <c r="D391" s="977"/>
      <c r="E391" s="977"/>
      <c r="F391" s="119"/>
      <c r="G391" s="119"/>
      <c r="H391" s="119"/>
      <c r="I391" s="119"/>
      <c r="J391" s="119"/>
      <c r="K391" s="117"/>
      <c r="L391" s="117"/>
      <c r="M391" s="2"/>
      <c r="N391" s="2"/>
      <c r="O391" s="2"/>
      <c r="P391" s="2"/>
      <c r="Q391" s="2"/>
      <c r="R391" s="2"/>
      <c r="S391" s="857"/>
      <c r="T391" s="858"/>
      <c r="U391" s="854"/>
      <c r="V391" s="854"/>
      <c r="W391" s="854"/>
      <c r="X391" s="854"/>
      <c r="Y391" s="854"/>
      <c r="Z391" s="854"/>
    </row>
    <row r="392">
      <c r="A392" s="531"/>
      <c r="B392" s="977"/>
      <c r="C392" s="119"/>
      <c r="D392" s="977"/>
      <c r="E392" s="977"/>
      <c r="F392" s="119"/>
      <c r="G392" s="119"/>
      <c r="H392" s="119"/>
      <c r="I392" s="119"/>
      <c r="J392" s="119"/>
      <c r="K392" s="117"/>
      <c r="L392" s="117"/>
      <c r="M392" s="2"/>
      <c r="N392" s="2"/>
      <c r="O392" s="2"/>
      <c r="P392" s="2"/>
      <c r="Q392" s="2"/>
      <c r="R392" s="2"/>
      <c r="S392" s="857"/>
      <c r="T392" s="858"/>
      <c r="U392" s="854"/>
      <c r="V392" s="854"/>
      <c r="W392" s="854"/>
      <c r="X392" s="854"/>
      <c r="Y392" s="854"/>
      <c r="Z392" s="854"/>
    </row>
    <row r="393">
      <c r="A393" s="531"/>
      <c r="B393" s="977"/>
      <c r="C393" s="119"/>
      <c r="D393" s="977"/>
      <c r="E393" s="977"/>
      <c r="F393" s="119"/>
      <c r="G393" s="119"/>
      <c r="H393" s="119"/>
      <c r="I393" s="119"/>
      <c r="J393" s="119"/>
      <c r="K393" s="117"/>
      <c r="L393" s="117"/>
      <c r="M393" s="2"/>
      <c r="N393" s="2"/>
      <c r="O393" s="2"/>
      <c r="P393" s="2"/>
      <c r="Q393" s="2"/>
      <c r="R393" s="2"/>
      <c r="S393" s="852"/>
      <c r="T393" s="853"/>
      <c r="U393" s="854"/>
      <c r="V393" s="854"/>
      <c r="W393" s="854"/>
      <c r="X393" s="854"/>
      <c r="Y393" s="854"/>
      <c r="Z393" s="854"/>
    </row>
    <row r="394">
      <c r="A394" s="531"/>
      <c r="B394" s="977"/>
      <c r="C394" s="119"/>
      <c r="D394" s="977"/>
      <c r="E394" s="977"/>
      <c r="F394" s="119"/>
      <c r="G394" s="119"/>
      <c r="H394" s="119"/>
      <c r="I394" s="119"/>
      <c r="J394" s="119"/>
      <c r="K394" s="117"/>
      <c r="L394" s="117"/>
      <c r="M394" s="2"/>
      <c r="N394" s="2"/>
      <c r="O394" s="2"/>
      <c r="P394" s="2"/>
      <c r="Q394" s="2"/>
      <c r="R394" s="2"/>
      <c r="S394" s="852"/>
      <c r="T394" s="853"/>
      <c r="U394" s="854"/>
      <c r="V394" s="854"/>
      <c r="W394" s="854"/>
      <c r="X394" s="854"/>
      <c r="Y394" s="854"/>
      <c r="Z394" s="854"/>
    </row>
    <row r="395">
      <c r="A395" s="531"/>
      <c r="B395" s="977"/>
      <c r="C395" s="119"/>
      <c r="D395" s="977"/>
      <c r="E395" s="977"/>
      <c r="F395" s="119"/>
      <c r="G395" s="119"/>
      <c r="H395" s="119"/>
      <c r="I395" s="119"/>
      <c r="J395" s="119"/>
      <c r="K395" s="117"/>
      <c r="L395" s="117"/>
      <c r="M395" s="2"/>
      <c r="N395" s="2"/>
      <c r="O395" s="2"/>
      <c r="P395" s="2"/>
      <c r="Q395" s="2"/>
      <c r="R395" s="2"/>
      <c r="S395" s="852"/>
      <c r="T395" s="853"/>
      <c r="U395" s="854"/>
      <c r="V395" s="854"/>
      <c r="W395" s="854"/>
      <c r="X395" s="854"/>
      <c r="Y395" s="854"/>
      <c r="Z395" s="854"/>
    </row>
    <row r="396">
      <c r="A396" s="531"/>
      <c r="B396" s="977"/>
      <c r="C396" s="119"/>
      <c r="D396" s="977"/>
      <c r="E396" s="977"/>
      <c r="F396" s="119"/>
      <c r="G396" s="119"/>
      <c r="H396" s="119"/>
      <c r="I396" s="119"/>
      <c r="J396" s="119"/>
      <c r="K396" s="117"/>
      <c r="L396" s="117"/>
      <c r="M396" s="2"/>
      <c r="N396" s="2"/>
      <c r="O396" s="2"/>
      <c r="P396" s="2"/>
      <c r="Q396" s="2"/>
      <c r="R396" s="2"/>
      <c r="S396" s="852"/>
      <c r="T396" s="853"/>
      <c r="U396" s="854"/>
      <c r="V396" s="854"/>
      <c r="W396" s="854"/>
      <c r="X396" s="854"/>
      <c r="Y396" s="854"/>
      <c r="Z396" s="854"/>
    </row>
    <row r="397">
      <c r="A397" s="531"/>
      <c r="B397" s="977"/>
      <c r="C397" s="119"/>
      <c r="D397" s="977"/>
      <c r="E397" s="977"/>
      <c r="F397" s="119"/>
      <c r="G397" s="119"/>
      <c r="H397" s="119"/>
      <c r="I397" s="119"/>
      <c r="J397" s="119"/>
      <c r="K397" s="117"/>
      <c r="L397" s="117"/>
      <c r="M397" s="2"/>
      <c r="N397" s="2"/>
      <c r="O397" s="2"/>
      <c r="P397" s="2"/>
      <c r="Q397" s="2"/>
      <c r="R397" s="2"/>
      <c r="S397" s="852"/>
      <c r="T397" s="859"/>
      <c r="U397" s="107"/>
      <c r="V397" s="107"/>
      <c r="W397" s="107"/>
      <c r="X397" s="107"/>
      <c r="Y397" s="107"/>
      <c r="Z397" s="107"/>
    </row>
    <row r="398">
      <c r="A398" s="531"/>
      <c r="B398" s="977"/>
      <c r="C398" s="119"/>
      <c r="D398" s="977"/>
      <c r="E398" s="977"/>
      <c r="F398" s="119"/>
      <c r="G398" s="119"/>
      <c r="H398" s="119"/>
      <c r="I398" s="119"/>
      <c r="J398" s="119"/>
      <c r="K398" s="117"/>
      <c r="L398" s="117"/>
      <c r="M398" s="2"/>
      <c r="N398" s="2"/>
      <c r="O398" s="2"/>
      <c r="P398" s="2"/>
      <c r="Q398" s="2"/>
      <c r="R398" s="2"/>
      <c r="S398" s="852"/>
      <c r="T398" s="859"/>
      <c r="U398" s="107"/>
      <c r="V398" s="107"/>
      <c r="W398" s="107"/>
      <c r="X398" s="107"/>
      <c r="Y398" s="107"/>
      <c r="Z398" s="107"/>
    </row>
    <row r="399">
      <c r="A399" s="531"/>
      <c r="B399" s="977"/>
      <c r="C399" s="119"/>
      <c r="D399" s="977"/>
      <c r="E399" s="977"/>
      <c r="F399" s="119"/>
      <c r="G399" s="119"/>
      <c r="H399" s="119"/>
      <c r="I399" s="119"/>
      <c r="J399" s="119"/>
      <c r="K399" s="117"/>
      <c r="L399" s="117"/>
      <c r="M399" s="2"/>
      <c r="N399" s="2"/>
      <c r="O399" s="2"/>
      <c r="P399" s="2"/>
      <c r="Q399" s="2"/>
      <c r="R399" s="2"/>
      <c r="S399" s="852"/>
      <c r="T399" s="859"/>
      <c r="U399" s="107"/>
      <c r="V399" s="107"/>
      <c r="W399" s="107"/>
      <c r="X399" s="107"/>
      <c r="Y399" s="107"/>
      <c r="Z399" s="107"/>
    </row>
    <row r="400">
      <c r="A400" s="531"/>
      <c r="B400" s="977"/>
      <c r="C400" s="119"/>
      <c r="D400" s="977"/>
      <c r="E400" s="977"/>
      <c r="F400" s="119"/>
      <c r="G400" s="119"/>
      <c r="H400" s="119"/>
      <c r="I400" s="119"/>
      <c r="J400" s="119"/>
      <c r="K400" s="117"/>
      <c r="L400" s="117"/>
      <c r="M400" s="2"/>
      <c r="N400" s="2"/>
      <c r="O400" s="2"/>
      <c r="P400" s="2"/>
      <c r="Q400" s="2"/>
      <c r="R400" s="2"/>
      <c r="S400" s="852"/>
      <c r="T400" s="859"/>
      <c r="U400" s="107"/>
      <c r="V400" s="107"/>
      <c r="W400" s="107"/>
      <c r="X400" s="107"/>
      <c r="Y400" s="107"/>
      <c r="Z400" s="107"/>
    </row>
    <row r="401">
      <c r="A401" s="531"/>
      <c r="B401" s="977"/>
      <c r="C401" s="119"/>
      <c r="D401" s="977"/>
      <c r="E401" s="977"/>
      <c r="F401" s="119"/>
      <c r="G401" s="119"/>
      <c r="H401" s="119"/>
      <c r="I401" s="119"/>
      <c r="J401" s="119"/>
      <c r="K401" s="117"/>
      <c r="L401" s="117"/>
      <c r="M401" s="2"/>
      <c r="N401" s="2"/>
      <c r="O401" s="2"/>
      <c r="P401" s="2"/>
      <c r="Q401" s="2"/>
      <c r="R401" s="2"/>
      <c r="S401" s="852"/>
      <c r="T401" s="859"/>
      <c r="U401" s="107"/>
      <c r="V401" s="107"/>
      <c r="W401" s="107"/>
      <c r="X401" s="107"/>
      <c r="Y401" s="107"/>
      <c r="Z401" s="107"/>
    </row>
    <row r="402">
      <c r="A402" s="531"/>
      <c r="B402" s="977"/>
      <c r="C402" s="119"/>
      <c r="D402" s="977"/>
      <c r="E402" s="977"/>
      <c r="F402" s="119"/>
      <c r="G402" s="119"/>
      <c r="H402" s="119"/>
      <c r="I402" s="119"/>
      <c r="J402" s="119"/>
      <c r="K402" s="117"/>
      <c r="L402" s="117"/>
      <c r="M402" s="2"/>
      <c r="N402" s="2"/>
      <c r="O402" s="2"/>
      <c r="P402" s="2"/>
      <c r="Q402" s="2"/>
      <c r="R402" s="2"/>
      <c r="S402" s="852"/>
      <c r="T402" s="859"/>
      <c r="U402" s="107"/>
      <c r="V402" s="107"/>
      <c r="W402" s="107"/>
      <c r="X402" s="107"/>
      <c r="Y402" s="107"/>
      <c r="Z402" s="107"/>
    </row>
    <row r="403">
      <c r="A403" s="531"/>
      <c r="B403" s="977"/>
      <c r="C403" s="119"/>
      <c r="D403" s="977"/>
      <c r="E403" s="977"/>
      <c r="F403" s="119"/>
      <c r="G403" s="119"/>
      <c r="H403" s="119"/>
      <c r="I403" s="119"/>
      <c r="J403" s="119"/>
      <c r="K403" s="117"/>
      <c r="L403" s="117"/>
      <c r="M403" s="2"/>
      <c r="N403" s="2"/>
      <c r="O403" s="2"/>
      <c r="P403" s="2"/>
      <c r="Q403" s="2"/>
      <c r="R403" s="2"/>
      <c r="S403" s="852"/>
      <c r="T403" s="859"/>
      <c r="U403" s="107"/>
      <c r="V403" s="107"/>
      <c r="W403" s="107"/>
      <c r="X403" s="107"/>
      <c r="Y403" s="107"/>
      <c r="Z403" s="107"/>
    </row>
    <row r="404">
      <c r="A404" s="531"/>
      <c r="B404" s="977"/>
      <c r="C404" s="119"/>
      <c r="D404" s="977"/>
      <c r="E404" s="977"/>
      <c r="F404" s="119"/>
      <c r="G404" s="119"/>
      <c r="H404" s="119"/>
      <c r="I404" s="119"/>
      <c r="J404" s="119"/>
      <c r="K404" s="117"/>
      <c r="L404" s="117"/>
      <c r="M404" s="2"/>
      <c r="N404" s="2"/>
      <c r="O404" s="2"/>
      <c r="P404" s="2"/>
      <c r="Q404" s="2"/>
      <c r="R404" s="2"/>
      <c r="S404" s="852"/>
      <c r="T404" s="859"/>
      <c r="U404" s="107"/>
      <c r="V404" s="107"/>
      <c r="W404" s="107"/>
      <c r="X404" s="107"/>
      <c r="Y404" s="107"/>
      <c r="Z404" s="107"/>
    </row>
    <row r="405">
      <c r="A405" s="531"/>
      <c r="B405" s="977"/>
      <c r="C405" s="119"/>
      <c r="D405" s="977"/>
      <c r="E405" s="977"/>
      <c r="F405" s="119"/>
      <c r="G405" s="119"/>
      <c r="H405" s="119"/>
      <c r="I405" s="119"/>
      <c r="J405" s="119"/>
      <c r="K405" s="117"/>
      <c r="L405" s="117"/>
      <c r="M405" s="2"/>
      <c r="N405" s="2"/>
      <c r="O405" s="2"/>
      <c r="P405" s="2"/>
      <c r="Q405" s="2"/>
      <c r="R405" s="2"/>
      <c r="S405" s="852"/>
      <c r="T405" s="859"/>
      <c r="U405" s="107"/>
      <c r="V405" s="107"/>
      <c r="W405" s="107"/>
      <c r="X405" s="107"/>
      <c r="Y405" s="107"/>
      <c r="Z405" s="107"/>
    </row>
    <row r="406">
      <c r="A406" s="531"/>
      <c r="B406" s="977"/>
      <c r="C406" s="119"/>
      <c r="D406" s="977"/>
      <c r="E406" s="977"/>
      <c r="F406" s="119"/>
      <c r="G406" s="119"/>
      <c r="H406" s="119"/>
      <c r="I406" s="119"/>
      <c r="J406" s="119"/>
      <c r="K406" s="117"/>
      <c r="L406" s="117"/>
      <c r="M406" s="2"/>
      <c r="N406" s="2"/>
      <c r="O406" s="2"/>
      <c r="P406" s="2"/>
      <c r="Q406" s="2"/>
      <c r="R406" s="2"/>
      <c r="S406" s="852"/>
      <c r="T406" s="859"/>
      <c r="U406" s="107"/>
      <c r="V406" s="107"/>
      <c r="W406" s="107"/>
      <c r="X406" s="107"/>
      <c r="Y406" s="107"/>
      <c r="Z406" s="107"/>
    </row>
    <row r="407">
      <c r="A407" s="531"/>
      <c r="B407" s="977"/>
      <c r="C407" s="119"/>
      <c r="D407" s="977"/>
      <c r="E407" s="977"/>
      <c r="F407" s="119"/>
      <c r="G407" s="119"/>
      <c r="H407" s="119"/>
      <c r="I407" s="119"/>
      <c r="J407" s="119"/>
      <c r="K407" s="117"/>
      <c r="L407" s="117"/>
      <c r="M407" s="2"/>
      <c r="N407" s="2"/>
      <c r="O407" s="2"/>
      <c r="P407" s="2"/>
      <c r="Q407" s="2"/>
      <c r="R407" s="2"/>
      <c r="S407" s="857"/>
      <c r="T407" s="860"/>
      <c r="U407" s="107"/>
      <c r="V407" s="107"/>
      <c r="W407" s="107"/>
      <c r="X407" s="107"/>
      <c r="Y407" s="107"/>
      <c r="Z407" s="107"/>
    </row>
    <row r="408">
      <c r="A408" s="531"/>
      <c r="B408" s="977"/>
      <c r="C408" s="119"/>
      <c r="D408" s="977"/>
      <c r="E408" s="977"/>
      <c r="F408" s="119"/>
      <c r="G408" s="119"/>
      <c r="H408" s="119"/>
      <c r="I408" s="119"/>
      <c r="J408" s="119"/>
      <c r="K408" s="117"/>
      <c r="L408" s="117"/>
      <c r="M408" s="2"/>
      <c r="N408" s="2"/>
      <c r="O408" s="2"/>
      <c r="P408" s="2"/>
      <c r="Q408" s="2"/>
      <c r="R408" s="2"/>
      <c r="S408" s="861"/>
      <c r="T408" s="111"/>
      <c r="U408" s="2"/>
      <c r="V408" s="2"/>
      <c r="W408" s="2"/>
      <c r="X408" s="2"/>
      <c r="Y408" s="2"/>
      <c r="Z408" s="2"/>
    </row>
    <row r="409">
      <c r="A409" s="531"/>
      <c r="B409" s="977"/>
      <c r="C409" s="119"/>
      <c r="D409" s="977"/>
      <c r="E409" s="977"/>
      <c r="F409" s="119"/>
      <c r="G409" s="119"/>
      <c r="H409" s="119"/>
      <c r="I409" s="119"/>
      <c r="J409" s="119"/>
      <c r="K409" s="117"/>
      <c r="L409" s="117"/>
      <c r="M409" s="2"/>
      <c r="N409" s="2"/>
      <c r="O409" s="2"/>
      <c r="P409" s="2"/>
      <c r="Q409" s="2"/>
      <c r="R409" s="2"/>
      <c r="S409" s="861"/>
      <c r="T409" s="111"/>
      <c r="U409" s="2"/>
      <c r="V409" s="2"/>
      <c r="W409" s="2"/>
      <c r="X409" s="2"/>
      <c r="Y409" s="2"/>
      <c r="Z409" s="2"/>
    </row>
    <row r="410">
      <c r="A410" s="531"/>
      <c r="B410" s="977"/>
      <c r="C410" s="119"/>
      <c r="D410" s="977"/>
      <c r="E410" s="977"/>
      <c r="F410" s="119"/>
      <c r="G410" s="119"/>
      <c r="H410" s="119"/>
      <c r="I410" s="119"/>
      <c r="J410" s="119"/>
      <c r="K410" s="117"/>
      <c r="L410" s="117"/>
      <c r="M410" s="2"/>
      <c r="N410" s="2"/>
      <c r="O410" s="2"/>
      <c r="P410" s="2"/>
      <c r="Q410" s="2"/>
      <c r="R410" s="2"/>
      <c r="S410" s="861"/>
      <c r="T410" s="111"/>
      <c r="U410" s="2"/>
      <c r="V410" s="2"/>
      <c r="W410" s="2"/>
      <c r="X410" s="2"/>
      <c r="Y410" s="2"/>
      <c r="Z410" s="2"/>
    </row>
    <row r="411">
      <c r="A411" s="531"/>
      <c r="B411" s="977"/>
      <c r="C411" s="119"/>
      <c r="D411" s="977"/>
      <c r="E411" s="977"/>
      <c r="F411" s="119"/>
      <c r="G411" s="119"/>
      <c r="H411" s="119"/>
      <c r="I411" s="119"/>
      <c r="J411" s="119"/>
      <c r="K411" s="117"/>
      <c r="L411" s="117"/>
      <c r="M411" s="2"/>
      <c r="N411" s="2"/>
      <c r="O411" s="2"/>
      <c r="P411" s="2"/>
      <c r="Q411" s="2"/>
      <c r="R411" s="2"/>
      <c r="S411" s="861"/>
      <c r="T411" s="111"/>
      <c r="U411" s="2"/>
      <c r="V411" s="2"/>
      <c r="W411" s="2"/>
      <c r="X411" s="2"/>
      <c r="Y411" s="2"/>
      <c r="Z411" s="2"/>
    </row>
    <row r="412">
      <c r="A412" s="531"/>
      <c r="B412" s="977"/>
      <c r="C412" s="119"/>
      <c r="D412" s="977"/>
      <c r="E412" s="977"/>
      <c r="F412" s="119"/>
      <c r="G412" s="119"/>
      <c r="H412" s="119"/>
      <c r="I412" s="119"/>
      <c r="J412" s="119"/>
      <c r="K412" s="117"/>
      <c r="L412" s="117"/>
      <c r="M412" s="2"/>
      <c r="N412" s="2"/>
      <c r="O412" s="2"/>
      <c r="P412" s="2"/>
      <c r="Q412" s="2"/>
      <c r="R412" s="2"/>
      <c r="S412" s="861"/>
      <c r="T412" s="111"/>
      <c r="U412" s="2"/>
      <c r="V412" s="2"/>
      <c r="W412" s="2"/>
      <c r="X412" s="2"/>
      <c r="Y412" s="2"/>
      <c r="Z412" s="2"/>
    </row>
    <row r="413">
      <c r="A413" s="531"/>
      <c r="B413" s="977"/>
      <c r="C413" s="119"/>
      <c r="D413" s="977"/>
      <c r="E413" s="977"/>
      <c r="F413" s="119"/>
      <c r="G413" s="119"/>
      <c r="H413" s="119"/>
      <c r="I413" s="119"/>
      <c r="J413" s="119"/>
      <c r="K413" s="117"/>
      <c r="L413" s="117"/>
      <c r="M413" s="2"/>
      <c r="N413" s="2"/>
      <c r="O413" s="2"/>
      <c r="P413" s="2"/>
      <c r="Q413" s="2"/>
      <c r="R413" s="2"/>
      <c r="S413" s="862"/>
      <c r="T413" s="109"/>
      <c r="U413" s="2"/>
      <c r="V413" s="2"/>
      <c r="W413" s="2"/>
      <c r="X413" s="2"/>
      <c r="Y413" s="2"/>
      <c r="Z413" s="2"/>
    </row>
    <row r="414">
      <c r="A414" s="531"/>
      <c r="B414" s="977"/>
      <c r="C414" s="119"/>
      <c r="D414" s="977"/>
      <c r="E414" s="977"/>
      <c r="F414" s="119"/>
      <c r="G414" s="119"/>
      <c r="H414" s="119"/>
      <c r="I414" s="119"/>
      <c r="J414" s="119"/>
      <c r="K414" s="117"/>
      <c r="L414" s="117"/>
      <c r="M414" s="2"/>
      <c r="N414" s="2"/>
      <c r="O414" s="2"/>
      <c r="P414" s="2"/>
      <c r="Q414" s="2"/>
      <c r="R414" s="2"/>
      <c r="S414" s="861"/>
      <c r="T414" s="111"/>
      <c r="U414" s="2"/>
      <c r="V414" s="2"/>
      <c r="W414" s="2"/>
      <c r="X414" s="2"/>
      <c r="Y414" s="2"/>
      <c r="Z414" s="2"/>
    </row>
    <row r="415">
      <c r="A415" s="531"/>
      <c r="B415" s="977"/>
      <c r="C415" s="119"/>
      <c r="D415" s="977"/>
      <c r="E415" s="977"/>
      <c r="F415" s="119"/>
      <c r="G415" s="119"/>
      <c r="H415" s="119"/>
      <c r="I415" s="119"/>
      <c r="J415" s="119"/>
      <c r="K415" s="117"/>
      <c r="L415" s="117"/>
      <c r="M415" s="2"/>
      <c r="N415" s="2"/>
      <c r="O415" s="2"/>
      <c r="P415" s="2"/>
      <c r="Q415" s="2"/>
      <c r="R415" s="2"/>
      <c r="S415" s="861"/>
      <c r="T415" s="111"/>
      <c r="U415" s="2"/>
      <c r="V415" s="2"/>
      <c r="W415" s="2"/>
      <c r="X415" s="2"/>
      <c r="Y415" s="2"/>
      <c r="Z415" s="2"/>
    </row>
    <row r="416">
      <c r="A416" s="531"/>
      <c r="B416" s="977"/>
      <c r="C416" s="119"/>
      <c r="D416" s="977"/>
      <c r="E416" s="977"/>
      <c r="F416" s="119"/>
      <c r="G416" s="119"/>
      <c r="H416" s="119"/>
      <c r="I416" s="119"/>
      <c r="J416" s="119"/>
      <c r="K416" s="117"/>
      <c r="L416" s="117"/>
      <c r="M416" s="2"/>
      <c r="N416" s="2"/>
      <c r="O416" s="2"/>
      <c r="P416" s="2"/>
      <c r="Q416" s="2"/>
      <c r="R416" s="2"/>
      <c r="S416" s="861"/>
      <c r="T416" s="111"/>
      <c r="U416" s="2"/>
      <c r="V416" s="2"/>
      <c r="W416" s="2"/>
      <c r="X416" s="2"/>
      <c r="Y416" s="2"/>
      <c r="Z416" s="2"/>
    </row>
    <row r="417">
      <c r="A417" s="531"/>
      <c r="B417" s="977"/>
      <c r="C417" s="119"/>
      <c r="D417" s="977"/>
      <c r="E417" s="977"/>
      <c r="F417" s="119"/>
      <c r="G417" s="119"/>
      <c r="H417" s="119"/>
      <c r="I417" s="119"/>
      <c r="J417" s="119"/>
      <c r="K417" s="117"/>
      <c r="L417" s="117"/>
      <c r="M417" s="2"/>
      <c r="N417" s="2"/>
      <c r="O417" s="2"/>
      <c r="P417" s="2"/>
      <c r="Q417" s="2"/>
      <c r="R417" s="2"/>
      <c r="S417" s="861"/>
      <c r="T417" s="111"/>
      <c r="U417" s="2"/>
      <c r="V417" s="2"/>
      <c r="W417" s="2"/>
      <c r="X417" s="2"/>
      <c r="Y417" s="2"/>
      <c r="Z417" s="2"/>
    </row>
    <row r="418">
      <c r="A418" s="531"/>
      <c r="B418" s="977"/>
      <c r="C418" s="119"/>
      <c r="D418" s="977"/>
      <c r="E418" s="977"/>
      <c r="F418" s="119"/>
      <c r="G418" s="119"/>
      <c r="H418" s="119"/>
      <c r="I418" s="119"/>
      <c r="J418" s="119"/>
      <c r="K418" s="117"/>
      <c r="L418" s="117"/>
      <c r="M418" s="2"/>
      <c r="N418" s="2"/>
      <c r="O418" s="2"/>
      <c r="P418" s="2"/>
      <c r="Q418" s="2"/>
      <c r="R418" s="2"/>
      <c r="S418" s="861"/>
      <c r="T418" s="111"/>
      <c r="U418" s="2"/>
      <c r="V418" s="2"/>
      <c r="W418" s="2"/>
      <c r="X418" s="2"/>
      <c r="Y418" s="2"/>
      <c r="Z418" s="2"/>
    </row>
    <row r="419">
      <c r="A419" s="531"/>
      <c r="B419" s="977"/>
      <c r="C419" s="119"/>
      <c r="D419" s="977"/>
      <c r="E419" s="977"/>
      <c r="F419" s="119"/>
      <c r="G419" s="119"/>
      <c r="H419" s="119"/>
      <c r="I419" s="119"/>
      <c r="J419" s="119"/>
      <c r="K419" s="117"/>
      <c r="L419" s="117"/>
      <c r="M419" s="2"/>
      <c r="N419" s="2"/>
      <c r="O419" s="2"/>
      <c r="P419" s="2"/>
      <c r="Q419" s="2"/>
      <c r="R419" s="2"/>
      <c r="S419" s="861"/>
      <c r="T419" s="111"/>
      <c r="U419" s="2"/>
      <c r="V419" s="2"/>
      <c r="W419" s="2"/>
      <c r="X419" s="2"/>
      <c r="Y419" s="2"/>
      <c r="Z419" s="2"/>
    </row>
    <row r="420">
      <c r="A420" s="531"/>
      <c r="B420" s="977"/>
      <c r="C420" s="119"/>
      <c r="D420" s="977"/>
      <c r="E420" s="977"/>
      <c r="F420" s="119"/>
      <c r="G420" s="119"/>
      <c r="H420" s="119"/>
      <c r="I420" s="119"/>
      <c r="J420" s="119"/>
      <c r="K420" s="117"/>
      <c r="L420" s="117"/>
      <c r="M420" s="2"/>
      <c r="N420" s="2"/>
      <c r="O420" s="2"/>
      <c r="P420" s="2"/>
      <c r="Q420" s="2"/>
      <c r="R420" s="2"/>
      <c r="S420" s="861"/>
      <c r="T420" s="111"/>
      <c r="U420" s="2"/>
      <c r="V420" s="2"/>
      <c r="W420" s="2"/>
      <c r="X420" s="2"/>
      <c r="Y420" s="2"/>
      <c r="Z420" s="2"/>
    </row>
    <row r="421">
      <c r="A421" s="531"/>
      <c r="B421" s="977"/>
      <c r="C421" s="119"/>
      <c r="D421" s="977"/>
      <c r="E421" s="977"/>
      <c r="F421" s="119"/>
      <c r="G421" s="119"/>
      <c r="H421" s="119"/>
      <c r="I421" s="119"/>
      <c r="J421" s="119"/>
      <c r="K421" s="117"/>
      <c r="L421" s="117"/>
      <c r="M421" s="2"/>
      <c r="N421" s="2"/>
      <c r="O421" s="2"/>
      <c r="P421" s="2"/>
      <c r="Q421" s="2"/>
      <c r="R421" s="2"/>
      <c r="S421" s="861"/>
      <c r="T421" s="111"/>
      <c r="U421" s="2"/>
      <c r="V421" s="2"/>
      <c r="W421" s="2"/>
      <c r="X421" s="2"/>
      <c r="Y421" s="2"/>
      <c r="Z421" s="2"/>
    </row>
    <row r="422">
      <c r="A422" s="531"/>
      <c r="B422" s="977"/>
      <c r="C422" s="119"/>
      <c r="D422" s="977"/>
      <c r="E422" s="977"/>
      <c r="F422" s="119"/>
      <c r="G422" s="119"/>
      <c r="H422" s="119"/>
      <c r="I422" s="119"/>
      <c r="J422" s="119"/>
      <c r="K422" s="117"/>
      <c r="L422" s="117"/>
      <c r="M422" s="2"/>
      <c r="N422" s="2"/>
      <c r="O422" s="2"/>
      <c r="P422" s="2"/>
      <c r="Q422" s="2"/>
      <c r="R422" s="2"/>
      <c r="S422" s="862"/>
      <c r="T422" s="109"/>
      <c r="U422" s="2"/>
      <c r="V422" s="2"/>
      <c r="W422" s="2"/>
      <c r="X422" s="2"/>
      <c r="Y422" s="2"/>
      <c r="Z422" s="2"/>
    </row>
    <row r="423">
      <c r="A423" s="531"/>
      <c r="B423" s="977"/>
      <c r="C423" s="119"/>
      <c r="D423" s="977"/>
      <c r="E423" s="977"/>
      <c r="F423" s="119"/>
      <c r="G423" s="119"/>
      <c r="H423" s="119"/>
      <c r="I423" s="119"/>
      <c r="J423" s="119"/>
      <c r="K423" s="117"/>
      <c r="L423" s="117"/>
      <c r="M423" s="2"/>
      <c r="N423" s="2"/>
      <c r="O423" s="2"/>
      <c r="P423" s="2"/>
      <c r="Q423" s="2"/>
      <c r="R423" s="2"/>
      <c r="S423" s="862"/>
      <c r="T423" s="109"/>
      <c r="U423" s="54"/>
      <c r="V423" s="54"/>
      <c r="W423" s="54"/>
      <c r="X423" s="54"/>
      <c r="Y423" s="54"/>
      <c r="Z423" s="54"/>
    </row>
    <row r="424">
      <c r="A424" s="531"/>
      <c r="B424" s="977"/>
      <c r="C424" s="119"/>
      <c r="D424" s="977"/>
      <c r="E424" s="977"/>
      <c r="F424" s="119"/>
      <c r="G424" s="119"/>
      <c r="H424" s="119"/>
      <c r="I424" s="119"/>
      <c r="J424" s="119"/>
      <c r="K424" s="117"/>
      <c r="L424" s="117"/>
      <c r="M424" s="2"/>
      <c r="N424" s="2"/>
      <c r="O424" s="2"/>
      <c r="P424" s="2"/>
      <c r="Q424" s="2"/>
      <c r="R424" s="2"/>
      <c r="S424" s="117"/>
      <c r="T424" s="2"/>
      <c r="U424" s="2"/>
      <c r="V424" s="2"/>
      <c r="W424" s="2"/>
      <c r="X424" s="2"/>
      <c r="Y424" s="2"/>
      <c r="Z424" s="2"/>
    </row>
    <row r="425">
      <c r="A425" s="531"/>
      <c r="B425" s="977"/>
      <c r="C425" s="119"/>
      <c r="D425" s="977"/>
      <c r="E425" s="977"/>
      <c r="F425" s="119"/>
      <c r="G425" s="119"/>
      <c r="H425" s="119"/>
      <c r="I425" s="119"/>
      <c r="J425" s="119"/>
      <c r="K425" s="117"/>
      <c r="L425" s="117"/>
      <c r="M425" s="2"/>
      <c r="N425" s="2"/>
      <c r="O425" s="2"/>
      <c r="P425" s="2"/>
      <c r="Q425" s="2"/>
      <c r="R425" s="2"/>
      <c r="S425" s="117"/>
      <c r="T425" s="2"/>
      <c r="U425" s="2"/>
      <c r="V425" s="2"/>
      <c r="W425" s="2"/>
      <c r="X425" s="2"/>
      <c r="Y425" s="2"/>
      <c r="Z425" s="2"/>
    </row>
    <row r="426">
      <c r="A426" s="531"/>
      <c r="B426" s="977"/>
      <c r="C426" s="119"/>
      <c r="D426" s="977"/>
      <c r="E426" s="977"/>
      <c r="F426" s="119"/>
      <c r="G426" s="119"/>
      <c r="H426" s="119"/>
      <c r="I426" s="119"/>
      <c r="J426" s="119"/>
      <c r="K426" s="117"/>
      <c r="L426" s="117"/>
      <c r="M426" s="2"/>
      <c r="N426" s="2"/>
      <c r="O426" s="2"/>
      <c r="P426" s="2"/>
      <c r="Q426" s="2"/>
      <c r="R426" s="2"/>
      <c r="S426" s="847"/>
      <c r="T426" s="847"/>
      <c r="U426" s="116"/>
      <c r="V426" s="116"/>
      <c r="W426" s="116"/>
      <c r="X426" s="116"/>
      <c r="Y426" s="116"/>
      <c r="Z426" s="116"/>
    </row>
    <row r="427">
      <c r="A427" s="531"/>
      <c r="B427" s="977"/>
      <c r="C427" s="119"/>
      <c r="D427" s="977"/>
      <c r="E427" s="977"/>
      <c r="F427" s="119"/>
      <c r="G427" s="119"/>
      <c r="H427" s="119"/>
      <c r="I427" s="119"/>
      <c r="J427" s="119"/>
      <c r="K427" s="117"/>
      <c r="L427" s="117"/>
      <c r="M427" s="2"/>
      <c r="N427" s="2"/>
      <c r="O427" s="2"/>
      <c r="P427" s="2"/>
      <c r="Q427" s="2"/>
      <c r="R427" s="2"/>
      <c r="S427" s="848"/>
      <c r="T427" s="848"/>
      <c r="U427" s="848"/>
      <c r="V427" s="848"/>
      <c r="W427" s="848"/>
      <c r="X427" s="848"/>
      <c r="Y427" s="848"/>
      <c r="Z427" s="848"/>
    </row>
    <row r="428">
      <c r="A428" s="531"/>
      <c r="B428" s="977"/>
      <c r="C428" s="119"/>
      <c r="D428" s="977"/>
      <c r="E428" s="977"/>
      <c r="F428" s="119"/>
      <c r="G428" s="119"/>
      <c r="H428" s="119"/>
      <c r="I428" s="119"/>
      <c r="J428" s="119"/>
      <c r="K428" s="117"/>
      <c r="L428" s="117"/>
      <c r="M428" s="2"/>
      <c r="N428" s="2"/>
      <c r="O428" s="2"/>
      <c r="P428" s="2"/>
      <c r="Q428" s="2"/>
      <c r="R428" s="2"/>
      <c r="S428" s="849"/>
      <c r="T428" s="850"/>
      <c r="U428" s="851"/>
      <c r="V428" s="851"/>
      <c r="W428" s="851"/>
      <c r="X428" s="851"/>
      <c r="Y428" s="851"/>
      <c r="Z428" s="851"/>
    </row>
    <row r="429">
      <c r="A429" s="531"/>
      <c r="B429" s="977"/>
      <c r="C429" s="119"/>
      <c r="D429" s="977"/>
      <c r="E429" s="977"/>
      <c r="F429" s="119"/>
      <c r="G429" s="119"/>
      <c r="H429" s="119"/>
      <c r="I429" s="119"/>
      <c r="J429" s="119"/>
      <c r="K429" s="117"/>
      <c r="L429" s="117"/>
      <c r="M429" s="2"/>
      <c r="N429" s="2"/>
      <c r="O429" s="2"/>
      <c r="P429" s="2"/>
      <c r="Q429" s="2"/>
      <c r="R429" s="2"/>
      <c r="S429" s="852"/>
      <c r="T429" s="853"/>
      <c r="U429" s="854"/>
      <c r="V429" s="854"/>
      <c r="W429" s="854"/>
      <c r="X429" s="854"/>
      <c r="Y429" s="854"/>
      <c r="Z429" s="854"/>
    </row>
    <row r="430">
      <c r="A430" s="531"/>
      <c r="B430" s="977"/>
      <c r="C430" s="119"/>
      <c r="D430" s="977"/>
      <c r="E430" s="977"/>
      <c r="F430" s="119"/>
      <c r="G430" s="119"/>
      <c r="H430" s="119"/>
      <c r="I430" s="119"/>
      <c r="J430" s="119"/>
      <c r="K430" s="117"/>
      <c r="L430" s="117"/>
      <c r="M430" s="2"/>
      <c r="N430" s="2"/>
      <c r="O430" s="2"/>
      <c r="P430" s="2"/>
      <c r="Q430" s="2"/>
      <c r="R430" s="2"/>
      <c r="S430" s="855"/>
      <c r="T430" s="856"/>
      <c r="U430" s="854"/>
      <c r="V430" s="854"/>
      <c r="W430" s="854"/>
      <c r="X430" s="854"/>
      <c r="Y430" s="854"/>
      <c r="Z430" s="854"/>
    </row>
    <row r="431">
      <c r="A431" s="531"/>
      <c r="B431" s="977"/>
      <c r="C431" s="119"/>
      <c r="D431" s="977"/>
      <c r="E431" s="977"/>
      <c r="F431" s="119"/>
      <c r="G431" s="119"/>
      <c r="H431" s="119"/>
      <c r="I431" s="119"/>
      <c r="J431" s="119"/>
      <c r="K431" s="117"/>
      <c r="L431" s="117"/>
      <c r="M431" s="2"/>
      <c r="N431" s="2"/>
      <c r="O431" s="2"/>
      <c r="P431" s="2"/>
      <c r="Q431" s="2"/>
      <c r="R431" s="2"/>
      <c r="S431" s="855"/>
      <c r="T431" s="856"/>
      <c r="U431" s="854"/>
      <c r="V431" s="854"/>
      <c r="W431" s="854"/>
      <c r="X431" s="854"/>
      <c r="Y431" s="854"/>
      <c r="Z431" s="854"/>
    </row>
    <row r="432">
      <c r="A432" s="531"/>
      <c r="B432" s="977"/>
      <c r="C432" s="119"/>
      <c r="D432" s="977"/>
      <c r="E432" s="977"/>
      <c r="F432" s="119"/>
      <c r="G432" s="119"/>
      <c r="H432" s="119"/>
      <c r="I432" s="119"/>
      <c r="J432" s="119"/>
      <c r="K432" s="117"/>
      <c r="L432" s="117"/>
      <c r="M432" s="2"/>
      <c r="N432" s="2"/>
      <c r="O432" s="2"/>
      <c r="P432" s="2"/>
      <c r="Q432" s="2"/>
      <c r="R432" s="2"/>
      <c r="S432" s="852"/>
      <c r="T432" s="853"/>
      <c r="U432" s="854"/>
      <c r="V432" s="854"/>
      <c r="W432" s="854"/>
      <c r="X432" s="854"/>
      <c r="Y432" s="854"/>
      <c r="Z432" s="854"/>
    </row>
    <row r="433">
      <c r="A433" s="531"/>
      <c r="B433" s="977"/>
      <c r="C433" s="119"/>
      <c r="D433" s="977"/>
      <c r="E433" s="977"/>
      <c r="F433" s="119"/>
      <c r="G433" s="119"/>
      <c r="H433" s="119"/>
      <c r="I433" s="119"/>
      <c r="J433" s="119"/>
      <c r="K433" s="117"/>
      <c r="L433" s="117"/>
      <c r="M433" s="2"/>
      <c r="N433" s="2"/>
      <c r="O433" s="2"/>
      <c r="P433" s="2"/>
      <c r="Q433" s="2"/>
      <c r="R433" s="2"/>
      <c r="S433" s="857"/>
      <c r="T433" s="858"/>
      <c r="U433" s="854"/>
      <c r="V433" s="854"/>
      <c r="W433" s="854"/>
      <c r="X433" s="854"/>
      <c r="Y433" s="854"/>
      <c r="Z433" s="854"/>
    </row>
    <row r="434">
      <c r="A434" s="531"/>
      <c r="B434" s="977"/>
      <c r="C434" s="119"/>
      <c r="D434" s="977"/>
      <c r="E434" s="977"/>
      <c r="F434" s="119"/>
      <c r="G434" s="119"/>
      <c r="H434" s="119"/>
      <c r="I434" s="119"/>
      <c r="J434" s="119"/>
      <c r="K434" s="117"/>
      <c r="L434" s="117"/>
      <c r="M434" s="2"/>
      <c r="N434" s="2"/>
      <c r="O434" s="2"/>
      <c r="P434" s="2"/>
      <c r="Q434" s="2"/>
      <c r="R434" s="2"/>
      <c r="S434" s="857"/>
      <c r="T434" s="858"/>
      <c r="U434" s="854"/>
      <c r="V434" s="854"/>
      <c r="W434" s="854"/>
      <c r="X434" s="854"/>
      <c r="Y434" s="854"/>
      <c r="Z434" s="854"/>
    </row>
    <row r="435">
      <c r="A435" s="531"/>
      <c r="B435" s="977"/>
      <c r="C435" s="119"/>
      <c r="D435" s="977"/>
      <c r="E435" s="977"/>
      <c r="F435" s="119"/>
      <c r="G435" s="119"/>
      <c r="H435" s="119"/>
      <c r="I435" s="119"/>
      <c r="J435" s="119"/>
      <c r="K435" s="117"/>
      <c r="L435" s="117"/>
      <c r="M435" s="2"/>
      <c r="N435" s="2"/>
      <c r="O435" s="2"/>
      <c r="P435" s="2"/>
      <c r="Q435" s="2"/>
      <c r="R435" s="2"/>
      <c r="S435" s="857"/>
      <c r="T435" s="858"/>
      <c r="U435" s="854"/>
      <c r="V435" s="854"/>
      <c r="W435" s="854"/>
      <c r="X435" s="854"/>
      <c r="Y435" s="854"/>
      <c r="Z435" s="854"/>
    </row>
    <row r="436">
      <c r="A436" s="531"/>
      <c r="B436" s="977"/>
      <c r="C436" s="119"/>
      <c r="D436" s="977"/>
      <c r="E436" s="977"/>
      <c r="F436" s="119"/>
      <c r="G436" s="119"/>
      <c r="H436" s="119"/>
      <c r="I436" s="119"/>
      <c r="J436" s="119"/>
      <c r="K436" s="117"/>
      <c r="L436" s="117"/>
      <c r="M436" s="2"/>
      <c r="N436" s="2"/>
      <c r="O436" s="2"/>
      <c r="P436" s="2"/>
      <c r="Q436" s="2"/>
      <c r="R436" s="2"/>
      <c r="S436" s="852"/>
      <c r="T436" s="853"/>
      <c r="U436" s="854"/>
      <c r="V436" s="854"/>
      <c r="W436" s="854"/>
      <c r="X436" s="854"/>
      <c r="Y436" s="854"/>
      <c r="Z436" s="854"/>
    </row>
    <row r="437">
      <c r="A437" s="531"/>
      <c r="B437" s="977"/>
      <c r="C437" s="119"/>
      <c r="D437" s="977"/>
      <c r="E437" s="977"/>
      <c r="F437" s="119"/>
      <c r="G437" s="119"/>
      <c r="H437" s="119"/>
      <c r="I437" s="119"/>
      <c r="J437" s="119"/>
      <c r="K437" s="117"/>
      <c r="L437" s="117"/>
      <c r="M437" s="2"/>
      <c r="N437" s="2"/>
      <c r="O437" s="2"/>
      <c r="P437" s="2"/>
      <c r="Q437" s="2"/>
      <c r="R437" s="2"/>
      <c r="S437" s="852"/>
      <c r="T437" s="853"/>
      <c r="U437" s="854"/>
      <c r="V437" s="854"/>
      <c r="W437" s="854"/>
      <c r="X437" s="854"/>
      <c r="Y437" s="854"/>
      <c r="Z437" s="854"/>
    </row>
    <row r="438">
      <c r="A438" s="531"/>
      <c r="B438" s="977"/>
      <c r="C438" s="119"/>
      <c r="D438" s="977"/>
      <c r="E438" s="977"/>
      <c r="F438" s="119"/>
      <c r="G438" s="119"/>
      <c r="H438" s="119"/>
      <c r="I438" s="119"/>
      <c r="J438" s="119"/>
      <c r="K438" s="117"/>
      <c r="L438" s="117"/>
      <c r="M438" s="2"/>
      <c r="N438" s="2"/>
      <c r="O438" s="2"/>
      <c r="P438" s="2"/>
      <c r="Q438" s="2"/>
      <c r="R438" s="2"/>
      <c r="S438" s="852"/>
      <c r="T438" s="853"/>
      <c r="U438" s="854"/>
      <c r="V438" s="854"/>
      <c r="W438" s="854"/>
      <c r="X438" s="854"/>
      <c r="Y438" s="854"/>
      <c r="Z438" s="854"/>
    </row>
    <row r="439">
      <c r="A439" s="531"/>
      <c r="B439" s="977"/>
      <c r="C439" s="119"/>
      <c r="D439" s="977"/>
      <c r="E439" s="977"/>
      <c r="F439" s="119"/>
      <c r="G439" s="119"/>
      <c r="H439" s="119"/>
      <c r="I439" s="119"/>
      <c r="J439" s="119"/>
      <c r="K439" s="117"/>
      <c r="L439" s="117"/>
      <c r="M439" s="2"/>
      <c r="N439" s="2"/>
      <c r="O439" s="2"/>
      <c r="P439" s="2"/>
      <c r="Q439" s="2"/>
      <c r="R439" s="2"/>
      <c r="S439" s="852"/>
      <c r="T439" s="853"/>
      <c r="U439" s="854"/>
      <c r="V439" s="854"/>
      <c r="W439" s="854"/>
      <c r="X439" s="854"/>
      <c r="Y439" s="854"/>
      <c r="Z439" s="854"/>
    </row>
    <row r="440">
      <c r="A440" s="531"/>
      <c r="B440" s="977"/>
      <c r="C440" s="119"/>
      <c r="D440" s="977"/>
      <c r="E440" s="977"/>
      <c r="F440" s="119"/>
      <c r="G440" s="119"/>
      <c r="H440" s="119"/>
      <c r="I440" s="119"/>
      <c r="J440" s="119"/>
      <c r="K440" s="117"/>
      <c r="L440" s="117"/>
      <c r="M440" s="2"/>
      <c r="N440" s="2"/>
      <c r="O440" s="2"/>
      <c r="P440" s="2"/>
      <c r="Q440" s="2"/>
      <c r="R440" s="2"/>
      <c r="S440" s="852"/>
      <c r="T440" s="859"/>
      <c r="U440" s="107"/>
      <c r="V440" s="107"/>
      <c r="W440" s="107"/>
      <c r="X440" s="107"/>
      <c r="Y440" s="107"/>
      <c r="Z440" s="107"/>
    </row>
    <row r="441">
      <c r="A441" s="531"/>
      <c r="B441" s="977"/>
      <c r="C441" s="119"/>
      <c r="D441" s="977"/>
      <c r="E441" s="977"/>
      <c r="F441" s="119"/>
      <c r="G441" s="119"/>
      <c r="H441" s="119"/>
      <c r="I441" s="119"/>
      <c r="J441" s="119"/>
      <c r="K441" s="117"/>
      <c r="L441" s="117"/>
      <c r="M441" s="2"/>
      <c r="N441" s="2"/>
      <c r="O441" s="2"/>
      <c r="P441" s="2"/>
      <c r="Q441" s="2"/>
      <c r="R441" s="2"/>
      <c r="S441" s="852"/>
      <c r="T441" s="859"/>
      <c r="U441" s="107"/>
      <c r="V441" s="107"/>
      <c r="W441" s="107"/>
      <c r="X441" s="107"/>
      <c r="Y441" s="107"/>
      <c r="Z441" s="107"/>
    </row>
    <row r="442">
      <c r="A442" s="531"/>
      <c r="B442" s="977"/>
      <c r="C442" s="119"/>
      <c r="D442" s="977"/>
      <c r="E442" s="977"/>
      <c r="F442" s="119"/>
      <c r="G442" s="119"/>
      <c r="H442" s="119"/>
      <c r="I442" s="119"/>
      <c r="J442" s="119"/>
      <c r="K442" s="117"/>
      <c r="L442" s="117"/>
      <c r="M442" s="2"/>
      <c r="N442" s="2"/>
      <c r="O442" s="2"/>
      <c r="P442" s="2"/>
      <c r="Q442" s="2"/>
      <c r="R442" s="2"/>
      <c r="S442" s="852"/>
      <c r="T442" s="859"/>
      <c r="U442" s="107"/>
      <c r="V442" s="107"/>
      <c r="W442" s="107"/>
      <c r="X442" s="107"/>
      <c r="Y442" s="107"/>
      <c r="Z442" s="107"/>
    </row>
    <row r="443">
      <c r="A443" s="531"/>
      <c r="B443" s="977"/>
      <c r="C443" s="119"/>
      <c r="D443" s="977"/>
      <c r="E443" s="977"/>
      <c r="F443" s="119"/>
      <c r="G443" s="119"/>
      <c r="H443" s="119"/>
      <c r="I443" s="119"/>
      <c r="J443" s="119"/>
      <c r="K443" s="117"/>
      <c r="L443" s="117"/>
      <c r="M443" s="2"/>
      <c r="N443" s="2"/>
      <c r="O443" s="2"/>
      <c r="P443" s="2"/>
      <c r="Q443" s="2"/>
      <c r="R443" s="2"/>
      <c r="S443" s="852"/>
      <c r="T443" s="859"/>
      <c r="U443" s="107"/>
      <c r="V443" s="107"/>
      <c r="W443" s="107"/>
      <c r="X443" s="107"/>
      <c r="Y443" s="107"/>
      <c r="Z443" s="107"/>
    </row>
    <row r="444">
      <c r="A444" s="531"/>
      <c r="B444" s="977"/>
      <c r="C444" s="119"/>
      <c r="D444" s="977"/>
      <c r="E444" s="977"/>
      <c r="F444" s="119"/>
      <c r="G444" s="119"/>
      <c r="H444" s="119"/>
      <c r="I444" s="119"/>
      <c r="J444" s="119"/>
      <c r="K444" s="117"/>
      <c r="L444" s="117"/>
      <c r="M444" s="2"/>
      <c r="N444" s="2"/>
      <c r="O444" s="2"/>
      <c r="P444" s="2"/>
      <c r="Q444" s="2"/>
      <c r="R444" s="2"/>
      <c r="S444" s="852"/>
      <c r="T444" s="859"/>
      <c r="U444" s="107"/>
      <c r="V444" s="107"/>
      <c r="W444" s="107"/>
      <c r="X444" s="107"/>
      <c r="Y444" s="107"/>
      <c r="Z444" s="107"/>
    </row>
    <row r="445">
      <c r="A445" s="531"/>
      <c r="B445" s="977"/>
      <c r="C445" s="119"/>
      <c r="D445" s="977"/>
      <c r="E445" s="977"/>
      <c r="F445" s="119"/>
      <c r="G445" s="119"/>
      <c r="H445" s="119"/>
      <c r="I445" s="119"/>
      <c r="J445" s="119"/>
      <c r="K445" s="117"/>
      <c r="L445" s="117"/>
      <c r="M445" s="2"/>
      <c r="N445" s="2"/>
      <c r="O445" s="2"/>
      <c r="P445" s="2"/>
      <c r="Q445" s="2"/>
      <c r="R445" s="2"/>
      <c r="S445" s="852"/>
      <c r="T445" s="859"/>
      <c r="U445" s="107"/>
      <c r="V445" s="107"/>
      <c r="W445" s="107"/>
      <c r="X445" s="107"/>
      <c r="Y445" s="107"/>
      <c r="Z445" s="107"/>
    </row>
    <row r="446">
      <c r="A446" s="531"/>
      <c r="B446" s="977"/>
      <c r="C446" s="119"/>
      <c r="D446" s="977"/>
      <c r="E446" s="977"/>
      <c r="F446" s="119"/>
      <c r="G446" s="119"/>
      <c r="H446" s="119"/>
      <c r="I446" s="119"/>
      <c r="J446" s="119"/>
      <c r="K446" s="117"/>
      <c r="L446" s="117"/>
      <c r="M446" s="2"/>
      <c r="N446" s="2"/>
      <c r="O446" s="2"/>
      <c r="P446" s="2"/>
      <c r="Q446" s="2"/>
      <c r="R446" s="2"/>
      <c r="S446" s="852"/>
      <c r="T446" s="859"/>
      <c r="U446" s="107"/>
      <c r="V446" s="107"/>
      <c r="W446" s="107"/>
      <c r="X446" s="107"/>
      <c r="Y446" s="107"/>
      <c r="Z446" s="107"/>
    </row>
    <row r="447">
      <c r="A447" s="531"/>
      <c r="B447" s="977"/>
      <c r="C447" s="119"/>
      <c r="D447" s="977"/>
      <c r="E447" s="977"/>
      <c r="F447" s="119"/>
      <c r="G447" s="119"/>
      <c r="H447" s="119"/>
      <c r="I447" s="119"/>
      <c r="J447" s="119"/>
      <c r="K447" s="117"/>
      <c r="L447" s="117"/>
      <c r="M447" s="2"/>
      <c r="N447" s="2"/>
      <c r="O447" s="2"/>
      <c r="P447" s="2"/>
      <c r="Q447" s="2"/>
      <c r="R447" s="2"/>
      <c r="S447" s="852"/>
      <c r="T447" s="859"/>
      <c r="U447" s="107"/>
      <c r="V447" s="107"/>
      <c r="W447" s="107"/>
      <c r="X447" s="107"/>
      <c r="Y447" s="107"/>
      <c r="Z447" s="107"/>
    </row>
    <row r="448">
      <c r="A448" s="531"/>
      <c r="B448" s="977"/>
      <c r="C448" s="119"/>
      <c r="D448" s="977"/>
      <c r="E448" s="977"/>
      <c r="F448" s="119"/>
      <c r="G448" s="119"/>
      <c r="H448" s="119"/>
      <c r="I448" s="119"/>
      <c r="J448" s="119"/>
      <c r="K448" s="117"/>
      <c r="L448" s="117"/>
      <c r="M448" s="2"/>
      <c r="N448" s="2"/>
      <c r="O448" s="2"/>
      <c r="P448" s="2"/>
      <c r="Q448" s="2"/>
      <c r="R448" s="2"/>
      <c r="S448" s="852"/>
      <c r="T448" s="859"/>
      <c r="U448" s="107"/>
      <c r="V448" s="107"/>
      <c r="W448" s="107"/>
      <c r="X448" s="107"/>
      <c r="Y448" s="107"/>
      <c r="Z448" s="107"/>
    </row>
    <row r="449">
      <c r="A449" s="531"/>
      <c r="B449" s="977"/>
      <c r="C449" s="119"/>
      <c r="D449" s="977"/>
      <c r="E449" s="977"/>
      <c r="F449" s="119"/>
      <c r="G449" s="119"/>
      <c r="H449" s="119"/>
      <c r="I449" s="119"/>
      <c r="J449" s="119"/>
      <c r="K449" s="117"/>
      <c r="L449" s="117"/>
      <c r="M449" s="2"/>
      <c r="N449" s="2"/>
      <c r="O449" s="2"/>
      <c r="P449" s="2"/>
      <c r="Q449" s="2"/>
      <c r="R449" s="2"/>
      <c r="S449" s="852"/>
      <c r="T449" s="859"/>
      <c r="U449" s="107"/>
      <c r="V449" s="107"/>
      <c r="W449" s="107"/>
      <c r="X449" s="107"/>
      <c r="Y449" s="107"/>
      <c r="Z449" s="107"/>
    </row>
    <row r="450">
      <c r="A450" s="531"/>
      <c r="B450" s="977"/>
      <c r="C450" s="119"/>
      <c r="D450" s="977"/>
      <c r="E450" s="977"/>
      <c r="F450" s="119"/>
      <c r="G450" s="119"/>
      <c r="H450" s="119"/>
      <c r="I450" s="119"/>
      <c r="J450" s="119"/>
      <c r="K450" s="117"/>
      <c r="L450" s="117"/>
      <c r="M450" s="2"/>
      <c r="N450" s="2"/>
      <c r="O450" s="2"/>
      <c r="P450" s="2"/>
      <c r="Q450" s="2"/>
      <c r="R450" s="2"/>
      <c r="S450" s="857"/>
      <c r="T450" s="860"/>
      <c r="U450" s="107"/>
      <c r="V450" s="107"/>
      <c r="W450" s="107"/>
      <c r="X450" s="107"/>
      <c r="Y450" s="107"/>
      <c r="Z450" s="107"/>
    </row>
    <row r="451">
      <c r="A451" s="531"/>
      <c r="B451" s="977"/>
      <c r="C451" s="119"/>
      <c r="D451" s="977"/>
      <c r="E451" s="977"/>
      <c r="F451" s="119"/>
      <c r="G451" s="119"/>
      <c r="H451" s="119"/>
      <c r="I451" s="119"/>
      <c r="J451" s="119"/>
      <c r="K451" s="117"/>
      <c r="L451" s="117"/>
      <c r="M451" s="2"/>
      <c r="N451" s="2"/>
      <c r="O451" s="2"/>
      <c r="P451" s="2"/>
      <c r="Q451" s="2"/>
      <c r="R451" s="2"/>
      <c r="S451" s="861"/>
      <c r="T451" s="111"/>
      <c r="U451" s="2"/>
      <c r="V451" s="2"/>
      <c r="W451" s="2"/>
      <c r="X451" s="2"/>
      <c r="Y451" s="2"/>
      <c r="Z451" s="2"/>
    </row>
    <row r="452">
      <c r="A452" s="531"/>
      <c r="B452" s="977"/>
      <c r="C452" s="119"/>
      <c r="D452" s="977"/>
      <c r="E452" s="977"/>
      <c r="F452" s="119"/>
      <c r="G452" s="119"/>
      <c r="H452" s="119"/>
      <c r="I452" s="119"/>
      <c r="J452" s="119"/>
      <c r="K452" s="117"/>
      <c r="L452" s="117"/>
      <c r="M452" s="2"/>
      <c r="N452" s="2"/>
      <c r="O452" s="2"/>
      <c r="P452" s="2"/>
      <c r="Q452" s="2"/>
      <c r="R452" s="2"/>
      <c r="S452" s="861"/>
      <c r="T452" s="111"/>
      <c r="U452" s="2"/>
      <c r="V452" s="2"/>
      <c r="W452" s="2"/>
      <c r="X452" s="2"/>
      <c r="Y452" s="2"/>
      <c r="Z452" s="2"/>
    </row>
    <row r="453">
      <c r="A453" s="531"/>
      <c r="B453" s="977"/>
      <c r="C453" s="119"/>
      <c r="D453" s="977"/>
      <c r="E453" s="977"/>
      <c r="F453" s="119"/>
      <c r="G453" s="119"/>
      <c r="H453" s="119"/>
      <c r="I453" s="119"/>
      <c r="J453" s="119"/>
      <c r="K453" s="117"/>
      <c r="L453" s="117"/>
      <c r="M453" s="2"/>
      <c r="N453" s="2"/>
      <c r="O453" s="2"/>
      <c r="P453" s="2"/>
      <c r="Q453" s="2"/>
      <c r="R453" s="2"/>
      <c r="S453" s="861"/>
      <c r="T453" s="111"/>
      <c r="U453" s="2"/>
      <c r="V453" s="2"/>
      <c r="W453" s="2"/>
      <c r="X453" s="2"/>
      <c r="Y453" s="2"/>
      <c r="Z453" s="2"/>
    </row>
    <row r="454">
      <c r="A454" s="531"/>
      <c r="B454" s="977"/>
      <c r="C454" s="119"/>
      <c r="D454" s="977"/>
      <c r="E454" s="977"/>
      <c r="F454" s="119"/>
      <c r="G454" s="119"/>
      <c r="H454" s="119"/>
      <c r="I454" s="119"/>
      <c r="J454" s="119"/>
      <c r="K454" s="117"/>
      <c r="L454" s="117"/>
      <c r="M454" s="2"/>
      <c r="N454" s="2"/>
      <c r="O454" s="2"/>
      <c r="P454" s="2"/>
      <c r="Q454" s="2"/>
      <c r="R454" s="2"/>
      <c r="S454" s="861"/>
      <c r="T454" s="111"/>
      <c r="U454" s="2"/>
      <c r="V454" s="2"/>
      <c r="W454" s="2"/>
      <c r="X454" s="2"/>
      <c r="Y454" s="2"/>
      <c r="Z454" s="2"/>
    </row>
    <row r="455">
      <c r="A455" s="531"/>
      <c r="B455" s="977"/>
      <c r="C455" s="119"/>
      <c r="D455" s="977"/>
      <c r="E455" s="977"/>
      <c r="F455" s="119"/>
      <c r="G455" s="119"/>
      <c r="H455" s="119"/>
      <c r="I455" s="119"/>
      <c r="J455" s="119"/>
      <c r="K455" s="117"/>
      <c r="L455" s="117"/>
      <c r="M455" s="2"/>
      <c r="N455" s="2"/>
      <c r="O455" s="2"/>
      <c r="P455" s="2"/>
      <c r="Q455" s="2"/>
      <c r="R455" s="2"/>
      <c r="S455" s="861"/>
      <c r="T455" s="111"/>
      <c r="U455" s="2"/>
      <c r="V455" s="2"/>
      <c r="W455" s="2"/>
      <c r="X455" s="2"/>
      <c r="Y455" s="2"/>
      <c r="Z455" s="2"/>
    </row>
    <row r="456">
      <c r="A456" s="531"/>
      <c r="B456" s="977"/>
      <c r="C456" s="119"/>
      <c r="D456" s="977"/>
      <c r="E456" s="977"/>
      <c r="F456" s="119"/>
      <c r="G456" s="119"/>
      <c r="H456" s="119"/>
      <c r="I456" s="119"/>
      <c r="J456" s="119"/>
      <c r="K456" s="117"/>
      <c r="L456" s="117"/>
      <c r="M456" s="2"/>
      <c r="N456" s="2"/>
      <c r="O456" s="2"/>
      <c r="P456" s="2"/>
      <c r="Q456" s="2"/>
      <c r="R456" s="2"/>
      <c r="S456" s="862"/>
      <c r="T456" s="109"/>
      <c r="U456" s="2"/>
      <c r="V456" s="2"/>
      <c r="W456" s="2"/>
      <c r="X456" s="2"/>
      <c r="Y456" s="2"/>
      <c r="Z456" s="2"/>
    </row>
    <row r="457">
      <c r="A457" s="531"/>
      <c r="B457" s="977"/>
      <c r="C457" s="119"/>
      <c r="D457" s="977"/>
      <c r="E457" s="977"/>
      <c r="F457" s="119"/>
      <c r="G457" s="119"/>
      <c r="H457" s="119"/>
      <c r="I457" s="119"/>
      <c r="J457" s="119"/>
      <c r="K457" s="117"/>
      <c r="L457" s="117"/>
      <c r="M457" s="2"/>
      <c r="N457" s="2"/>
      <c r="O457" s="2"/>
      <c r="P457" s="2"/>
      <c r="Q457" s="2"/>
      <c r="R457" s="2"/>
      <c r="S457" s="861"/>
      <c r="T457" s="111"/>
      <c r="U457" s="2"/>
      <c r="V457" s="2"/>
      <c r="W457" s="2"/>
      <c r="X457" s="2"/>
      <c r="Y457" s="2"/>
      <c r="Z457" s="2"/>
    </row>
    <row r="458">
      <c r="A458" s="531"/>
      <c r="B458" s="977"/>
      <c r="C458" s="119"/>
      <c r="D458" s="977"/>
      <c r="E458" s="977"/>
      <c r="F458" s="119"/>
      <c r="G458" s="119"/>
      <c r="H458" s="119"/>
      <c r="I458" s="119"/>
      <c r="J458" s="119"/>
      <c r="K458" s="117"/>
      <c r="L458" s="117"/>
      <c r="M458" s="2"/>
      <c r="N458" s="2"/>
      <c r="O458" s="2"/>
      <c r="P458" s="2"/>
      <c r="Q458" s="2"/>
      <c r="R458" s="2"/>
      <c r="S458" s="861"/>
      <c r="T458" s="111"/>
      <c r="U458" s="2"/>
      <c r="V458" s="2"/>
      <c r="W458" s="2"/>
      <c r="X458" s="2"/>
      <c r="Y458" s="2"/>
      <c r="Z458" s="2"/>
    </row>
    <row r="459">
      <c r="A459" s="531"/>
      <c r="B459" s="977"/>
      <c r="C459" s="119"/>
      <c r="D459" s="977"/>
      <c r="E459" s="977"/>
      <c r="F459" s="119"/>
      <c r="G459" s="119"/>
      <c r="H459" s="119"/>
      <c r="I459" s="119"/>
      <c r="J459" s="119"/>
      <c r="K459" s="117"/>
      <c r="L459" s="117"/>
      <c r="M459" s="2"/>
      <c r="N459" s="2"/>
      <c r="O459" s="2"/>
      <c r="P459" s="2"/>
      <c r="Q459" s="2"/>
      <c r="R459" s="2"/>
      <c r="S459" s="861"/>
      <c r="T459" s="111"/>
      <c r="U459" s="2"/>
      <c r="V459" s="2"/>
      <c r="W459" s="2"/>
      <c r="X459" s="2"/>
      <c r="Y459" s="2"/>
      <c r="Z459" s="2"/>
    </row>
    <row r="460">
      <c r="A460" s="531"/>
      <c r="B460" s="977"/>
      <c r="C460" s="119"/>
      <c r="D460" s="977"/>
      <c r="E460" s="977"/>
      <c r="F460" s="119"/>
      <c r="G460" s="119"/>
      <c r="H460" s="119"/>
      <c r="I460" s="119"/>
      <c r="J460" s="119"/>
      <c r="K460" s="117"/>
      <c r="L460" s="117"/>
      <c r="M460" s="2"/>
      <c r="N460" s="2"/>
      <c r="O460" s="2"/>
      <c r="P460" s="2"/>
      <c r="Q460" s="2"/>
      <c r="R460" s="2"/>
      <c r="S460" s="861"/>
      <c r="T460" s="111"/>
      <c r="U460" s="2"/>
      <c r="V460" s="2"/>
      <c r="W460" s="2"/>
      <c r="X460" s="2"/>
      <c r="Y460" s="2"/>
      <c r="Z460" s="2"/>
    </row>
    <row r="461">
      <c r="A461" s="531"/>
      <c r="B461" s="977"/>
      <c r="C461" s="119"/>
      <c r="D461" s="977"/>
      <c r="E461" s="977"/>
      <c r="F461" s="119"/>
      <c r="G461" s="119"/>
      <c r="H461" s="119"/>
      <c r="I461" s="119"/>
      <c r="J461" s="119"/>
      <c r="K461" s="117"/>
      <c r="L461" s="117"/>
      <c r="M461" s="2"/>
      <c r="N461" s="2"/>
      <c r="O461" s="2"/>
      <c r="P461" s="2"/>
      <c r="Q461" s="2"/>
      <c r="R461" s="2"/>
      <c r="S461" s="861"/>
      <c r="T461" s="111"/>
      <c r="U461" s="2"/>
      <c r="V461" s="2"/>
      <c r="W461" s="2"/>
      <c r="X461" s="2"/>
      <c r="Y461" s="2"/>
      <c r="Z461" s="2"/>
    </row>
    <row r="462">
      <c r="A462" s="531"/>
      <c r="B462" s="977"/>
      <c r="C462" s="119"/>
      <c r="D462" s="977"/>
      <c r="E462" s="977"/>
      <c r="F462" s="119"/>
      <c r="G462" s="119"/>
      <c r="H462" s="119"/>
      <c r="I462" s="119"/>
      <c r="J462" s="119"/>
      <c r="K462" s="117"/>
      <c r="L462" s="117"/>
      <c r="M462" s="2"/>
      <c r="N462" s="2"/>
      <c r="O462" s="2"/>
      <c r="P462" s="2"/>
      <c r="Q462" s="2"/>
      <c r="R462" s="2"/>
      <c r="S462" s="861"/>
      <c r="T462" s="111"/>
      <c r="U462" s="2"/>
      <c r="V462" s="2"/>
      <c r="W462" s="2"/>
      <c r="X462" s="2"/>
      <c r="Y462" s="2"/>
      <c r="Z462" s="2"/>
    </row>
    <row r="463">
      <c r="A463" s="531"/>
      <c r="B463" s="977"/>
      <c r="C463" s="119"/>
      <c r="D463" s="977"/>
      <c r="E463" s="977"/>
      <c r="F463" s="119"/>
      <c r="G463" s="119"/>
      <c r="H463" s="119"/>
      <c r="I463" s="119"/>
      <c r="J463" s="119"/>
      <c r="K463" s="117"/>
      <c r="L463" s="117"/>
      <c r="M463" s="2"/>
      <c r="N463" s="2"/>
      <c r="O463" s="2"/>
      <c r="P463" s="2"/>
      <c r="Q463" s="2"/>
      <c r="R463" s="2"/>
      <c r="S463" s="861"/>
      <c r="T463" s="111"/>
      <c r="U463" s="2"/>
      <c r="V463" s="2"/>
      <c r="W463" s="2"/>
      <c r="X463" s="2"/>
      <c r="Y463" s="2"/>
      <c r="Z463" s="2"/>
    </row>
    <row r="464">
      <c r="A464" s="531"/>
      <c r="B464" s="977"/>
      <c r="C464" s="119"/>
      <c r="D464" s="977"/>
      <c r="E464" s="977"/>
      <c r="F464" s="119"/>
      <c r="G464" s="119"/>
      <c r="H464" s="119"/>
      <c r="I464" s="119"/>
      <c r="J464" s="119"/>
      <c r="K464" s="117"/>
      <c r="L464" s="117"/>
      <c r="M464" s="2"/>
      <c r="N464" s="2"/>
      <c r="O464" s="2"/>
      <c r="P464" s="2"/>
      <c r="Q464" s="2"/>
      <c r="R464" s="2"/>
      <c r="S464" s="861"/>
      <c r="T464" s="111"/>
      <c r="U464" s="2"/>
      <c r="V464" s="2"/>
      <c r="W464" s="2"/>
      <c r="X464" s="2"/>
      <c r="Y464" s="2"/>
      <c r="Z464" s="2"/>
    </row>
    <row r="465">
      <c r="A465" s="531"/>
      <c r="B465" s="977"/>
      <c r="C465" s="119"/>
      <c r="D465" s="977"/>
      <c r="E465" s="977"/>
      <c r="F465" s="119"/>
      <c r="G465" s="119"/>
      <c r="H465" s="119"/>
      <c r="I465" s="119"/>
      <c r="J465" s="119"/>
      <c r="K465" s="117"/>
      <c r="L465" s="117"/>
      <c r="M465" s="2"/>
      <c r="N465" s="2"/>
      <c r="O465" s="2"/>
      <c r="P465" s="2"/>
      <c r="Q465" s="2"/>
      <c r="R465" s="2"/>
      <c r="S465" s="862"/>
      <c r="T465" s="109"/>
      <c r="U465" s="2"/>
      <c r="V465" s="2"/>
      <c r="W465" s="2"/>
      <c r="X465" s="2"/>
      <c r="Y465" s="2"/>
      <c r="Z465" s="2"/>
    </row>
    <row r="466">
      <c r="A466" s="531"/>
      <c r="B466" s="977"/>
      <c r="C466" s="119"/>
      <c r="D466" s="977"/>
      <c r="E466" s="977"/>
      <c r="F466" s="119"/>
      <c r="G466" s="119"/>
      <c r="H466" s="119"/>
      <c r="I466" s="119"/>
      <c r="J466" s="119"/>
      <c r="K466" s="117"/>
      <c r="L466" s="117"/>
      <c r="M466" s="2"/>
      <c r="N466" s="2"/>
      <c r="O466" s="2"/>
      <c r="P466" s="2"/>
      <c r="Q466" s="2"/>
      <c r="R466" s="2"/>
      <c r="S466" s="862"/>
      <c r="T466" s="109"/>
      <c r="U466" s="54"/>
      <c r="V466" s="54"/>
      <c r="W466" s="54"/>
      <c r="X466" s="54"/>
      <c r="Y466" s="54"/>
      <c r="Z466" s="54"/>
    </row>
    <row r="467">
      <c r="A467" s="531"/>
      <c r="B467" s="977"/>
      <c r="C467" s="119"/>
      <c r="D467" s="977"/>
      <c r="E467" s="977"/>
      <c r="F467" s="119"/>
      <c r="G467" s="119"/>
      <c r="H467" s="119"/>
      <c r="I467" s="119"/>
      <c r="J467" s="119"/>
      <c r="K467" s="117"/>
      <c r="L467" s="117"/>
      <c r="M467" s="2"/>
      <c r="N467" s="2"/>
      <c r="O467" s="2"/>
      <c r="P467" s="2"/>
      <c r="Q467" s="2"/>
      <c r="R467" s="2"/>
      <c r="S467" s="117"/>
      <c r="T467" s="2"/>
      <c r="U467" s="2"/>
      <c r="V467" s="2"/>
      <c r="W467" s="2"/>
      <c r="X467" s="2"/>
      <c r="Y467" s="2"/>
      <c r="Z467" s="2"/>
    </row>
    <row r="468">
      <c r="A468" s="531"/>
      <c r="B468" s="977"/>
      <c r="C468" s="119"/>
      <c r="D468" s="977"/>
      <c r="E468" s="977"/>
      <c r="F468" s="119"/>
      <c r="G468" s="119"/>
      <c r="H468" s="119"/>
      <c r="I468" s="119"/>
      <c r="J468" s="119"/>
      <c r="K468" s="117"/>
      <c r="L468" s="117"/>
      <c r="M468" s="2"/>
      <c r="N468" s="2"/>
      <c r="O468" s="2"/>
      <c r="P468" s="2"/>
      <c r="Q468" s="2"/>
      <c r="R468" s="2"/>
      <c r="S468" s="117"/>
      <c r="T468" s="2"/>
      <c r="U468" s="2"/>
      <c r="V468" s="2"/>
      <c r="W468" s="2"/>
      <c r="X468" s="2"/>
      <c r="Y468" s="2"/>
      <c r="Z468" s="2"/>
    </row>
    <row r="469">
      <c r="A469" s="531"/>
      <c r="B469" s="977"/>
      <c r="C469" s="119"/>
      <c r="D469" s="977"/>
      <c r="E469" s="977"/>
      <c r="F469" s="119"/>
      <c r="G469" s="119"/>
      <c r="H469" s="119"/>
      <c r="I469" s="119"/>
      <c r="J469" s="119"/>
      <c r="K469" s="117"/>
      <c r="L469" s="117"/>
      <c r="M469" s="2"/>
      <c r="N469" s="2"/>
      <c r="O469" s="2"/>
      <c r="P469" s="2"/>
      <c r="Q469" s="2"/>
      <c r="R469" s="2"/>
      <c r="S469" s="847"/>
      <c r="T469" s="847"/>
      <c r="U469" s="116"/>
      <c r="V469" s="116"/>
      <c r="W469" s="116"/>
      <c r="X469" s="116"/>
      <c r="Y469" s="116"/>
      <c r="Z469" s="116"/>
    </row>
    <row r="470">
      <c r="A470" s="531"/>
      <c r="B470" s="977"/>
      <c r="C470" s="119"/>
      <c r="D470" s="977"/>
      <c r="E470" s="977"/>
      <c r="F470" s="119"/>
      <c r="G470" s="119"/>
      <c r="H470" s="119"/>
      <c r="I470" s="119"/>
      <c r="J470" s="119"/>
      <c r="K470" s="117"/>
      <c r="L470" s="117"/>
      <c r="M470" s="2"/>
      <c r="N470" s="2"/>
      <c r="O470" s="2"/>
      <c r="P470" s="2"/>
      <c r="Q470" s="2"/>
      <c r="R470" s="2"/>
      <c r="S470" s="848"/>
      <c r="T470" s="848"/>
      <c r="U470" s="848"/>
      <c r="V470" s="848"/>
      <c r="W470" s="848"/>
      <c r="X470" s="848"/>
      <c r="Y470" s="848"/>
      <c r="Z470" s="848"/>
    </row>
    <row r="471">
      <c r="A471" s="531"/>
      <c r="B471" s="977"/>
      <c r="C471" s="119"/>
      <c r="D471" s="977"/>
      <c r="E471" s="977"/>
      <c r="F471" s="119"/>
      <c r="G471" s="119"/>
      <c r="H471" s="119"/>
      <c r="I471" s="119"/>
      <c r="J471" s="119"/>
      <c r="K471" s="117"/>
      <c r="L471" s="117"/>
      <c r="M471" s="2"/>
      <c r="N471" s="2"/>
      <c r="O471" s="2"/>
      <c r="P471" s="2"/>
      <c r="Q471" s="2"/>
      <c r="R471" s="2"/>
      <c r="S471" s="849"/>
      <c r="T471" s="850"/>
      <c r="U471" s="851"/>
      <c r="V471" s="851"/>
      <c r="W471" s="851"/>
      <c r="X471" s="851"/>
      <c r="Y471" s="851"/>
      <c r="Z471" s="851"/>
    </row>
    <row r="472">
      <c r="A472" s="531"/>
      <c r="B472" s="977"/>
      <c r="C472" s="119"/>
      <c r="D472" s="977"/>
      <c r="E472" s="977"/>
      <c r="F472" s="119"/>
      <c r="G472" s="119"/>
      <c r="H472" s="119"/>
      <c r="I472" s="119"/>
      <c r="J472" s="119"/>
      <c r="K472" s="117"/>
      <c r="L472" s="117"/>
      <c r="M472" s="2"/>
      <c r="N472" s="2"/>
      <c r="O472" s="2"/>
      <c r="P472" s="2"/>
      <c r="Q472" s="2"/>
      <c r="R472" s="2"/>
      <c r="S472" s="852"/>
      <c r="T472" s="853"/>
      <c r="U472" s="854"/>
      <c r="V472" s="854"/>
      <c r="W472" s="854"/>
      <c r="X472" s="854"/>
      <c r="Y472" s="854"/>
      <c r="Z472" s="854"/>
    </row>
    <row r="473">
      <c r="A473" s="531"/>
      <c r="B473" s="977"/>
      <c r="C473" s="119"/>
      <c r="D473" s="977"/>
      <c r="E473" s="977"/>
      <c r="F473" s="119"/>
      <c r="G473" s="119"/>
      <c r="H473" s="119"/>
      <c r="I473" s="119"/>
      <c r="J473" s="119"/>
      <c r="K473" s="117"/>
      <c r="L473" s="117"/>
      <c r="M473" s="2"/>
      <c r="N473" s="2"/>
      <c r="O473" s="2"/>
      <c r="P473" s="2"/>
      <c r="Q473" s="2"/>
      <c r="R473" s="2"/>
      <c r="S473" s="855"/>
      <c r="T473" s="856"/>
      <c r="U473" s="854"/>
      <c r="V473" s="854"/>
      <c r="W473" s="854"/>
      <c r="X473" s="854"/>
      <c r="Y473" s="854"/>
      <c r="Z473" s="854"/>
    </row>
    <row r="474">
      <c r="A474" s="531"/>
      <c r="B474" s="977"/>
      <c r="C474" s="119"/>
      <c r="D474" s="977"/>
      <c r="E474" s="977"/>
      <c r="F474" s="119"/>
      <c r="G474" s="119"/>
      <c r="H474" s="119"/>
      <c r="I474" s="119"/>
      <c r="J474" s="119"/>
      <c r="K474" s="117"/>
      <c r="L474" s="117"/>
      <c r="M474" s="2"/>
      <c r="N474" s="2"/>
      <c r="O474" s="2"/>
      <c r="P474" s="2"/>
      <c r="Q474" s="2"/>
      <c r="R474" s="2"/>
      <c r="S474" s="855"/>
      <c r="T474" s="856"/>
      <c r="U474" s="854"/>
      <c r="V474" s="854"/>
      <c r="W474" s="854"/>
      <c r="X474" s="854"/>
      <c r="Y474" s="854"/>
      <c r="Z474" s="854"/>
    </row>
    <row r="475">
      <c r="A475" s="531"/>
      <c r="B475" s="977"/>
      <c r="C475" s="119"/>
      <c r="D475" s="977"/>
      <c r="E475" s="977"/>
      <c r="F475" s="119"/>
      <c r="G475" s="119"/>
      <c r="H475" s="119"/>
      <c r="I475" s="119"/>
      <c r="J475" s="119"/>
      <c r="K475" s="117"/>
      <c r="L475" s="117"/>
      <c r="M475" s="2"/>
      <c r="N475" s="2"/>
      <c r="O475" s="2"/>
      <c r="P475" s="2"/>
      <c r="Q475" s="2"/>
      <c r="R475" s="2"/>
      <c r="S475" s="852"/>
      <c r="T475" s="853"/>
      <c r="U475" s="854"/>
      <c r="V475" s="854"/>
      <c r="W475" s="854"/>
      <c r="X475" s="854"/>
      <c r="Y475" s="854"/>
      <c r="Z475" s="854"/>
    </row>
    <row r="476">
      <c r="A476" s="531"/>
      <c r="B476" s="977"/>
      <c r="C476" s="119"/>
      <c r="D476" s="977"/>
      <c r="E476" s="977"/>
      <c r="F476" s="119"/>
      <c r="G476" s="119"/>
      <c r="H476" s="119"/>
      <c r="I476" s="119"/>
      <c r="J476" s="119"/>
      <c r="K476" s="117"/>
      <c r="L476" s="117"/>
      <c r="M476" s="2"/>
      <c r="N476" s="2"/>
      <c r="O476" s="2"/>
      <c r="P476" s="2"/>
      <c r="Q476" s="2"/>
      <c r="R476" s="2"/>
      <c r="S476" s="857"/>
      <c r="T476" s="858"/>
      <c r="U476" s="854"/>
      <c r="V476" s="854"/>
      <c r="W476" s="854"/>
      <c r="X476" s="854"/>
      <c r="Y476" s="854"/>
      <c r="Z476" s="854"/>
    </row>
    <row r="477">
      <c r="A477" s="531"/>
      <c r="B477" s="977"/>
      <c r="C477" s="119"/>
      <c r="D477" s="977"/>
      <c r="E477" s="977"/>
      <c r="F477" s="119"/>
      <c r="G477" s="119"/>
      <c r="H477" s="119"/>
      <c r="I477" s="119"/>
      <c r="J477" s="119"/>
      <c r="K477" s="117"/>
      <c r="L477" s="117"/>
      <c r="M477" s="2"/>
      <c r="N477" s="2"/>
      <c r="O477" s="2"/>
      <c r="P477" s="2"/>
      <c r="Q477" s="2"/>
      <c r="R477" s="2"/>
      <c r="S477" s="857"/>
      <c r="T477" s="858"/>
      <c r="U477" s="854"/>
      <c r="V477" s="854"/>
      <c r="W477" s="854"/>
      <c r="X477" s="854"/>
      <c r="Y477" s="854"/>
      <c r="Z477" s="854"/>
    </row>
    <row r="478">
      <c r="A478" s="531"/>
      <c r="B478" s="977"/>
      <c r="C478" s="119"/>
      <c r="D478" s="977"/>
      <c r="E478" s="977"/>
      <c r="F478" s="119"/>
      <c r="G478" s="119"/>
      <c r="H478" s="119"/>
      <c r="I478" s="119"/>
      <c r="J478" s="119"/>
      <c r="K478" s="117"/>
      <c r="L478" s="117"/>
      <c r="M478" s="2"/>
      <c r="N478" s="2"/>
      <c r="O478" s="2"/>
      <c r="P478" s="2"/>
      <c r="Q478" s="2"/>
      <c r="R478" s="2"/>
      <c r="S478" s="857"/>
      <c r="T478" s="858"/>
      <c r="U478" s="854"/>
      <c r="V478" s="854"/>
      <c r="W478" s="854"/>
      <c r="X478" s="854"/>
      <c r="Y478" s="854"/>
      <c r="Z478" s="854"/>
    </row>
    <row r="479">
      <c r="A479" s="531"/>
      <c r="B479" s="977"/>
      <c r="C479" s="119"/>
      <c r="D479" s="977"/>
      <c r="E479" s="977"/>
      <c r="F479" s="119"/>
      <c r="G479" s="119"/>
      <c r="H479" s="119"/>
      <c r="I479" s="119"/>
      <c r="J479" s="119"/>
      <c r="K479" s="117"/>
      <c r="L479" s="117"/>
      <c r="M479" s="2"/>
      <c r="N479" s="2"/>
      <c r="O479" s="2"/>
      <c r="P479" s="2"/>
      <c r="Q479" s="2"/>
      <c r="R479" s="2"/>
      <c r="S479" s="852"/>
      <c r="T479" s="853"/>
      <c r="U479" s="854"/>
      <c r="V479" s="854"/>
      <c r="W479" s="854"/>
      <c r="X479" s="854"/>
      <c r="Y479" s="854"/>
      <c r="Z479" s="854"/>
    </row>
    <row r="480">
      <c r="A480" s="531"/>
      <c r="B480" s="977"/>
      <c r="C480" s="119"/>
      <c r="D480" s="977"/>
      <c r="E480" s="977"/>
      <c r="F480" s="119"/>
      <c r="G480" s="119"/>
      <c r="H480" s="119"/>
      <c r="I480" s="119"/>
      <c r="J480" s="119"/>
      <c r="K480" s="117"/>
      <c r="L480" s="117"/>
      <c r="M480" s="2"/>
      <c r="N480" s="2"/>
      <c r="O480" s="2"/>
      <c r="P480" s="2"/>
      <c r="Q480" s="2"/>
      <c r="R480" s="2"/>
      <c r="S480" s="852"/>
      <c r="T480" s="853"/>
      <c r="U480" s="854"/>
      <c r="V480" s="854"/>
      <c r="W480" s="854"/>
      <c r="X480" s="854"/>
      <c r="Y480" s="854"/>
      <c r="Z480" s="854"/>
    </row>
    <row r="481">
      <c r="A481" s="531"/>
      <c r="B481" s="977"/>
      <c r="C481" s="119"/>
      <c r="D481" s="977"/>
      <c r="E481" s="977"/>
      <c r="F481" s="119"/>
      <c r="G481" s="119"/>
      <c r="H481" s="119"/>
      <c r="I481" s="119"/>
      <c r="J481" s="119"/>
      <c r="K481" s="117"/>
      <c r="L481" s="117"/>
      <c r="M481" s="2"/>
      <c r="N481" s="2"/>
      <c r="O481" s="2"/>
      <c r="P481" s="2"/>
      <c r="Q481" s="2"/>
      <c r="R481" s="2"/>
      <c r="S481" s="852"/>
      <c r="T481" s="853"/>
      <c r="U481" s="854"/>
      <c r="V481" s="854"/>
      <c r="W481" s="854"/>
      <c r="X481" s="854"/>
      <c r="Y481" s="854"/>
      <c r="Z481" s="854"/>
    </row>
    <row r="482">
      <c r="A482" s="531"/>
      <c r="B482" s="977"/>
      <c r="C482" s="119"/>
      <c r="D482" s="977"/>
      <c r="E482" s="977"/>
      <c r="F482" s="119"/>
      <c r="G482" s="119"/>
      <c r="H482" s="119"/>
      <c r="I482" s="119"/>
      <c r="J482" s="119"/>
      <c r="K482" s="117"/>
      <c r="L482" s="117"/>
      <c r="M482" s="2"/>
      <c r="N482" s="2"/>
      <c r="O482" s="2"/>
      <c r="P482" s="2"/>
      <c r="Q482" s="2"/>
      <c r="R482" s="2"/>
      <c r="S482" s="852"/>
      <c r="T482" s="853"/>
      <c r="U482" s="854"/>
      <c r="V482" s="854"/>
      <c r="W482" s="854"/>
      <c r="X482" s="854"/>
      <c r="Y482" s="854"/>
      <c r="Z482" s="854"/>
    </row>
    <row r="483">
      <c r="A483" s="531"/>
      <c r="B483" s="977"/>
      <c r="C483" s="119"/>
      <c r="D483" s="977"/>
      <c r="E483" s="977"/>
      <c r="F483" s="119"/>
      <c r="G483" s="119"/>
      <c r="H483" s="119"/>
      <c r="I483" s="119"/>
      <c r="J483" s="119"/>
      <c r="K483" s="117"/>
      <c r="L483" s="117"/>
      <c r="M483" s="2"/>
      <c r="N483" s="2"/>
      <c r="O483" s="2"/>
      <c r="P483" s="2"/>
      <c r="Q483" s="2"/>
      <c r="R483" s="2"/>
      <c r="S483" s="852"/>
      <c r="T483" s="859"/>
      <c r="U483" s="107"/>
      <c r="V483" s="107"/>
      <c r="W483" s="107"/>
      <c r="X483" s="107"/>
      <c r="Y483" s="107"/>
      <c r="Z483" s="107"/>
    </row>
    <row r="484">
      <c r="A484" s="531"/>
      <c r="B484" s="977"/>
      <c r="C484" s="119"/>
      <c r="D484" s="977"/>
      <c r="E484" s="977"/>
      <c r="F484" s="119"/>
      <c r="G484" s="119"/>
      <c r="H484" s="119"/>
      <c r="I484" s="119"/>
      <c r="J484" s="119"/>
      <c r="K484" s="117"/>
      <c r="L484" s="117"/>
      <c r="M484" s="2"/>
      <c r="N484" s="2"/>
      <c r="O484" s="2"/>
      <c r="P484" s="2"/>
      <c r="Q484" s="2"/>
      <c r="R484" s="2"/>
      <c r="S484" s="852"/>
      <c r="T484" s="859"/>
      <c r="U484" s="107"/>
      <c r="V484" s="107"/>
      <c r="W484" s="107"/>
      <c r="X484" s="107"/>
      <c r="Y484" s="107"/>
      <c r="Z484" s="107"/>
    </row>
    <row r="485">
      <c r="A485" s="531"/>
      <c r="B485" s="977"/>
      <c r="C485" s="119"/>
      <c r="D485" s="977"/>
      <c r="E485" s="977"/>
      <c r="F485" s="119"/>
      <c r="G485" s="119"/>
      <c r="H485" s="119"/>
      <c r="I485" s="119"/>
      <c r="J485" s="119"/>
      <c r="K485" s="117"/>
      <c r="L485" s="117"/>
      <c r="M485" s="2"/>
      <c r="N485" s="2"/>
      <c r="O485" s="2"/>
      <c r="P485" s="2"/>
      <c r="Q485" s="2"/>
      <c r="R485" s="2"/>
      <c r="S485" s="852"/>
      <c r="T485" s="859"/>
      <c r="U485" s="107"/>
      <c r="V485" s="107"/>
      <c r="W485" s="107"/>
      <c r="X485" s="107"/>
      <c r="Y485" s="107"/>
      <c r="Z485" s="107"/>
    </row>
    <row r="486">
      <c r="A486" s="531"/>
      <c r="B486" s="977"/>
      <c r="C486" s="119"/>
      <c r="D486" s="977"/>
      <c r="E486" s="977"/>
      <c r="F486" s="119"/>
      <c r="G486" s="119"/>
      <c r="H486" s="119"/>
      <c r="I486" s="119"/>
      <c r="J486" s="119"/>
      <c r="K486" s="117"/>
      <c r="L486" s="117"/>
      <c r="M486" s="2"/>
      <c r="N486" s="2"/>
      <c r="O486" s="2"/>
      <c r="P486" s="2"/>
      <c r="Q486" s="2"/>
      <c r="R486" s="2"/>
      <c r="S486" s="852"/>
      <c r="T486" s="859"/>
      <c r="U486" s="107"/>
      <c r="V486" s="107"/>
      <c r="W486" s="107"/>
      <c r="X486" s="107"/>
      <c r="Y486" s="107"/>
      <c r="Z486" s="107"/>
    </row>
    <row r="487">
      <c r="A487" s="531"/>
      <c r="B487" s="977"/>
      <c r="C487" s="119"/>
      <c r="D487" s="977"/>
      <c r="E487" s="977"/>
      <c r="F487" s="119"/>
      <c r="G487" s="119"/>
      <c r="H487" s="119"/>
      <c r="I487" s="119"/>
      <c r="J487" s="119"/>
      <c r="K487" s="117"/>
      <c r="L487" s="117"/>
      <c r="M487" s="2"/>
      <c r="N487" s="2"/>
      <c r="O487" s="2"/>
      <c r="P487" s="2"/>
      <c r="Q487" s="2"/>
      <c r="R487" s="2"/>
      <c r="S487" s="852"/>
      <c r="T487" s="859"/>
      <c r="U487" s="107"/>
      <c r="V487" s="107"/>
      <c r="W487" s="107"/>
      <c r="X487" s="107"/>
      <c r="Y487" s="107"/>
      <c r="Z487" s="107"/>
    </row>
    <row r="488">
      <c r="A488" s="531"/>
      <c r="B488" s="977"/>
      <c r="C488" s="119"/>
      <c r="D488" s="977"/>
      <c r="E488" s="977"/>
      <c r="F488" s="119"/>
      <c r="G488" s="119"/>
      <c r="H488" s="119"/>
      <c r="I488" s="119"/>
      <c r="J488" s="119"/>
      <c r="K488" s="117"/>
      <c r="L488" s="117"/>
      <c r="M488" s="2"/>
      <c r="N488" s="2"/>
      <c r="O488" s="2"/>
      <c r="P488" s="2"/>
      <c r="Q488" s="2"/>
      <c r="R488" s="2"/>
      <c r="S488" s="852"/>
      <c r="T488" s="859"/>
      <c r="U488" s="107"/>
      <c r="V488" s="107"/>
      <c r="W488" s="107"/>
      <c r="X488" s="107"/>
      <c r="Y488" s="107"/>
      <c r="Z488" s="107"/>
    </row>
    <row r="489">
      <c r="A489" s="531"/>
      <c r="B489" s="977"/>
      <c r="C489" s="119"/>
      <c r="D489" s="977"/>
      <c r="E489" s="977"/>
      <c r="F489" s="119"/>
      <c r="G489" s="119"/>
      <c r="H489" s="119"/>
      <c r="I489" s="119"/>
      <c r="J489" s="119"/>
      <c r="K489" s="117"/>
      <c r="L489" s="117"/>
      <c r="M489" s="2"/>
      <c r="N489" s="2"/>
      <c r="O489" s="2"/>
      <c r="P489" s="2"/>
      <c r="Q489" s="2"/>
      <c r="R489" s="2"/>
      <c r="S489" s="852"/>
      <c r="T489" s="859"/>
      <c r="U489" s="107"/>
      <c r="V489" s="107"/>
      <c r="W489" s="107"/>
      <c r="X489" s="107"/>
      <c r="Y489" s="107"/>
      <c r="Z489" s="107"/>
    </row>
    <row r="490">
      <c r="A490" s="531"/>
      <c r="B490" s="977"/>
      <c r="C490" s="119"/>
      <c r="D490" s="977"/>
      <c r="E490" s="977"/>
      <c r="F490" s="119"/>
      <c r="G490" s="119"/>
      <c r="H490" s="119"/>
      <c r="I490" s="119"/>
      <c r="J490" s="119"/>
      <c r="K490" s="117"/>
      <c r="L490" s="117"/>
      <c r="M490" s="2"/>
      <c r="N490" s="2"/>
      <c r="O490" s="2"/>
      <c r="P490" s="2"/>
      <c r="Q490" s="2"/>
      <c r="R490" s="2"/>
      <c r="S490" s="852"/>
      <c r="T490" s="859"/>
      <c r="U490" s="107"/>
      <c r="V490" s="107"/>
      <c r="W490" s="107"/>
      <c r="X490" s="107"/>
      <c r="Y490" s="107"/>
      <c r="Z490" s="107"/>
    </row>
    <row r="491">
      <c r="A491" s="531"/>
      <c r="B491" s="977"/>
      <c r="C491" s="119"/>
      <c r="D491" s="977"/>
      <c r="E491" s="977"/>
      <c r="F491" s="119"/>
      <c r="G491" s="119"/>
      <c r="H491" s="119"/>
      <c r="I491" s="119"/>
      <c r="J491" s="119"/>
      <c r="K491" s="117"/>
      <c r="L491" s="117"/>
      <c r="M491" s="2"/>
      <c r="N491" s="2"/>
      <c r="O491" s="2"/>
      <c r="P491" s="2"/>
      <c r="Q491" s="2"/>
      <c r="R491" s="2"/>
      <c r="S491" s="852"/>
      <c r="T491" s="859"/>
      <c r="U491" s="107"/>
      <c r="V491" s="107"/>
      <c r="W491" s="107"/>
      <c r="X491" s="107"/>
      <c r="Y491" s="107"/>
      <c r="Z491" s="107"/>
    </row>
    <row r="492">
      <c r="A492" s="531"/>
      <c r="B492" s="977"/>
      <c r="C492" s="119"/>
      <c r="D492" s="977"/>
      <c r="E492" s="977"/>
      <c r="F492" s="119"/>
      <c r="G492" s="119"/>
      <c r="H492" s="119"/>
      <c r="I492" s="119"/>
      <c r="J492" s="119"/>
      <c r="K492" s="117"/>
      <c r="L492" s="117"/>
      <c r="M492" s="2"/>
      <c r="N492" s="2"/>
      <c r="O492" s="2"/>
      <c r="P492" s="2"/>
      <c r="Q492" s="2"/>
      <c r="R492" s="2"/>
      <c r="S492" s="852"/>
      <c r="T492" s="859"/>
      <c r="U492" s="107"/>
      <c r="V492" s="107"/>
      <c r="W492" s="107"/>
      <c r="X492" s="107"/>
      <c r="Y492" s="107"/>
      <c r="Z492" s="107"/>
    </row>
    <row r="493">
      <c r="A493" s="531"/>
      <c r="B493" s="977"/>
      <c r="C493" s="119"/>
      <c r="D493" s="977"/>
      <c r="E493" s="977"/>
      <c r="F493" s="119"/>
      <c r="G493" s="119"/>
      <c r="H493" s="119"/>
      <c r="I493" s="119"/>
      <c r="J493" s="119"/>
      <c r="K493" s="117"/>
      <c r="L493" s="117"/>
      <c r="M493" s="2"/>
      <c r="N493" s="2"/>
      <c r="O493" s="2"/>
      <c r="P493" s="2"/>
      <c r="Q493" s="2"/>
      <c r="R493" s="2"/>
      <c r="S493" s="857"/>
      <c r="T493" s="860"/>
      <c r="U493" s="107"/>
      <c r="V493" s="107"/>
      <c r="W493" s="107"/>
      <c r="X493" s="107"/>
      <c r="Y493" s="107"/>
      <c r="Z493" s="107"/>
    </row>
    <row r="494">
      <c r="A494" s="531"/>
      <c r="B494" s="977"/>
      <c r="C494" s="119"/>
      <c r="D494" s="977"/>
      <c r="E494" s="977"/>
      <c r="F494" s="119"/>
      <c r="G494" s="119"/>
      <c r="H494" s="119"/>
      <c r="I494" s="119"/>
      <c r="J494" s="119"/>
      <c r="K494" s="117"/>
      <c r="L494" s="117"/>
      <c r="M494" s="2"/>
      <c r="N494" s="2"/>
      <c r="O494" s="2"/>
      <c r="P494" s="2"/>
      <c r="Q494" s="2"/>
      <c r="R494" s="2"/>
      <c r="S494" s="861"/>
      <c r="T494" s="111"/>
      <c r="U494" s="2"/>
      <c r="V494" s="2"/>
      <c r="W494" s="2"/>
      <c r="X494" s="2"/>
      <c r="Y494" s="2"/>
      <c r="Z494" s="2"/>
    </row>
    <row r="495">
      <c r="A495" s="531"/>
      <c r="B495" s="977"/>
      <c r="C495" s="119"/>
      <c r="D495" s="977"/>
      <c r="E495" s="977"/>
      <c r="F495" s="119"/>
      <c r="G495" s="119"/>
      <c r="H495" s="119"/>
      <c r="I495" s="119"/>
      <c r="J495" s="119"/>
      <c r="K495" s="117"/>
      <c r="L495" s="117"/>
      <c r="M495" s="2"/>
      <c r="N495" s="2"/>
      <c r="O495" s="2"/>
      <c r="P495" s="2"/>
      <c r="Q495" s="2"/>
      <c r="R495" s="2"/>
      <c r="S495" s="861"/>
      <c r="T495" s="111"/>
      <c r="U495" s="2"/>
      <c r="V495" s="2"/>
      <c r="W495" s="2"/>
      <c r="X495" s="2"/>
      <c r="Y495" s="2"/>
      <c r="Z495" s="2"/>
    </row>
    <row r="496">
      <c r="A496" s="531"/>
      <c r="B496" s="977"/>
      <c r="C496" s="119"/>
      <c r="D496" s="977"/>
      <c r="E496" s="977"/>
      <c r="F496" s="119"/>
      <c r="G496" s="119"/>
      <c r="H496" s="119"/>
      <c r="I496" s="119"/>
      <c r="J496" s="119"/>
      <c r="K496" s="117"/>
      <c r="L496" s="117"/>
      <c r="M496" s="2"/>
      <c r="N496" s="2"/>
      <c r="O496" s="2"/>
      <c r="P496" s="2"/>
      <c r="Q496" s="2"/>
      <c r="R496" s="2"/>
      <c r="S496" s="861"/>
      <c r="T496" s="111"/>
      <c r="U496" s="2"/>
      <c r="V496" s="2"/>
      <c r="W496" s="2"/>
      <c r="X496" s="2"/>
      <c r="Y496" s="2"/>
      <c r="Z496" s="2"/>
    </row>
    <row r="497">
      <c r="A497" s="531"/>
      <c r="B497" s="977"/>
      <c r="C497" s="119"/>
      <c r="D497" s="977"/>
      <c r="E497" s="977"/>
      <c r="F497" s="119"/>
      <c r="G497" s="119"/>
      <c r="H497" s="119"/>
      <c r="I497" s="119"/>
      <c r="J497" s="119"/>
      <c r="K497" s="117"/>
      <c r="L497" s="117"/>
      <c r="M497" s="2"/>
      <c r="N497" s="2"/>
      <c r="O497" s="2"/>
      <c r="P497" s="2"/>
      <c r="Q497" s="2"/>
      <c r="R497" s="2"/>
      <c r="S497" s="861"/>
      <c r="T497" s="111"/>
      <c r="U497" s="2"/>
      <c r="V497" s="2"/>
      <c r="W497" s="2"/>
      <c r="X497" s="2"/>
      <c r="Y497" s="2"/>
      <c r="Z497" s="2"/>
    </row>
    <row r="498">
      <c r="A498" s="531"/>
      <c r="B498" s="977"/>
      <c r="C498" s="119"/>
      <c r="D498" s="977"/>
      <c r="E498" s="977"/>
      <c r="F498" s="119"/>
      <c r="G498" s="119"/>
      <c r="H498" s="119"/>
      <c r="I498" s="119"/>
      <c r="J498" s="119"/>
      <c r="K498" s="117"/>
      <c r="L498" s="117"/>
      <c r="M498" s="2"/>
      <c r="N498" s="2"/>
      <c r="O498" s="2"/>
      <c r="P498" s="2"/>
      <c r="Q498" s="2"/>
      <c r="R498" s="2"/>
      <c r="S498" s="861"/>
      <c r="T498" s="111"/>
      <c r="U498" s="2"/>
      <c r="V498" s="2"/>
      <c r="W498" s="2"/>
      <c r="X498" s="2"/>
      <c r="Y498" s="2"/>
      <c r="Z498" s="2"/>
    </row>
    <row r="499">
      <c r="A499" s="531"/>
      <c r="B499" s="977"/>
      <c r="C499" s="119"/>
      <c r="D499" s="977"/>
      <c r="E499" s="977"/>
      <c r="F499" s="119"/>
      <c r="G499" s="119"/>
      <c r="H499" s="119"/>
      <c r="I499" s="119"/>
      <c r="J499" s="119"/>
      <c r="K499" s="117"/>
      <c r="L499" s="117"/>
      <c r="M499" s="2"/>
      <c r="N499" s="2"/>
      <c r="O499" s="2"/>
      <c r="P499" s="2"/>
      <c r="Q499" s="2"/>
      <c r="R499" s="2"/>
      <c r="S499" s="862"/>
      <c r="T499" s="109"/>
      <c r="U499" s="2"/>
      <c r="V499" s="2"/>
      <c r="W499" s="2"/>
      <c r="X499" s="2"/>
      <c r="Y499" s="2"/>
      <c r="Z499" s="2"/>
    </row>
    <row r="500">
      <c r="A500" s="531"/>
      <c r="B500" s="977"/>
      <c r="C500" s="119"/>
      <c r="D500" s="977"/>
      <c r="E500" s="977"/>
      <c r="F500" s="119"/>
      <c r="G500" s="119"/>
      <c r="H500" s="119"/>
      <c r="I500" s="119"/>
      <c r="J500" s="119"/>
      <c r="K500" s="117"/>
      <c r="L500" s="117"/>
      <c r="M500" s="2"/>
      <c r="N500" s="2"/>
      <c r="O500" s="2"/>
      <c r="P500" s="2"/>
      <c r="Q500" s="2"/>
      <c r="R500" s="2"/>
      <c r="S500" s="861"/>
      <c r="T500" s="111"/>
      <c r="U500" s="2"/>
      <c r="V500" s="2"/>
      <c r="W500" s="2"/>
      <c r="X500" s="2"/>
      <c r="Y500" s="2"/>
      <c r="Z500" s="2"/>
    </row>
    <row r="501">
      <c r="A501" s="531"/>
      <c r="B501" s="977"/>
      <c r="C501" s="119"/>
      <c r="D501" s="977"/>
      <c r="E501" s="977"/>
      <c r="F501" s="119"/>
      <c r="G501" s="119"/>
      <c r="H501" s="119"/>
      <c r="I501" s="119"/>
      <c r="J501" s="119"/>
      <c r="K501" s="117"/>
      <c r="L501" s="117"/>
      <c r="M501" s="2"/>
      <c r="N501" s="2"/>
      <c r="O501" s="2"/>
      <c r="P501" s="2"/>
      <c r="Q501" s="2"/>
      <c r="R501" s="2"/>
      <c r="S501" s="861"/>
      <c r="T501" s="111"/>
      <c r="U501" s="2"/>
      <c r="V501" s="2"/>
      <c r="W501" s="2"/>
      <c r="X501" s="2"/>
      <c r="Y501" s="2"/>
      <c r="Z501" s="2"/>
    </row>
    <row r="502">
      <c r="A502" s="531"/>
      <c r="B502" s="977"/>
      <c r="C502" s="119"/>
      <c r="D502" s="977"/>
      <c r="E502" s="977"/>
      <c r="F502" s="119"/>
      <c r="G502" s="119"/>
      <c r="H502" s="119"/>
      <c r="I502" s="119"/>
      <c r="J502" s="119"/>
      <c r="K502" s="117"/>
      <c r="L502" s="117"/>
      <c r="M502" s="2"/>
      <c r="N502" s="2"/>
      <c r="O502" s="2"/>
      <c r="P502" s="2"/>
      <c r="Q502" s="2"/>
      <c r="R502" s="2"/>
      <c r="S502" s="861"/>
      <c r="T502" s="111"/>
      <c r="U502" s="2"/>
      <c r="V502" s="2"/>
      <c r="W502" s="2"/>
      <c r="X502" s="2"/>
      <c r="Y502" s="2"/>
      <c r="Z502" s="2"/>
    </row>
    <row r="503">
      <c r="A503" s="531"/>
      <c r="B503" s="977"/>
      <c r="C503" s="119"/>
      <c r="D503" s="977"/>
      <c r="E503" s="977"/>
      <c r="F503" s="119"/>
      <c r="G503" s="119"/>
      <c r="H503" s="119"/>
      <c r="I503" s="119"/>
      <c r="J503" s="119"/>
      <c r="K503" s="117"/>
      <c r="L503" s="117"/>
      <c r="M503" s="2"/>
      <c r="N503" s="2"/>
      <c r="O503" s="2"/>
      <c r="P503" s="2"/>
      <c r="Q503" s="2"/>
      <c r="R503" s="2"/>
      <c r="S503" s="861"/>
      <c r="T503" s="111"/>
      <c r="U503" s="2"/>
      <c r="V503" s="2"/>
      <c r="W503" s="2"/>
      <c r="X503" s="2"/>
      <c r="Y503" s="2"/>
      <c r="Z503" s="2"/>
    </row>
    <row r="504">
      <c r="A504" s="531"/>
      <c r="B504" s="977"/>
      <c r="C504" s="119"/>
      <c r="D504" s="977"/>
      <c r="E504" s="977"/>
      <c r="F504" s="119"/>
      <c r="G504" s="119"/>
      <c r="H504" s="119"/>
      <c r="I504" s="119"/>
      <c r="J504" s="119"/>
      <c r="K504" s="117"/>
      <c r="L504" s="117"/>
      <c r="M504" s="2"/>
      <c r="N504" s="2"/>
      <c r="O504" s="2"/>
      <c r="P504" s="2"/>
      <c r="Q504" s="2"/>
      <c r="R504" s="2"/>
      <c r="S504" s="861"/>
      <c r="T504" s="111"/>
      <c r="U504" s="2"/>
      <c r="V504" s="2"/>
      <c r="W504" s="2"/>
      <c r="X504" s="2"/>
      <c r="Y504" s="2"/>
      <c r="Z504" s="2"/>
    </row>
    <row r="505">
      <c r="A505" s="531"/>
      <c r="B505" s="977"/>
      <c r="C505" s="119"/>
      <c r="D505" s="977"/>
      <c r="E505" s="977"/>
      <c r="F505" s="119"/>
      <c r="G505" s="119"/>
      <c r="H505" s="119"/>
      <c r="I505" s="119"/>
      <c r="J505" s="119"/>
      <c r="K505" s="117"/>
      <c r="L505" s="117"/>
      <c r="M505" s="2"/>
      <c r="N505" s="2"/>
      <c r="O505" s="2"/>
      <c r="P505" s="2"/>
      <c r="Q505" s="2"/>
      <c r="R505" s="2"/>
      <c r="S505" s="861"/>
      <c r="T505" s="111"/>
      <c r="U505" s="2"/>
      <c r="V505" s="2"/>
      <c r="W505" s="2"/>
      <c r="X505" s="2"/>
      <c r="Y505" s="2"/>
      <c r="Z505" s="2"/>
    </row>
    <row r="506">
      <c r="A506" s="531"/>
      <c r="B506" s="977"/>
      <c r="C506" s="119"/>
      <c r="D506" s="977"/>
      <c r="E506" s="977"/>
      <c r="F506" s="119"/>
      <c r="G506" s="119"/>
      <c r="H506" s="119"/>
      <c r="I506" s="119"/>
      <c r="J506" s="119"/>
      <c r="K506" s="117"/>
      <c r="L506" s="117"/>
      <c r="M506" s="2"/>
      <c r="N506" s="2"/>
      <c r="O506" s="2"/>
      <c r="P506" s="2"/>
      <c r="Q506" s="2"/>
      <c r="R506" s="2"/>
      <c r="S506" s="861"/>
      <c r="T506" s="111"/>
      <c r="U506" s="2"/>
      <c r="V506" s="2"/>
      <c r="W506" s="2"/>
      <c r="X506" s="2"/>
      <c r="Y506" s="2"/>
      <c r="Z506" s="2"/>
    </row>
    <row r="507">
      <c r="A507" s="531"/>
      <c r="B507" s="977"/>
      <c r="C507" s="119"/>
      <c r="D507" s="977"/>
      <c r="E507" s="977"/>
      <c r="F507" s="119"/>
      <c r="G507" s="119"/>
      <c r="H507" s="119"/>
      <c r="I507" s="119"/>
      <c r="J507" s="119"/>
      <c r="K507" s="117"/>
      <c r="L507" s="117"/>
      <c r="M507" s="2"/>
      <c r="N507" s="2"/>
      <c r="O507" s="2"/>
      <c r="P507" s="2"/>
      <c r="Q507" s="2"/>
      <c r="R507" s="2"/>
      <c r="S507" s="861"/>
      <c r="T507" s="111"/>
      <c r="U507" s="2"/>
      <c r="V507" s="2"/>
      <c r="W507" s="2"/>
      <c r="X507" s="2"/>
      <c r="Y507" s="2"/>
      <c r="Z507" s="2"/>
    </row>
    <row r="508">
      <c r="A508" s="531"/>
      <c r="B508" s="977"/>
      <c r="C508" s="119"/>
      <c r="D508" s="977"/>
      <c r="E508" s="977"/>
      <c r="F508" s="119"/>
      <c r="G508" s="119"/>
      <c r="H508" s="119"/>
      <c r="I508" s="119"/>
      <c r="J508" s="119"/>
      <c r="K508" s="117"/>
      <c r="L508" s="117"/>
      <c r="M508" s="2"/>
      <c r="N508" s="2"/>
      <c r="O508" s="2"/>
      <c r="P508" s="2"/>
      <c r="Q508" s="2"/>
      <c r="R508" s="2"/>
      <c r="S508" s="862"/>
      <c r="T508" s="109"/>
      <c r="U508" s="2"/>
      <c r="V508" s="2"/>
      <c r="W508" s="2"/>
      <c r="X508" s="2"/>
      <c r="Y508" s="2"/>
      <c r="Z508" s="2"/>
    </row>
    <row r="509">
      <c r="A509" s="531"/>
      <c r="B509" s="977"/>
      <c r="C509" s="119"/>
      <c r="D509" s="977"/>
      <c r="E509" s="977"/>
      <c r="F509" s="119"/>
      <c r="G509" s="119"/>
      <c r="H509" s="119"/>
      <c r="I509" s="119"/>
      <c r="J509" s="119"/>
      <c r="K509" s="117"/>
      <c r="L509" s="117"/>
      <c r="M509" s="2"/>
      <c r="N509" s="2"/>
      <c r="O509" s="2"/>
      <c r="P509" s="2"/>
      <c r="Q509" s="2"/>
      <c r="R509" s="2"/>
      <c r="S509" s="862"/>
      <c r="T509" s="109"/>
      <c r="U509" s="54"/>
      <c r="V509" s="54"/>
      <c r="W509" s="54"/>
      <c r="X509" s="54"/>
      <c r="Y509" s="54"/>
      <c r="Z509" s="54"/>
    </row>
    <row r="510">
      <c r="A510" s="531"/>
      <c r="B510" s="977"/>
      <c r="C510" s="119"/>
      <c r="D510" s="977"/>
      <c r="E510" s="977"/>
      <c r="F510" s="119"/>
      <c r="G510" s="119"/>
      <c r="H510" s="119"/>
      <c r="I510" s="119"/>
      <c r="J510" s="119"/>
      <c r="K510" s="117"/>
      <c r="L510" s="117"/>
      <c r="M510" s="2"/>
      <c r="N510" s="2"/>
      <c r="O510" s="2"/>
      <c r="P510" s="2"/>
      <c r="Q510" s="2"/>
      <c r="R510" s="2"/>
      <c r="S510" s="117"/>
      <c r="T510" s="2"/>
      <c r="U510" s="2"/>
      <c r="V510" s="2"/>
      <c r="W510" s="2"/>
      <c r="X510" s="2"/>
      <c r="Y510" s="2"/>
      <c r="Z510" s="2"/>
    </row>
    <row r="511">
      <c r="A511" s="531"/>
      <c r="B511" s="977"/>
      <c r="C511" s="119"/>
      <c r="D511" s="977"/>
      <c r="E511" s="977"/>
      <c r="F511" s="119"/>
      <c r="G511" s="119"/>
      <c r="H511" s="119"/>
      <c r="I511" s="119"/>
      <c r="J511" s="119"/>
      <c r="K511" s="117"/>
      <c r="L511" s="117"/>
      <c r="M511" s="2"/>
      <c r="N511" s="2"/>
      <c r="O511" s="2"/>
      <c r="P511" s="2"/>
      <c r="Q511" s="2"/>
      <c r="R511" s="2"/>
      <c r="S511" s="117"/>
      <c r="T511" s="2"/>
      <c r="U511" s="2"/>
      <c r="V511" s="2"/>
      <c r="W511" s="2"/>
      <c r="X511" s="2"/>
      <c r="Y511" s="2"/>
      <c r="Z511" s="2"/>
    </row>
    <row r="512">
      <c r="A512" s="531"/>
      <c r="B512" s="977"/>
      <c r="C512" s="119"/>
      <c r="D512" s="977"/>
      <c r="E512" s="977"/>
      <c r="F512" s="119"/>
      <c r="G512" s="119"/>
      <c r="H512" s="119"/>
      <c r="I512" s="119"/>
      <c r="J512" s="119"/>
      <c r="K512" s="117"/>
      <c r="L512" s="117"/>
      <c r="M512" s="2"/>
      <c r="N512" s="2"/>
      <c r="O512" s="2"/>
      <c r="P512" s="2"/>
      <c r="Q512" s="2"/>
      <c r="R512" s="2"/>
      <c r="S512" s="847"/>
      <c r="T512" s="847"/>
      <c r="U512" s="116"/>
      <c r="V512" s="116"/>
      <c r="W512" s="116"/>
      <c r="X512" s="116"/>
      <c r="Y512" s="116"/>
      <c r="Z512" s="116"/>
    </row>
    <row r="513">
      <c r="A513" s="531"/>
      <c r="B513" s="977"/>
      <c r="C513" s="119"/>
      <c r="D513" s="977"/>
      <c r="E513" s="977"/>
      <c r="F513" s="119"/>
      <c r="G513" s="119"/>
      <c r="H513" s="119"/>
      <c r="I513" s="119"/>
      <c r="J513" s="119"/>
      <c r="K513" s="117"/>
      <c r="L513" s="117"/>
      <c r="M513" s="2"/>
      <c r="N513" s="2"/>
      <c r="O513" s="2"/>
      <c r="P513" s="2"/>
      <c r="Q513" s="2"/>
      <c r="R513" s="2"/>
      <c r="S513" s="848"/>
      <c r="T513" s="848"/>
      <c r="U513" s="848"/>
      <c r="V513" s="848"/>
      <c r="W513" s="848"/>
      <c r="X513" s="848"/>
      <c r="Y513" s="848"/>
      <c r="Z513" s="848"/>
    </row>
    <row r="514">
      <c r="A514" s="531"/>
      <c r="B514" s="977"/>
      <c r="C514" s="119"/>
      <c r="D514" s="977"/>
      <c r="E514" s="977"/>
      <c r="F514" s="119"/>
      <c r="G514" s="119"/>
      <c r="H514" s="119"/>
      <c r="I514" s="119"/>
      <c r="J514" s="119"/>
      <c r="K514" s="117"/>
      <c r="L514" s="117"/>
      <c r="M514" s="2"/>
      <c r="N514" s="2"/>
      <c r="O514" s="2"/>
      <c r="P514" s="2"/>
      <c r="Q514" s="2"/>
      <c r="R514" s="2"/>
      <c r="S514" s="849"/>
      <c r="T514" s="850"/>
      <c r="U514" s="851"/>
      <c r="V514" s="851"/>
      <c r="W514" s="851"/>
      <c r="X514" s="851"/>
      <c r="Y514" s="851"/>
      <c r="Z514" s="851"/>
    </row>
    <row r="515">
      <c r="A515" s="531"/>
      <c r="B515" s="977"/>
      <c r="C515" s="119"/>
      <c r="D515" s="977"/>
      <c r="E515" s="977"/>
      <c r="F515" s="119"/>
      <c r="G515" s="119"/>
      <c r="H515" s="119"/>
      <c r="I515" s="119"/>
      <c r="J515" s="119"/>
      <c r="K515" s="117"/>
      <c r="L515" s="117"/>
      <c r="M515" s="2"/>
      <c r="N515" s="2"/>
      <c r="O515" s="2"/>
      <c r="P515" s="2"/>
      <c r="Q515" s="2"/>
      <c r="R515" s="2"/>
      <c r="S515" s="852"/>
      <c r="T515" s="853"/>
      <c r="U515" s="854"/>
      <c r="V515" s="854"/>
      <c r="W515" s="854"/>
      <c r="X515" s="854"/>
      <c r="Y515" s="854"/>
      <c r="Z515" s="854"/>
    </row>
    <row r="516">
      <c r="A516" s="531"/>
      <c r="B516" s="977"/>
      <c r="C516" s="119"/>
      <c r="D516" s="977"/>
      <c r="E516" s="977"/>
      <c r="F516" s="119"/>
      <c r="G516" s="119"/>
      <c r="H516" s="119"/>
      <c r="I516" s="119"/>
      <c r="J516" s="119"/>
      <c r="K516" s="117"/>
      <c r="L516" s="117"/>
      <c r="M516" s="2"/>
      <c r="N516" s="2"/>
      <c r="O516" s="2"/>
      <c r="P516" s="2"/>
      <c r="Q516" s="2"/>
      <c r="R516" s="2"/>
      <c r="S516" s="855"/>
      <c r="T516" s="856"/>
      <c r="U516" s="854"/>
      <c r="V516" s="854"/>
      <c r="W516" s="854"/>
      <c r="X516" s="854"/>
      <c r="Y516" s="854"/>
      <c r="Z516" s="854"/>
    </row>
    <row r="517">
      <c r="A517" s="531"/>
      <c r="B517" s="977"/>
      <c r="C517" s="119"/>
      <c r="D517" s="977"/>
      <c r="E517" s="977"/>
      <c r="F517" s="119"/>
      <c r="G517" s="119"/>
      <c r="H517" s="119"/>
      <c r="I517" s="119"/>
      <c r="J517" s="119"/>
      <c r="K517" s="117"/>
      <c r="L517" s="117"/>
      <c r="M517" s="2"/>
      <c r="N517" s="2"/>
      <c r="O517" s="2"/>
      <c r="P517" s="2"/>
      <c r="Q517" s="2"/>
      <c r="R517" s="2"/>
      <c r="S517" s="855"/>
      <c r="T517" s="856"/>
      <c r="U517" s="854"/>
      <c r="V517" s="854"/>
      <c r="W517" s="854"/>
      <c r="X517" s="854"/>
      <c r="Y517" s="854"/>
      <c r="Z517" s="854"/>
    </row>
    <row r="518">
      <c r="A518" s="531"/>
      <c r="B518" s="977"/>
      <c r="C518" s="119"/>
      <c r="D518" s="977"/>
      <c r="E518" s="977"/>
      <c r="F518" s="119"/>
      <c r="G518" s="119"/>
      <c r="H518" s="119"/>
      <c r="I518" s="119"/>
      <c r="J518" s="119"/>
      <c r="K518" s="117"/>
      <c r="L518" s="117"/>
      <c r="M518" s="2"/>
      <c r="N518" s="2"/>
      <c r="O518" s="2"/>
      <c r="P518" s="2"/>
      <c r="Q518" s="2"/>
      <c r="R518" s="2"/>
      <c r="S518" s="852"/>
      <c r="T518" s="853"/>
      <c r="U518" s="854"/>
      <c r="V518" s="854"/>
      <c r="W518" s="854"/>
      <c r="X518" s="854"/>
      <c r="Y518" s="854"/>
      <c r="Z518" s="854"/>
    </row>
    <row r="519">
      <c r="A519" s="531"/>
      <c r="B519" s="977"/>
      <c r="C519" s="119"/>
      <c r="D519" s="977"/>
      <c r="E519" s="977"/>
      <c r="F519" s="119"/>
      <c r="G519" s="119"/>
      <c r="H519" s="119"/>
      <c r="I519" s="119"/>
      <c r="J519" s="119"/>
      <c r="K519" s="117"/>
      <c r="L519" s="117"/>
      <c r="M519" s="2"/>
      <c r="N519" s="2"/>
      <c r="O519" s="2"/>
      <c r="P519" s="2"/>
      <c r="Q519" s="2"/>
      <c r="R519" s="2"/>
      <c r="S519" s="857"/>
      <c r="T519" s="858"/>
      <c r="U519" s="854"/>
      <c r="V519" s="854"/>
      <c r="W519" s="854"/>
      <c r="X519" s="854"/>
      <c r="Y519" s="854"/>
      <c r="Z519" s="854"/>
    </row>
    <row r="520">
      <c r="A520" s="531"/>
      <c r="B520" s="977"/>
      <c r="C520" s="119"/>
      <c r="D520" s="977"/>
      <c r="E520" s="977"/>
      <c r="F520" s="119"/>
      <c r="G520" s="119"/>
      <c r="H520" s="119"/>
      <c r="I520" s="119"/>
      <c r="J520" s="119"/>
      <c r="K520" s="117"/>
      <c r="L520" s="117"/>
      <c r="M520" s="2"/>
      <c r="N520" s="2"/>
      <c r="O520" s="2"/>
      <c r="P520" s="2"/>
      <c r="Q520" s="2"/>
      <c r="R520" s="2"/>
      <c r="S520" s="857"/>
      <c r="T520" s="858"/>
      <c r="U520" s="854"/>
      <c r="V520" s="854"/>
      <c r="W520" s="854"/>
      <c r="X520" s="854"/>
      <c r="Y520" s="854"/>
      <c r="Z520" s="854"/>
    </row>
    <row r="521">
      <c r="A521" s="531"/>
      <c r="B521" s="977"/>
      <c r="C521" s="119"/>
      <c r="D521" s="977"/>
      <c r="E521" s="977"/>
      <c r="F521" s="119"/>
      <c r="G521" s="119"/>
      <c r="H521" s="119"/>
      <c r="I521" s="119"/>
      <c r="J521" s="119"/>
      <c r="K521" s="117"/>
      <c r="L521" s="117"/>
      <c r="M521" s="2"/>
      <c r="N521" s="2"/>
      <c r="O521" s="2"/>
      <c r="P521" s="2"/>
      <c r="Q521" s="2"/>
      <c r="R521" s="2"/>
      <c r="S521" s="857"/>
      <c r="T521" s="858"/>
      <c r="U521" s="854"/>
      <c r="V521" s="854"/>
      <c r="W521" s="854"/>
      <c r="X521" s="854"/>
      <c r="Y521" s="854"/>
      <c r="Z521" s="854"/>
    </row>
    <row r="522">
      <c r="A522" s="531"/>
      <c r="B522" s="977"/>
      <c r="C522" s="119"/>
      <c r="D522" s="977"/>
      <c r="E522" s="977"/>
      <c r="F522" s="119"/>
      <c r="G522" s="119"/>
      <c r="H522" s="119"/>
      <c r="I522" s="119"/>
      <c r="J522" s="119"/>
      <c r="K522" s="117"/>
      <c r="L522" s="117"/>
      <c r="M522" s="2"/>
      <c r="N522" s="2"/>
      <c r="O522" s="2"/>
      <c r="P522" s="2"/>
      <c r="Q522" s="2"/>
      <c r="R522" s="2"/>
      <c r="S522" s="852"/>
      <c r="T522" s="853"/>
      <c r="U522" s="854"/>
      <c r="V522" s="854"/>
      <c r="W522" s="854"/>
      <c r="X522" s="854"/>
      <c r="Y522" s="854"/>
      <c r="Z522" s="854"/>
    </row>
    <row r="523">
      <c r="A523" s="531"/>
      <c r="B523" s="977"/>
      <c r="C523" s="119"/>
      <c r="D523" s="977"/>
      <c r="E523" s="977"/>
      <c r="F523" s="119"/>
      <c r="G523" s="119"/>
      <c r="H523" s="119"/>
      <c r="I523" s="119"/>
      <c r="J523" s="119"/>
      <c r="K523" s="117"/>
      <c r="L523" s="117"/>
      <c r="M523" s="2"/>
      <c r="N523" s="2"/>
      <c r="O523" s="2"/>
      <c r="P523" s="2"/>
      <c r="Q523" s="2"/>
      <c r="R523" s="2"/>
      <c r="S523" s="852"/>
      <c r="T523" s="853"/>
      <c r="U523" s="854"/>
      <c r="V523" s="854"/>
      <c r="W523" s="854"/>
      <c r="X523" s="854"/>
      <c r="Y523" s="854"/>
      <c r="Z523" s="854"/>
    </row>
    <row r="524">
      <c r="A524" s="531"/>
      <c r="B524" s="977"/>
      <c r="C524" s="119"/>
      <c r="D524" s="977"/>
      <c r="E524" s="977"/>
      <c r="F524" s="119"/>
      <c r="G524" s="119"/>
      <c r="H524" s="119"/>
      <c r="I524" s="119"/>
      <c r="J524" s="119"/>
      <c r="K524" s="117"/>
      <c r="L524" s="117"/>
      <c r="M524" s="2"/>
      <c r="N524" s="2"/>
      <c r="O524" s="2"/>
      <c r="P524" s="2"/>
      <c r="Q524" s="2"/>
      <c r="R524" s="2"/>
      <c r="S524" s="852"/>
      <c r="T524" s="853"/>
      <c r="U524" s="854"/>
      <c r="V524" s="854"/>
      <c r="W524" s="854"/>
      <c r="X524" s="854"/>
      <c r="Y524" s="854"/>
      <c r="Z524" s="854"/>
    </row>
    <row r="525">
      <c r="A525" s="531"/>
      <c r="B525" s="977"/>
      <c r="C525" s="119"/>
      <c r="D525" s="977"/>
      <c r="E525" s="977"/>
      <c r="F525" s="119"/>
      <c r="G525" s="119"/>
      <c r="H525" s="119"/>
      <c r="I525" s="119"/>
      <c r="J525" s="119"/>
      <c r="K525" s="117"/>
      <c r="L525" s="117"/>
      <c r="M525" s="2"/>
      <c r="N525" s="2"/>
      <c r="O525" s="2"/>
      <c r="P525" s="2"/>
      <c r="Q525" s="2"/>
      <c r="R525" s="2"/>
      <c r="S525" s="852"/>
      <c r="T525" s="853"/>
      <c r="U525" s="854"/>
      <c r="V525" s="854"/>
      <c r="W525" s="854"/>
      <c r="X525" s="854"/>
      <c r="Y525" s="854"/>
      <c r="Z525" s="854"/>
    </row>
    <row r="526">
      <c r="A526" s="531"/>
      <c r="B526" s="977"/>
      <c r="C526" s="119"/>
      <c r="D526" s="977"/>
      <c r="E526" s="977"/>
      <c r="F526" s="119"/>
      <c r="G526" s="119"/>
      <c r="H526" s="119"/>
      <c r="I526" s="119"/>
      <c r="J526" s="119"/>
      <c r="K526" s="117"/>
      <c r="L526" s="117"/>
      <c r="M526" s="2"/>
      <c r="N526" s="2"/>
      <c r="O526" s="2"/>
      <c r="P526" s="2"/>
      <c r="Q526" s="2"/>
      <c r="R526" s="2"/>
      <c r="S526" s="852"/>
      <c r="T526" s="859"/>
      <c r="U526" s="107"/>
      <c r="V526" s="107"/>
      <c r="W526" s="107"/>
      <c r="X526" s="107"/>
      <c r="Y526" s="107"/>
      <c r="Z526" s="107"/>
    </row>
    <row r="527">
      <c r="A527" s="531"/>
      <c r="B527" s="977"/>
      <c r="C527" s="119"/>
      <c r="D527" s="977"/>
      <c r="E527" s="977"/>
      <c r="F527" s="119"/>
      <c r="G527" s="119"/>
      <c r="H527" s="119"/>
      <c r="I527" s="119"/>
      <c r="J527" s="119"/>
      <c r="K527" s="117"/>
      <c r="L527" s="117"/>
      <c r="M527" s="2"/>
      <c r="N527" s="2"/>
      <c r="O527" s="2"/>
      <c r="P527" s="2"/>
      <c r="Q527" s="2"/>
      <c r="R527" s="2"/>
      <c r="S527" s="852"/>
      <c r="T527" s="859"/>
      <c r="U527" s="107"/>
      <c r="V527" s="107"/>
      <c r="W527" s="107"/>
      <c r="X527" s="107"/>
      <c r="Y527" s="107"/>
      <c r="Z527" s="107"/>
    </row>
    <row r="528">
      <c r="A528" s="531"/>
      <c r="B528" s="977"/>
      <c r="C528" s="119"/>
      <c r="D528" s="977"/>
      <c r="E528" s="977"/>
      <c r="F528" s="119"/>
      <c r="G528" s="119"/>
      <c r="H528" s="119"/>
      <c r="I528" s="119"/>
      <c r="J528" s="119"/>
      <c r="K528" s="117"/>
      <c r="L528" s="117"/>
      <c r="M528" s="2"/>
      <c r="N528" s="2"/>
      <c r="O528" s="2"/>
      <c r="P528" s="2"/>
      <c r="Q528" s="2"/>
      <c r="R528" s="2"/>
      <c r="S528" s="852"/>
      <c r="T528" s="859"/>
      <c r="U528" s="107"/>
      <c r="V528" s="107"/>
      <c r="W528" s="107"/>
      <c r="X528" s="107"/>
      <c r="Y528" s="107"/>
      <c r="Z528" s="107"/>
    </row>
    <row r="529">
      <c r="A529" s="531"/>
      <c r="B529" s="977"/>
      <c r="C529" s="119"/>
      <c r="D529" s="977"/>
      <c r="E529" s="977"/>
      <c r="F529" s="119"/>
      <c r="G529" s="119"/>
      <c r="H529" s="119"/>
      <c r="I529" s="119"/>
      <c r="J529" s="119"/>
      <c r="K529" s="117"/>
      <c r="L529" s="117"/>
      <c r="M529" s="2"/>
      <c r="N529" s="2"/>
      <c r="O529" s="2"/>
      <c r="P529" s="2"/>
      <c r="Q529" s="2"/>
      <c r="R529" s="2"/>
      <c r="S529" s="852"/>
      <c r="T529" s="859"/>
      <c r="U529" s="107"/>
      <c r="V529" s="107"/>
      <c r="W529" s="107"/>
      <c r="X529" s="107"/>
      <c r="Y529" s="107"/>
      <c r="Z529" s="107"/>
    </row>
    <row r="530">
      <c r="A530" s="531"/>
      <c r="B530" s="977"/>
      <c r="C530" s="119"/>
      <c r="D530" s="977"/>
      <c r="E530" s="977"/>
      <c r="F530" s="119"/>
      <c r="G530" s="119"/>
      <c r="H530" s="119"/>
      <c r="I530" s="119"/>
      <c r="J530" s="119"/>
      <c r="K530" s="117"/>
      <c r="L530" s="117"/>
      <c r="M530" s="2"/>
      <c r="N530" s="2"/>
      <c r="O530" s="2"/>
      <c r="P530" s="2"/>
      <c r="Q530" s="2"/>
      <c r="R530" s="2"/>
      <c r="S530" s="852"/>
      <c r="T530" s="859"/>
      <c r="U530" s="107"/>
      <c r="V530" s="107"/>
      <c r="W530" s="107"/>
      <c r="X530" s="107"/>
      <c r="Y530" s="107"/>
      <c r="Z530" s="107"/>
    </row>
    <row r="531">
      <c r="A531" s="531"/>
      <c r="B531" s="977"/>
      <c r="C531" s="119"/>
      <c r="D531" s="977"/>
      <c r="E531" s="977"/>
      <c r="F531" s="119"/>
      <c r="G531" s="119"/>
      <c r="H531" s="119"/>
      <c r="I531" s="119"/>
      <c r="J531" s="119"/>
      <c r="K531" s="117"/>
      <c r="L531" s="117"/>
      <c r="M531" s="2"/>
      <c r="N531" s="2"/>
      <c r="O531" s="2"/>
      <c r="P531" s="2"/>
      <c r="Q531" s="2"/>
      <c r="R531" s="2"/>
      <c r="S531" s="852"/>
      <c r="T531" s="859"/>
      <c r="U531" s="107"/>
      <c r="V531" s="107"/>
      <c r="W531" s="107"/>
      <c r="X531" s="107"/>
      <c r="Y531" s="107"/>
      <c r="Z531" s="107"/>
    </row>
    <row r="532">
      <c r="A532" s="531"/>
      <c r="B532" s="977"/>
      <c r="C532" s="119"/>
      <c r="D532" s="977"/>
      <c r="E532" s="977"/>
      <c r="F532" s="119"/>
      <c r="G532" s="119"/>
      <c r="H532" s="119"/>
      <c r="I532" s="119"/>
      <c r="J532" s="119"/>
      <c r="K532" s="117"/>
      <c r="L532" s="117"/>
      <c r="M532" s="2"/>
      <c r="N532" s="2"/>
      <c r="O532" s="2"/>
      <c r="P532" s="2"/>
      <c r="Q532" s="2"/>
      <c r="R532" s="2"/>
      <c r="S532" s="852"/>
      <c r="T532" s="859"/>
      <c r="U532" s="107"/>
      <c r="V532" s="107"/>
      <c r="W532" s="107"/>
      <c r="X532" s="107"/>
      <c r="Y532" s="107"/>
      <c r="Z532" s="107"/>
    </row>
    <row r="533">
      <c r="A533" s="531"/>
      <c r="B533" s="977"/>
      <c r="C533" s="119"/>
      <c r="D533" s="977"/>
      <c r="E533" s="977"/>
      <c r="F533" s="119"/>
      <c r="G533" s="119"/>
      <c r="H533" s="119"/>
      <c r="I533" s="119"/>
      <c r="J533" s="119"/>
      <c r="K533" s="117"/>
      <c r="L533" s="117"/>
      <c r="M533" s="2"/>
      <c r="N533" s="2"/>
      <c r="O533" s="2"/>
      <c r="P533" s="2"/>
      <c r="Q533" s="2"/>
      <c r="R533" s="2"/>
      <c r="S533" s="852"/>
      <c r="T533" s="859"/>
      <c r="U533" s="107"/>
      <c r="V533" s="107"/>
      <c r="W533" s="107"/>
      <c r="X533" s="107"/>
      <c r="Y533" s="107"/>
      <c r="Z533" s="107"/>
    </row>
    <row r="534">
      <c r="A534" s="531"/>
      <c r="B534" s="977"/>
      <c r="C534" s="119"/>
      <c r="D534" s="977"/>
      <c r="E534" s="977"/>
      <c r="F534" s="119"/>
      <c r="G534" s="119"/>
      <c r="H534" s="119"/>
      <c r="I534" s="119"/>
      <c r="J534" s="119"/>
      <c r="K534" s="117"/>
      <c r="L534" s="117"/>
      <c r="M534" s="2"/>
      <c r="N534" s="2"/>
      <c r="O534" s="2"/>
      <c r="P534" s="2"/>
      <c r="Q534" s="2"/>
      <c r="R534" s="2"/>
      <c r="S534" s="852"/>
      <c r="T534" s="859"/>
      <c r="U534" s="107"/>
      <c r="V534" s="107"/>
      <c r="W534" s="107"/>
      <c r="X534" s="107"/>
      <c r="Y534" s="107"/>
      <c r="Z534" s="107"/>
    </row>
    <row r="535">
      <c r="A535" s="531"/>
      <c r="B535" s="977"/>
      <c r="C535" s="119"/>
      <c r="D535" s="977"/>
      <c r="E535" s="977"/>
      <c r="F535" s="119"/>
      <c r="G535" s="119"/>
      <c r="H535" s="119"/>
      <c r="I535" s="119"/>
      <c r="J535" s="119"/>
      <c r="K535" s="117"/>
      <c r="L535" s="117"/>
      <c r="M535" s="2"/>
      <c r="N535" s="2"/>
      <c r="O535" s="2"/>
      <c r="P535" s="2"/>
      <c r="Q535" s="2"/>
      <c r="R535" s="2"/>
      <c r="S535" s="852"/>
      <c r="T535" s="859"/>
      <c r="U535" s="107"/>
      <c r="V535" s="107"/>
      <c r="W535" s="107"/>
      <c r="X535" s="107"/>
      <c r="Y535" s="107"/>
      <c r="Z535" s="107"/>
    </row>
    <row r="536">
      <c r="A536" s="531"/>
      <c r="B536" s="977"/>
      <c r="C536" s="119"/>
      <c r="D536" s="977"/>
      <c r="E536" s="977"/>
      <c r="F536" s="119"/>
      <c r="G536" s="119"/>
      <c r="H536" s="119"/>
      <c r="I536" s="119"/>
      <c r="J536" s="119"/>
      <c r="K536" s="117"/>
      <c r="L536" s="117"/>
      <c r="M536" s="2"/>
      <c r="N536" s="2"/>
      <c r="O536" s="2"/>
      <c r="P536" s="2"/>
      <c r="Q536" s="2"/>
      <c r="R536" s="2"/>
      <c r="S536" s="857"/>
      <c r="T536" s="860"/>
      <c r="U536" s="107"/>
      <c r="V536" s="107"/>
      <c r="W536" s="107"/>
      <c r="X536" s="107"/>
      <c r="Y536" s="107"/>
      <c r="Z536" s="107"/>
    </row>
    <row r="537">
      <c r="A537" s="531"/>
      <c r="B537" s="977"/>
      <c r="C537" s="119"/>
      <c r="D537" s="977"/>
      <c r="E537" s="977"/>
      <c r="F537" s="119"/>
      <c r="G537" s="119"/>
      <c r="H537" s="119"/>
      <c r="I537" s="119"/>
      <c r="J537" s="119"/>
      <c r="K537" s="117"/>
      <c r="L537" s="117"/>
      <c r="M537" s="2"/>
      <c r="N537" s="2"/>
      <c r="O537" s="2"/>
      <c r="P537" s="2"/>
      <c r="Q537" s="2"/>
      <c r="R537" s="2"/>
      <c r="S537" s="861"/>
      <c r="T537" s="111"/>
      <c r="U537" s="2"/>
      <c r="V537" s="2"/>
      <c r="W537" s="2"/>
      <c r="X537" s="2"/>
      <c r="Y537" s="2"/>
      <c r="Z537" s="2"/>
    </row>
    <row r="538">
      <c r="A538" s="531"/>
      <c r="B538" s="977"/>
      <c r="C538" s="119"/>
      <c r="D538" s="977"/>
      <c r="E538" s="977"/>
      <c r="F538" s="119"/>
      <c r="G538" s="119"/>
      <c r="H538" s="119"/>
      <c r="I538" s="119"/>
      <c r="J538" s="119"/>
      <c r="K538" s="117"/>
      <c r="L538" s="117"/>
      <c r="M538" s="2"/>
      <c r="N538" s="2"/>
      <c r="O538" s="2"/>
      <c r="P538" s="2"/>
      <c r="Q538" s="2"/>
      <c r="R538" s="2"/>
      <c r="S538" s="861"/>
      <c r="T538" s="111"/>
      <c r="U538" s="2"/>
      <c r="V538" s="2"/>
      <c r="W538" s="2"/>
      <c r="X538" s="2"/>
      <c r="Y538" s="2"/>
      <c r="Z538" s="2"/>
    </row>
    <row r="539">
      <c r="A539" s="531"/>
      <c r="B539" s="977"/>
      <c r="C539" s="119"/>
      <c r="D539" s="977"/>
      <c r="E539" s="977"/>
      <c r="F539" s="119"/>
      <c r="G539" s="119"/>
      <c r="H539" s="119"/>
      <c r="I539" s="119"/>
      <c r="J539" s="119"/>
      <c r="K539" s="117"/>
      <c r="L539" s="117"/>
      <c r="M539" s="2"/>
      <c r="N539" s="2"/>
      <c r="O539" s="2"/>
      <c r="P539" s="2"/>
      <c r="Q539" s="2"/>
      <c r="R539" s="2"/>
      <c r="S539" s="861"/>
      <c r="T539" s="111"/>
      <c r="U539" s="2"/>
      <c r="V539" s="2"/>
      <c r="W539" s="2"/>
      <c r="X539" s="2"/>
      <c r="Y539" s="2"/>
      <c r="Z539" s="2"/>
    </row>
    <row r="540">
      <c r="A540" s="531"/>
      <c r="B540" s="977"/>
      <c r="C540" s="119"/>
      <c r="D540" s="977"/>
      <c r="E540" s="977"/>
      <c r="F540" s="119"/>
      <c r="G540" s="119"/>
      <c r="H540" s="119"/>
      <c r="I540" s="119"/>
      <c r="J540" s="119"/>
      <c r="K540" s="117"/>
      <c r="L540" s="117"/>
      <c r="M540" s="2"/>
      <c r="N540" s="2"/>
      <c r="O540" s="2"/>
      <c r="P540" s="2"/>
      <c r="Q540" s="2"/>
      <c r="R540" s="2"/>
      <c r="S540" s="861"/>
      <c r="T540" s="111"/>
      <c r="U540" s="2"/>
      <c r="V540" s="2"/>
      <c r="W540" s="2"/>
      <c r="X540" s="2"/>
      <c r="Y540" s="2"/>
      <c r="Z540" s="2"/>
    </row>
    <row r="541">
      <c r="A541" s="531"/>
      <c r="B541" s="977"/>
      <c r="C541" s="119"/>
      <c r="D541" s="977"/>
      <c r="E541" s="977"/>
      <c r="F541" s="119"/>
      <c r="G541" s="119"/>
      <c r="H541" s="119"/>
      <c r="I541" s="119"/>
      <c r="J541" s="119"/>
      <c r="K541" s="117"/>
      <c r="L541" s="117"/>
      <c r="M541" s="2"/>
      <c r="N541" s="2"/>
      <c r="O541" s="2"/>
      <c r="P541" s="2"/>
      <c r="Q541" s="2"/>
      <c r="R541" s="2"/>
      <c r="S541" s="861"/>
      <c r="T541" s="111"/>
      <c r="U541" s="2"/>
      <c r="V541" s="2"/>
      <c r="W541" s="2"/>
      <c r="X541" s="2"/>
      <c r="Y541" s="2"/>
      <c r="Z541" s="2"/>
    </row>
    <row r="542">
      <c r="A542" s="531"/>
      <c r="B542" s="977"/>
      <c r="C542" s="119"/>
      <c r="D542" s="977"/>
      <c r="E542" s="977"/>
      <c r="F542" s="119"/>
      <c r="G542" s="119"/>
      <c r="H542" s="119"/>
      <c r="I542" s="119"/>
      <c r="J542" s="119"/>
      <c r="K542" s="117"/>
      <c r="L542" s="117"/>
      <c r="M542" s="2"/>
      <c r="N542" s="2"/>
      <c r="O542" s="2"/>
      <c r="P542" s="2"/>
      <c r="Q542" s="2"/>
      <c r="R542" s="2"/>
      <c r="S542" s="862"/>
      <c r="T542" s="109"/>
      <c r="U542" s="2"/>
      <c r="V542" s="2"/>
      <c r="W542" s="2"/>
      <c r="X542" s="2"/>
      <c r="Y542" s="2"/>
      <c r="Z542" s="2"/>
    </row>
    <row r="543">
      <c r="A543" s="531"/>
      <c r="B543" s="977"/>
      <c r="C543" s="119"/>
      <c r="D543" s="977"/>
      <c r="E543" s="977"/>
      <c r="F543" s="119"/>
      <c r="G543" s="119"/>
      <c r="H543" s="119"/>
      <c r="I543" s="119"/>
      <c r="J543" s="119"/>
      <c r="K543" s="117"/>
      <c r="L543" s="117"/>
      <c r="M543" s="2"/>
      <c r="N543" s="2"/>
      <c r="O543" s="2"/>
      <c r="P543" s="2"/>
      <c r="Q543" s="2"/>
      <c r="R543" s="2"/>
      <c r="S543" s="861"/>
      <c r="T543" s="111"/>
      <c r="U543" s="2"/>
      <c r="V543" s="2"/>
      <c r="W543" s="2"/>
      <c r="X543" s="2"/>
      <c r="Y543" s="2"/>
      <c r="Z543" s="2"/>
    </row>
    <row r="544">
      <c r="A544" s="531"/>
      <c r="B544" s="977"/>
      <c r="C544" s="119"/>
      <c r="D544" s="977"/>
      <c r="E544" s="977"/>
      <c r="F544" s="119"/>
      <c r="G544" s="119"/>
      <c r="H544" s="119"/>
      <c r="I544" s="119"/>
      <c r="J544" s="119"/>
      <c r="K544" s="117"/>
      <c r="L544" s="117"/>
      <c r="M544" s="2"/>
      <c r="N544" s="2"/>
      <c r="O544" s="2"/>
      <c r="P544" s="2"/>
      <c r="Q544" s="2"/>
      <c r="R544" s="2"/>
      <c r="S544" s="861"/>
      <c r="T544" s="111"/>
      <c r="U544" s="2"/>
      <c r="V544" s="2"/>
      <c r="W544" s="2"/>
      <c r="X544" s="2"/>
      <c r="Y544" s="2"/>
      <c r="Z544" s="2"/>
    </row>
    <row r="545">
      <c r="A545" s="531"/>
      <c r="B545" s="977"/>
      <c r="C545" s="119"/>
      <c r="D545" s="977"/>
      <c r="E545" s="977"/>
      <c r="F545" s="119"/>
      <c r="G545" s="119"/>
      <c r="H545" s="119"/>
      <c r="I545" s="119"/>
      <c r="J545" s="119"/>
      <c r="K545" s="117"/>
      <c r="L545" s="117"/>
      <c r="M545" s="2"/>
      <c r="N545" s="2"/>
      <c r="O545" s="2"/>
      <c r="P545" s="2"/>
      <c r="Q545" s="2"/>
      <c r="R545" s="2"/>
      <c r="S545" s="861"/>
      <c r="T545" s="111"/>
      <c r="U545" s="2"/>
      <c r="V545" s="2"/>
      <c r="W545" s="2"/>
      <c r="X545" s="2"/>
      <c r="Y545" s="2"/>
      <c r="Z545" s="2"/>
    </row>
    <row r="546">
      <c r="A546" s="531"/>
      <c r="B546" s="977"/>
      <c r="C546" s="119"/>
      <c r="D546" s="977"/>
      <c r="E546" s="977"/>
      <c r="F546" s="119"/>
      <c r="G546" s="119"/>
      <c r="H546" s="119"/>
      <c r="I546" s="119"/>
      <c r="J546" s="119"/>
      <c r="K546" s="117"/>
      <c r="L546" s="117"/>
      <c r="M546" s="2"/>
      <c r="N546" s="2"/>
      <c r="O546" s="2"/>
      <c r="P546" s="2"/>
      <c r="Q546" s="2"/>
      <c r="R546" s="2"/>
      <c r="S546" s="861"/>
      <c r="T546" s="111"/>
      <c r="U546" s="2"/>
      <c r="V546" s="2"/>
      <c r="W546" s="2"/>
      <c r="X546" s="2"/>
      <c r="Y546" s="2"/>
      <c r="Z546" s="2"/>
    </row>
    <row r="547">
      <c r="A547" s="531"/>
      <c r="B547" s="977"/>
      <c r="C547" s="119"/>
      <c r="D547" s="977"/>
      <c r="E547" s="977"/>
      <c r="F547" s="119"/>
      <c r="G547" s="119"/>
      <c r="H547" s="119"/>
      <c r="I547" s="119"/>
      <c r="J547" s="119"/>
      <c r="K547" s="117"/>
      <c r="L547" s="117"/>
      <c r="M547" s="2"/>
      <c r="N547" s="2"/>
      <c r="O547" s="2"/>
      <c r="P547" s="2"/>
      <c r="Q547" s="2"/>
      <c r="R547" s="2"/>
      <c r="S547" s="861"/>
      <c r="T547" s="111"/>
      <c r="U547" s="2"/>
      <c r="V547" s="2"/>
      <c r="W547" s="2"/>
      <c r="X547" s="2"/>
      <c r="Y547" s="2"/>
      <c r="Z547" s="2"/>
    </row>
    <row r="548">
      <c r="A548" s="531"/>
      <c r="B548" s="977"/>
      <c r="C548" s="119"/>
      <c r="D548" s="977"/>
      <c r="E548" s="977"/>
      <c r="F548" s="119"/>
      <c r="G548" s="119"/>
      <c r="H548" s="119"/>
      <c r="I548" s="119"/>
      <c r="J548" s="119"/>
      <c r="K548" s="117"/>
      <c r="L548" s="117"/>
      <c r="M548" s="2"/>
      <c r="N548" s="2"/>
      <c r="O548" s="2"/>
      <c r="P548" s="2"/>
      <c r="Q548" s="2"/>
      <c r="R548" s="2"/>
      <c r="S548" s="861"/>
      <c r="T548" s="111"/>
      <c r="U548" s="2"/>
      <c r="V548" s="2"/>
      <c r="W548" s="2"/>
      <c r="X548" s="2"/>
      <c r="Y548" s="2"/>
      <c r="Z548" s="2"/>
    </row>
    <row r="549">
      <c r="A549" s="531"/>
      <c r="B549" s="977"/>
      <c r="C549" s="119"/>
      <c r="D549" s="977"/>
      <c r="E549" s="977"/>
      <c r="F549" s="119"/>
      <c r="G549" s="119"/>
      <c r="H549" s="119"/>
      <c r="I549" s="119"/>
      <c r="J549" s="119"/>
      <c r="K549" s="117"/>
      <c r="L549" s="117"/>
      <c r="M549" s="2"/>
      <c r="N549" s="2"/>
      <c r="O549" s="2"/>
      <c r="P549" s="2"/>
      <c r="Q549" s="2"/>
      <c r="R549" s="2"/>
      <c r="S549" s="861"/>
      <c r="T549" s="111"/>
      <c r="U549" s="2"/>
      <c r="V549" s="2"/>
      <c r="W549" s="2"/>
      <c r="X549" s="2"/>
      <c r="Y549" s="2"/>
      <c r="Z549" s="2"/>
    </row>
    <row r="550">
      <c r="A550" s="531"/>
      <c r="B550" s="977"/>
      <c r="C550" s="119"/>
      <c r="D550" s="977"/>
      <c r="E550" s="977"/>
      <c r="F550" s="119"/>
      <c r="G550" s="119"/>
      <c r="H550" s="119"/>
      <c r="I550" s="119"/>
      <c r="J550" s="119"/>
      <c r="K550" s="117"/>
      <c r="L550" s="117"/>
      <c r="M550" s="2"/>
      <c r="N550" s="2"/>
      <c r="O550" s="2"/>
      <c r="P550" s="2"/>
      <c r="Q550" s="2"/>
      <c r="R550" s="2"/>
      <c r="S550" s="861"/>
      <c r="T550" s="111"/>
      <c r="U550" s="2"/>
      <c r="V550" s="2"/>
      <c r="W550" s="2"/>
      <c r="X550" s="2"/>
      <c r="Y550" s="2"/>
      <c r="Z550" s="2"/>
    </row>
    <row r="551">
      <c r="A551" s="531"/>
      <c r="B551" s="977"/>
      <c r="C551" s="119"/>
      <c r="D551" s="977"/>
      <c r="E551" s="977"/>
      <c r="F551" s="119"/>
      <c r="G551" s="119"/>
      <c r="H551" s="119"/>
      <c r="I551" s="119"/>
      <c r="J551" s="119"/>
      <c r="K551" s="117"/>
      <c r="L551" s="117"/>
      <c r="M551" s="2"/>
      <c r="N551" s="2"/>
      <c r="O551" s="2"/>
      <c r="P551" s="2"/>
      <c r="Q551" s="2"/>
      <c r="R551" s="2"/>
      <c r="S551" s="862"/>
      <c r="T551" s="109"/>
      <c r="U551" s="2"/>
      <c r="V551" s="2"/>
      <c r="W551" s="2"/>
      <c r="X551" s="2"/>
      <c r="Y551" s="2"/>
      <c r="Z551" s="2"/>
    </row>
    <row r="552">
      <c r="A552" s="531"/>
      <c r="B552" s="977"/>
      <c r="C552" s="119"/>
      <c r="D552" s="977"/>
      <c r="E552" s="977"/>
      <c r="F552" s="119"/>
      <c r="G552" s="119"/>
      <c r="H552" s="119"/>
      <c r="I552" s="119"/>
      <c r="J552" s="119"/>
      <c r="K552" s="117"/>
      <c r="L552" s="117"/>
      <c r="M552" s="2"/>
      <c r="N552" s="2"/>
      <c r="O552" s="2"/>
      <c r="P552" s="2"/>
      <c r="Q552" s="2"/>
      <c r="R552" s="2"/>
      <c r="S552" s="862"/>
      <c r="T552" s="109"/>
      <c r="U552" s="54"/>
      <c r="V552" s="54"/>
      <c r="W552" s="54"/>
      <c r="X552" s="54"/>
      <c r="Y552" s="54"/>
      <c r="Z552" s="54"/>
    </row>
    <row r="553">
      <c r="A553" s="531"/>
      <c r="B553" s="977"/>
      <c r="C553" s="119"/>
      <c r="D553" s="977"/>
      <c r="E553" s="977"/>
      <c r="F553" s="119"/>
      <c r="G553" s="119"/>
      <c r="H553" s="119"/>
      <c r="I553" s="119"/>
      <c r="J553" s="119"/>
      <c r="K553" s="117"/>
      <c r="L553" s="117"/>
      <c r="M553" s="2"/>
      <c r="N553" s="2"/>
      <c r="O553" s="2"/>
      <c r="P553" s="2"/>
      <c r="Q553" s="2"/>
      <c r="R553" s="2"/>
      <c r="S553" s="117"/>
      <c r="T553" s="2"/>
      <c r="U553" s="2"/>
      <c r="V553" s="2"/>
      <c r="W553" s="2"/>
      <c r="X553" s="2"/>
      <c r="Y553" s="2"/>
      <c r="Z553" s="2"/>
    </row>
    <row r="554">
      <c r="A554" s="531"/>
      <c r="B554" s="977"/>
      <c r="C554" s="119"/>
      <c r="D554" s="977"/>
      <c r="E554" s="977"/>
      <c r="F554" s="119"/>
      <c r="G554" s="119"/>
      <c r="H554" s="119"/>
      <c r="I554" s="119"/>
      <c r="J554" s="119"/>
      <c r="K554" s="117"/>
      <c r="L554" s="117"/>
      <c r="M554" s="2"/>
      <c r="N554" s="2"/>
      <c r="O554" s="2"/>
      <c r="P554" s="2"/>
      <c r="Q554" s="2"/>
      <c r="R554" s="2"/>
      <c r="S554" s="117"/>
      <c r="T554" s="2"/>
      <c r="U554" s="2"/>
      <c r="V554" s="2"/>
      <c r="W554" s="2"/>
      <c r="X554" s="2"/>
      <c r="Y554" s="2"/>
      <c r="Z554" s="2"/>
    </row>
    <row r="555">
      <c r="A555" s="531"/>
      <c r="B555" s="977"/>
      <c r="C555" s="119"/>
      <c r="D555" s="977"/>
      <c r="E555" s="977"/>
      <c r="F555" s="119"/>
      <c r="G555" s="119"/>
      <c r="H555" s="119"/>
      <c r="I555" s="119"/>
      <c r="J555" s="119"/>
      <c r="K555" s="117"/>
      <c r="L555" s="117"/>
      <c r="M555" s="2"/>
      <c r="N555" s="2"/>
      <c r="O555" s="2"/>
      <c r="P555" s="2"/>
      <c r="Q555" s="2"/>
      <c r="R555" s="2"/>
      <c r="S555" s="847"/>
      <c r="T555" s="847"/>
      <c r="U555" s="116"/>
      <c r="V555" s="116"/>
      <c r="W555" s="116"/>
      <c r="X555" s="116"/>
      <c r="Y555" s="116"/>
      <c r="Z555" s="116"/>
    </row>
    <row r="556">
      <c r="A556" s="531"/>
      <c r="B556" s="977"/>
      <c r="C556" s="119"/>
      <c r="D556" s="977"/>
      <c r="E556" s="977"/>
      <c r="F556" s="119"/>
      <c r="G556" s="119"/>
      <c r="H556" s="119"/>
      <c r="I556" s="119"/>
      <c r="J556" s="119"/>
      <c r="K556" s="117"/>
      <c r="L556" s="117"/>
      <c r="M556" s="2"/>
      <c r="N556" s="2"/>
      <c r="O556" s="2"/>
      <c r="P556" s="2"/>
      <c r="Q556" s="2"/>
      <c r="R556" s="2"/>
      <c r="S556" s="848"/>
      <c r="T556" s="848"/>
      <c r="U556" s="848"/>
      <c r="V556" s="848"/>
      <c r="W556" s="848"/>
      <c r="X556" s="848"/>
      <c r="Y556" s="848"/>
      <c r="Z556" s="848"/>
    </row>
    <row r="557">
      <c r="A557" s="531"/>
      <c r="B557" s="977"/>
      <c r="C557" s="119"/>
      <c r="D557" s="977"/>
      <c r="E557" s="977"/>
      <c r="F557" s="119"/>
      <c r="G557" s="119"/>
      <c r="H557" s="119"/>
      <c r="I557" s="119"/>
      <c r="J557" s="119"/>
      <c r="K557" s="117"/>
      <c r="L557" s="117"/>
      <c r="M557" s="2"/>
      <c r="N557" s="2"/>
      <c r="O557" s="2"/>
      <c r="P557" s="2"/>
      <c r="Q557" s="2"/>
      <c r="R557" s="2"/>
      <c r="S557" s="849"/>
      <c r="T557" s="850"/>
      <c r="U557" s="851"/>
      <c r="V557" s="851"/>
      <c r="W557" s="851"/>
      <c r="X557" s="851"/>
      <c r="Y557" s="851"/>
      <c r="Z557" s="851"/>
    </row>
    <row r="558">
      <c r="A558" s="531"/>
      <c r="B558" s="977"/>
      <c r="C558" s="119"/>
      <c r="D558" s="977"/>
      <c r="E558" s="977"/>
      <c r="F558" s="119"/>
      <c r="G558" s="119"/>
      <c r="H558" s="119"/>
      <c r="I558" s="119"/>
      <c r="J558" s="119"/>
      <c r="K558" s="117"/>
      <c r="L558" s="117"/>
      <c r="M558" s="2"/>
      <c r="N558" s="2"/>
      <c r="O558" s="2"/>
      <c r="P558" s="2"/>
      <c r="Q558" s="2"/>
      <c r="R558" s="2"/>
      <c r="S558" s="852"/>
      <c r="T558" s="853"/>
      <c r="U558" s="854"/>
      <c r="V558" s="854"/>
      <c r="W558" s="854"/>
      <c r="X558" s="854"/>
      <c r="Y558" s="854"/>
      <c r="Z558" s="854"/>
    </row>
    <row r="559">
      <c r="A559" s="531"/>
      <c r="B559" s="977"/>
      <c r="C559" s="119"/>
      <c r="D559" s="977"/>
      <c r="E559" s="977"/>
      <c r="F559" s="119"/>
      <c r="G559" s="119"/>
      <c r="H559" s="119"/>
      <c r="I559" s="119"/>
      <c r="J559" s="119"/>
      <c r="K559" s="117"/>
      <c r="L559" s="117"/>
      <c r="M559" s="2"/>
      <c r="N559" s="2"/>
      <c r="O559" s="2"/>
      <c r="P559" s="2"/>
      <c r="Q559" s="2"/>
      <c r="R559" s="2"/>
      <c r="S559" s="855"/>
      <c r="T559" s="856"/>
      <c r="U559" s="854"/>
      <c r="V559" s="854"/>
      <c r="W559" s="854"/>
      <c r="X559" s="854"/>
      <c r="Y559" s="854"/>
      <c r="Z559" s="854"/>
    </row>
    <row r="560">
      <c r="A560" s="531"/>
      <c r="B560" s="977"/>
      <c r="C560" s="119"/>
      <c r="D560" s="977"/>
      <c r="E560" s="977"/>
      <c r="F560" s="119"/>
      <c r="G560" s="119"/>
      <c r="H560" s="119"/>
      <c r="I560" s="119"/>
      <c r="J560" s="119"/>
      <c r="K560" s="117"/>
      <c r="L560" s="117"/>
      <c r="M560" s="2"/>
      <c r="N560" s="2"/>
      <c r="O560" s="2"/>
      <c r="P560" s="2"/>
      <c r="Q560" s="2"/>
      <c r="R560" s="2"/>
      <c r="S560" s="855"/>
      <c r="T560" s="856"/>
      <c r="U560" s="854"/>
      <c r="V560" s="854"/>
      <c r="W560" s="854"/>
      <c r="X560" s="854"/>
      <c r="Y560" s="854"/>
      <c r="Z560" s="854"/>
    </row>
    <row r="561">
      <c r="A561" s="531"/>
      <c r="B561" s="977"/>
      <c r="C561" s="119"/>
      <c r="D561" s="977"/>
      <c r="E561" s="977"/>
      <c r="F561" s="119"/>
      <c r="G561" s="119"/>
      <c r="H561" s="119"/>
      <c r="I561" s="119"/>
      <c r="J561" s="119"/>
      <c r="K561" s="117"/>
      <c r="L561" s="117"/>
      <c r="M561" s="2"/>
      <c r="N561" s="2"/>
      <c r="O561" s="2"/>
      <c r="P561" s="2"/>
      <c r="Q561" s="2"/>
      <c r="R561" s="2"/>
      <c r="S561" s="852"/>
      <c r="T561" s="853"/>
      <c r="U561" s="854"/>
      <c r="V561" s="854"/>
      <c r="W561" s="854"/>
      <c r="X561" s="854"/>
      <c r="Y561" s="854"/>
      <c r="Z561" s="854"/>
    </row>
    <row r="562">
      <c r="A562" s="531"/>
      <c r="B562" s="977"/>
      <c r="C562" s="119"/>
      <c r="D562" s="977"/>
      <c r="E562" s="977"/>
      <c r="F562" s="119"/>
      <c r="G562" s="119"/>
      <c r="H562" s="119"/>
      <c r="I562" s="119"/>
      <c r="J562" s="119"/>
      <c r="K562" s="117"/>
      <c r="L562" s="117"/>
      <c r="M562" s="2"/>
      <c r="N562" s="2"/>
      <c r="O562" s="2"/>
      <c r="P562" s="2"/>
      <c r="Q562" s="2"/>
      <c r="R562" s="2"/>
      <c r="S562" s="857"/>
      <c r="T562" s="858"/>
      <c r="U562" s="854"/>
      <c r="V562" s="854"/>
      <c r="W562" s="854"/>
      <c r="X562" s="854"/>
      <c r="Y562" s="854"/>
      <c r="Z562" s="854"/>
    </row>
    <row r="563">
      <c r="A563" s="531"/>
      <c r="B563" s="977"/>
      <c r="C563" s="119"/>
      <c r="D563" s="977"/>
      <c r="E563" s="977"/>
      <c r="F563" s="119"/>
      <c r="G563" s="119"/>
      <c r="H563" s="119"/>
      <c r="I563" s="119"/>
      <c r="J563" s="119"/>
      <c r="K563" s="117"/>
      <c r="L563" s="117"/>
      <c r="M563" s="2"/>
      <c r="N563" s="2"/>
      <c r="O563" s="2"/>
      <c r="P563" s="2"/>
      <c r="Q563" s="2"/>
      <c r="R563" s="2"/>
      <c r="S563" s="857"/>
      <c r="T563" s="858"/>
      <c r="U563" s="854"/>
      <c r="V563" s="854"/>
      <c r="W563" s="854"/>
      <c r="X563" s="854"/>
      <c r="Y563" s="854"/>
      <c r="Z563" s="854"/>
    </row>
    <row r="564">
      <c r="A564" s="531"/>
      <c r="B564" s="977"/>
      <c r="C564" s="119"/>
      <c r="D564" s="977"/>
      <c r="E564" s="977"/>
      <c r="F564" s="119"/>
      <c r="G564" s="119"/>
      <c r="H564" s="119"/>
      <c r="I564" s="119"/>
      <c r="J564" s="119"/>
      <c r="K564" s="117"/>
      <c r="L564" s="117"/>
      <c r="M564" s="2"/>
      <c r="N564" s="2"/>
      <c r="O564" s="2"/>
      <c r="P564" s="2"/>
      <c r="Q564" s="2"/>
      <c r="R564" s="2"/>
      <c r="S564" s="857"/>
      <c r="T564" s="858"/>
      <c r="U564" s="854"/>
      <c r="V564" s="854"/>
      <c r="W564" s="854"/>
      <c r="X564" s="854"/>
      <c r="Y564" s="854"/>
      <c r="Z564" s="854"/>
    </row>
    <row r="565">
      <c r="A565" s="531"/>
      <c r="B565" s="977"/>
      <c r="C565" s="119"/>
      <c r="D565" s="977"/>
      <c r="E565" s="977"/>
      <c r="F565" s="119"/>
      <c r="G565" s="119"/>
      <c r="H565" s="119"/>
      <c r="I565" s="119"/>
      <c r="J565" s="119"/>
      <c r="K565" s="117"/>
      <c r="L565" s="117"/>
      <c r="M565" s="2"/>
      <c r="N565" s="2"/>
      <c r="O565" s="2"/>
      <c r="P565" s="2"/>
      <c r="Q565" s="2"/>
      <c r="R565" s="2"/>
      <c r="S565" s="852"/>
      <c r="T565" s="853"/>
      <c r="U565" s="854"/>
      <c r="V565" s="854"/>
      <c r="W565" s="854"/>
      <c r="X565" s="854"/>
      <c r="Y565" s="854"/>
      <c r="Z565" s="854"/>
    </row>
    <row r="566">
      <c r="A566" s="531"/>
      <c r="B566" s="977"/>
      <c r="C566" s="119"/>
      <c r="D566" s="977"/>
      <c r="E566" s="977"/>
      <c r="F566" s="119"/>
      <c r="G566" s="119"/>
      <c r="H566" s="119"/>
      <c r="I566" s="119"/>
      <c r="J566" s="119"/>
      <c r="K566" s="117"/>
      <c r="L566" s="117"/>
      <c r="M566" s="2"/>
      <c r="N566" s="2"/>
      <c r="O566" s="2"/>
      <c r="P566" s="2"/>
      <c r="Q566" s="2"/>
      <c r="R566" s="2"/>
      <c r="S566" s="852"/>
      <c r="T566" s="853"/>
      <c r="U566" s="854"/>
      <c r="V566" s="854"/>
      <c r="W566" s="854"/>
      <c r="X566" s="854"/>
      <c r="Y566" s="854"/>
      <c r="Z566" s="854"/>
    </row>
    <row r="567">
      <c r="A567" s="531"/>
      <c r="B567" s="977"/>
      <c r="C567" s="119"/>
      <c r="D567" s="977"/>
      <c r="E567" s="977"/>
      <c r="F567" s="119"/>
      <c r="G567" s="119"/>
      <c r="H567" s="119"/>
      <c r="I567" s="119"/>
      <c r="J567" s="119"/>
      <c r="K567" s="117"/>
      <c r="L567" s="117"/>
      <c r="M567" s="2"/>
      <c r="N567" s="2"/>
      <c r="O567" s="2"/>
      <c r="P567" s="2"/>
      <c r="Q567" s="2"/>
      <c r="R567" s="2"/>
      <c r="S567" s="852"/>
      <c r="T567" s="853"/>
      <c r="U567" s="854"/>
      <c r="V567" s="854"/>
      <c r="W567" s="854"/>
      <c r="X567" s="854"/>
      <c r="Y567" s="854"/>
      <c r="Z567" s="854"/>
    </row>
    <row r="568">
      <c r="A568" s="531"/>
      <c r="B568" s="977"/>
      <c r="C568" s="119"/>
      <c r="D568" s="977"/>
      <c r="E568" s="977"/>
      <c r="F568" s="119"/>
      <c r="G568" s="119"/>
      <c r="H568" s="119"/>
      <c r="I568" s="119"/>
      <c r="J568" s="119"/>
      <c r="K568" s="117"/>
      <c r="L568" s="117"/>
      <c r="M568" s="2"/>
      <c r="N568" s="2"/>
      <c r="O568" s="2"/>
      <c r="P568" s="2"/>
      <c r="Q568" s="2"/>
      <c r="R568" s="2"/>
      <c r="S568" s="852"/>
      <c r="T568" s="853"/>
      <c r="U568" s="854"/>
      <c r="V568" s="854"/>
      <c r="W568" s="854"/>
      <c r="X568" s="854"/>
      <c r="Y568" s="854"/>
      <c r="Z568" s="854"/>
    </row>
    <row r="569">
      <c r="A569" s="531"/>
      <c r="B569" s="977"/>
      <c r="C569" s="119"/>
      <c r="D569" s="977"/>
      <c r="E569" s="977"/>
      <c r="F569" s="119"/>
      <c r="G569" s="119"/>
      <c r="H569" s="119"/>
      <c r="I569" s="119"/>
      <c r="J569" s="119"/>
      <c r="K569" s="117"/>
      <c r="L569" s="117"/>
      <c r="M569" s="2"/>
      <c r="N569" s="2"/>
      <c r="O569" s="2"/>
      <c r="P569" s="2"/>
      <c r="Q569" s="2"/>
      <c r="R569" s="2"/>
      <c r="S569" s="852"/>
      <c r="T569" s="859"/>
      <c r="U569" s="107"/>
      <c r="V569" s="107"/>
      <c r="W569" s="107"/>
      <c r="X569" s="107"/>
      <c r="Y569" s="107"/>
      <c r="Z569" s="107"/>
    </row>
    <row r="570">
      <c r="A570" s="531"/>
      <c r="B570" s="977"/>
      <c r="C570" s="119"/>
      <c r="D570" s="977"/>
      <c r="E570" s="977"/>
      <c r="F570" s="119"/>
      <c r="G570" s="119"/>
      <c r="H570" s="119"/>
      <c r="I570" s="119"/>
      <c r="J570" s="119"/>
      <c r="K570" s="117"/>
      <c r="L570" s="117"/>
      <c r="M570" s="2"/>
      <c r="N570" s="2"/>
      <c r="O570" s="2"/>
      <c r="P570" s="2"/>
      <c r="Q570" s="2"/>
      <c r="R570" s="2"/>
      <c r="S570" s="852"/>
      <c r="T570" s="859"/>
      <c r="U570" s="107"/>
      <c r="V570" s="107"/>
      <c r="W570" s="107"/>
      <c r="X570" s="107"/>
      <c r="Y570" s="107"/>
      <c r="Z570" s="107"/>
    </row>
    <row r="571">
      <c r="A571" s="531"/>
      <c r="B571" s="977"/>
      <c r="C571" s="119"/>
      <c r="D571" s="977"/>
      <c r="E571" s="977"/>
      <c r="F571" s="119"/>
      <c r="G571" s="119"/>
      <c r="H571" s="119"/>
      <c r="I571" s="119"/>
      <c r="J571" s="119"/>
      <c r="K571" s="117"/>
      <c r="L571" s="117"/>
      <c r="M571" s="2"/>
      <c r="N571" s="2"/>
      <c r="O571" s="2"/>
      <c r="P571" s="2"/>
      <c r="Q571" s="2"/>
      <c r="R571" s="2"/>
      <c r="S571" s="852"/>
      <c r="T571" s="859"/>
      <c r="U571" s="107"/>
      <c r="V571" s="107"/>
      <c r="W571" s="107"/>
      <c r="X571" s="107"/>
      <c r="Y571" s="107"/>
      <c r="Z571" s="107"/>
    </row>
    <row r="572">
      <c r="A572" s="531"/>
      <c r="B572" s="977"/>
      <c r="C572" s="119"/>
      <c r="D572" s="977"/>
      <c r="E572" s="977"/>
      <c r="F572" s="119"/>
      <c r="G572" s="119"/>
      <c r="H572" s="119"/>
      <c r="I572" s="119"/>
      <c r="J572" s="119"/>
      <c r="K572" s="117"/>
      <c r="L572" s="117"/>
      <c r="M572" s="2"/>
      <c r="N572" s="2"/>
      <c r="O572" s="2"/>
      <c r="P572" s="2"/>
      <c r="Q572" s="2"/>
      <c r="R572" s="2"/>
      <c r="S572" s="852"/>
      <c r="T572" s="859"/>
      <c r="U572" s="107"/>
      <c r="V572" s="107"/>
      <c r="W572" s="107"/>
      <c r="X572" s="107"/>
      <c r="Y572" s="107"/>
      <c r="Z572" s="107"/>
    </row>
    <row r="573">
      <c r="A573" s="531"/>
      <c r="B573" s="977"/>
      <c r="C573" s="119"/>
      <c r="D573" s="977"/>
      <c r="E573" s="977"/>
      <c r="F573" s="119"/>
      <c r="G573" s="119"/>
      <c r="H573" s="119"/>
      <c r="I573" s="119"/>
      <c r="J573" s="119"/>
      <c r="K573" s="117"/>
      <c r="L573" s="117"/>
      <c r="M573" s="2"/>
      <c r="N573" s="2"/>
      <c r="O573" s="2"/>
      <c r="P573" s="2"/>
      <c r="Q573" s="2"/>
      <c r="R573" s="2"/>
      <c r="S573" s="852"/>
      <c r="T573" s="859"/>
      <c r="U573" s="107"/>
      <c r="V573" s="107"/>
      <c r="W573" s="107"/>
      <c r="X573" s="107"/>
      <c r="Y573" s="107"/>
      <c r="Z573" s="107"/>
    </row>
    <row r="574">
      <c r="A574" s="531"/>
      <c r="B574" s="977"/>
      <c r="C574" s="119"/>
      <c r="D574" s="977"/>
      <c r="E574" s="977"/>
      <c r="F574" s="119"/>
      <c r="G574" s="119"/>
      <c r="H574" s="119"/>
      <c r="I574" s="119"/>
      <c r="J574" s="119"/>
      <c r="K574" s="117"/>
      <c r="L574" s="117"/>
      <c r="M574" s="2"/>
      <c r="N574" s="2"/>
      <c r="O574" s="2"/>
      <c r="P574" s="2"/>
      <c r="Q574" s="2"/>
      <c r="R574" s="2"/>
      <c r="S574" s="852"/>
      <c r="T574" s="859"/>
      <c r="U574" s="107"/>
      <c r="V574" s="107"/>
      <c r="W574" s="107"/>
      <c r="X574" s="107"/>
      <c r="Y574" s="107"/>
      <c r="Z574" s="107"/>
    </row>
    <row r="575">
      <c r="A575" s="531"/>
      <c r="B575" s="977"/>
      <c r="C575" s="119"/>
      <c r="D575" s="977"/>
      <c r="E575" s="977"/>
      <c r="F575" s="119"/>
      <c r="G575" s="119"/>
      <c r="H575" s="119"/>
      <c r="I575" s="119"/>
      <c r="J575" s="119"/>
      <c r="K575" s="117"/>
      <c r="L575" s="117"/>
      <c r="M575" s="2"/>
      <c r="N575" s="2"/>
      <c r="O575" s="2"/>
      <c r="P575" s="2"/>
      <c r="Q575" s="2"/>
      <c r="R575" s="2"/>
      <c r="S575" s="852"/>
      <c r="T575" s="859"/>
      <c r="U575" s="107"/>
      <c r="V575" s="107"/>
      <c r="W575" s="107"/>
      <c r="X575" s="107"/>
      <c r="Y575" s="107"/>
      <c r="Z575" s="107"/>
    </row>
    <row r="576">
      <c r="A576" s="531"/>
      <c r="B576" s="977"/>
      <c r="C576" s="119"/>
      <c r="D576" s="977"/>
      <c r="E576" s="977"/>
      <c r="F576" s="119"/>
      <c r="G576" s="119"/>
      <c r="H576" s="119"/>
      <c r="I576" s="119"/>
      <c r="J576" s="119"/>
      <c r="K576" s="117"/>
      <c r="L576" s="117"/>
      <c r="M576" s="2"/>
      <c r="N576" s="2"/>
      <c r="O576" s="2"/>
      <c r="P576" s="2"/>
      <c r="Q576" s="2"/>
      <c r="R576" s="2"/>
      <c r="S576" s="852"/>
      <c r="T576" s="859"/>
      <c r="U576" s="107"/>
      <c r="V576" s="107"/>
      <c r="W576" s="107"/>
      <c r="X576" s="107"/>
      <c r="Y576" s="107"/>
      <c r="Z576" s="107"/>
    </row>
    <row r="577">
      <c r="A577" s="531"/>
      <c r="B577" s="977"/>
      <c r="C577" s="119"/>
      <c r="D577" s="977"/>
      <c r="E577" s="977"/>
      <c r="F577" s="119"/>
      <c r="G577" s="119"/>
      <c r="H577" s="119"/>
      <c r="I577" s="119"/>
      <c r="J577" s="119"/>
      <c r="K577" s="117"/>
      <c r="L577" s="117"/>
      <c r="M577" s="2"/>
      <c r="N577" s="2"/>
      <c r="O577" s="2"/>
      <c r="P577" s="2"/>
      <c r="Q577" s="2"/>
      <c r="R577" s="2"/>
      <c r="S577" s="852"/>
      <c r="T577" s="859"/>
      <c r="U577" s="107"/>
      <c r="V577" s="107"/>
      <c r="W577" s="107"/>
      <c r="X577" s="107"/>
      <c r="Y577" s="107"/>
      <c r="Z577" s="107"/>
    </row>
    <row r="578">
      <c r="A578" s="531"/>
      <c r="B578" s="977"/>
      <c r="C578" s="119"/>
      <c r="D578" s="977"/>
      <c r="E578" s="977"/>
      <c r="F578" s="119"/>
      <c r="G578" s="119"/>
      <c r="H578" s="119"/>
      <c r="I578" s="119"/>
      <c r="J578" s="119"/>
      <c r="K578" s="117"/>
      <c r="L578" s="117"/>
      <c r="M578" s="2"/>
      <c r="N578" s="2"/>
      <c r="O578" s="2"/>
      <c r="P578" s="2"/>
      <c r="Q578" s="2"/>
      <c r="R578" s="2"/>
      <c r="S578" s="852"/>
      <c r="T578" s="859"/>
      <c r="U578" s="107"/>
      <c r="V578" s="107"/>
      <c r="W578" s="107"/>
      <c r="X578" s="107"/>
      <c r="Y578" s="107"/>
      <c r="Z578" s="107"/>
    </row>
    <row r="579">
      <c r="A579" s="531"/>
      <c r="B579" s="977"/>
      <c r="C579" s="119"/>
      <c r="D579" s="977"/>
      <c r="E579" s="977"/>
      <c r="F579" s="119"/>
      <c r="G579" s="119"/>
      <c r="H579" s="119"/>
      <c r="I579" s="119"/>
      <c r="J579" s="119"/>
      <c r="K579" s="117"/>
      <c r="L579" s="117"/>
      <c r="M579" s="2"/>
      <c r="N579" s="2"/>
      <c r="O579" s="2"/>
      <c r="P579" s="2"/>
      <c r="Q579" s="2"/>
      <c r="R579" s="2"/>
      <c r="S579" s="857"/>
      <c r="T579" s="860"/>
      <c r="U579" s="107"/>
      <c r="V579" s="107"/>
      <c r="W579" s="107"/>
      <c r="X579" s="107"/>
      <c r="Y579" s="107"/>
      <c r="Z579" s="107"/>
    </row>
    <row r="580">
      <c r="A580" s="531"/>
      <c r="B580" s="977"/>
      <c r="C580" s="119"/>
      <c r="D580" s="977"/>
      <c r="E580" s="977"/>
      <c r="F580" s="119"/>
      <c r="G580" s="119"/>
      <c r="H580" s="119"/>
      <c r="I580" s="119"/>
      <c r="J580" s="119"/>
      <c r="K580" s="117"/>
      <c r="L580" s="117"/>
      <c r="M580" s="2"/>
      <c r="N580" s="2"/>
      <c r="O580" s="2"/>
      <c r="P580" s="2"/>
      <c r="Q580" s="2"/>
      <c r="R580" s="2"/>
      <c r="S580" s="861"/>
      <c r="T580" s="111"/>
      <c r="U580" s="2"/>
      <c r="V580" s="2"/>
      <c r="W580" s="2"/>
      <c r="X580" s="2"/>
      <c r="Y580" s="2"/>
      <c r="Z580" s="2"/>
    </row>
    <row r="581">
      <c r="A581" s="531"/>
      <c r="B581" s="977"/>
      <c r="C581" s="119"/>
      <c r="D581" s="977"/>
      <c r="E581" s="977"/>
      <c r="F581" s="119"/>
      <c r="G581" s="119"/>
      <c r="H581" s="119"/>
      <c r="I581" s="119"/>
      <c r="J581" s="119"/>
      <c r="K581" s="117"/>
      <c r="L581" s="117"/>
      <c r="M581" s="2"/>
      <c r="N581" s="2"/>
      <c r="O581" s="2"/>
      <c r="P581" s="2"/>
      <c r="Q581" s="2"/>
      <c r="R581" s="2"/>
      <c r="S581" s="861"/>
      <c r="T581" s="111"/>
      <c r="U581" s="2"/>
      <c r="V581" s="2"/>
      <c r="W581" s="2"/>
      <c r="X581" s="2"/>
      <c r="Y581" s="2"/>
      <c r="Z581" s="2"/>
    </row>
    <row r="582">
      <c r="A582" s="531"/>
      <c r="B582" s="977"/>
      <c r="C582" s="119"/>
      <c r="D582" s="977"/>
      <c r="E582" s="977"/>
      <c r="F582" s="119"/>
      <c r="G582" s="119"/>
      <c r="H582" s="119"/>
      <c r="I582" s="119"/>
      <c r="J582" s="119"/>
      <c r="K582" s="117"/>
      <c r="L582" s="117"/>
      <c r="M582" s="2"/>
      <c r="N582" s="2"/>
      <c r="O582" s="2"/>
      <c r="P582" s="2"/>
      <c r="Q582" s="2"/>
      <c r="R582" s="2"/>
      <c r="S582" s="861"/>
      <c r="T582" s="111"/>
      <c r="U582" s="2"/>
      <c r="V582" s="2"/>
      <c r="W582" s="2"/>
      <c r="X582" s="2"/>
      <c r="Y582" s="2"/>
      <c r="Z582" s="2"/>
    </row>
    <row r="583">
      <c r="A583" s="531"/>
      <c r="B583" s="977"/>
      <c r="C583" s="119"/>
      <c r="D583" s="977"/>
      <c r="E583" s="977"/>
      <c r="F583" s="119"/>
      <c r="G583" s="119"/>
      <c r="H583" s="119"/>
      <c r="I583" s="119"/>
      <c r="J583" s="119"/>
      <c r="K583" s="117"/>
      <c r="L583" s="117"/>
      <c r="M583" s="2"/>
      <c r="N583" s="2"/>
      <c r="O583" s="2"/>
      <c r="P583" s="2"/>
      <c r="Q583" s="2"/>
      <c r="R583" s="2"/>
      <c r="S583" s="861"/>
      <c r="T583" s="111"/>
      <c r="U583" s="2"/>
      <c r="V583" s="2"/>
      <c r="W583" s="2"/>
      <c r="X583" s="2"/>
      <c r="Y583" s="2"/>
      <c r="Z583" s="2"/>
    </row>
    <row r="584">
      <c r="A584" s="531"/>
      <c r="B584" s="977"/>
      <c r="C584" s="119"/>
      <c r="D584" s="977"/>
      <c r="E584" s="977"/>
      <c r="F584" s="119"/>
      <c r="G584" s="119"/>
      <c r="H584" s="119"/>
      <c r="I584" s="119"/>
      <c r="J584" s="119"/>
      <c r="K584" s="117"/>
      <c r="L584" s="117"/>
      <c r="M584" s="2"/>
      <c r="N584" s="2"/>
      <c r="O584" s="2"/>
      <c r="P584" s="2"/>
      <c r="Q584" s="2"/>
      <c r="R584" s="2"/>
      <c r="S584" s="861"/>
      <c r="T584" s="111"/>
      <c r="U584" s="2"/>
      <c r="V584" s="2"/>
      <c r="W584" s="2"/>
      <c r="X584" s="2"/>
      <c r="Y584" s="2"/>
      <c r="Z584" s="2"/>
    </row>
    <row r="585">
      <c r="A585" s="531"/>
      <c r="B585" s="977"/>
      <c r="C585" s="119"/>
      <c r="D585" s="977"/>
      <c r="E585" s="977"/>
      <c r="F585" s="119"/>
      <c r="G585" s="119"/>
      <c r="H585" s="119"/>
      <c r="I585" s="119"/>
      <c r="J585" s="119"/>
      <c r="K585" s="117"/>
      <c r="L585" s="117"/>
      <c r="M585" s="2"/>
      <c r="N585" s="2"/>
      <c r="O585" s="2"/>
      <c r="P585" s="2"/>
      <c r="Q585" s="2"/>
      <c r="R585" s="2"/>
      <c r="S585" s="862"/>
      <c r="T585" s="109"/>
      <c r="U585" s="2"/>
      <c r="V585" s="2"/>
      <c r="W585" s="2"/>
      <c r="X585" s="2"/>
      <c r="Y585" s="2"/>
      <c r="Z585" s="2"/>
    </row>
    <row r="586">
      <c r="A586" s="531"/>
      <c r="B586" s="977"/>
      <c r="C586" s="119"/>
      <c r="D586" s="977"/>
      <c r="E586" s="977"/>
      <c r="F586" s="119"/>
      <c r="G586" s="119"/>
      <c r="H586" s="119"/>
      <c r="I586" s="119"/>
      <c r="J586" s="119"/>
      <c r="K586" s="117"/>
      <c r="L586" s="117"/>
      <c r="M586" s="2"/>
      <c r="N586" s="2"/>
      <c r="O586" s="2"/>
      <c r="P586" s="2"/>
      <c r="Q586" s="2"/>
      <c r="R586" s="2"/>
      <c r="S586" s="861"/>
      <c r="T586" s="111"/>
      <c r="U586" s="2"/>
      <c r="V586" s="2"/>
      <c r="W586" s="2"/>
      <c r="X586" s="2"/>
      <c r="Y586" s="2"/>
      <c r="Z586" s="2"/>
    </row>
    <row r="587">
      <c r="A587" s="531"/>
      <c r="B587" s="977"/>
      <c r="C587" s="119"/>
      <c r="D587" s="977"/>
      <c r="E587" s="977"/>
      <c r="F587" s="119"/>
      <c r="G587" s="119"/>
      <c r="H587" s="119"/>
      <c r="I587" s="119"/>
      <c r="J587" s="119"/>
      <c r="K587" s="117"/>
      <c r="L587" s="117"/>
      <c r="M587" s="2"/>
      <c r="N587" s="2"/>
      <c r="O587" s="2"/>
      <c r="P587" s="2"/>
      <c r="Q587" s="2"/>
      <c r="R587" s="2"/>
      <c r="S587" s="861"/>
      <c r="T587" s="111"/>
      <c r="U587" s="2"/>
      <c r="V587" s="2"/>
      <c r="W587" s="2"/>
      <c r="X587" s="2"/>
      <c r="Y587" s="2"/>
      <c r="Z587" s="2"/>
    </row>
    <row r="588">
      <c r="A588" s="531"/>
      <c r="B588" s="977"/>
      <c r="C588" s="119"/>
      <c r="D588" s="977"/>
      <c r="E588" s="977"/>
      <c r="F588" s="119"/>
      <c r="G588" s="119"/>
      <c r="H588" s="119"/>
      <c r="I588" s="119"/>
      <c r="J588" s="119"/>
      <c r="K588" s="117"/>
      <c r="L588" s="117"/>
      <c r="M588" s="2"/>
      <c r="N588" s="2"/>
      <c r="O588" s="2"/>
      <c r="P588" s="2"/>
      <c r="Q588" s="2"/>
      <c r="R588" s="2"/>
      <c r="S588" s="861"/>
      <c r="T588" s="111"/>
      <c r="U588" s="2"/>
      <c r="V588" s="2"/>
      <c r="W588" s="2"/>
      <c r="X588" s="2"/>
      <c r="Y588" s="2"/>
      <c r="Z588" s="2"/>
    </row>
    <row r="589">
      <c r="A589" s="531"/>
      <c r="B589" s="977"/>
      <c r="C589" s="119"/>
      <c r="D589" s="977"/>
      <c r="E589" s="977"/>
      <c r="F589" s="119"/>
      <c r="G589" s="119"/>
      <c r="H589" s="119"/>
      <c r="I589" s="119"/>
      <c r="J589" s="119"/>
      <c r="K589" s="117"/>
      <c r="L589" s="117"/>
      <c r="M589" s="2"/>
      <c r="N589" s="2"/>
      <c r="O589" s="2"/>
      <c r="P589" s="2"/>
      <c r="Q589" s="2"/>
      <c r="R589" s="2"/>
      <c r="S589" s="861"/>
      <c r="T589" s="111"/>
      <c r="U589" s="2"/>
      <c r="V589" s="2"/>
      <c r="W589" s="2"/>
      <c r="X589" s="2"/>
      <c r="Y589" s="2"/>
      <c r="Z589" s="2"/>
    </row>
    <row r="590">
      <c r="A590" s="531"/>
      <c r="B590" s="977"/>
      <c r="C590" s="119"/>
      <c r="D590" s="977"/>
      <c r="E590" s="977"/>
      <c r="F590" s="119"/>
      <c r="G590" s="119"/>
      <c r="H590" s="119"/>
      <c r="I590" s="119"/>
      <c r="J590" s="119"/>
      <c r="K590" s="117"/>
      <c r="L590" s="117"/>
      <c r="M590" s="2"/>
      <c r="N590" s="2"/>
      <c r="O590" s="2"/>
      <c r="P590" s="2"/>
      <c r="Q590" s="2"/>
      <c r="R590" s="2"/>
      <c r="S590" s="861"/>
      <c r="T590" s="111"/>
      <c r="U590" s="2"/>
      <c r="V590" s="2"/>
      <c r="W590" s="2"/>
      <c r="X590" s="2"/>
      <c r="Y590" s="2"/>
      <c r="Z590" s="2"/>
    </row>
    <row r="591">
      <c r="A591" s="531"/>
      <c r="B591" s="977"/>
      <c r="C591" s="119"/>
      <c r="D591" s="977"/>
      <c r="E591" s="977"/>
      <c r="F591" s="119"/>
      <c r="G591" s="119"/>
      <c r="H591" s="119"/>
      <c r="I591" s="119"/>
      <c r="J591" s="119"/>
      <c r="K591" s="117"/>
      <c r="L591" s="117"/>
      <c r="M591" s="2"/>
      <c r="N591" s="2"/>
      <c r="O591" s="2"/>
      <c r="P591" s="2"/>
      <c r="Q591" s="2"/>
      <c r="R591" s="2"/>
      <c r="S591" s="861"/>
      <c r="T591" s="111"/>
      <c r="U591" s="2"/>
      <c r="V591" s="2"/>
      <c r="W591" s="2"/>
      <c r="X591" s="2"/>
      <c r="Y591" s="2"/>
      <c r="Z591" s="2"/>
    </row>
    <row r="592">
      <c r="A592" s="531"/>
      <c r="B592" s="977"/>
      <c r="C592" s="119"/>
      <c r="D592" s="977"/>
      <c r="E592" s="977"/>
      <c r="F592" s="119"/>
      <c r="G592" s="119"/>
      <c r="H592" s="119"/>
      <c r="I592" s="119"/>
      <c r="J592" s="119"/>
      <c r="K592" s="117"/>
      <c r="L592" s="117"/>
      <c r="M592" s="2"/>
      <c r="N592" s="2"/>
      <c r="O592" s="2"/>
      <c r="P592" s="2"/>
      <c r="Q592" s="2"/>
      <c r="R592" s="2"/>
      <c r="S592" s="861"/>
      <c r="T592" s="111"/>
      <c r="U592" s="2"/>
      <c r="V592" s="2"/>
      <c r="W592" s="2"/>
      <c r="X592" s="2"/>
      <c r="Y592" s="2"/>
      <c r="Z592" s="2"/>
    </row>
    <row r="593">
      <c r="A593" s="531"/>
      <c r="B593" s="977"/>
      <c r="C593" s="119"/>
      <c r="D593" s="977"/>
      <c r="E593" s="977"/>
      <c r="F593" s="119"/>
      <c r="G593" s="119"/>
      <c r="H593" s="119"/>
      <c r="I593" s="119"/>
      <c r="J593" s="119"/>
      <c r="K593" s="117"/>
      <c r="L593" s="117"/>
      <c r="M593" s="2"/>
      <c r="N593" s="2"/>
      <c r="O593" s="2"/>
      <c r="P593" s="2"/>
      <c r="Q593" s="2"/>
      <c r="R593" s="2"/>
      <c r="S593" s="861"/>
      <c r="T593" s="111"/>
      <c r="U593" s="2"/>
      <c r="V593" s="2"/>
      <c r="W593" s="2"/>
      <c r="X593" s="2"/>
      <c r="Y593" s="2"/>
      <c r="Z593" s="2"/>
    </row>
    <row r="594">
      <c r="A594" s="531"/>
      <c r="B594" s="977"/>
      <c r="C594" s="119"/>
      <c r="D594" s="977"/>
      <c r="E594" s="977"/>
      <c r="F594" s="119"/>
      <c r="G594" s="119"/>
      <c r="H594" s="119"/>
      <c r="I594" s="119"/>
      <c r="J594" s="119"/>
      <c r="K594" s="117"/>
      <c r="L594" s="117"/>
      <c r="M594" s="2"/>
      <c r="N594" s="2"/>
      <c r="O594" s="2"/>
      <c r="P594" s="2"/>
      <c r="Q594" s="2"/>
      <c r="R594" s="2"/>
      <c r="S594" s="862"/>
      <c r="T594" s="109"/>
      <c r="U594" s="2"/>
      <c r="V594" s="2"/>
      <c r="W594" s="2"/>
      <c r="X594" s="2"/>
      <c r="Y594" s="2"/>
      <c r="Z594" s="2"/>
    </row>
    <row r="595">
      <c r="A595" s="531"/>
      <c r="B595" s="977"/>
      <c r="C595" s="119"/>
      <c r="D595" s="977"/>
      <c r="E595" s="977"/>
      <c r="F595" s="119"/>
      <c r="G595" s="119"/>
      <c r="H595" s="119"/>
      <c r="I595" s="119"/>
      <c r="J595" s="119"/>
      <c r="K595" s="117"/>
      <c r="L595" s="117"/>
      <c r="M595" s="2"/>
      <c r="N595" s="2"/>
      <c r="O595" s="2"/>
      <c r="P595" s="2"/>
      <c r="Q595" s="2"/>
      <c r="R595" s="2"/>
      <c r="S595" s="862"/>
      <c r="T595" s="109"/>
      <c r="U595" s="54"/>
      <c r="V595" s="54"/>
      <c r="W595" s="54"/>
      <c r="X595" s="54"/>
      <c r="Y595" s="54"/>
      <c r="Z595" s="54"/>
    </row>
    <row r="596">
      <c r="A596" s="531"/>
      <c r="B596" s="977"/>
      <c r="C596" s="119"/>
      <c r="D596" s="977"/>
      <c r="E596" s="977"/>
      <c r="F596" s="119"/>
      <c r="G596" s="119"/>
      <c r="H596" s="119"/>
      <c r="I596" s="119"/>
      <c r="J596" s="119"/>
      <c r="K596" s="117"/>
      <c r="L596" s="117"/>
      <c r="M596" s="2"/>
      <c r="N596" s="2"/>
      <c r="O596" s="2"/>
      <c r="P596" s="2"/>
      <c r="Q596" s="2"/>
      <c r="R596" s="2"/>
      <c r="S596" s="117"/>
      <c r="T596" s="2"/>
      <c r="U596" s="2"/>
      <c r="V596" s="2"/>
      <c r="W596" s="2"/>
      <c r="X596" s="2"/>
      <c r="Y596" s="2"/>
      <c r="Z596" s="2"/>
    </row>
    <row r="597">
      <c r="A597" s="531"/>
      <c r="B597" s="977"/>
      <c r="C597" s="119"/>
      <c r="D597" s="977"/>
      <c r="E597" s="977"/>
      <c r="F597" s="119"/>
      <c r="G597" s="119"/>
      <c r="H597" s="119"/>
      <c r="I597" s="119"/>
      <c r="J597" s="119"/>
      <c r="K597" s="117"/>
      <c r="L597" s="117"/>
      <c r="M597" s="2"/>
      <c r="N597" s="2"/>
      <c r="O597" s="2"/>
      <c r="P597" s="2"/>
      <c r="Q597" s="2"/>
      <c r="R597" s="2"/>
      <c r="S597" s="117"/>
      <c r="T597" s="2"/>
      <c r="U597" s="2"/>
      <c r="V597" s="2"/>
      <c r="W597" s="2"/>
      <c r="X597" s="2"/>
      <c r="Y597" s="2"/>
      <c r="Z597" s="2"/>
    </row>
    <row r="598">
      <c r="A598" s="531"/>
      <c r="B598" s="977"/>
      <c r="C598" s="119"/>
      <c r="D598" s="977"/>
      <c r="E598" s="977"/>
      <c r="F598" s="119"/>
      <c r="G598" s="119"/>
      <c r="H598" s="119"/>
      <c r="I598" s="119"/>
      <c r="J598" s="119"/>
      <c r="K598" s="117"/>
      <c r="L598" s="117"/>
      <c r="M598" s="2"/>
      <c r="N598" s="2"/>
      <c r="O598" s="2"/>
      <c r="P598" s="2"/>
      <c r="Q598" s="2"/>
      <c r="R598" s="2"/>
      <c r="S598" s="847"/>
      <c r="T598" s="847"/>
      <c r="U598" s="116"/>
      <c r="V598" s="116"/>
      <c r="W598" s="116"/>
      <c r="X598" s="116"/>
      <c r="Y598" s="116"/>
      <c r="Z598" s="116"/>
    </row>
    <row r="599">
      <c r="A599" s="531"/>
      <c r="B599" s="977"/>
      <c r="C599" s="119"/>
      <c r="D599" s="977"/>
      <c r="E599" s="977"/>
      <c r="F599" s="119"/>
      <c r="G599" s="119"/>
      <c r="H599" s="119"/>
      <c r="I599" s="119"/>
      <c r="J599" s="119"/>
      <c r="K599" s="117"/>
      <c r="L599" s="117"/>
      <c r="M599" s="2"/>
      <c r="N599" s="2"/>
      <c r="O599" s="2"/>
      <c r="P599" s="2"/>
      <c r="Q599" s="2"/>
      <c r="R599" s="2"/>
      <c r="S599" s="848"/>
      <c r="T599" s="848"/>
      <c r="U599" s="848"/>
      <c r="V599" s="848"/>
      <c r="W599" s="848"/>
      <c r="X599" s="848"/>
      <c r="Y599" s="848"/>
      <c r="Z599" s="848"/>
    </row>
    <row r="600">
      <c r="A600" s="531"/>
      <c r="B600" s="977"/>
      <c r="C600" s="119"/>
      <c r="D600" s="977"/>
      <c r="E600" s="977"/>
      <c r="F600" s="119"/>
      <c r="G600" s="119"/>
      <c r="H600" s="119"/>
      <c r="I600" s="119"/>
      <c r="J600" s="119"/>
      <c r="K600" s="117"/>
      <c r="L600" s="117"/>
      <c r="M600" s="2"/>
      <c r="N600" s="2"/>
      <c r="O600" s="2"/>
      <c r="P600" s="2"/>
      <c r="Q600" s="2"/>
      <c r="R600" s="2"/>
      <c r="S600" s="849"/>
      <c r="T600" s="850"/>
      <c r="U600" s="851"/>
      <c r="V600" s="851"/>
      <c r="W600" s="851"/>
      <c r="X600" s="851"/>
      <c r="Y600" s="851"/>
      <c r="Z600" s="851"/>
    </row>
    <row r="601">
      <c r="A601" s="531"/>
      <c r="B601" s="977"/>
      <c r="C601" s="119"/>
      <c r="D601" s="977"/>
      <c r="E601" s="977"/>
      <c r="F601" s="119"/>
      <c r="G601" s="119"/>
      <c r="H601" s="119"/>
      <c r="I601" s="119"/>
      <c r="J601" s="119"/>
      <c r="K601" s="117"/>
      <c r="L601" s="117"/>
      <c r="M601" s="2"/>
      <c r="N601" s="2"/>
      <c r="O601" s="2"/>
      <c r="P601" s="2"/>
      <c r="Q601" s="2"/>
      <c r="R601" s="2"/>
      <c r="S601" s="852"/>
      <c r="T601" s="853"/>
      <c r="U601" s="854"/>
      <c r="V601" s="854"/>
      <c r="W601" s="854"/>
      <c r="X601" s="854"/>
      <c r="Y601" s="854"/>
      <c r="Z601" s="854"/>
    </row>
    <row r="602">
      <c r="A602" s="531"/>
      <c r="B602" s="977"/>
      <c r="C602" s="119"/>
      <c r="D602" s="977"/>
      <c r="E602" s="977"/>
      <c r="F602" s="119"/>
      <c r="G602" s="119"/>
      <c r="H602" s="119"/>
      <c r="I602" s="119"/>
      <c r="J602" s="119"/>
      <c r="K602" s="117"/>
      <c r="L602" s="117"/>
      <c r="M602" s="2"/>
      <c r="N602" s="2"/>
      <c r="O602" s="2"/>
      <c r="P602" s="2"/>
      <c r="Q602" s="2"/>
      <c r="R602" s="2"/>
      <c r="S602" s="855"/>
      <c r="T602" s="856"/>
      <c r="U602" s="854"/>
      <c r="V602" s="854"/>
      <c r="W602" s="854"/>
      <c r="X602" s="854"/>
      <c r="Y602" s="854"/>
      <c r="Z602" s="854"/>
    </row>
    <row r="603">
      <c r="A603" s="531"/>
      <c r="B603" s="977"/>
      <c r="C603" s="119"/>
      <c r="D603" s="977"/>
      <c r="E603" s="977"/>
      <c r="F603" s="119"/>
      <c r="G603" s="119"/>
      <c r="H603" s="119"/>
      <c r="I603" s="119"/>
      <c r="J603" s="119"/>
      <c r="K603" s="117"/>
      <c r="L603" s="117"/>
      <c r="M603" s="2"/>
      <c r="N603" s="2"/>
      <c r="O603" s="2"/>
      <c r="P603" s="2"/>
      <c r="Q603" s="2"/>
      <c r="R603" s="2"/>
      <c r="S603" s="855"/>
      <c r="T603" s="856"/>
      <c r="U603" s="854"/>
      <c r="V603" s="854"/>
      <c r="W603" s="854"/>
      <c r="X603" s="854"/>
      <c r="Y603" s="854"/>
      <c r="Z603" s="854"/>
    </row>
    <row r="604">
      <c r="A604" s="531"/>
      <c r="B604" s="977"/>
      <c r="C604" s="119"/>
      <c r="D604" s="977"/>
      <c r="E604" s="977"/>
      <c r="F604" s="119"/>
      <c r="G604" s="119"/>
      <c r="H604" s="119"/>
      <c r="I604" s="119"/>
      <c r="J604" s="119"/>
      <c r="K604" s="117"/>
      <c r="L604" s="117"/>
      <c r="M604" s="2"/>
      <c r="N604" s="2"/>
      <c r="O604" s="2"/>
      <c r="P604" s="2"/>
      <c r="Q604" s="2"/>
      <c r="R604" s="2"/>
      <c r="S604" s="852"/>
      <c r="T604" s="853"/>
      <c r="U604" s="854"/>
      <c r="V604" s="854"/>
      <c r="W604" s="854"/>
      <c r="X604" s="854"/>
      <c r="Y604" s="854"/>
      <c r="Z604" s="854"/>
    </row>
    <row r="605">
      <c r="A605" s="531"/>
      <c r="B605" s="977"/>
      <c r="C605" s="119"/>
      <c r="D605" s="977"/>
      <c r="E605" s="977"/>
      <c r="F605" s="119"/>
      <c r="G605" s="119"/>
      <c r="H605" s="119"/>
      <c r="I605" s="119"/>
      <c r="J605" s="119"/>
      <c r="K605" s="117"/>
      <c r="L605" s="117"/>
      <c r="M605" s="2"/>
      <c r="N605" s="2"/>
      <c r="O605" s="2"/>
      <c r="P605" s="2"/>
      <c r="Q605" s="2"/>
      <c r="R605" s="2"/>
      <c r="S605" s="857"/>
      <c r="T605" s="858"/>
      <c r="U605" s="854"/>
      <c r="V605" s="854"/>
      <c r="W605" s="854"/>
      <c r="X605" s="854"/>
      <c r="Y605" s="854"/>
      <c r="Z605" s="854"/>
    </row>
    <row r="606">
      <c r="A606" s="531"/>
      <c r="B606" s="977"/>
      <c r="C606" s="119"/>
      <c r="D606" s="977"/>
      <c r="E606" s="977"/>
      <c r="F606" s="119"/>
      <c r="G606" s="119"/>
      <c r="H606" s="119"/>
      <c r="I606" s="119"/>
      <c r="J606" s="119"/>
      <c r="K606" s="117"/>
      <c r="L606" s="117"/>
      <c r="M606" s="2"/>
      <c r="N606" s="2"/>
      <c r="O606" s="2"/>
      <c r="P606" s="2"/>
      <c r="Q606" s="2"/>
      <c r="R606" s="2"/>
      <c r="S606" s="857"/>
      <c r="T606" s="858"/>
      <c r="U606" s="854"/>
      <c r="V606" s="854"/>
      <c r="W606" s="854"/>
      <c r="X606" s="854"/>
      <c r="Y606" s="854"/>
      <c r="Z606" s="854"/>
    </row>
    <row r="607">
      <c r="A607" s="531"/>
      <c r="B607" s="977"/>
      <c r="C607" s="119"/>
      <c r="D607" s="977"/>
      <c r="E607" s="977"/>
      <c r="F607" s="119"/>
      <c r="G607" s="119"/>
      <c r="H607" s="119"/>
      <c r="I607" s="119"/>
      <c r="J607" s="119"/>
      <c r="K607" s="117"/>
      <c r="L607" s="117"/>
      <c r="M607" s="2"/>
      <c r="N607" s="2"/>
      <c r="O607" s="2"/>
      <c r="P607" s="2"/>
      <c r="Q607" s="2"/>
      <c r="R607" s="2"/>
      <c r="S607" s="857"/>
      <c r="T607" s="858"/>
      <c r="U607" s="854"/>
      <c r="V607" s="854"/>
      <c r="W607" s="854"/>
      <c r="X607" s="854"/>
      <c r="Y607" s="854"/>
      <c r="Z607" s="854"/>
    </row>
    <row r="608">
      <c r="A608" s="531"/>
      <c r="B608" s="977"/>
      <c r="C608" s="119"/>
      <c r="D608" s="977"/>
      <c r="E608" s="977"/>
      <c r="F608" s="119"/>
      <c r="G608" s="119"/>
      <c r="H608" s="119"/>
      <c r="I608" s="119"/>
      <c r="J608" s="119"/>
      <c r="K608" s="117"/>
      <c r="L608" s="117"/>
      <c r="M608" s="2"/>
      <c r="N608" s="2"/>
      <c r="O608" s="2"/>
      <c r="P608" s="2"/>
      <c r="Q608" s="2"/>
      <c r="R608" s="2"/>
      <c r="S608" s="852"/>
      <c r="T608" s="853"/>
      <c r="U608" s="854"/>
      <c r="V608" s="854"/>
      <c r="W608" s="854"/>
      <c r="X608" s="854"/>
      <c r="Y608" s="854"/>
      <c r="Z608" s="854"/>
    </row>
    <row r="609">
      <c r="A609" s="531"/>
      <c r="B609" s="977"/>
      <c r="C609" s="119"/>
      <c r="D609" s="977"/>
      <c r="E609" s="977"/>
      <c r="F609" s="119"/>
      <c r="G609" s="119"/>
      <c r="H609" s="119"/>
      <c r="I609" s="119"/>
      <c r="J609" s="119"/>
      <c r="K609" s="117"/>
      <c r="L609" s="117"/>
      <c r="M609" s="2"/>
      <c r="N609" s="2"/>
      <c r="O609" s="2"/>
      <c r="P609" s="2"/>
      <c r="Q609" s="2"/>
      <c r="R609" s="2"/>
      <c r="S609" s="852"/>
      <c r="T609" s="853"/>
      <c r="U609" s="854"/>
      <c r="V609" s="854"/>
      <c r="W609" s="854"/>
      <c r="X609" s="854"/>
      <c r="Y609" s="854"/>
      <c r="Z609" s="854"/>
    </row>
    <row r="610">
      <c r="A610" s="531"/>
      <c r="B610" s="977"/>
      <c r="C610" s="119"/>
      <c r="D610" s="977"/>
      <c r="E610" s="977"/>
      <c r="F610" s="119"/>
      <c r="G610" s="119"/>
      <c r="H610" s="119"/>
      <c r="I610" s="119"/>
      <c r="J610" s="119"/>
      <c r="K610" s="117"/>
      <c r="L610" s="117"/>
      <c r="M610" s="2"/>
      <c r="N610" s="2"/>
      <c r="O610" s="2"/>
      <c r="P610" s="2"/>
      <c r="Q610" s="2"/>
      <c r="R610" s="2"/>
      <c r="S610" s="852"/>
      <c r="T610" s="853"/>
      <c r="U610" s="854"/>
      <c r="V610" s="854"/>
      <c r="W610" s="854"/>
      <c r="X610" s="854"/>
      <c r="Y610" s="854"/>
      <c r="Z610" s="854"/>
    </row>
    <row r="611">
      <c r="A611" s="531"/>
      <c r="B611" s="977"/>
      <c r="C611" s="119"/>
      <c r="D611" s="977"/>
      <c r="E611" s="977"/>
      <c r="F611" s="119"/>
      <c r="G611" s="119"/>
      <c r="H611" s="119"/>
      <c r="I611" s="119"/>
      <c r="J611" s="119"/>
      <c r="K611" s="117"/>
      <c r="L611" s="117"/>
      <c r="M611" s="2"/>
      <c r="N611" s="2"/>
      <c r="O611" s="2"/>
      <c r="P611" s="2"/>
      <c r="Q611" s="2"/>
      <c r="R611" s="2"/>
      <c r="S611" s="852"/>
      <c r="T611" s="853"/>
      <c r="U611" s="854"/>
      <c r="V611" s="854"/>
      <c r="W611" s="854"/>
      <c r="X611" s="854"/>
      <c r="Y611" s="854"/>
      <c r="Z611" s="854"/>
    </row>
    <row r="612">
      <c r="A612" s="531"/>
      <c r="B612" s="977"/>
      <c r="C612" s="119"/>
      <c r="D612" s="977"/>
      <c r="E612" s="977"/>
      <c r="F612" s="119"/>
      <c r="G612" s="119"/>
      <c r="H612" s="119"/>
      <c r="I612" s="119"/>
      <c r="J612" s="119"/>
      <c r="K612" s="117"/>
      <c r="L612" s="117"/>
      <c r="M612" s="2"/>
      <c r="N612" s="2"/>
      <c r="O612" s="2"/>
      <c r="P612" s="2"/>
      <c r="Q612" s="2"/>
      <c r="R612" s="2"/>
      <c r="S612" s="852"/>
      <c r="T612" s="859"/>
      <c r="U612" s="107"/>
      <c r="V612" s="107"/>
      <c r="W612" s="107"/>
      <c r="X612" s="107"/>
      <c r="Y612" s="107"/>
      <c r="Z612" s="107"/>
    </row>
    <row r="613">
      <c r="A613" s="531"/>
      <c r="B613" s="977"/>
      <c r="C613" s="119"/>
      <c r="D613" s="977"/>
      <c r="E613" s="977"/>
      <c r="F613" s="119"/>
      <c r="G613" s="119"/>
      <c r="H613" s="119"/>
      <c r="I613" s="119"/>
      <c r="J613" s="119"/>
      <c r="K613" s="117"/>
      <c r="L613" s="117"/>
      <c r="M613" s="2"/>
      <c r="N613" s="2"/>
      <c r="O613" s="2"/>
      <c r="P613" s="2"/>
      <c r="Q613" s="2"/>
      <c r="R613" s="2"/>
      <c r="S613" s="852"/>
      <c r="T613" s="859"/>
      <c r="U613" s="107"/>
      <c r="V613" s="107"/>
      <c r="W613" s="107"/>
      <c r="X613" s="107"/>
      <c r="Y613" s="107"/>
      <c r="Z613" s="107"/>
    </row>
    <row r="614">
      <c r="A614" s="531"/>
      <c r="B614" s="977"/>
      <c r="C614" s="119"/>
      <c r="D614" s="977"/>
      <c r="E614" s="977"/>
      <c r="F614" s="119"/>
      <c r="G614" s="119"/>
      <c r="H614" s="119"/>
      <c r="I614" s="119"/>
      <c r="J614" s="119"/>
      <c r="K614" s="117"/>
      <c r="L614" s="117"/>
      <c r="M614" s="2"/>
      <c r="N614" s="2"/>
      <c r="O614" s="2"/>
      <c r="P614" s="2"/>
      <c r="Q614" s="2"/>
      <c r="R614" s="2"/>
      <c r="S614" s="852"/>
      <c r="T614" s="859"/>
      <c r="U614" s="107"/>
      <c r="V614" s="107"/>
      <c r="W614" s="107"/>
      <c r="X614" s="107"/>
      <c r="Y614" s="107"/>
      <c r="Z614" s="107"/>
    </row>
    <row r="615">
      <c r="A615" s="531"/>
      <c r="B615" s="977"/>
      <c r="C615" s="119"/>
      <c r="D615" s="977"/>
      <c r="E615" s="977"/>
      <c r="F615" s="119"/>
      <c r="G615" s="119"/>
      <c r="H615" s="119"/>
      <c r="I615" s="119"/>
      <c r="J615" s="119"/>
      <c r="K615" s="117"/>
      <c r="L615" s="117"/>
      <c r="M615" s="2"/>
      <c r="N615" s="2"/>
      <c r="O615" s="2"/>
      <c r="P615" s="2"/>
      <c r="Q615" s="2"/>
      <c r="R615" s="2"/>
      <c r="S615" s="852"/>
      <c r="T615" s="859"/>
      <c r="U615" s="107"/>
      <c r="V615" s="107"/>
      <c r="W615" s="107"/>
      <c r="X615" s="107"/>
      <c r="Y615" s="107"/>
      <c r="Z615" s="107"/>
    </row>
    <row r="616">
      <c r="A616" s="531"/>
      <c r="B616" s="977"/>
      <c r="C616" s="119"/>
      <c r="D616" s="977"/>
      <c r="E616" s="977"/>
      <c r="F616" s="119"/>
      <c r="G616" s="119"/>
      <c r="H616" s="119"/>
      <c r="I616" s="119"/>
      <c r="J616" s="119"/>
      <c r="K616" s="117"/>
      <c r="L616" s="117"/>
      <c r="M616" s="2"/>
      <c r="N616" s="2"/>
      <c r="O616" s="2"/>
      <c r="P616" s="2"/>
      <c r="Q616" s="2"/>
      <c r="R616" s="2"/>
      <c r="S616" s="852"/>
      <c r="T616" s="859"/>
      <c r="U616" s="107"/>
      <c r="V616" s="107"/>
      <c r="W616" s="107"/>
      <c r="X616" s="107"/>
      <c r="Y616" s="107"/>
      <c r="Z616" s="107"/>
    </row>
    <row r="617">
      <c r="A617" s="531"/>
      <c r="B617" s="977"/>
      <c r="C617" s="119"/>
      <c r="D617" s="977"/>
      <c r="E617" s="977"/>
      <c r="F617" s="119"/>
      <c r="G617" s="119"/>
      <c r="H617" s="119"/>
      <c r="I617" s="119"/>
      <c r="J617" s="119"/>
      <c r="K617" s="117"/>
      <c r="L617" s="117"/>
      <c r="M617" s="2"/>
      <c r="N617" s="2"/>
      <c r="O617" s="2"/>
      <c r="P617" s="2"/>
      <c r="Q617" s="2"/>
      <c r="R617" s="2"/>
      <c r="S617" s="852"/>
      <c r="T617" s="859"/>
      <c r="U617" s="107"/>
      <c r="V617" s="107"/>
      <c r="W617" s="107"/>
      <c r="X617" s="107"/>
      <c r="Y617" s="107"/>
      <c r="Z617" s="107"/>
    </row>
    <row r="618">
      <c r="A618" s="531"/>
      <c r="B618" s="977"/>
      <c r="C618" s="119"/>
      <c r="D618" s="977"/>
      <c r="E618" s="977"/>
      <c r="F618" s="119"/>
      <c r="G618" s="119"/>
      <c r="H618" s="119"/>
      <c r="I618" s="119"/>
      <c r="J618" s="119"/>
      <c r="K618" s="117"/>
      <c r="L618" s="117"/>
      <c r="M618" s="2"/>
      <c r="N618" s="2"/>
      <c r="O618" s="2"/>
      <c r="P618" s="2"/>
      <c r="Q618" s="2"/>
      <c r="R618" s="2"/>
      <c r="S618" s="852"/>
      <c r="T618" s="859"/>
      <c r="U618" s="107"/>
      <c r="V618" s="107"/>
      <c r="W618" s="107"/>
      <c r="X618" s="107"/>
      <c r="Y618" s="107"/>
      <c r="Z618" s="107"/>
    </row>
    <row r="619">
      <c r="A619" s="531"/>
      <c r="B619" s="977"/>
      <c r="C619" s="119"/>
      <c r="D619" s="977"/>
      <c r="E619" s="977"/>
      <c r="F619" s="119"/>
      <c r="G619" s="119"/>
      <c r="H619" s="119"/>
      <c r="I619" s="119"/>
      <c r="J619" s="119"/>
      <c r="K619" s="117"/>
      <c r="L619" s="117"/>
      <c r="M619" s="2"/>
      <c r="N619" s="2"/>
      <c r="O619" s="2"/>
      <c r="P619" s="2"/>
      <c r="Q619" s="2"/>
      <c r="R619" s="2"/>
      <c r="S619" s="852"/>
      <c r="T619" s="859"/>
      <c r="U619" s="107"/>
      <c r="V619" s="107"/>
      <c r="W619" s="107"/>
      <c r="X619" s="107"/>
      <c r="Y619" s="107"/>
      <c r="Z619" s="107"/>
    </row>
    <row r="620">
      <c r="A620" s="531"/>
      <c r="B620" s="977"/>
      <c r="C620" s="119"/>
      <c r="D620" s="977"/>
      <c r="E620" s="977"/>
      <c r="F620" s="119"/>
      <c r="G620" s="119"/>
      <c r="H620" s="119"/>
      <c r="I620" s="119"/>
      <c r="J620" s="119"/>
      <c r="K620" s="117"/>
      <c r="L620" s="117"/>
      <c r="M620" s="2"/>
      <c r="N620" s="2"/>
      <c r="O620" s="2"/>
      <c r="P620" s="2"/>
      <c r="Q620" s="2"/>
      <c r="R620" s="2"/>
      <c r="S620" s="852"/>
      <c r="T620" s="859"/>
      <c r="U620" s="107"/>
      <c r="V620" s="107"/>
      <c r="W620" s="107"/>
      <c r="X620" s="107"/>
      <c r="Y620" s="107"/>
      <c r="Z620" s="107"/>
    </row>
    <row r="621">
      <c r="A621" s="531"/>
      <c r="B621" s="977"/>
      <c r="C621" s="119"/>
      <c r="D621" s="977"/>
      <c r="E621" s="977"/>
      <c r="F621" s="119"/>
      <c r="G621" s="119"/>
      <c r="H621" s="119"/>
      <c r="I621" s="119"/>
      <c r="J621" s="119"/>
      <c r="K621" s="117"/>
      <c r="L621" s="117"/>
      <c r="M621" s="2"/>
      <c r="N621" s="2"/>
      <c r="O621" s="2"/>
      <c r="P621" s="2"/>
      <c r="Q621" s="2"/>
      <c r="R621" s="2"/>
      <c r="S621" s="852"/>
      <c r="T621" s="859"/>
      <c r="U621" s="107"/>
      <c r="V621" s="107"/>
      <c r="W621" s="107"/>
      <c r="X621" s="107"/>
      <c r="Y621" s="107"/>
      <c r="Z621" s="107"/>
    </row>
    <row r="622">
      <c r="A622" s="531"/>
      <c r="B622" s="977"/>
      <c r="C622" s="119"/>
      <c r="D622" s="977"/>
      <c r="E622" s="977"/>
      <c r="F622" s="119"/>
      <c r="G622" s="119"/>
      <c r="H622" s="119"/>
      <c r="I622" s="119"/>
      <c r="J622" s="119"/>
      <c r="K622" s="117"/>
      <c r="L622" s="117"/>
      <c r="M622" s="2"/>
      <c r="N622" s="2"/>
      <c r="O622" s="2"/>
      <c r="P622" s="2"/>
      <c r="Q622" s="2"/>
      <c r="R622" s="2"/>
      <c r="S622" s="857"/>
      <c r="T622" s="860"/>
      <c r="U622" s="107"/>
      <c r="V622" s="107"/>
      <c r="W622" s="107"/>
      <c r="X622" s="107"/>
      <c r="Y622" s="107"/>
      <c r="Z622" s="107"/>
    </row>
    <row r="623">
      <c r="A623" s="531"/>
      <c r="B623" s="977"/>
      <c r="C623" s="119"/>
      <c r="D623" s="977"/>
      <c r="E623" s="977"/>
      <c r="F623" s="119"/>
      <c r="G623" s="119"/>
      <c r="H623" s="119"/>
      <c r="I623" s="119"/>
      <c r="J623" s="119"/>
      <c r="K623" s="117"/>
      <c r="L623" s="117"/>
      <c r="M623" s="2"/>
      <c r="N623" s="2"/>
      <c r="O623" s="2"/>
      <c r="P623" s="2"/>
      <c r="Q623" s="2"/>
      <c r="R623" s="2"/>
      <c r="S623" s="861"/>
      <c r="T623" s="111"/>
      <c r="U623" s="2"/>
      <c r="V623" s="2"/>
      <c r="W623" s="2"/>
      <c r="X623" s="2"/>
      <c r="Y623" s="2"/>
      <c r="Z623" s="2"/>
    </row>
    <row r="624">
      <c r="A624" s="531"/>
      <c r="B624" s="977"/>
      <c r="C624" s="119"/>
      <c r="D624" s="977"/>
      <c r="E624" s="977"/>
      <c r="F624" s="119"/>
      <c r="G624" s="119"/>
      <c r="H624" s="119"/>
      <c r="I624" s="119"/>
      <c r="J624" s="119"/>
      <c r="K624" s="117"/>
      <c r="L624" s="117"/>
      <c r="M624" s="2"/>
      <c r="N624" s="2"/>
      <c r="O624" s="2"/>
      <c r="P624" s="2"/>
      <c r="Q624" s="2"/>
      <c r="R624" s="2"/>
      <c r="S624" s="861"/>
      <c r="T624" s="111"/>
      <c r="U624" s="2"/>
      <c r="V624" s="2"/>
      <c r="W624" s="2"/>
      <c r="X624" s="2"/>
      <c r="Y624" s="2"/>
      <c r="Z624" s="2"/>
    </row>
    <row r="625">
      <c r="A625" s="531"/>
      <c r="B625" s="977"/>
      <c r="C625" s="119"/>
      <c r="D625" s="977"/>
      <c r="E625" s="977"/>
      <c r="F625" s="119"/>
      <c r="G625" s="119"/>
      <c r="H625" s="119"/>
      <c r="I625" s="119"/>
      <c r="J625" s="119"/>
      <c r="K625" s="117"/>
      <c r="L625" s="117"/>
      <c r="M625" s="2"/>
      <c r="N625" s="2"/>
      <c r="O625" s="2"/>
      <c r="P625" s="2"/>
      <c r="Q625" s="2"/>
      <c r="R625" s="2"/>
      <c r="S625" s="861"/>
      <c r="T625" s="111"/>
      <c r="U625" s="2"/>
      <c r="V625" s="2"/>
      <c r="W625" s="2"/>
      <c r="X625" s="2"/>
      <c r="Y625" s="2"/>
      <c r="Z625" s="2"/>
    </row>
    <row r="626">
      <c r="A626" s="531"/>
      <c r="B626" s="977"/>
      <c r="C626" s="119"/>
      <c r="D626" s="977"/>
      <c r="E626" s="977"/>
      <c r="F626" s="119"/>
      <c r="G626" s="119"/>
      <c r="H626" s="119"/>
      <c r="I626" s="119"/>
      <c r="J626" s="119"/>
      <c r="K626" s="117"/>
      <c r="L626" s="117"/>
      <c r="M626" s="2"/>
      <c r="N626" s="2"/>
      <c r="O626" s="2"/>
      <c r="P626" s="2"/>
      <c r="Q626" s="2"/>
      <c r="R626" s="2"/>
      <c r="S626" s="861"/>
      <c r="T626" s="111"/>
      <c r="U626" s="2"/>
      <c r="V626" s="2"/>
      <c r="W626" s="2"/>
      <c r="X626" s="2"/>
      <c r="Y626" s="2"/>
      <c r="Z626" s="2"/>
    </row>
    <row r="627">
      <c r="A627" s="531"/>
      <c r="B627" s="977"/>
      <c r="C627" s="119"/>
      <c r="D627" s="977"/>
      <c r="E627" s="977"/>
      <c r="F627" s="119"/>
      <c r="G627" s="119"/>
      <c r="H627" s="119"/>
      <c r="I627" s="119"/>
      <c r="J627" s="119"/>
      <c r="K627" s="117"/>
      <c r="L627" s="117"/>
      <c r="M627" s="2"/>
      <c r="N627" s="2"/>
      <c r="O627" s="2"/>
      <c r="P627" s="2"/>
      <c r="Q627" s="2"/>
      <c r="R627" s="2"/>
      <c r="S627" s="861"/>
      <c r="T627" s="111"/>
      <c r="U627" s="2"/>
      <c r="V627" s="2"/>
      <c r="W627" s="2"/>
      <c r="X627" s="2"/>
      <c r="Y627" s="2"/>
      <c r="Z627" s="2"/>
    </row>
    <row r="628">
      <c r="A628" s="531"/>
      <c r="B628" s="977"/>
      <c r="C628" s="119"/>
      <c r="D628" s="977"/>
      <c r="E628" s="977"/>
      <c r="F628" s="119"/>
      <c r="G628" s="119"/>
      <c r="H628" s="119"/>
      <c r="I628" s="119"/>
      <c r="J628" s="119"/>
      <c r="K628" s="117"/>
      <c r="L628" s="117"/>
      <c r="M628" s="2"/>
      <c r="N628" s="2"/>
      <c r="O628" s="2"/>
      <c r="P628" s="2"/>
      <c r="Q628" s="2"/>
      <c r="R628" s="2"/>
      <c r="S628" s="862"/>
      <c r="T628" s="109"/>
      <c r="U628" s="2"/>
      <c r="V628" s="2"/>
      <c r="W628" s="2"/>
      <c r="X628" s="2"/>
      <c r="Y628" s="2"/>
      <c r="Z628" s="2"/>
    </row>
    <row r="629">
      <c r="A629" s="531"/>
      <c r="B629" s="977"/>
      <c r="C629" s="119"/>
      <c r="D629" s="977"/>
      <c r="E629" s="977"/>
      <c r="F629" s="119"/>
      <c r="G629" s="119"/>
      <c r="H629" s="119"/>
      <c r="I629" s="119"/>
      <c r="J629" s="119"/>
      <c r="K629" s="117"/>
      <c r="L629" s="117"/>
      <c r="M629" s="2"/>
      <c r="N629" s="2"/>
      <c r="O629" s="2"/>
      <c r="P629" s="2"/>
      <c r="Q629" s="2"/>
      <c r="R629" s="2"/>
      <c r="S629" s="861"/>
      <c r="T629" s="111"/>
      <c r="U629" s="2"/>
      <c r="V629" s="2"/>
      <c r="W629" s="2"/>
      <c r="X629" s="2"/>
      <c r="Y629" s="2"/>
      <c r="Z629" s="2"/>
    </row>
    <row r="630">
      <c r="A630" s="531"/>
      <c r="B630" s="977"/>
      <c r="C630" s="119"/>
      <c r="D630" s="977"/>
      <c r="E630" s="977"/>
      <c r="F630" s="119"/>
      <c r="G630" s="119"/>
      <c r="H630" s="119"/>
      <c r="I630" s="119"/>
      <c r="J630" s="119"/>
      <c r="K630" s="117"/>
      <c r="L630" s="117"/>
      <c r="M630" s="2"/>
      <c r="N630" s="2"/>
      <c r="O630" s="2"/>
      <c r="P630" s="2"/>
      <c r="Q630" s="2"/>
      <c r="R630" s="2"/>
      <c r="S630" s="861"/>
      <c r="T630" s="111"/>
      <c r="U630" s="2"/>
      <c r="V630" s="2"/>
      <c r="W630" s="2"/>
      <c r="X630" s="2"/>
      <c r="Y630" s="2"/>
      <c r="Z630" s="2"/>
    </row>
    <row r="631">
      <c r="A631" s="531"/>
      <c r="B631" s="977"/>
      <c r="C631" s="119"/>
      <c r="D631" s="977"/>
      <c r="E631" s="977"/>
      <c r="F631" s="119"/>
      <c r="G631" s="119"/>
      <c r="H631" s="119"/>
      <c r="I631" s="119"/>
      <c r="J631" s="119"/>
      <c r="K631" s="117"/>
      <c r="L631" s="117"/>
      <c r="M631" s="2"/>
      <c r="N631" s="2"/>
      <c r="O631" s="2"/>
      <c r="P631" s="2"/>
      <c r="Q631" s="2"/>
      <c r="R631" s="2"/>
      <c r="S631" s="861"/>
      <c r="T631" s="111"/>
      <c r="U631" s="2"/>
      <c r="V631" s="2"/>
      <c r="W631" s="2"/>
      <c r="X631" s="2"/>
      <c r="Y631" s="2"/>
      <c r="Z631" s="2"/>
    </row>
    <row r="632">
      <c r="A632" s="531"/>
      <c r="B632" s="977"/>
      <c r="C632" s="119"/>
      <c r="D632" s="977"/>
      <c r="E632" s="977"/>
      <c r="F632" s="119"/>
      <c r="G632" s="119"/>
      <c r="H632" s="119"/>
      <c r="I632" s="119"/>
      <c r="J632" s="119"/>
      <c r="K632" s="117"/>
      <c r="L632" s="117"/>
      <c r="M632" s="2"/>
      <c r="N632" s="2"/>
      <c r="O632" s="2"/>
      <c r="P632" s="2"/>
      <c r="Q632" s="2"/>
      <c r="R632" s="2"/>
      <c r="S632" s="861"/>
      <c r="T632" s="111"/>
      <c r="U632" s="2"/>
      <c r="V632" s="2"/>
      <c r="W632" s="2"/>
      <c r="X632" s="2"/>
      <c r="Y632" s="2"/>
      <c r="Z632" s="2"/>
    </row>
    <row r="633">
      <c r="A633" s="531"/>
      <c r="B633" s="977"/>
      <c r="C633" s="119"/>
      <c r="D633" s="977"/>
      <c r="E633" s="977"/>
      <c r="F633" s="119"/>
      <c r="G633" s="119"/>
      <c r="H633" s="119"/>
      <c r="I633" s="119"/>
      <c r="J633" s="119"/>
      <c r="K633" s="117"/>
      <c r="L633" s="117"/>
      <c r="M633" s="2"/>
      <c r="N633" s="2"/>
      <c r="O633" s="2"/>
      <c r="P633" s="2"/>
      <c r="Q633" s="2"/>
      <c r="R633" s="2"/>
      <c r="S633" s="861"/>
      <c r="T633" s="111"/>
      <c r="U633" s="2"/>
      <c r="V633" s="2"/>
      <c r="W633" s="2"/>
      <c r="X633" s="2"/>
      <c r="Y633" s="2"/>
      <c r="Z633" s="2"/>
    </row>
    <row r="634">
      <c r="A634" s="531"/>
      <c r="B634" s="977"/>
      <c r="C634" s="119"/>
      <c r="D634" s="977"/>
      <c r="E634" s="977"/>
      <c r="F634" s="119"/>
      <c r="G634" s="119"/>
      <c r="H634" s="119"/>
      <c r="I634" s="119"/>
      <c r="J634" s="119"/>
      <c r="K634" s="117"/>
      <c r="L634" s="117"/>
      <c r="M634" s="2"/>
      <c r="N634" s="2"/>
      <c r="O634" s="2"/>
      <c r="P634" s="2"/>
      <c r="Q634" s="2"/>
      <c r="R634" s="2"/>
      <c r="S634" s="861"/>
      <c r="T634" s="111"/>
      <c r="U634" s="2"/>
      <c r="V634" s="2"/>
      <c r="W634" s="2"/>
      <c r="X634" s="2"/>
      <c r="Y634" s="2"/>
      <c r="Z634" s="2"/>
    </row>
    <row r="635">
      <c r="A635" s="531"/>
      <c r="B635" s="977"/>
      <c r="C635" s="119"/>
      <c r="D635" s="977"/>
      <c r="E635" s="977"/>
      <c r="F635" s="119"/>
      <c r="G635" s="119"/>
      <c r="H635" s="119"/>
      <c r="I635" s="119"/>
      <c r="J635" s="119"/>
      <c r="K635" s="117"/>
      <c r="L635" s="117"/>
      <c r="M635" s="2"/>
      <c r="N635" s="2"/>
      <c r="O635" s="2"/>
      <c r="P635" s="2"/>
      <c r="Q635" s="2"/>
      <c r="R635" s="2"/>
      <c r="S635" s="861"/>
      <c r="T635" s="111"/>
      <c r="U635" s="2"/>
      <c r="V635" s="2"/>
      <c r="W635" s="2"/>
      <c r="X635" s="2"/>
      <c r="Y635" s="2"/>
      <c r="Z635" s="2"/>
    </row>
    <row r="636">
      <c r="A636" s="531"/>
      <c r="B636" s="977"/>
      <c r="C636" s="119"/>
      <c r="D636" s="977"/>
      <c r="E636" s="977"/>
      <c r="F636" s="119"/>
      <c r="G636" s="119"/>
      <c r="H636" s="119"/>
      <c r="I636" s="119"/>
      <c r="J636" s="119"/>
      <c r="K636" s="117"/>
      <c r="L636" s="117"/>
      <c r="M636" s="2"/>
      <c r="N636" s="2"/>
      <c r="O636" s="2"/>
      <c r="P636" s="2"/>
      <c r="Q636" s="2"/>
      <c r="R636" s="2"/>
      <c r="S636" s="861"/>
      <c r="T636" s="111"/>
      <c r="U636" s="2"/>
      <c r="V636" s="2"/>
      <c r="W636" s="2"/>
      <c r="X636" s="2"/>
      <c r="Y636" s="2"/>
      <c r="Z636" s="2"/>
    </row>
    <row r="637">
      <c r="A637" s="531"/>
      <c r="B637" s="977"/>
      <c r="C637" s="119"/>
      <c r="D637" s="977"/>
      <c r="E637" s="977"/>
      <c r="F637" s="119"/>
      <c r="G637" s="119"/>
      <c r="H637" s="119"/>
      <c r="I637" s="119"/>
      <c r="J637" s="119"/>
      <c r="K637" s="117"/>
      <c r="L637" s="117"/>
      <c r="M637" s="2"/>
      <c r="N637" s="2"/>
      <c r="O637" s="2"/>
      <c r="P637" s="2"/>
      <c r="Q637" s="2"/>
      <c r="R637" s="2"/>
      <c r="S637" s="862"/>
      <c r="T637" s="109"/>
      <c r="U637" s="2"/>
      <c r="V637" s="2"/>
      <c r="W637" s="2"/>
      <c r="X637" s="2"/>
      <c r="Y637" s="2"/>
      <c r="Z637" s="2"/>
    </row>
    <row r="638">
      <c r="A638" s="531"/>
      <c r="B638" s="977"/>
      <c r="C638" s="119"/>
      <c r="D638" s="977"/>
      <c r="E638" s="977"/>
      <c r="F638" s="119"/>
      <c r="G638" s="119"/>
      <c r="H638" s="119"/>
      <c r="I638" s="119"/>
      <c r="J638" s="119"/>
      <c r="K638" s="117"/>
      <c r="L638" s="117"/>
      <c r="M638" s="2"/>
      <c r="N638" s="2"/>
      <c r="O638" s="2"/>
      <c r="P638" s="2"/>
      <c r="Q638" s="2"/>
      <c r="R638" s="2"/>
      <c r="S638" s="862"/>
      <c r="T638" s="109"/>
      <c r="U638" s="54"/>
      <c r="V638" s="54"/>
      <c r="W638" s="54"/>
      <c r="X638" s="54"/>
      <c r="Y638" s="54"/>
      <c r="Z638" s="54"/>
    </row>
    <row r="639">
      <c r="A639" s="531"/>
      <c r="B639" s="977"/>
      <c r="C639" s="119"/>
      <c r="D639" s="977"/>
      <c r="E639" s="977"/>
      <c r="F639" s="119"/>
      <c r="G639" s="119"/>
      <c r="H639" s="119"/>
      <c r="I639" s="119"/>
      <c r="J639" s="119"/>
      <c r="K639" s="117"/>
      <c r="L639" s="117"/>
      <c r="M639" s="2"/>
      <c r="N639" s="2"/>
      <c r="O639" s="2"/>
      <c r="P639" s="2"/>
      <c r="Q639" s="2"/>
      <c r="R639" s="2"/>
      <c r="S639" s="117"/>
      <c r="T639" s="2"/>
      <c r="U639" s="2"/>
      <c r="V639" s="2"/>
      <c r="W639" s="2"/>
      <c r="X639" s="2"/>
      <c r="Y639" s="2"/>
      <c r="Z639" s="2"/>
    </row>
    <row r="640">
      <c r="A640" s="531"/>
      <c r="B640" s="977"/>
      <c r="C640" s="119"/>
      <c r="D640" s="977"/>
      <c r="E640" s="977"/>
      <c r="F640" s="119"/>
      <c r="G640" s="119"/>
      <c r="H640" s="119"/>
      <c r="I640" s="119"/>
      <c r="J640" s="119"/>
      <c r="K640" s="117"/>
      <c r="L640" s="117"/>
      <c r="M640" s="2"/>
      <c r="N640" s="2"/>
      <c r="O640" s="2"/>
      <c r="P640" s="2"/>
      <c r="Q640" s="2"/>
      <c r="R640" s="2"/>
      <c r="S640" s="117"/>
      <c r="T640" s="2"/>
      <c r="U640" s="2"/>
      <c r="V640" s="2"/>
      <c r="W640" s="2"/>
      <c r="X640" s="2"/>
      <c r="Y640" s="2"/>
      <c r="Z640" s="2"/>
    </row>
    <row r="641">
      <c r="A641" s="531"/>
      <c r="B641" s="977"/>
      <c r="C641" s="119"/>
      <c r="D641" s="977"/>
      <c r="E641" s="977"/>
      <c r="F641" s="119"/>
      <c r="G641" s="119"/>
      <c r="H641" s="119"/>
      <c r="I641" s="119"/>
      <c r="J641" s="119"/>
      <c r="K641" s="117"/>
      <c r="L641" s="117"/>
      <c r="M641" s="2"/>
      <c r="N641" s="2"/>
      <c r="O641" s="2"/>
      <c r="P641" s="2"/>
      <c r="Q641" s="2"/>
      <c r="R641" s="2"/>
      <c r="S641" s="847"/>
      <c r="T641" s="847"/>
      <c r="U641" s="116"/>
      <c r="V641" s="116"/>
      <c r="W641" s="116"/>
      <c r="X641" s="116"/>
      <c r="Y641" s="116"/>
      <c r="Z641" s="116"/>
    </row>
    <row r="642">
      <c r="A642" s="531"/>
      <c r="B642" s="977"/>
      <c r="C642" s="119"/>
      <c r="D642" s="977"/>
      <c r="E642" s="977"/>
      <c r="F642" s="119"/>
      <c r="G642" s="119"/>
      <c r="H642" s="119"/>
      <c r="I642" s="119"/>
      <c r="J642" s="119"/>
      <c r="K642" s="117"/>
      <c r="L642" s="117"/>
      <c r="M642" s="2"/>
      <c r="N642" s="2"/>
      <c r="O642" s="2"/>
      <c r="P642" s="2"/>
      <c r="Q642" s="2"/>
      <c r="R642" s="2"/>
      <c r="S642" s="848"/>
      <c r="T642" s="848"/>
      <c r="U642" s="848"/>
      <c r="V642" s="848"/>
      <c r="W642" s="848"/>
      <c r="X642" s="848"/>
      <c r="Y642" s="848"/>
      <c r="Z642" s="848"/>
    </row>
    <row r="643">
      <c r="A643" s="531"/>
      <c r="B643" s="977"/>
      <c r="C643" s="119"/>
      <c r="D643" s="977"/>
      <c r="E643" s="977"/>
      <c r="F643" s="119"/>
      <c r="G643" s="119"/>
      <c r="H643" s="119"/>
      <c r="I643" s="119"/>
      <c r="J643" s="119"/>
      <c r="K643" s="117"/>
      <c r="L643" s="117"/>
      <c r="M643" s="2"/>
      <c r="N643" s="2"/>
      <c r="O643" s="2"/>
      <c r="P643" s="2"/>
      <c r="Q643" s="2"/>
      <c r="R643" s="2"/>
      <c r="S643" s="849"/>
      <c r="T643" s="850"/>
      <c r="U643" s="851"/>
      <c r="V643" s="851"/>
      <c r="W643" s="851"/>
      <c r="X643" s="851"/>
      <c r="Y643" s="851"/>
      <c r="Z643" s="851"/>
    </row>
    <row r="644">
      <c r="A644" s="531"/>
      <c r="B644" s="977"/>
      <c r="C644" s="119"/>
      <c r="D644" s="977"/>
      <c r="E644" s="977"/>
      <c r="F644" s="119"/>
      <c r="G644" s="119"/>
      <c r="H644" s="119"/>
      <c r="I644" s="119"/>
      <c r="J644" s="119"/>
      <c r="K644" s="117"/>
      <c r="L644" s="117"/>
      <c r="M644" s="2"/>
      <c r="N644" s="2"/>
      <c r="O644" s="2"/>
      <c r="P644" s="2"/>
      <c r="Q644" s="2"/>
      <c r="R644" s="2"/>
      <c r="S644" s="852"/>
      <c r="T644" s="853"/>
      <c r="U644" s="854"/>
      <c r="V644" s="854"/>
      <c r="W644" s="854"/>
      <c r="X644" s="854"/>
      <c r="Y644" s="854"/>
      <c r="Z644" s="854"/>
    </row>
    <row r="645">
      <c r="A645" s="531"/>
      <c r="B645" s="977"/>
      <c r="C645" s="119"/>
      <c r="D645" s="977"/>
      <c r="E645" s="977"/>
      <c r="F645" s="119"/>
      <c r="G645" s="119"/>
      <c r="H645" s="119"/>
      <c r="I645" s="119"/>
      <c r="J645" s="119"/>
      <c r="K645" s="117"/>
      <c r="L645" s="117"/>
      <c r="M645" s="2"/>
      <c r="N645" s="2"/>
      <c r="O645" s="2"/>
      <c r="P645" s="2"/>
      <c r="Q645" s="2"/>
      <c r="R645" s="2"/>
      <c r="S645" s="855"/>
      <c r="T645" s="856"/>
      <c r="U645" s="854"/>
      <c r="V645" s="854"/>
      <c r="W645" s="854"/>
      <c r="X645" s="854"/>
      <c r="Y645" s="854"/>
      <c r="Z645" s="854"/>
    </row>
    <row r="646">
      <c r="A646" s="531"/>
      <c r="B646" s="977"/>
      <c r="C646" s="119"/>
      <c r="D646" s="977"/>
      <c r="E646" s="977"/>
      <c r="F646" s="119"/>
      <c r="G646" s="119"/>
      <c r="H646" s="119"/>
      <c r="I646" s="119"/>
      <c r="J646" s="119"/>
      <c r="K646" s="117"/>
      <c r="L646" s="117"/>
      <c r="M646" s="2"/>
      <c r="N646" s="2"/>
      <c r="O646" s="2"/>
      <c r="P646" s="2"/>
      <c r="Q646" s="2"/>
      <c r="R646" s="2"/>
      <c r="S646" s="855"/>
      <c r="T646" s="856"/>
      <c r="U646" s="854"/>
      <c r="V646" s="854"/>
      <c r="W646" s="854"/>
      <c r="X646" s="854"/>
      <c r="Y646" s="854"/>
      <c r="Z646" s="854"/>
    </row>
    <row r="647">
      <c r="A647" s="531"/>
      <c r="B647" s="977"/>
      <c r="C647" s="119"/>
      <c r="D647" s="977"/>
      <c r="E647" s="977"/>
      <c r="F647" s="119"/>
      <c r="G647" s="119"/>
      <c r="H647" s="119"/>
      <c r="I647" s="119"/>
      <c r="J647" s="119"/>
      <c r="K647" s="117"/>
      <c r="L647" s="117"/>
      <c r="M647" s="2"/>
      <c r="N647" s="2"/>
      <c r="O647" s="2"/>
      <c r="P647" s="2"/>
      <c r="Q647" s="2"/>
      <c r="R647" s="2"/>
      <c r="S647" s="852"/>
      <c r="T647" s="853"/>
      <c r="U647" s="854"/>
      <c r="V647" s="854"/>
      <c r="W647" s="854"/>
      <c r="X647" s="854"/>
      <c r="Y647" s="854"/>
      <c r="Z647" s="854"/>
    </row>
    <row r="648">
      <c r="A648" s="531"/>
      <c r="B648" s="977"/>
      <c r="C648" s="119"/>
      <c r="D648" s="977"/>
      <c r="E648" s="977"/>
      <c r="F648" s="119"/>
      <c r="G648" s="119"/>
      <c r="H648" s="119"/>
      <c r="I648" s="119"/>
      <c r="J648" s="119"/>
      <c r="K648" s="117"/>
      <c r="L648" s="117"/>
      <c r="M648" s="2"/>
      <c r="N648" s="2"/>
      <c r="O648" s="2"/>
      <c r="P648" s="2"/>
      <c r="Q648" s="2"/>
      <c r="R648" s="2"/>
      <c r="S648" s="857"/>
      <c r="T648" s="858"/>
      <c r="U648" s="854"/>
      <c r="V648" s="854"/>
      <c r="W648" s="854"/>
      <c r="X648" s="854"/>
      <c r="Y648" s="854"/>
      <c r="Z648" s="854"/>
    </row>
    <row r="649">
      <c r="A649" s="531"/>
      <c r="B649" s="977"/>
      <c r="C649" s="119"/>
      <c r="D649" s="977"/>
      <c r="E649" s="977"/>
      <c r="F649" s="119"/>
      <c r="G649" s="119"/>
      <c r="H649" s="119"/>
      <c r="I649" s="119"/>
      <c r="J649" s="119"/>
      <c r="K649" s="117"/>
      <c r="L649" s="117"/>
      <c r="M649" s="2"/>
      <c r="N649" s="2"/>
      <c r="O649" s="2"/>
      <c r="P649" s="2"/>
      <c r="Q649" s="2"/>
      <c r="R649" s="2"/>
      <c r="S649" s="857"/>
      <c r="T649" s="858"/>
      <c r="U649" s="854"/>
      <c r="V649" s="854"/>
      <c r="W649" s="854"/>
      <c r="X649" s="854"/>
      <c r="Y649" s="854"/>
      <c r="Z649" s="854"/>
    </row>
    <row r="650">
      <c r="A650" s="531"/>
      <c r="B650" s="977"/>
      <c r="C650" s="119"/>
      <c r="D650" s="977"/>
      <c r="E650" s="977"/>
      <c r="F650" s="119"/>
      <c r="G650" s="119"/>
      <c r="H650" s="119"/>
      <c r="I650" s="119"/>
      <c r="J650" s="119"/>
      <c r="K650" s="117"/>
      <c r="L650" s="117"/>
      <c r="M650" s="2"/>
      <c r="N650" s="2"/>
      <c r="O650" s="2"/>
      <c r="P650" s="2"/>
      <c r="Q650" s="2"/>
      <c r="R650" s="2"/>
      <c r="S650" s="857"/>
      <c r="T650" s="858"/>
      <c r="U650" s="854"/>
      <c r="V650" s="854"/>
      <c r="W650" s="854"/>
      <c r="X650" s="854"/>
      <c r="Y650" s="854"/>
      <c r="Z650" s="854"/>
    </row>
    <row r="651">
      <c r="A651" s="531"/>
      <c r="B651" s="977"/>
      <c r="C651" s="119"/>
      <c r="D651" s="977"/>
      <c r="E651" s="977"/>
      <c r="F651" s="119"/>
      <c r="G651" s="119"/>
      <c r="H651" s="119"/>
      <c r="I651" s="119"/>
      <c r="J651" s="119"/>
      <c r="K651" s="117"/>
      <c r="L651" s="117"/>
      <c r="M651" s="2"/>
      <c r="N651" s="2"/>
      <c r="O651" s="2"/>
      <c r="P651" s="2"/>
      <c r="Q651" s="2"/>
      <c r="R651" s="2"/>
      <c r="S651" s="852"/>
      <c r="T651" s="853"/>
      <c r="U651" s="854"/>
      <c r="V651" s="854"/>
      <c r="W651" s="854"/>
      <c r="X651" s="854"/>
      <c r="Y651" s="854"/>
      <c r="Z651" s="854"/>
    </row>
    <row r="652">
      <c r="A652" s="531"/>
      <c r="B652" s="977"/>
      <c r="C652" s="119"/>
      <c r="D652" s="977"/>
      <c r="E652" s="977"/>
      <c r="F652" s="119"/>
      <c r="G652" s="119"/>
      <c r="H652" s="119"/>
      <c r="I652" s="119"/>
      <c r="J652" s="119"/>
      <c r="K652" s="117"/>
      <c r="L652" s="117"/>
      <c r="M652" s="2"/>
      <c r="N652" s="2"/>
      <c r="O652" s="2"/>
      <c r="P652" s="2"/>
      <c r="Q652" s="2"/>
      <c r="R652" s="2"/>
      <c r="S652" s="852"/>
      <c r="T652" s="853"/>
      <c r="U652" s="854"/>
      <c r="V652" s="854"/>
      <c r="W652" s="854"/>
      <c r="X652" s="854"/>
      <c r="Y652" s="854"/>
      <c r="Z652" s="854"/>
    </row>
    <row r="653">
      <c r="A653" s="531"/>
      <c r="B653" s="977"/>
      <c r="C653" s="119"/>
      <c r="D653" s="977"/>
      <c r="E653" s="977"/>
      <c r="F653" s="119"/>
      <c r="G653" s="119"/>
      <c r="H653" s="119"/>
      <c r="I653" s="119"/>
      <c r="J653" s="119"/>
      <c r="K653" s="117"/>
      <c r="L653" s="117"/>
      <c r="M653" s="2"/>
      <c r="N653" s="2"/>
      <c r="O653" s="2"/>
      <c r="P653" s="2"/>
      <c r="Q653" s="2"/>
      <c r="R653" s="2"/>
      <c r="S653" s="852"/>
      <c r="T653" s="853"/>
      <c r="U653" s="854"/>
      <c r="V653" s="854"/>
      <c r="W653" s="854"/>
      <c r="X653" s="854"/>
      <c r="Y653" s="854"/>
      <c r="Z653" s="854"/>
    </row>
    <row r="654">
      <c r="A654" s="531"/>
      <c r="B654" s="977"/>
      <c r="C654" s="119"/>
      <c r="D654" s="977"/>
      <c r="E654" s="977"/>
      <c r="F654" s="119"/>
      <c r="G654" s="119"/>
      <c r="H654" s="119"/>
      <c r="I654" s="119"/>
      <c r="J654" s="119"/>
      <c r="K654" s="117"/>
      <c r="L654" s="117"/>
      <c r="M654" s="2"/>
      <c r="N654" s="2"/>
      <c r="O654" s="2"/>
      <c r="P654" s="2"/>
      <c r="Q654" s="2"/>
      <c r="R654" s="2"/>
      <c r="S654" s="852"/>
      <c r="T654" s="853"/>
      <c r="U654" s="854"/>
      <c r="V654" s="854"/>
      <c r="W654" s="854"/>
      <c r="X654" s="854"/>
      <c r="Y654" s="854"/>
      <c r="Z654" s="854"/>
    </row>
    <row r="655">
      <c r="A655" s="531"/>
      <c r="B655" s="977"/>
      <c r="C655" s="119"/>
      <c r="D655" s="977"/>
      <c r="E655" s="977"/>
      <c r="F655" s="119"/>
      <c r="G655" s="119"/>
      <c r="H655" s="119"/>
      <c r="I655" s="119"/>
      <c r="J655" s="119"/>
      <c r="K655" s="117"/>
      <c r="L655" s="117"/>
      <c r="M655" s="2"/>
      <c r="N655" s="2"/>
      <c r="O655" s="2"/>
      <c r="P655" s="2"/>
      <c r="Q655" s="2"/>
      <c r="R655" s="2"/>
      <c r="S655" s="852"/>
      <c r="T655" s="859"/>
      <c r="U655" s="107"/>
      <c r="V655" s="107"/>
      <c r="W655" s="107"/>
      <c r="X655" s="107"/>
      <c r="Y655" s="107"/>
      <c r="Z655" s="107"/>
    </row>
    <row r="656">
      <c r="A656" s="531"/>
      <c r="B656" s="977"/>
      <c r="C656" s="119"/>
      <c r="D656" s="977"/>
      <c r="E656" s="977"/>
      <c r="F656" s="119"/>
      <c r="G656" s="119"/>
      <c r="H656" s="119"/>
      <c r="I656" s="119"/>
      <c r="J656" s="119"/>
      <c r="K656" s="117"/>
      <c r="L656" s="117"/>
      <c r="M656" s="2"/>
      <c r="N656" s="2"/>
      <c r="O656" s="2"/>
      <c r="P656" s="2"/>
      <c r="Q656" s="2"/>
      <c r="R656" s="2"/>
      <c r="S656" s="852"/>
      <c r="T656" s="859"/>
      <c r="U656" s="107"/>
      <c r="V656" s="107"/>
      <c r="W656" s="107"/>
      <c r="X656" s="107"/>
      <c r="Y656" s="107"/>
      <c r="Z656" s="107"/>
    </row>
    <row r="657">
      <c r="A657" s="531"/>
      <c r="B657" s="977"/>
      <c r="C657" s="119"/>
      <c r="D657" s="977"/>
      <c r="E657" s="977"/>
      <c r="F657" s="119"/>
      <c r="G657" s="119"/>
      <c r="H657" s="119"/>
      <c r="I657" s="119"/>
      <c r="J657" s="119"/>
      <c r="K657" s="117"/>
      <c r="L657" s="117"/>
      <c r="M657" s="2"/>
      <c r="N657" s="2"/>
      <c r="O657" s="2"/>
      <c r="P657" s="2"/>
      <c r="Q657" s="2"/>
      <c r="R657" s="2"/>
      <c r="S657" s="852"/>
      <c r="T657" s="859"/>
      <c r="U657" s="107"/>
      <c r="V657" s="107"/>
      <c r="W657" s="107"/>
      <c r="X657" s="107"/>
      <c r="Y657" s="107"/>
      <c r="Z657" s="107"/>
    </row>
    <row r="658">
      <c r="A658" s="531"/>
      <c r="B658" s="977"/>
      <c r="C658" s="119"/>
      <c r="D658" s="977"/>
      <c r="E658" s="977"/>
      <c r="F658" s="119"/>
      <c r="G658" s="119"/>
      <c r="H658" s="119"/>
      <c r="I658" s="119"/>
      <c r="J658" s="119"/>
      <c r="K658" s="117"/>
      <c r="L658" s="117"/>
      <c r="M658" s="2"/>
      <c r="N658" s="2"/>
      <c r="O658" s="2"/>
      <c r="P658" s="2"/>
      <c r="Q658" s="2"/>
      <c r="R658" s="2"/>
      <c r="S658" s="852"/>
      <c r="T658" s="859"/>
      <c r="U658" s="107"/>
      <c r="V658" s="107"/>
      <c r="W658" s="107"/>
      <c r="X658" s="107"/>
      <c r="Y658" s="107"/>
      <c r="Z658" s="107"/>
    </row>
    <row r="659">
      <c r="A659" s="531"/>
      <c r="B659" s="977"/>
      <c r="C659" s="119"/>
      <c r="D659" s="977"/>
      <c r="E659" s="977"/>
      <c r="F659" s="119"/>
      <c r="G659" s="119"/>
      <c r="H659" s="119"/>
      <c r="I659" s="119"/>
      <c r="J659" s="119"/>
      <c r="K659" s="117"/>
      <c r="L659" s="117"/>
      <c r="M659" s="2"/>
      <c r="N659" s="2"/>
      <c r="O659" s="2"/>
      <c r="P659" s="2"/>
      <c r="Q659" s="2"/>
      <c r="R659" s="2"/>
      <c r="S659" s="852"/>
      <c r="T659" s="859"/>
      <c r="U659" s="107"/>
      <c r="V659" s="107"/>
      <c r="W659" s="107"/>
      <c r="X659" s="107"/>
      <c r="Y659" s="107"/>
      <c r="Z659" s="107"/>
    </row>
    <row r="660">
      <c r="A660" s="531"/>
      <c r="B660" s="977"/>
      <c r="C660" s="119"/>
      <c r="D660" s="977"/>
      <c r="E660" s="977"/>
      <c r="F660" s="119"/>
      <c r="G660" s="119"/>
      <c r="H660" s="119"/>
      <c r="I660" s="119"/>
      <c r="J660" s="119"/>
      <c r="K660" s="117"/>
      <c r="L660" s="117"/>
      <c r="M660" s="2"/>
      <c r="N660" s="2"/>
      <c r="O660" s="2"/>
      <c r="P660" s="2"/>
      <c r="Q660" s="2"/>
      <c r="R660" s="2"/>
      <c r="S660" s="852"/>
      <c r="T660" s="859"/>
      <c r="U660" s="107"/>
      <c r="V660" s="107"/>
      <c r="W660" s="107"/>
      <c r="X660" s="107"/>
      <c r="Y660" s="107"/>
      <c r="Z660" s="107"/>
    </row>
    <row r="661">
      <c r="A661" s="531"/>
      <c r="B661" s="977"/>
      <c r="C661" s="119"/>
      <c r="D661" s="977"/>
      <c r="E661" s="977"/>
      <c r="F661" s="119"/>
      <c r="G661" s="119"/>
      <c r="H661" s="119"/>
      <c r="I661" s="119"/>
      <c r="J661" s="119"/>
      <c r="K661" s="117"/>
      <c r="L661" s="117"/>
      <c r="M661" s="2"/>
      <c r="N661" s="2"/>
      <c r="O661" s="2"/>
      <c r="P661" s="2"/>
      <c r="Q661" s="2"/>
      <c r="R661" s="2"/>
      <c r="S661" s="852"/>
      <c r="T661" s="859"/>
      <c r="U661" s="107"/>
      <c r="V661" s="107"/>
      <c r="W661" s="107"/>
      <c r="X661" s="107"/>
      <c r="Y661" s="107"/>
      <c r="Z661" s="107"/>
    </row>
    <row r="662">
      <c r="A662" s="531"/>
      <c r="B662" s="977"/>
      <c r="C662" s="119"/>
      <c r="D662" s="977"/>
      <c r="E662" s="977"/>
      <c r="F662" s="119"/>
      <c r="G662" s="119"/>
      <c r="H662" s="119"/>
      <c r="I662" s="119"/>
      <c r="J662" s="119"/>
      <c r="K662" s="117"/>
      <c r="L662" s="117"/>
      <c r="M662" s="2"/>
      <c r="N662" s="2"/>
      <c r="O662" s="2"/>
      <c r="P662" s="2"/>
      <c r="Q662" s="2"/>
      <c r="R662" s="2"/>
      <c r="S662" s="852"/>
      <c r="T662" s="859"/>
      <c r="U662" s="107"/>
      <c r="V662" s="107"/>
      <c r="W662" s="107"/>
      <c r="X662" s="107"/>
      <c r="Y662" s="107"/>
      <c r="Z662" s="107"/>
    </row>
    <row r="663">
      <c r="A663" s="531"/>
      <c r="B663" s="977"/>
      <c r="C663" s="119"/>
      <c r="D663" s="977"/>
      <c r="E663" s="977"/>
      <c r="F663" s="119"/>
      <c r="G663" s="119"/>
      <c r="H663" s="119"/>
      <c r="I663" s="119"/>
      <c r="J663" s="119"/>
      <c r="K663" s="117"/>
      <c r="L663" s="117"/>
      <c r="M663" s="2"/>
      <c r="N663" s="2"/>
      <c r="O663" s="2"/>
      <c r="P663" s="2"/>
      <c r="Q663" s="2"/>
      <c r="R663" s="2"/>
      <c r="S663" s="852"/>
      <c r="T663" s="859"/>
      <c r="U663" s="107"/>
      <c r="V663" s="107"/>
      <c r="W663" s="107"/>
      <c r="X663" s="107"/>
      <c r="Y663" s="107"/>
      <c r="Z663" s="107"/>
    </row>
    <row r="664">
      <c r="A664" s="531"/>
      <c r="B664" s="977"/>
      <c r="C664" s="119"/>
      <c r="D664" s="977"/>
      <c r="E664" s="977"/>
      <c r="F664" s="119"/>
      <c r="G664" s="119"/>
      <c r="H664" s="119"/>
      <c r="I664" s="119"/>
      <c r="J664" s="119"/>
      <c r="K664" s="117"/>
      <c r="L664" s="117"/>
      <c r="M664" s="2"/>
      <c r="N664" s="2"/>
      <c r="O664" s="2"/>
      <c r="P664" s="2"/>
      <c r="Q664" s="2"/>
      <c r="R664" s="2"/>
      <c r="S664" s="852"/>
      <c r="T664" s="859"/>
      <c r="U664" s="107"/>
      <c r="V664" s="107"/>
      <c r="W664" s="107"/>
      <c r="X664" s="107"/>
      <c r="Y664" s="107"/>
      <c r="Z664" s="107"/>
    </row>
    <row r="665">
      <c r="A665" s="531"/>
      <c r="B665" s="977"/>
      <c r="C665" s="119"/>
      <c r="D665" s="977"/>
      <c r="E665" s="977"/>
      <c r="F665" s="119"/>
      <c r="G665" s="119"/>
      <c r="H665" s="119"/>
      <c r="I665" s="119"/>
      <c r="J665" s="119"/>
      <c r="K665" s="117"/>
      <c r="L665" s="117"/>
      <c r="M665" s="2"/>
      <c r="N665" s="2"/>
      <c r="O665" s="2"/>
      <c r="P665" s="2"/>
      <c r="Q665" s="2"/>
      <c r="R665" s="2"/>
      <c r="S665" s="857"/>
      <c r="T665" s="860"/>
      <c r="U665" s="107"/>
      <c r="V665" s="107"/>
      <c r="W665" s="107"/>
      <c r="X665" s="107"/>
      <c r="Y665" s="107"/>
      <c r="Z665" s="107"/>
    </row>
    <row r="666">
      <c r="A666" s="531"/>
      <c r="B666" s="977"/>
      <c r="C666" s="119"/>
      <c r="D666" s="977"/>
      <c r="E666" s="977"/>
      <c r="F666" s="119"/>
      <c r="G666" s="119"/>
      <c r="H666" s="119"/>
      <c r="I666" s="119"/>
      <c r="J666" s="119"/>
      <c r="K666" s="117"/>
      <c r="L666" s="117"/>
      <c r="M666" s="2"/>
      <c r="N666" s="2"/>
      <c r="O666" s="2"/>
      <c r="P666" s="2"/>
      <c r="Q666" s="2"/>
      <c r="R666" s="2"/>
      <c r="S666" s="861"/>
      <c r="T666" s="111"/>
      <c r="U666" s="2"/>
      <c r="V666" s="2"/>
      <c r="W666" s="2"/>
      <c r="X666" s="2"/>
      <c r="Y666" s="2"/>
      <c r="Z666" s="2"/>
    </row>
    <row r="667">
      <c r="A667" s="531"/>
      <c r="B667" s="977"/>
      <c r="C667" s="119"/>
      <c r="D667" s="977"/>
      <c r="E667" s="977"/>
      <c r="F667" s="119"/>
      <c r="G667" s="119"/>
      <c r="H667" s="119"/>
      <c r="I667" s="119"/>
      <c r="J667" s="119"/>
      <c r="K667" s="117"/>
      <c r="L667" s="117"/>
      <c r="M667" s="2"/>
      <c r="N667" s="2"/>
      <c r="O667" s="2"/>
      <c r="P667" s="2"/>
      <c r="Q667" s="2"/>
      <c r="R667" s="2"/>
      <c r="S667" s="861"/>
      <c r="T667" s="111"/>
      <c r="U667" s="2"/>
      <c r="V667" s="2"/>
      <c r="W667" s="2"/>
      <c r="X667" s="2"/>
      <c r="Y667" s="2"/>
      <c r="Z667" s="2"/>
    </row>
    <row r="668">
      <c r="A668" s="531"/>
      <c r="B668" s="977"/>
      <c r="C668" s="119"/>
      <c r="D668" s="977"/>
      <c r="E668" s="977"/>
      <c r="F668" s="119"/>
      <c r="G668" s="119"/>
      <c r="H668" s="119"/>
      <c r="I668" s="119"/>
      <c r="J668" s="119"/>
      <c r="K668" s="117"/>
      <c r="L668" s="117"/>
      <c r="M668" s="2"/>
      <c r="N668" s="2"/>
      <c r="O668" s="2"/>
      <c r="P668" s="2"/>
      <c r="Q668" s="2"/>
      <c r="R668" s="2"/>
      <c r="S668" s="861"/>
      <c r="T668" s="111"/>
      <c r="U668" s="2"/>
      <c r="V668" s="2"/>
      <c r="W668" s="2"/>
      <c r="X668" s="2"/>
      <c r="Y668" s="2"/>
      <c r="Z668" s="2"/>
    </row>
    <row r="669">
      <c r="A669" s="531"/>
      <c r="B669" s="977"/>
      <c r="C669" s="119"/>
      <c r="D669" s="977"/>
      <c r="E669" s="977"/>
      <c r="F669" s="119"/>
      <c r="G669" s="119"/>
      <c r="H669" s="119"/>
      <c r="I669" s="119"/>
      <c r="J669" s="119"/>
      <c r="K669" s="117"/>
      <c r="L669" s="117"/>
      <c r="M669" s="2"/>
      <c r="N669" s="2"/>
      <c r="O669" s="2"/>
      <c r="P669" s="2"/>
      <c r="Q669" s="2"/>
      <c r="R669" s="2"/>
      <c r="S669" s="861"/>
      <c r="T669" s="111"/>
      <c r="U669" s="2"/>
      <c r="V669" s="2"/>
      <c r="W669" s="2"/>
      <c r="X669" s="2"/>
      <c r="Y669" s="2"/>
      <c r="Z669" s="2"/>
    </row>
    <row r="670">
      <c r="A670" s="531"/>
      <c r="B670" s="977"/>
      <c r="C670" s="119"/>
      <c r="D670" s="977"/>
      <c r="E670" s="977"/>
      <c r="F670" s="119"/>
      <c r="G670" s="119"/>
      <c r="H670" s="119"/>
      <c r="I670" s="119"/>
      <c r="J670" s="119"/>
      <c r="K670" s="117"/>
      <c r="L670" s="117"/>
      <c r="M670" s="2"/>
      <c r="N670" s="2"/>
      <c r="O670" s="2"/>
      <c r="P670" s="2"/>
      <c r="Q670" s="2"/>
      <c r="R670" s="2"/>
      <c r="S670" s="861"/>
      <c r="T670" s="111"/>
      <c r="U670" s="2"/>
      <c r="V670" s="2"/>
      <c r="W670" s="2"/>
      <c r="X670" s="2"/>
      <c r="Y670" s="2"/>
      <c r="Z670" s="2"/>
    </row>
    <row r="671">
      <c r="A671" s="531"/>
      <c r="B671" s="977"/>
      <c r="C671" s="119"/>
      <c r="D671" s="977"/>
      <c r="E671" s="977"/>
      <c r="F671" s="119"/>
      <c r="G671" s="119"/>
      <c r="H671" s="119"/>
      <c r="I671" s="119"/>
      <c r="J671" s="119"/>
      <c r="K671" s="117"/>
      <c r="L671" s="117"/>
      <c r="M671" s="2"/>
      <c r="N671" s="2"/>
      <c r="O671" s="2"/>
      <c r="P671" s="2"/>
      <c r="Q671" s="2"/>
      <c r="R671" s="2"/>
      <c r="S671" s="862"/>
      <c r="T671" s="109"/>
      <c r="U671" s="2"/>
      <c r="V671" s="2"/>
      <c r="W671" s="2"/>
      <c r="X671" s="2"/>
      <c r="Y671" s="2"/>
      <c r="Z671" s="2"/>
    </row>
    <row r="672">
      <c r="A672" s="531"/>
      <c r="B672" s="977"/>
      <c r="C672" s="119"/>
      <c r="D672" s="977"/>
      <c r="E672" s="977"/>
      <c r="F672" s="119"/>
      <c r="G672" s="119"/>
      <c r="H672" s="119"/>
      <c r="I672" s="119"/>
      <c r="J672" s="119"/>
      <c r="K672" s="117"/>
      <c r="L672" s="117"/>
      <c r="M672" s="2"/>
      <c r="N672" s="2"/>
      <c r="O672" s="2"/>
      <c r="P672" s="2"/>
      <c r="Q672" s="2"/>
      <c r="R672" s="2"/>
      <c r="S672" s="861"/>
      <c r="T672" s="111"/>
      <c r="U672" s="2"/>
      <c r="V672" s="2"/>
      <c r="W672" s="2"/>
      <c r="X672" s="2"/>
      <c r="Y672" s="2"/>
      <c r="Z672" s="2"/>
    </row>
    <row r="673">
      <c r="A673" s="531"/>
      <c r="B673" s="977"/>
      <c r="C673" s="119"/>
      <c r="D673" s="977"/>
      <c r="E673" s="977"/>
      <c r="F673" s="119"/>
      <c r="G673" s="119"/>
      <c r="H673" s="119"/>
      <c r="I673" s="119"/>
      <c r="J673" s="119"/>
      <c r="K673" s="117"/>
      <c r="L673" s="117"/>
      <c r="M673" s="2"/>
      <c r="N673" s="2"/>
      <c r="O673" s="2"/>
      <c r="P673" s="2"/>
      <c r="Q673" s="2"/>
      <c r="R673" s="2"/>
      <c r="S673" s="861"/>
      <c r="T673" s="111"/>
      <c r="U673" s="2"/>
      <c r="V673" s="2"/>
      <c r="W673" s="2"/>
      <c r="X673" s="2"/>
      <c r="Y673" s="2"/>
      <c r="Z673" s="2"/>
    </row>
    <row r="674">
      <c r="A674" s="531"/>
      <c r="B674" s="977"/>
      <c r="C674" s="119"/>
      <c r="D674" s="977"/>
      <c r="E674" s="977"/>
      <c r="F674" s="119"/>
      <c r="G674" s="119"/>
      <c r="H674" s="119"/>
      <c r="I674" s="119"/>
      <c r="J674" s="119"/>
      <c r="K674" s="117"/>
      <c r="L674" s="117"/>
      <c r="M674" s="2"/>
      <c r="N674" s="2"/>
      <c r="O674" s="2"/>
      <c r="P674" s="2"/>
      <c r="Q674" s="2"/>
      <c r="R674" s="2"/>
      <c r="S674" s="861"/>
      <c r="T674" s="111"/>
      <c r="U674" s="2"/>
      <c r="V674" s="2"/>
      <c r="W674" s="2"/>
      <c r="X674" s="2"/>
      <c r="Y674" s="2"/>
      <c r="Z674" s="2"/>
    </row>
    <row r="675">
      <c r="A675" s="531"/>
      <c r="B675" s="977"/>
      <c r="C675" s="119"/>
      <c r="D675" s="977"/>
      <c r="E675" s="977"/>
      <c r="F675" s="119"/>
      <c r="G675" s="119"/>
      <c r="H675" s="119"/>
      <c r="I675" s="119"/>
      <c r="J675" s="119"/>
      <c r="K675" s="117"/>
      <c r="L675" s="117"/>
      <c r="M675" s="2"/>
      <c r="N675" s="2"/>
      <c r="O675" s="2"/>
      <c r="P675" s="2"/>
      <c r="Q675" s="2"/>
      <c r="R675" s="2"/>
      <c r="S675" s="861"/>
      <c r="T675" s="111"/>
      <c r="U675" s="2"/>
      <c r="V675" s="2"/>
      <c r="W675" s="2"/>
      <c r="X675" s="2"/>
      <c r="Y675" s="2"/>
      <c r="Z675" s="2"/>
    </row>
    <row r="676">
      <c r="A676" s="531"/>
      <c r="B676" s="977"/>
      <c r="C676" s="119"/>
      <c r="D676" s="977"/>
      <c r="E676" s="977"/>
      <c r="F676" s="119"/>
      <c r="G676" s="119"/>
      <c r="H676" s="119"/>
      <c r="I676" s="119"/>
      <c r="J676" s="119"/>
      <c r="K676" s="117"/>
      <c r="L676" s="117"/>
      <c r="M676" s="2"/>
      <c r="N676" s="2"/>
      <c r="O676" s="2"/>
      <c r="P676" s="2"/>
      <c r="Q676" s="2"/>
      <c r="R676" s="2"/>
      <c r="S676" s="861"/>
      <c r="T676" s="111"/>
      <c r="U676" s="2"/>
      <c r="V676" s="2"/>
      <c r="W676" s="2"/>
      <c r="X676" s="2"/>
      <c r="Y676" s="2"/>
      <c r="Z676" s="2"/>
    </row>
    <row r="677">
      <c r="A677" s="531"/>
      <c r="B677" s="977"/>
      <c r="C677" s="119"/>
      <c r="D677" s="977"/>
      <c r="E677" s="977"/>
      <c r="F677" s="119"/>
      <c r="G677" s="119"/>
      <c r="H677" s="119"/>
      <c r="I677" s="119"/>
      <c r="J677" s="119"/>
      <c r="K677" s="117"/>
      <c r="L677" s="117"/>
      <c r="M677" s="2"/>
      <c r="N677" s="2"/>
      <c r="O677" s="2"/>
      <c r="P677" s="2"/>
      <c r="Q677" s="2"/>
      <c r="R677" s="2"/>
      <c r="S677" s="861"/>
      <c r="T677" s="111"/>
      <c r="U677" s="2"/>
      <c r="V677" s="2"/>
      <c r="W677" s="2"/>
      <c r="X677" s="2"/>
      <c r="Y677" s="2"/>
      <c r="Z677" s="2"/>
    </row>
    <row r="678">
      <c r="A678" s="531"/>
      <c r="B678" s="977"/>
      <c r="C678" s="119"/>
      <c r="D678" s="977"/>
      <c r="E678" s="977"/>
      <c r="F678" s="119"/>
      <c r="G678" s="119"/>
      <c r="H678" s="119"/>
      <c r="I678" s="119"/>
      <c r="J678" s="119"/>
      <c r="K678" s="117"/>
      <c r="L678" s="117"/>
      <c r="M678" s="2"/>
      <c r="N678" s="2"/>
      <c r="O678" s="2"/>
      <c r="P678" s="2"/>
      <c r="Q678" s="2"/>
      <c r="R678" s="2"/>
      <c r="S678" s="861"/>
      <c r="T678" s="111"/>
      <c r="U678" s="2"/>
      <c r="V678" s="2"/>
      <c r="W678" s="2"/>
      <c r="X678" s="2"/>
      <c r="Y678" s="2"/>
      <c r="Z678" s="2"/>
    </row>
    <row r="679">
      <c r="A679" s="531"/>
      <c r="B679" s="977"/>
      <c r="C679" s="119"/>
      <c r="D679" s="977"/>
      <c r="E679" s="977"/>
      <c r="F679" s="119"/>
      <c r="G679" s="119"/>
      <c r="H679" s="119"/>
      <c r="I679" s="119"/>
      <c r="J679" s="119"/>
      <c r="K679" s="117"/>
      <c r="L679" s="117"/>
      <c r="M679" s="2"/>
      <c r="N679" s="2"/>
      <c r="O679" s="2"/>
      <c r="P679" s="2"/>
      <c r="Q679" s="2"/>
      <c r="R679" s="2"/>
      <c r="S679" s="861"/>
      <c r="T679" s="111"/>
      <c r="U679" s="2"/>
      <c r="V679" s="2"/>
      <c r="W679" s="2"/>
      <c r="X679" s="2"/>
      <c r="Y679" s="2"/>
      <c r="Z679" s="2"/>
    </row>
    <row r="680">
      <c r="A680" s="531"/>
      <c r="B680" s="977"/>
      <c r="C680" s="119"/>
      <c r="D680" s="977"/>
      <c r="E680" s="977"/>
      <c r="F680" s="119"/>
      <c r="G680" s="119"/>
      <c r="H680" s="119"/>
      <c r="I680" s="119"/>
      <c r="J680" s="119"/>
      <c r="K680" s="117"/>
      <c r="L680" s="117"/>
      <c r="M680" s="2"/>
      <c r="N680" s="2"/>
      <c r="O680" s="2"/>
      <c r="P680" s="2"/>
      <c r="Q680" s="2"/>
      <c r="R680" s="2"/>
      <c r="S680" s="862"/>
      <c r="T680" s="109"/>
      <c r="U680" s="2"/>
      <c r="V680" s="2"/>
      <c r="W680" s="2"/>
      <c r="X680" s="2"/>
      <c r="Y680" s="2"/>
      <c r="Z680" s="2"/>
    </row>
    <row r="681">
      <c r="A681" s="531"/>
      <c r="B681" s="977"/>
      <c r="C681" s="119"/>
      <c r="D681" s="977"/>
      <c r="E681" s="977"/>
      <c r="F681" s="119"/>
      <c r="G681" s="119"/>
      <c r="H681" s="119"/>
      <c r="I681" s="119"/>
      <c r="J681" s="119"/>
      <c r="K681" s="117"/>
      <c r="L681" s="117"/>
      <c r="M681" s="2"/>
      <c r="N681" s="2"/>
      <c r="O681" s="2"/>
      <c r="P681" s="2"/>
      <c r="Q681" s="2"/>
      <c r="R681" s="2"/>
      <c r="S681" s="862"/>
      <c r="T681" s="109"/>
      <c r="U681" s="54"/>
      <c r="V681" s="54"/>
      <c r="W681" s="54"/>
      <c r="X681" s="54"/>
      <c r="Y681" s="54"/>
      <c r="Z681" s="54"/>
    </row>
    <row r="682">
      <c r="A682" s="531"/>
      <c r="B682" s="977"/>
      <c r="C682" s="119"/>
      <c r="D682" s="977"/>
      <c r="E682" s="977"/>
      <c r="F682" s="119"/>
      <c r="G682" s="119"/>
      <c r="H682" s="119"/>
      <c r="I682" s="119"/>
      <c r="J682" s="119"/>
      <c r="K682" s="117"/>
      <c r="L682" s="117"/>
      <c r="M682" s="2"/>
      <c r="N682" s="2"/>
      <c r="O682" s="2"/>
      <c r="P682" s="2"/>
      <c r="Q682" s="2"/>
      <c r="R682" s="2"/>
      <c r="S682" s="117"/>
      <c r="T682" s="2"/>
      <c r="U682" s="2"/>
      <c r="V682" s="2"/>
      <c r="W682" s="2"/>
      <c r="X682" s="2"/>
      <c r="Y682" s="2"/>
      <c r="Z682" s="2"/>
    </row>
    <row r="683">
      <c r="A683" s="531"/>
      <c r="B683" s="977"/>
      <c r="C683" s="119"/>
      <c r="D683" s="977"/>
      <c r="E683" s="977"/>
      <c r="F683" s="119"/>
      <c r="G683" s="119"/>
      <c r="H683" s="119"/>
      <c r="I683" s="119"/>
      <c r="J683" s="119"/>
      <c r="K683" s="117"/>
      <c r="L683" s="117"/>
      <c r="M683" s="2"/>
      <c r="N683" s="2"/>
      <c r="O683" s="2"/>
      <c r="P683" s="2"/>
      <c r="Q683" s="2"/>
      <c r="R683" s="2"/>
      <c r="S683" s="117"/>
      <c r="T683" s="2"/>
      <c r="U683" s="2"/>
      <c r="V683" s="2"/>
      <c r="W683" s="2"/>
      <c r="X683" s="2"/>
      <c r="Y683" s="2"/>
      <c r="Z683" s="2"/>
    </row>
    <row r="684">
      <c r="A684" s="531"/>
      <c r="B684" s="977"/>
      <c r="C684" s="119"/>
      <c r="D684" s="977"/>
      <c r="E684" s="977"/>
      <c r="F684" s="119"/>
      <c r="G684" s="119"/>
      <c r="H684" s="119"/>
      <c r="I684" s="119"/>
      <c r="J684" s="119"/>
      <c r="K684" s="117"/>
      <c r="L684" s="117"/>
      <c r="M684" s="2"/>
      <c r="N684" s="2"/>
      <c r="O684" s="2"/>
      <c r="P684" s="2"/>
      <c r="Q684" s="2"/>
      <c r="R684" s="2"/>
      <c r="S684" s="847"/>
      <c r="T684" s="847"/>
      <c r="U684" s="116"/>
      <c r="V684" s="116"/>
      <c r="W684" s="116"/>
      <c r="X684" s="116"/>
      <c r="Y684" s="116"/>
      <c r="Z684" s="116"/>
    </row>
    <row r="685">
      <c r="A685" s="531"/>
      <c r="B685" s="977"/>
      <c r="C685" s="119"/>
      <c r="D685" s="977"/>
      <c r="E685" s="977"/>
      <c r="F685" s="119"/>
      <c r="G685" s="119"/>
      <c r="H685" s="119"/>
      <c r="I685" s="119"/>
      <c r="J685" s="119"/>
      <c r="K685" s="117"/>
      <c r="L685" s="117"/>
      <c r="M685" s="2"/>
      <c r="N685" s="2"/>
      <c r="O685" s="2"/>
      <c r="P685" s="2"/>
      <c r="Q685" s="2"/>
      <c r="R685" s="2"/>
      <c r="S685" s="848"/>
      <c r="T685" s="848"/>
      <c r="U685" s="848"/>
      <c r="V685" s="848"/>
      <c r="W685" s="848"/>
      <c r="X685" s="848"/>
      <c r="Y685" s="848"/>
      <c r="Z685" s="848"/>
    </row>
    <row r="686">
      <c r="A686" s="531"/>
      <c r="B686" s="977"/>
      <c r="C686" s="119"/>
      <c r="D686" s="977"/>
      <c r="E686" s="977"/>
      <c r="F686" s="119"/>
      <c r="G686" s="119"/>
      <c r="H686" s="119"/>
      <c r="I686" s="119"/>
      <c r="J686" s="119"/>
      <c r="K686" s="117"/>
      <c r="L686" s="117"/>
      <c r="M686" s="2"/>
      <c r="N686" s="2"/>
      <c r="O686" s="2"/>
      <c r="P686" s="2"/>
      <c r="Q686" s="2"/>
      <c r="R686" s="2"/>
      <c r="S686" s="849"/>
      <c r="T686" s="850"/>
      <c r="U686" s="851"/>
      <c r="V686" s="851"/>
      <c r="W686" s="851"/>
      <c r="X686" s="851"/>
      <c r="Y686" s="851"/>
      <c r="Z686" s="851"/>
    </row>
    <row r="687">
      <c r="A687" s="531"/>
      <c r="B687" s="977"/>
      <c r="C687" s="119"/>
      <c r="D687" s="977"/>
      <c r="E687" s="977"/>
      <c r="F687" s="119"/>
      <c r="G687" s="119"/>
      <c r="H687" s="119"/>
      <c r="I687" s="119"/>
      <c r="J687" s="119"/>
      <c r="K687" s="117"/>
      <c r="L687" s="117"/>
      <c r="M687" s="2"/>
      <c r="N687" s="2"/>
      <c r="O687" s="2"/>
      <c r="P687" s="2"/>
      <c r="Q687" s="2"/>
      <c r="R687" s="2"/>
      <c r="S687" s="852"/>
      <c r="T687" s="853"/>
      <c r="U687" s="854"/>
      <c r="V687" s="854"/>
      <c r="W687" s="854"/>
      <c r="X687" s="854"/>
      <c r="Y687" s="854"/>
      <c r="Z687" s="854"/>
    </row>
    <row r="688">
      <c r="A688" s="531"/>
      <c r="B688" s="977"/>
      <c r="C688" s="119"/>
      <c r="D688" s="977"/>
      <c r="E688" s="977"/>
      <c r="F688" s="119"/>
      <c r="G688" s="119"/>
      <c r="H688" s="119"/>
      <c r="I688" s="119"/>
      <c r="J688" s="119"/>
      <c r="K688" s="117"/>
      <c r="L688" s="117"/>
      <c r="M688" s="2"/>
      <c r="N688" s="2"/>
      <c r="O688" s="2"/>
      <c r="P688" s="2"/>
      <c r="Q688" s="2"/>
      <c r="R688" s="2"/>
      <c r="S688" s="855"/>
      <c r="T688" s="856"/>
      <c r="U688" s="854"/>
      <c r="V688" s="854"/>
      <c r="W688" s="854"/>
      <c r="X688" s="854"/>
      <c r="Y688" s="854"/>
      <c r="Z688" s="854"/>
    </row>
    <row r="689">
      <c r="A689" s="531"/>
      <c r="B689" s="977"/>
      <c r="C689" s="119"/>
      <c r="D689" s="977"/>
      <c r="E689" s="977"/>
      <c r="F689" s="119"/>
      <c r="G689" s="119"/>
      <c r="H689" s="119"/>
      <c r="I689" s="119"/>
      <c r="J689" s="119"/>
      <c r="K689" s="117"/>
      <c r="L689" s="117"/>
      <c r="M689" s="2"/>
      <c r="N689" s="2"/>
      <c r="O689" s="2"/>
      <c r="P689" s="2"/>
      <c r="Q689" s="2"/>
      <c r="R689" s="2"/>
      <c r="S689" s="855"/>
      <c r="T689" s="856"/>
      <c r="U689" s="854"/>
      <c r="V689" s="854"/>
      <c r="W689" s="854"/>
      <c r="X689" s="854"/>
      <c r="Y689" s="854"/>
      <c r="Z689" s="854"/>
    </row>
    <row r="690">
      <c r="A690" s="531"/>
      <c r="B690" s="977"/>
      <c r="C690" s="119"/>
      <c r="D690" s="977"/>
      <c r="E690" s="977"/>
      <c r="F690" s="119"/>
      <c r="G690" s="119"/>
      <c r="H690" s="119"/>
      <c r="I690" s="119"/>
      <c r="J690" s="119"/>
      <c r="K690" s="117"/>
      <c r="L690" s="117"/>
      <c r="M690" s="2"/>
      <c r="N690" s="2"/>
      <c r="O690" s="2"/>
      <c r="P690" s="2"/>
      <c r="Q690" s="2"/>
      <c r="R690" s="2"/>
      <c r="S690" s="852"/>
      <c r="T690" s="853"/>
      <c r="U690" s="854"/>
      <c r="V690" s="854"/>
      <c r="W690" s="854"/>
      <c r="X690" s="854"/>
      <c r="Y690" s="854"/>
      <c r="Z690" s="854"/>
    </row>
    <row r="691">
      <c r="A691" s="531"/>
      <c r="B691" s="977"/>
      <c r="C691" s="119"/>
      <c r="D691" s="977"/>
      <c r="E691" s="977"/>
      <c r="F691" s="119"/>
      <c r="G691" s="119"/>
      <c r="H691" s="119"/>
      <c r="I691" s="119"/>
      <c r="J691" s="119"/>
      <c r="K691" s="117"/>
      <c r="L691" s="117"/>
      <c r="M691" s="2"/>
      <c r="N691" s="2"/>
      <c r="O691" s="2"/>
      <c r="P691" s="2"/>
      <c r="Q691" s="2"/>
      <c r="R691" s="2"/>
      <c r="S691" s="857"/>
      <c r="T691" s="858"/>
      <c r="U691" s="854"/>
      <c r="V691" s="854"/>
      <c r="W691" s="854"/>
      <c r="X691" s="854"/>
      <c r="Y691" s="854"/>
      <c r="Z691" s="854"/>
    </row>
    <row r="692">
      <c r="A692" s="531"/>
      <c r="B692" s="977"/>
      <c r="C692" s="119"/>
      <c r="D692" s="977"/>
      <c r="E692" s="977"/>
      <c r="F692" s="119"/>
      <c r="G692" s="119"/>
      <c r="H692" s="119"/>
      <c r="I692" s="119"/>
      <c r="J692" s="119"/>
      <c r="K692" s="117"/>
      <c r="L692" s="117"/>
      <c r="M692" s="2"/>
      <c r="N692" s="2"/>
      <c r="O692" s="2"/>
      <c r="P692" s="2"/>
      <c r="Q692" s="2"/>
      <c r="R692" s="2"/>
      <c r="S692" s="857"/>
      <c r="T692" s="858"/>
      <c r="U692" s="854"/>
      <c r="V692" s="854"/>
      <c r="W692" s="854"/>
      <c r="X692" s="854"/>
      <c r="Y692" s="854"/>
      <c r="Z692" s="854"/>
    </row>
    <row r="693">
      <c r="A693" s="531"/>
      <c r="B693" s="977"/>
      <c r="C693" s="119"/>
      <c r="D693" s="977"/>
      <c r="E693" s="977"/>
      <c r="F693" s="119"/>
      <c r="G693" s="119"/>
      <c r="H693" s="119"/>
      <c r="I693" s="119"/>
      <c r="J693" s="119"/>
      <c r="K693" s="117"/>
      <c r="L693" s="117"/>
      <c r="M693" s="2"/>
      <c r="N693" s="2"/>
      <c r="O693" s="2"/>
      <c r="P693" s="2"/>
      <c r="Q693" s="2"/>
      <c r="R693" s="2"/>
      <c r="S693" s="857"/>
      <c r="T693" s="858"/>
      <c r="U693" s="854"/>
      <c r="V693" s="854"/>
      <c r="W693" s="854"/>
      <c r="X693" s="854"/>
      <c r="Y693" s="854"/>
      <c r="Z693" s="854"/>
    </row>
    <row r="694">
      <c r="A694" s="531"/>
      <c r="B694" s="977"/>
      <c r="C694" s="119"/>
      <c r="D694" s="977"/>
      <c r="E694" s="977"/>
      <c r="F694" s="119"/>
      <c r="G694" s="119"/>
      <c r="H694" s="119"/>
      <c r="I694" s="119"/>
      <c r="J694" s="119"/>
      <c r="K694" s="117"/>
      <c r="L694" s="117"/>
      <c r="M694" s="2"/>
      <c r="N694" s="2"/>
      <c r="O694" s="2"/>
      <c r="P694" s="2"/>
      <c r="Q694" s="2"/>
      <c r="R694" s="2"/>
      <c r="S694" s="852"/>
      <c r="T694" s="853"/>
      <c r="U694" s="854"/>
      <c r="V694" s="854"/>
      <c r="W694" s="854"/>
      <c r="X694" s="854"/>
      <c r="Y694" s="854"/>
      <c r="Z694" s="854"/>
    </row>
    <row r="695">
      <c r="A695" s="531"/>
      <c r="B695" s="977"/>
      <c r="C695" s="119"/>
      <c r="D695" s="977"/>
      <c r="E695" s="977"/>
      <c r="F695" s="119"/>
      <c r="G695" s="119"/>
      <c r="H695" s="119"/>
      <c r="I695" s="119"/>
      <c r="J695" s="119"/>
      <c r="K695" s="117"/>
      <c r="L695" s="117"/>
      <c r="M695" s="2"/>
      <c r="N695" s="2"/>
      <c r="O695" s="2"/>
      <c r="P695" s="2"/>
      <c r="Q695" s="2"/>
      <c r="R695" s="2"/>
      <c r="S695" s="852"/>
      <c r="T695" s="853"/>
      <c r="U695" s="854"/>
      <c r="V695" s="854"/>
      <c r="W695" s="854"/>
      <c r="X695" s="854"/>
      <c r="Y695" s="854"/>
      <c r="Z695" s="854"/>
    </row>
    <row r="696">
      <c r="A696" s="531"/>
      <c r="B696" s="977"/>
      <c r="C696" s="119"/>
      <c r="D696" s="977"/>
      <c r="E696" s="977"/>
      <c r="F696" s="119"/>
      <c r="G696" s="119"/>
      <c r="H696" s="119"/>
      <c r="I696" s="119"/>
      <c r="J696" s="119"/>
      <c r="K696" s="117"/>
      <c r="L696" s="117"/>
      <c r="M696" s="2"/>
      <c r="N696" s="2"/>
      <c r="O696" s="2"/>
      <c r="P696" s="2"/>
      <c r="Q696" s="2"/>
      <c r="R696" s="2"/>
      <c r="S696" s="852"/>
      <c r="T696" s="853"/>
      <c r="U696" s="854"/>
      <c r="V696" s="854"/>
      <c r="W696" s="854"/>
      <c r="X696" s="854"/>
      <c r="Y696" s="854"/>
      <c r="Z696" s="854"/>
    </row>
    <row r="697">
      <c r="A697" s="531"/>
      <c r="B697" s="977"/>
      <c r="C697" s="119"/>
      <c r="D697" s="977"/>
      <c r="E697" s="977"/>
      <c r="F697" s="119"/>
      <c r="G697" s="119"/>
      <c r="H697" s="119"/>
      <c r="I697" s="119"/>
      <c r="J697" s="119"/>
      <c r="K697" s="117"/>
      <c r="L697" s="117"/>
      <c r="M697" s="2"/>
      <c r="N697" s="2"/>
      <c r="O697" s="2"/>
      <c r="P697" s="2"/>
      <c r="Q697" s="2"/>
      <c r="R697" s="2"/>
      <c r="S697" s="852"/>
      <c r="T697" s="853"/>
      <c r="U697" s="854"/>
      <c r="V697" s="854"/>
      <c r="W697" s="854"/>
      <c r="X697" s="854"/>
      <c r="Y697" s="854"/>
      <c r="Z697" s="854"/>
    </row>
    <row r="698">
      <c r="A698" s="531"/>
      <c r="B698" s="977"/>
      <c r="C698" s="119"/>
      <c r="D698" s="977"/>
      <c r="E698" s="977"/>
      <c r="F698" s="119"/>
      <c r="G698" s="119"/>
      <c r="H698" s="119"/>
      <c r="I698" s="119"/>
      <c r="J698" s="119"/>
      <c r="K698" s="117"/>
      <c r="L698" s="117"/>
      <c r="M698" s="2"/>
      <c r="N698" s="2"/>
      <c r="O698" s="2"/>
      <c r="P698" s="2"/>
      <c r="Q698" s="2"/>
      <c r="R698" s="2"/>
      <c r="S698" s="852"/>
      <c r="T698" s="859"/>
      <c r="U698" s="107"/>
      <c r="V698" s="107"/>
      <c r="W698" s="107"/>
      <c r="X698" s="107"/>
      <c r="Y698" s="107"/>
      <c r="Z698" s="107"/>
    </row>
    <row r="699">
      <c r="A699" s="531"/>
      <c r="B699" s="977"/>
      <c r="C699" s="119"/>
      <c r="D699" s="977"/>
      <c r="E699" s="977"/>
      <c r="F699" s="119"/>
      <c r="G699" s="119"/>
      <c r="H699" s="119"/>
      <c r="I699" s="119"/>
      <c r="J699" s="119"/>
      <c r="K699" s="117"/>
      <c r="L699" s="117"/>
      <c r="M699" s="2"/>
      <c r="N699" s="2"/>
      <c r="O699" s="2"/>
      <c r="P699" s="2"/>
      <c r="Q699" s="2"/>
      <c r="R699" s="2"/>
      <c r="S699" s="852"/>
      <c r="T699" s="859"/>
      <c r="U699" s="107"/>
      <c r="V699" s="107"/>
      <c r="W699" s="107"/>
      <c r="X699" s="107"/>
      <c r="Y699" s="107"/>
      <c r="Z699" s="107"/>
    </row>
    <row r="700">
      <c r="A700" s="531"/>
      <c r="B700" s="977"/>
      <c r="C700" s="119"/>
      <c r="D700" s="977"/>
      <c r="E700" s="977"/>
      <c r="F700" s="119"/>
      <c r="G700" s="119"/>
      <c r="H700" s="119"/>
      <c r="I700" s="119"/>
      <c r="J700" s="119"/>
      <c r="K700" s="117"/>
      <c r="L700" s="117"/>
      <c r="M700" s="2"/>
      <c r="N700" s="2"/>
      <c r="O700" s="2"/>
      <c r="P700" s="2"/>
      <c r="Q700" s="2"/>
      <c r="R700" s="2"/>
      <c r="S700" s="852"/>
      <c r="T700" s="859"/>
      <c r="U700" s="107"/>
      <c r="V700" s="107"/>
      <c r="W700" s="107"/>
      <c r="X700" s="107"/>
      <c r="Y700" s="107"/>
      <c r="Z700" s="107"/>
    </row>
    <row r="701">
      <c r="A701" s="531"/>
      <c r="B701" s="977"/>
      <c r="C701" s="119"/>
      <c r="D701" s="977"/>
      <c r="E701" s="977"/>
      <c r="F701" s="119"/>
      <c r="G701" s="119"/>
      <c r="H701" s="119"/>
      <c r="I701" s="119"/>
      <c r="J701" s="119"/>
      <c r="K701" s="117"/>
      <c r="L701" s="117"/>
      <c r="M701" s="2"/>
      <c r="N701" s="2"/>
      <c r="O701" s="2"/>
      <c r="P701" s="2"/>
      <c r="Q701" s="2"/>
      <c r="R701" s="2"/>
      <c r="S701" s="852"/>
      <c r="T701" s="859"/>
      <c r="U701" s="107"/>
      <c r="V701" s="107"/>
      <c r="W701" s="107"/>
      <c r="X701" s="107"/>
      <c r="Y701" s="107"/>
      <c r="Z701" s="107"/>
    </row>
    <row r="702">
      <c r="A702" s="531"/>
      <c r="B702" s="977"/>
      <c r="C702" s="119"/>
      <c r="D702" s="977"/>
      <c r="E702" s="977"/>
      <c r="F702" s="119"/>
      <c r="G702" s="119"/>
      <c r="H702" s="119"/>
      <c r="I702" s="119"/>
      <c r="J702" s="119"/>
      <c r="K702" s="117"/>
      <c r="L702" s="117"/>
      <c r="M702" s="2"/>
      <c r="N702" s="2"/>
      <c r="O702" s="2"/>
      <c r="P702" s="2"/>
      <c r="Q702" s="2"/>
      <c r="R702" s="2"/>
      <c r="S702" s="852"/>
      <c r="T702" s="859"/>
      <c r="U702" s="107"/>
      <c r="V702" s="107"/>
      <c r="W702" s="107"/>
      <c r="X702" s="107"/>
      <c r="Y702" s="107"/>
      <c r="Z702" s="107"/>
    </row>
    <row r="703">
      <c r="A703" s="531"/>
      <c r="B703" s="977"/>
      <c r="C703" s="119"/>
      <c r="D703" s="977"/>
      <c r="E703" s="977"/>
      <c r="F703" s="119"/>
      <c r="G703" s="119"/>
      <c r="H703" s="119"/>
      <c r="I703" s="119"/>
      <c r="J703" s="119"/>
      <c r="K703" s="117"/>
      <c r="L703" s="117"/>
      <c r="M703" s="2"/>
      <c r="N703" s="2"/>
      <c r="O703" s="2"/>
      <c r="P703" s="2"/>
      <c r="Q703" s="2"/>
      <c r="R703" s="2"/>
      <c r="S703" s="852"/>
      <c r="T703" s="859"/>
      <c r="U703" s="107"/>
      <c r="V703" s="107"/>
      <c r="W703" s="107"/>
      <c r="X703" s="107"/>
      <c r="Y703" s="107"/>
      <c r="Z703" s="107"/>
    </row>
    <row r="704">
      <c r="A704" s="531"/>
      <c r="B704" s="977"/>
      <c r="C704" s="119"/>
      <c r="D704" s="977"/>
      <c r="E704" s="977"/>
      <c r="F704" s="119"/>
      <c r="G704" s="119"/>
      <c r="H704" s="119"/>
      <c r="I704" s="119"/>
      <c r="J704" s="119"/>
      <c r="K704" s="117"/>
      <c r="L704" s="117"/>
      <c r="M704" s="2"/>
      <c r="N704" s="2"/>
      <c r="O704" s="2"/>
      <c r="P704" s="2"/>
      <c r="Q704" s="2"/>
      <c r="R704" s="2"/>
      <c r="S704" s="852"/>
      <c r="T704" s="859"/>
      <c r="U704" s="107"/>
      <c r="V704" s="107"/>
      <c r="W704" s="107"/>
      <c r="X704" s="107"/>
      <c r="Y704" s="107"/>
      <c r="Z704" s="107"/>
    </row>
    <row r="705">
      <c r="A705" s="531"/>
      <c r="B705" s="977"/>
      <c r="C705" s="119"/>
      <c r="D705" s="977"/>
      <c r="E705" s="977"/>
      <c r="F705" s="119"/>
      <c r="G705" s="119"/>
      <c r="H705" s="119"/>
      <c r="I705" s="119"/>
      <c r="J705" s="119"/>
      <c r="K705" s="117"/>
      <c r="L705" s="117"/>
      <c r="M705" s="2"/>
      <c r="N705" s="2"/>
      <c r="O705" s="2"/>
      <c r="P705" s="2"/>
      <c r="Q705" s="2"/>
      <c r="R705" s="2"/>
      <c r="S705" s="852"/>
      <c r="T705" s="859"/>
      <c r="U705" s="107"/>
      <c r="V705" s="107"/>
      <c r="W705" s="107"/>
      <c r="X705" s="107"/>
      <c r="Y705" s="107"/>
      <c r="Z705" s="107"/>
    </row>
    <row r="706">
      <c r="A706" s="531"/>
      <c r="B706" s="977"/>
      <c r="C706" s="119"/>
      <c r="D706" s="977"/>
      <c r="E706" s="977"/>
      <c r="F706" s="119"/>
      <c r="G706" s="119"/>
      <c r="H706" s="119"/>
      <c r="I706" s="119"/>
      <c r="J706" s="119"/>
      <c r="K706" s="117"/>
      <c r="L706" s="117"/>
      <c r="M706" s="2"/>
      <c r="N706" s="2"/>
      <c r="O706" s="2"/>
      <c r="P706" s="2"/>
      <c r="Q706" s="2"/>
      <c r="R706" s="2"/>
      <c r="S706" s="852"/>
      <c r="T706" s="859"/>
      <c r="U706" s="107"/>
      <c r="V706" s="107"/>
      <c r="W706" s="107"/>
      <c r="X706" s="107"/>
      <c r="Y706" s="107"/>
      <c r="Z706" s="107"/>
    </row>
    <row r="707">
      <c r="A707" s="531"/>
      <c r="B707" s="977"/>
      <c r="C707" s="119"/>
      <c r="D707" s="977"/>
      <c r="E707" s="977"/>
      <c r="F707" s="119"/>
      <c r="G707" s="119"/>
      <c r="H707" s="119"/>
      <c r="I707" s="119"/>
      <c r="J707" s="119"/>
      <c r="K707" s="117"/>
      <c r="L707" s="117"/>
      <c r="M707" s="2"/>
      <c r="N707" s="2"/>
      <c r="O707" s="2"/>
      <c r="P707" s="2"/>
      <c r="Q707" s="2"/>
      <c r="R707" s="2"/>
      <c r="S707" s="852"/>
      <c r="T707" s="859"/>
      <c r="U707" s="107"/>
      <c r="V707" s="107"/>
      <c r="W707" s="107"/>
      <c r="X707" s="107"/>
      <c r="Y707" s="107"/>
      <c r="Z707" s="107"/>
    </row>
    <row r="708">
      <c r="A708" s="531"/>
      <c r="B708" s="977"/>
      <c r="C708" s="119"/>
      <c r="D708" s="977"/>
      <c r="E708" s="977"/>
      <c r="F708" s="119"/>
      <c r="G708" s="119"/>
      <c r="H708" s="119"/>
      <c r="I708" s="119"/>
      <c r="J708" s="119"/>
      <c r="K708" s="117"/>
      <c r="L708" s="117"/>
      <c r="M708" s="2"/>
      <c r="N708" s="2"/>
      <c r="O708" s="2"/>
      <c r="P708" s="2"/>
      <c r="Q708" s="2"/>
      <c r="R708" s="2"/>
      <c r="S708" s="857"/>
      <c r="T708" s="860"/>
      <c r="U708" s="107"/>
      <c r="V708" s="107"/>
      <c r="W708" s="107"/>
      <c r="X708" s="107"/>
      <c r="Y708" s="107"/>
      <c r="Z708" s="107"/>
    </row>
    <row r="709">
      <c r="A709" s="531"/>
      <c r="B709" s="977"/>
      <c r="C709" s="119"/>
      <c r="D709" s="977"/>
      <c r="E709" s="977"/>
      <c r="F709" s="119"/>
      <c r="G709" s="119"/>
      <c r="H709" s="119"/>
      <c r="I709" s="119"/>
      <c r="J709" s="119"/>
      <c r="K709" s="117"/>
      <c r="L709" s="117"/>
      <c r="M709" s="2"/>
      <c r="N709" s="2"/>
      <c r="O709" s="2"/>
      <c r="P709" s="2"/>
      <c r="Q709" s="2"/>
      <c r="R709" s="2"/>
      <c r="S709" s="861"/>
      <c r="T709" s="111"/>
      <c r="U709" s="2"/>
      <c r="V709" s="2"/>
      <c r="W709" s="2"/>
      <c r="X709" s="2"/>
      <c r="Y709" s="2"/>
      <c r="Z709" s="2"/>
    </row>
    <row r="710">
      <c r="A710" s="531"/>
      <c r="B710" s="977"/>
      <c r="C710" s="119"/>
      <c r="D710" s="977"/>
      <c r="E710" s="977"/>
      <c r="F710" s="119"/>
      <c r="G710" s="119"/>
      <c r="H710" s="119"/>
      <c r="I710" s="119"/>
      <c r="J710" s="119"/>
      <c r="K710" s="117"/>
      <c r="L710" s="117"/>
      <c r="M710" s="2"/>
      <c r="N710" s="2"/>
      <c r="O710" s="2"/>
      <c r="P710" s="2"/>
      <c r="Q710" s="2"/>
      <c r="R710" s="2"/>
      <c r="S710" s="861"/>
      <c r="T710" s="111"/>
      <c r="U710" s="2"/>
      <c r="V710" s="2"/>
      <c r="W710" s="2"/>
      <c r="X710" s="2"/>
      <c r="Y710" s="2"/>
      <c r="Z710" s="2"/>
    </row>
    <row r="711">
      <c r="A711" s="531"/>
      <c r="B711" s="977"/>
      <c r="C711" s="119"/>
      <c r="D711" s="977"/>
      <c r="E711" s="977"/>
      <c r="F711" s="119"/>
      <c r="G711" s="119"/>
      <c r="H711" s="119"/>
      <c r="I711" s="119"/>
      <c r="J711" s="119"/>
      <c r="K711" s="117"/>
      <c r="L711" s="117"/>
      <c r="M711" s="2"/>
      <c r="N711" s="2"/>
      <c r="O711" s="2"/>
      <c r="P711" s="2"/>
      <c r="Q711" s="2"/>
      <c r="R711" s="2"/>
      <c r="S711" s="861"/>
      <c r="T711" s="111"/>
      <c r="U711" s="2"/>
      <c r="V711" s="2"/>
      <c r="W711" s="2"/>
      <c r="X711" s="2"/>
      <c r="Y711" s="2"/>
      <c r="Z711" s="2"/>
    </row>
    <row r="712">
      <c r="A712" s="531"/>
      <c r="B712" s="977"/>
      <c r="C712" s="119"/>
      <c r="D712" s="977"/>
      <c r="E712" s="977"/>
      <c r="F712" s="119"/>
      <c r="G712" s="119"/>
      <c r="H712" s="119"/>
      <c r="I712" s="119"/>
      <c r="J712" s="119"/>
      <c r="K712" s="117"/>
      <c r="L712" s="117"/>
      <c r="M712" s="2"/>
      <c r="N712" s="2"/>
      <c r="O712" s="2"/>
      <c r="P712" s="2"/>
      <c r="Q712" s="2"/>
      <c r="R712" s="2"/>
      <c r="S712" s="861"/>
      <c r="T712" s="111"/>
      <c r="U712" s="2"/>
      <c r="V712" s="2"/>
      <c r="W712" s="2"/>
      <c r="X712" s="2"/>
      <c r="Y712" s="2"/>
      <c r="Z712" s="2"/>
    </row>
    <row r="713">
      <c r="A713" s="531"/>
      <c r="B713" s="977"/>
      <c r="C713" s="119"/>
      <c r="D713" s="977"/>
      <c r="E713" s="977"/>
      <c r="F713" s="119"/>
      <c r="G713" s="119"/>
      <c r="H713" s="119"/>
      <c r="I713" s="119"/>
      <c r="J713" s="119"/>
      <c r="K713" s="117"/>
      <c r="L713" s="117"/>
      <c r="M713" s="2"/>
      <c r="N713" s="2"/>
      <c r="O713" s="2"/>
      <c r="P713" s="2"/>
      <c r="Q713" s="2"/>
      <c r="R713" s="2"/>
      <c r="S713" s="861"/>
      <c r="T713" s="111"/>
      <c r="U713" s="2"/>
      <c r="V713" s="2"/>
      <c r="W713" s="2"/>
      <c r="X713" s="2"/>
      <c r="Y713" s="2"/>
      <c r="Z713" s="2"/>
    </row>
    <row r="714">
      <c r="A714" s="531"/>
      <c r="B714" s="977"/>
      <c r="C714" s="119"/>
      <c r="D714" s="977"/>
      <c r="E714" s="977"/>
      <c r="F714" s="119"/>
      <c r="G714" s="119"/>
      <c r="H714" s="119"/>
      <c r="I714" s="119"/>
      <c r="J714" s="119"/>
      <c r="K714" s="117"/>
      <c r="L714" s="117"/>
      <c r="M714" s="2"/>
      <c r="N714" s="2"/>
      <c r="O714" s="2"/>
      <c r="P714" s="2"/>
      <c r="Q714" s="2"/>
      <c r="R714" s="2"/>
      <c r="S714" s="862"/>
      <c r="T714" s="109"/>
      <c r="U714" s="2"/>
      <c r="V714" s="2"/>
      <c r="W714" s="2"/>
      <c r="X714" s="2"/>
      <c r="Y714" s="2"/>
      <c r="Z714" s="2"/>
    </row>
    <row r="715">
      <c r="A715" s="531"/>
      <c r="B715" s="977"/>
      <c r="C715" s="119"/>
      <c r="D715" s="977"/>
      <c r="E715" s="977"/>
      <c r="F715" s="119"/>
      <c r="G715" s="119"/>
      <c r="H715" s="119"/>
      <c r="I715" s="119"/>
      <c r="J715" s="119"/>
      <c r="K715" s="117"/>
      <c r="L715" s="117"/>
      <c r="M715" s="2"/>
      <c r="N715" s="2"/>
      <c r="O715" s="2"/>
      <c r="P715" s="2"/>
      <c r="Q715" s="2"/>
      <c r="R715" s="2"/>
      <c r="S715" s="861"/>
      <c r="T715" s="111"/>
      <c r="U715" s="2"/>
      <c r="V715" s="2"/>
      <c r="W715" s="2"/>
      <c r="X715" s="2"/>
      <c r="Y715" s="2"/>
      <c r="Z715" s="2"/>
    </row>
    <row r="716">
      <c r="A716" s="531"/>
      <c r="B716" s="977"/>
      <c r="C716" s="119"/>
      <c r="D716" s="977"/>
      <c r="E716" s="977"/>
      <c r="F716" s="119"/>
      <c r="G716" s="119"/>
      <c r="H716" s="119"/>
      <c r="I716" s="119"/>
      <c r="J716" s="119"/>
      <c r="K716" s="117"/>
      <c r="L716" s="117"/>
      <c r="M716" s="2"/>
      <c r="N716" s="2"/>
      <c r="O716" s="2"/>
      <c r="P716" s="2"/>
      <c r="Q716" s="2"/>
      <c r="R716" s="2"/>
      <c r="S716" s="861"/>
      <c r="T716" s="111"/>
      <c r="U716" s="2"/>
      <c r="V716" s="2"/>
      <c r="W716" s="2"/>
      <c r="X716" s="2"/>
      <c r="Y716" s="2"/>
      <c r="Z716" s="2"/>
    </row>
    <row r="717">
      <c r="A717" s="531"/>
      <c r="B717" s="977"/>
      <c r="C717" s="119"/>
      <c r="D717" s="977"/>
      <c r="E717" s="977"/>
      <c r="F717" s="119"/>
      <c r="G717" s="119"/>
      <c r="H717" s="119"/>
      <c r="I717" s="119"/>
      <c r="J717" s="119"/>
      <c r="K717" s="117"/>
      <c r="L717" s="117"/>
      <c r="M717" s="2"/>
      <c r="N717" s="2"/>
      <c r="O717" s="2"/>
      <c r="P717" s="2"/>
      <c r="Q717" s="2"/>
      <c r="R717" s="2"/>
      <c r="S717" s="861"/>
      <c r="T717" s="111"/>
      <c r="U717" s="2"/>
      <c r="V717" s="2"/>
      <c r="W717" s="2"/>
      <c r="X717" s="2"/>
      <c r="Y717" s="2"/>
      <c r="Z717" s="2"/>
    </row>
    <row r="718">
      <c r="A718" s="531"/>
      <c r="B718" s="977"/>
      <c r="C718" s="119"/>
      <c r="D718" s="977"/>
      <c r="E718" s="977"/>
      <c r="F718" s="119"/>
      <c r="G718" s="119"/>
      <c r="H718" s="119"/>
      <c r="I718" s="119"/>
      <c r="J718" s="119"/>
      <c r="K718" s="117"/>
      <c r="L718" s="117"/>
      <c r="M718" s="2"/>
      <c r="N718" s="2"/>
      <c r="O718" s="2"/>
      <c r="P718" s="2"/>
      <c r="Q718" s="2"/>
      <c r="R718" s="2"/>
      <c r="S718" s="861"/>
      <c r="T718" s="111"/>
      <c r="U718" s="2"/>
      <c r="V718" s="2"/>
      <c r="W718" s="2"/>
      <c r="X718" s="2"/>
      <c r="Y718" s="2"/>
      <c r="Z718" s="2"/>
    </row>
    <row r="719">
      <c r="A719" s="531"/>
      <c r="B719" s="977"/>
      <c r="C719" s="119"/>
      <c r="D719" s="977"/>
      <c r="E719" s="977"/>
      <c r="F719" s="119"/>
      <c r="G719" s="119"/>
      <c r="H719" s="119"/>
      <c r="I719" s="119"/>
      <c r="J719" s="119"/>
      <c r="K719" s="117"/>
      <c r="L719" s="117"/>
      <c r="M719" s="2"/>
      <c r="N719" s="2"/>
      <c r="O719" s="2"/>
      <c r="P719" s="2"/>
      <c r="Q719" s="2"/>
      <c r="R719" s="2"/>
      <c r="S719" s="861"/>
      <c r="T719" s="111"/>
      <c r="U719" s="2"/>
      <c r="V719" s="2"/>
      <c r="W719" s="2"/>
      <c r="X719" s="2"/>
      <c r="Y719" s="2"/>
      <c r="Z719" s="2"/>
    </row>
    <row r="720">
      <c r="A720" s="531"/>
      <c r="B720" s="977"/>
      <c r="C720" s="119"/>
      <c r="D720" s="977"/>
      <c r="E720" s="977"/>
      <c r="F720" s="119"/>
      <c r="G720" s="119"/>
      <c r="H720" s="119"/>
      <c r="I720" s="119"/>
      <c r="J720" s="119"/>
      <c r="K720" s="117"/>
      <c r="L720" s="117"/>
      <c r="M720" s="2"/>
      <c r="N720" s="2"/>
      <c r="O720" s="2"/>
      <c r="P720" s="2"/>
      <c r="Q720" s="2"/>
      <c r="R720" s="2"/>
      <c r="S720" s="861"/>
      <c r="T720" s="111"/>
      <c r="U720" s="2"/>
      <c r="V720" s="2"/>
      <c r="W720" s="2"/>
      <c r="X720" s="2"/>
      <c r="Y720" s="2"/>
      <c r="Z720" s="2"/>
    </row>
    <row r="721">
      <c r="A721" s="531"/>
      <c r="B721" s="977"/>
      <c r="C721" s="119"/>
      <c r="D721" s="977"/>
      <c r="E721" s="977"/>
      <c r="F721" s="119"/>
      <c r="G721" s="119"/>
      <c r="H721" s="119"/>
      <c r="I721" s="119"/>
      <c r="J721" s="119"/>
      <c r="K721" s="117"/>
      <c r="L721" s="117"/>
      <c r="M721" s="2"/>
      <c r="N721" s="2"/>
      <c r="O721" s="2"/>
      <c r="P721" s="2"/>
      <c r="Q721" s="2"/>
      <c r="R721" s="2"/>
      <c r="S721" s="861"/>
      <c r="T721" s="111"/>
      <c r="U721" s="2"/>
      <c r="V721" s="2"/>
      <c r="W721" s="2"/>
      <c r="X721" s="2"/>
      <c r="Y721" s="2"/>
      <c r="Z721" s="2"/>
    </row>
    <row r="722">
      <c r="A722" s="531"/>
      <c r="B722" s="977"/>
      <c r="C722" s="119"/>
      <c r="D722" s="977"/>
      <c r="E722" s="977"/>
      <c r="F722" s="119"/>
      <c r="G722" s="119"/>
      <c r="H722" s="119"/>
      <c r="I722" s="119"/>
      <c r="J722" s="119"/>
      <c r="K722" s="117"/>
      <c r="L722" s="117"/>
      <c r="M722" s="2"/>
      <c r="N722" s="2"/>
      <c r="O722" s="2"/>
      <c r="P722" s="2"/>
      <c r="Q722" s="2"/>
      <c r="R722" s="2"/>
      <c r="S722" s="861"/>
      <c r="T722" s="111"/>
      <c r="U722" s="2"/>
      <c r="V722" s="2"/>
      <c r="W722" s="2"/>
      <c r="X722" s="2"/>
      <c r="Y722" s="2"/>
      <c r="Z722" s="2"/>
    </row>
    <row r="723">
      <c r="A723" s="531"/>
      <c r="B723" s="977"/>
      <c r="C723" s="119"/>
      <c r="D723" s="977"/>
      <c r="E723" s="977"/>
      <c r="F723" s="119"/>
      <c r="G723" s="119"/>
      <c r="H723" s="119"/>
      <c r="I723" s="119"/>
      <c r="J723" s="119"/>
      <c r="K723" s="117"/>
      <c r="L723" s="117"/>
      <c r="M723" s="2"/>
      <c r="N723" s="2"/>
      <c r="O723" s="2"/>
      <c r="P723" s="2"/>
      <c r="Q723" s="2"/>
      <c r="R723" s="2"/>
      <c r="S723" s="862"/>
      <c r="T723" s="109"/>
      <c r="U723" s="2"/>
      <c r="V723" s="2"/>
      <c r="W723" s="2"/>
      <c r="X723" s="2"/>
      <c r="Y723" s="2"/>
      <c r="Z723" s="2"/>
    </row>
    <row r="724">
      <c r="A724" s="531"/>
      <c r="B724" s="977"/>
      <c r="C724" s="119"/>
      <c r="D724" s="977"/>
      <c r="E724" s="977"/>
      <c r="F724" s="119"/>
      <c r="G724" s="119"/>
      <c r="H724" s="119"/>
      <c r="I724" s="119"/>
      <c r="J724" s="119"/>
      <c r="K724" s="117"/>
      <c r="L724" s="117"/>
      <c r="M724" s="2"/>
      <c r="N724" s="2"/>
      <c r="O724" s="2"/>
      <c r="P724" s="2"/>
      <c r="Q724" s="2"/>
      <c r="R724" s="2"/>
      <c r="S724" s="862"/>
      <c r="T724" s="109"/>
      <c r="U724" s="54"/>
      <c r="V724" s="54"/>
      <c r="W724" s="54"/>
      <c r="X724" s="54"/>
      <c r="Y724" s="54"/>
      <c r="Z724" s="54"/>
    </row>
    <row r="725">
      <c r="A725" s="531"/>
      <c r="B725" s="977"/>
      <c r="C725" s="119"/>
      <c r="D725" s="977"/>
      <c r="E725" s="977"/>
      <c r="F725" s="119"/>
      <c r="G725" s="119"/>
      <c r="H725" s="119"/>
      <c r="I725" s="119"/>
      <c r="J725" s="119"/>
      <c r="K725" s="117"/>
      <c r="L725" s="117"/>
      <c r="M725" s="2"/>
      <c r="N725" s="2"/>
      <c r="O725" s="2"/>
      <c r="P725" s="2"/>
      <c r="Q725" s="2"/>
      <c r="R725" s="2"/>
      <c r="S725" s="117"/>
      <c r="T725" s="2"/>
      <c r="U725" s="2"/>
      <c r="V725" s="2"/>
      <c r="W725" s="2"/>
      <c r="X725" s="2"/>
      <c r="Y725" s="2"/>
      <c r="Z725" s="2"/>
    </row>
    <row r="726">
      <c r="A726" s="531"/>
      <c r="B726" s="977"/>
      <c r="C726" s="119"/>
      <c r="D726" s="977"/>
      <c r="E726" s="977"/>
      <c r="F726" s="119"/>
      <c r="G726" s="119"/>
      <c r="H726" s="119"/>
      <c r="I726" s="119"/>
      <c r="J726" s="119"/>
      <c r="K726" s="117"/>
      <c r="L726" s="117"/>
      <c r="M726" s="2"/>
      <c r="N726" s="2"/>
      <c r="O726" s="2"/>
      <c r="P726" s="2"/>
      <c r="Q726" s="2"/>
      <c r="R726" s="2"/>
      <c r="S726" s="117"/>
      <c r="T726" s="2"/>
      <c r="U726" s="2"/>
      <c r="V726" s="2"/>
      <c r="W726" s="2"/>
      <c r="X726" s="2"/>
      <c r="Y726" s="2"/>
      <c r="Z726" s="2"/>
    </row>
    <row r="727">
      <c r="A727" s="531"/>
      <c r="B727" s="977"/>
      <c r="C727" s="119"/>
      <c r="D727" s="977"/>
      <c r="E727" s="977"/>
      <c r="F727" s="119"/>
      <c r="G727" s="119"/>
      <c r="H727" s="119"/>
      <c r="I727" s="119"/>
      <c r="J727" s="119"/>
      <c r="K727" s="117"/>
      <c r="L727" s="117"/>
      <c r="M727" s="2"/>
      <c r="N727" s="2"/>
      <c r="O727" s="2"/>
      <c r="P727" s="2"/>
      <c r="Q727" s="2"/>
      <c r="R727" s="2"/>
      <c r="S727" s="847"/>
      <c r="T727" s="847"/>
      <c r="U727" s="116"/>
      <c r="V727" s="116"/>
      <c r="W727" s="116"/>
      <c r="X727" s="116"/>
      <c r="Y727" s="116"/>
      <c r="Z727" s="116"/>
    </row>
    <row r="728">
      <c r="A728" s="531"/>
      <c r="B728" s="977"/>
      <c r="C728" s="119"/>
      <c r="D728" s="977"/>
      <c r="E728" s="977"/>
      <c r="F728" s="119"/>
      <c r="G728" s="119"/>
      <c r="H728" s="119"/>
      <c r="I728" s="119"/>
      <c r="J728" s="119"/>
      <c r="K728" s="117"/>
      <c r="L728" s="117"/>
      <c r="M728" s="2"/>
      <c r="N728" s="2"/>
      <c r="O728" s="2"/>
      <c r="P728" s="2"/>
      <c r="Q728" s="2"/>
      <c r="R728" s="2"/>
      <c r="S728" s="848"/>
      <c r="T728" s="848"/>
      <c r="U728" s="848"/>
      <c r="V728" s="848"/>
      <c r="W728" s="848"/>
      <c r="X728" s="848"/>
      <c r="Y728" s="848"/>
      <c r="Z728" s="848"/>
    </row>
    <row r="729">
      <c r="A729" s="531"/>
      <c r="B729" s="977"/>
      <c r="C729" s="119"/>
      <c r="D729" s="977"/>
      <c r="E729" s="977"/>
      <c r="F729" s="119"/>
      <c r="G729" s="119"/>
      <c r="H729" s="119"/>
      <c r="I729" s="119"/>
      <c r="J729" s="119"/>
      <c r="K729" s="117"/>
      <c r="L729" s="117"/>
      <c r="M729" s="2"/>
      <c r="N729" s="2"/>
      <c r="O729" s="2"/>
      <c r="P729" s="2"/>
      <c r="Q729" s="2"/>
      <c r="R729" s="2"/>
      <c r="S729" s="849"/>
      <c r="T729" s="850"/>
      <c r="U729" s="851"/>
      <c r="V729" s="851"/>
      <c r="W729" s="851"/>
      <c r="X729" s="851"/>
      <c r="Y729" s="851"/>
      <c r="Z729" s="851"/>
    </row>
    <row r="730">
      <c r="A730" s="531"/>
      <c r="B730" s="977"/>
      <c r="C730" s="119"/>
      <c r="D730" s="977"/>
      <c r="E730" s="977"/>
      <c r="F730" s="119"/>
      <c r="G730" s="119"/>
      <c r="H730" s="119"/>
      <c r="I730" s="119"/>
      <c r="J730" s="119"/>
      <c r="K730" s="117"/>
      <c r="L730" s="117"/>
      <c r="M730" s="2"/>
      <c r="N730" s="2"/>
      <c r="O730" s="2"/>
      <c r="P730" s="2"/>
      <c r="Q730" s="2"/>
      <c r="R730" s="2"/>
      <c r="S730" s="852"/>
      <c r="T730" s="853"/>
      <c r="U730" s="854"/>
      <c r="V730" s="854"/>
      <c r="W730" s="854"/>
      <c r="X730" s="854"/>
      <c r="Y730" s="854"/>
      <c r="Z730" s="854"/>
    </row>
    <row r="731">
      <c r="A731" s="531"/>
      <c r="B731" s="977"/>
      <c r="C731" s="119"/>
      <c r="D731" s="977"/>
      <c r="E731" s="977"/>
      <c r="F731" s="119"/>
      <c r="G731" s="119"/>
      <c r="H731" s="119"/>
      <c r="I731" s="119"/>
      <c r="J731" s="119"/>
      <c r="K731" s="117"/>
      <c r="L731" s="117"/>
      <c r="M731" s="2"/>
      <c r="N731" s="2"/>
      <c r="O731" s="2"/>
      <c r="P731" s="2"/>
      <c r="Q731" s="2"/>
      <c r="R731" s="2"/>
      <c r="S731" s="855"/>
      <c r="T731" s="856"/>
      <c r="U731" s="854"/>
      <c r="V731" s="854"/>
      <c r="W731" s="854"/>
      <c r="X731" s="854"/>
      <c r="Y731" s="854"/>
      <c r="Z731" s="854"/>
    </row>
    <row r="732">
      <c r="A732" s="531"/>
      <c r="B732" s="977"/>
      <c r="C732" s="119"/>
      <c r="D732" s="977"/>
      <c r="E732" s="977"/>
      <c r="F732" s="119"/>
      <c r="G732" s="119"/>
      <c r="H732" s="119"/>
      <c r="I732" s="119"/>
      <c r="J732" s="119"/>
      <c r="K732" s="117"/>
      <c r="L732" s="117"/>
      <c r="M732" s="2"/>
      <c r="N732" s="2"/>
      <c r="O732" s="2"/>
      <c r="P732" s="2"/>
      <c r="Q732" s="2"/>
      <c r="R732" s="2"/>
      <c r="S732" s="855"/>
      <c r="T732" s="856"/>
      <c r="U732" s="854"/>
      <c r="V732" s="854"/>
      <c r="W732" s="854"/>
      <c r="X732" s="854"/>
      <c r="Y732" s="854"/>
      <c r="Z732" s="854"/>
    </row>
    <row r="733">
      <c r="A733" s="531"/>
      <c r="B733" s="977"/>
      <c r="C733" s="119"/>
      <c r="D733" s="977"/>
      <c r="E733" s="977"/>
      <c r="F733" s="119"/>
      <c r="G733" s="119"/>
      <c r="H733" s="119"/>
      <c r="I733" s="119"/>
      <c r="J733" s="119"/>
      <c r="K733" s="117"/>
      <c r="L733" s="117"/>
      <c r="M733" s="2"/>
      <c r="N733" s="2"/>
      <c r="O733" s="2"/>
      <c r="P733" s="2"/>
      <c r="Q733" s="2"/>
      <c r="R733" s="2"/>
      <c r="S733" s="852"/>
      <c r="T733" s="853"/>
      <c r="U733" s="854"/>
      <c r="V733" s="854"/>
      <c r="W733" s="854"/>
      <c r="X733" s="854"/>
      <c r="Y733" s="854"/>
      <c r="Z733" s="854"/>
    </row>
    <row r="734">
      <c r="A734" s="531"/>
      <c r="B734" s="977"/>
      <c r="C734" s="119"/>
      <c r="D734" s="977"/>
      <c r="E734" s="977"/>
      <c r="F734" s="119"/>
      <c r="G734" s="119"/>
      <c r="H734" s="119"/>
      <c r="I734" s="119"/>
      <c r="J734" s="119"/>
      <c r="K734" s="117"/>
      <c r="L734" s="117"/>
      <c r="M734" s="2"/>
      <c r="N734" s="2"/>
      <c r="O734" s="2"/>
      <c r="P734" s="2"/>
      <c r="Q734" s="2"/>
      <c r="R734" s="2"/>
      <c r="S734" s="857"/>
      <c r="T734" s="858"/>
      <c r="U734" s="854"/>
      <c r="V734" s="854"/>
      <c r="W734" s="854"/>
      <c r="X734" s="854"/>
      <c r="Y734" s="854"/>
      <c r="Z734" s="854"/>
    </row>
    <row r="735">
      <c r="A735" s="531"/>
      <c r="B735" s="977"/>
      <c r="C735" s="119"/>
      <c r="D735" s="977"/>
      <c r="E735" s="977"/>
      <c r="F735" s="119"/>
      <c r="G735" s="119"/>
      <c r="H735" s="119"/>
      <c r="I735" s="119"/>
      <c r="J735" s="119"/>
      <c r="K735" s="117"/>
      <c r="L735" s="117"/>
      <c r="M735" s="2"/>
      <c r="N735" s="2"/>
      <c r="O735" s="2"/>
      <c r="P735" s="2"/>
      <c r="Q735" s="2"/>
      <c r="R735" s="2"/>
      <c r="S735" s="857"/>
      <c r="T735" s="858"/>
      <c r="U735" s="854"/>
      <c r="V735" s="854"/>
      <c r="W735" s="854"/>
      <c r="X735" s="854"/>
      <c r="Y735" s="854"/>
      <c r="Z735" s="854"/>
    </row>
    <row r="736">
      <c r="A736" s="531"/>
      <c r="B736" s="977"/>
      <c r="C736" s="119"/>
      <c r="D736" s="977"/>
      <c r="E736" s="977"/>
      <c r="F736" s="119"/>
      <c r="G736" s="119"/>
      <c r="H736" s="119"/>
      <c r="I736" s="119"/>
      <c r="J736" s="119"/>
      <c r="K736" s="117"/>
      <c r="L736" s="117"/>
      <c r="M736" s="2"/>
      <c r="N736" s="2"/>
      <c r="O736" s="2"/>
      <c r="P736" s="2"/>
      <c r="Q736" s="2"/>
      <c r="R736" s="2"/>
      <c r="S736" s="857"/>
      <c r="T736" s="858"/>
      <c r="U736" s="854"/>
      <c r="V736" s="854"/>
      <c r="W736" s="854"/>
      <c r="X736" s="854"/>
      <c r="Y736" s="854"/>
      <c r="Z736" s="854"/>
    </row>
    <row r="737">
      <c r="A737" s="531"/>
      <c r="B737" s="977"/>
      <c r="C737" s="119"/>
      <c r="D737" s="977"/>
      <c r="E737" s="977"/>
      <c r="F737" s="119"/>
      <c r="G737" s="119"/>
      <c r="H737" s="119"/>
      <c r="I737" s="119"/>
      <c r="J737" s="119"/>
      <c r="K737" s="117"/>
      <c r="L737" s="117"/>
      <c r="M737" s="2"/>
      <c r="N737" s="2"/>
      <c r="O737" s="2"/>
      <c r="P737" s="2"/>
      <c r="Q737" s="2"/>
      <c r="R737" s="2"/>
      <c r="S737" s="852"/>
      <c r="T737" s="853"/>
      <c r="U737" s="854"/>
      <c r="V737" s="854"/>
      <c r="W737" s="854"/>
      <c r="X737" s="854"/>
      <c r="Y737" s="854"/>
      <c r="Z737" s="854"/>
    </row>
    <row r="738">
      <c r="A738" s="531"/>
      <c r="B738" s="977"/>
      <c r="C738" s="119"/>
      <c r="D738" s="977"/>
      <c r="E738" s="977"/>
      <c r="F738" s="119"/>
      <c r="G738" s="119"/>
      <c r="H738" s="119"/>
      <c r="I738" s="119"/>
      <c r="J738" s="119"/>
      <c r="K738" s="117"/>
      <c r="L738" s="117"/>
      <c r="M738" s="2"/>
      <c r="N738" s="2"/>
      <c r="O738" s="2"/>
      <c r="P738" s="2"/>
      <c r="Q738" s="2"/>
      <c r="R738" s="2"/>
      <c r="S738" s="852"/>
      <c r="T738" s="853"/>
      <c r="U738" s="854"/>
      <c r="V738" s="854"/>
      <c r="W738" s="854"/>
      <c r="X738" s="854"/>
      <c r="Y738" s="854"/>
      <c r="Z738" s="854"/>
    </row>
    <row r="739">
      <c r="A739" s="531"/>
      <c r="B739" s="977"/>
      <c r="C739" s="119"/>
      <c r="D739" s="977"/>
      <c r="E739" s="977"/>
      <c r="F739" s="119"/>
      <c r="G739" s="119"/>
      <c r="H739" s="119"/>
      <c r="I739" s="119"/>
      <c r="J739" s="119"/>
      <c r="K739" s="117"/>
      <c r="L739" s="117"/>
      <c r="M739" s="2"/>
      <c r="N739" s="2"/>
      <c r="O739" s="2"/>
      <c r="P739" s="2"/>
      <c r="Q739" s="2"/>
      <c r="R739" s="2"/>
      <c r="S739" s="852"/>
      <c r="T739" s="853"/>
      <c r="U739" s="854"/>
      <c r="V739" s="854"/>
      <c r="W739" s="854"/>
      <c r="X739" s="854"/>
      <c r="Y739" s="854"/>
      <c r="Z739" s="854"/>
    </row>
    <row r="740">
      <c r="A740" s="531"/>
      <c r="B740" s="977"/>
      <c r="C740" s="119"/>
      <c r="D740" s="977"/>
      <c r="E740" s="977"/>
      <c r="F740" s="119"/>
      <c r="G740" s="119"/>
      <c r="H740" s="119"/>
      <c r="I740" s="119"/>
      <c r="J740" s="119"/>
      <c r="K740" s="117"/>
      <c r="L740" s="117"/>
      <c r="M740" s="2"/>
      <c r="N740" s="2"/>
      <c r="O740" s="2"/>
      <c r="P740" s="2"/>
      <c r="Q740" s="2"/>
      <c r="R740" s="2"/>
      <c r="S740" s="852"/>
      <c r="T740" s="853"/>
      <c r="U740" s="854"/>
      <c r="V740" s="854"/>
      <c r="W740" s="854"/>
      <c r="X740" s="854"/>
      <c r="Y740" s="854"/>
      <c r="Z740" s="854"/>
    </row>
    <row r="741">
      <c r="A741" s="531"/>
      <c r="B741" s="977"/>
      <c r="C741" s="119"/>
      <c r="D741" s="977"/>
      <c r="E741" s="977"/>
      <c r="F741" s="119"/>
      <c r="G741" s="119"/>
      <c r="H741" s="119"/>
      <c r="I741" s="119"/>
      <c r="J741" s="119"/>
      <c r="K741" s="117"/>
      <c r="L741" s="117"/>
      <c r="M741" s="2"/>
      <c r="N741" s="2"/>
      <c r="O741" s="2"/>
      <c r="P741" s="2"/>
      <c r="Q741" s="2"/>
      <c r="R741" s="2"/>
      <c r="S741" s="852"/>
      <c r="T741" s="859"/>
      <c r="U741" s="107"/>
      <c r="V741" s="107"/>
      <c r="W741" s="107"/>
      <c r="X741" s="107"/>
      <c r="Y741" s="107"/>
      <c r="Z741" s="107"/>
    </row>
    <row r="742">
      <c r="A742" s="531"/>
      <c r="B742" s="977"/>
      <c r="C742" s="119"/>
      <c r="D742" s="977"/>
      <c r="E742" s="977"/>
      <c r="F742" s="119"/>
      <c r="G742" s="119"/>
      <c r="H742" s="119"/>
      <c r="I742" s="119"/>
      <c r="J742" s="119"/>
      <c r="K742" s="117"/>
      <c r="L742" s="117"/>
      <c r="M742" s="2"/>
      <c r="N742" s="2"/>
      <c r="O742" s="2"/>
      <c r="P742" s="2"/>
      <c r="Q742" s="2"/>
      <c r="R742" s="2"/>
      <c r="S742" s="852"/>
      <c r="T742" s="859"/>
      <c r="U742" s="107"/>
      <c r="V742" s="107"/>
      <c r="W742" s="107"/>
      <c r="X742" s="107"/>
      <c r="Y742" s="107"/>
      <c r="Z742" s="107"/>
    </row>
    <row r="743">
      <c r="A743" s="531"/>
      <c r="B743" s="977"/>
      <c r="C743" s="119"/>
      <c r="D743" s="977"/>
      <c r="E743" s="977"/>
      <c r="F743" s="119"/>
      <c r="G743" s="119"/>
      <c r="H743" s="119"/>
      <c r="I743" s="119"/>
      <c r="J743" s="119"/>
      <c r="K743" s="117"/>
      <c r="L743" s="117"/>
      <c r="M743" s="2"/>
      <c r="N743" s="2"/>
      <c r="O743" s="2"/>
      <c r="P743" s="2"/>
      <c r="Q743" s="2"/>
      <c r="R743" s="2"/>
      <c r="S743" s="852"/>
      <c r="T743" s="859"/>
      <c r="U743" s="107"/>
      <c r="V743" s="107"/>
      <c r="W743" s="107"/>
      <c r="X743" s="107"/>
      <c r="Y743" s="107"/>
      <c r="Z743" s="107"/>
    </row>
    <row r="744">
      <c r="A744" s="531"/>
      <c r="B744" s="977"/>
      <c r="C744" s="119"/>
      <c r="D744" s="977"/>
      <c r="E744" s="977"/>
      <c r="F744" s="119"/>
      <c r="G744" s="119"/>
      <c r="H744" s="119"/>
      <c r="I744" s="119"/>
      <c r="J744" s="119"/>
      <c r="K744" s="117"/>
      <c r="L744" s="117"/>
      <c r="M744" s="2"/>
      <c r="N744" s="2"/>
      <c r="O744" s="2"/>
      <c r="P744" s="2"/>
      <c r="Q744" s="2"/>
      <c r="R744" s="2"/>
      <c r="S744" s="852"/>
      <c r="T744" s="859"/>
      <c r="U744" s="107"/>
      <c r="V744" s="107"/>
      <c r="W744" s="107"/>
      <c r="X744" s="107"/>
      <c r="Y744" s="107"/>
      <c r="Z744" s="107"/>
    </row>
    <row r="745">
      <c r="A745" s="531"/>
      <c r="B745" s="977"/>
      <c r="C745" s="119"/>
      <c r="D745" s="977"/>
      <c r="E745" s="977"/>
      <c r="F745" s="119"/>
      <c r="G745" s="119"/>
      <c r="H745" s="119"/>
      <c r="I745" s="119"/>
      <c r="J745" s="119"/>
      <c r="K745" s="117"/>
      <c r="L745" s="117"/>
      <c r="M745" s="2"/>
      <c r="N745" s="2"/>
      <c r="O745" s="2"/>
      <c r="P745" s="2"/>
      <c r="Q745" s="2"/>
      <c r="R745" s="2"/>
      <c r="S745" s="852"/>
      <c r="T745" s="859"/>
      <c r="U745" s="107"/>
      <c r="V745" s="107"/>
      <c r="W745" s="107"/>
      <c r="X745" s="107"/>
      <c r="Y745" s="107"/>
      <c r="Z745" s="107"/>
    </row>
    <row r="746">
      <c r="A746" s="531"/>
      <c r="B746" s="977"/>
      <c r="C746" s="119"/>
      <c r="D746" s="977"/>
      <c r="E746" s="977"/>
      <c r="F746" s="119"/>
      <c r="G746" s="119"/>
      <c r="H746" s="119"/>
      <c r="I746" s="119"/>
      <c r="J746" s="119"/>
      <c r="K746" s="117"/>
      <c r="L746" s="117"/>
      <c r="M746" s="2"/>
      <c r="N746" s="2"/>
      <c r="O746" s="2"/>
      <c r="P746" s="2"/>
      <c r="Q746" s="2"/>
      <c r="R746" s="2"/>
      <c r="S746" s="852"/>
      <c r="T746" s="859"/>
      <c r="U746" s="107"/>
      <c r="V746" s="107"/>
      <c r="W746" s="107"/>
      <c r="X746" s="107"/>
      <c r="Y746" s="107"/>
      <c r="Z746" s="107"/>
    </row>
    <row r="747">
      <c r="A747" s="531"/>
      <c r="B747" s="977"/>
      <c r="C747" s="119"/>
      <c r="D747" s="977"/>
      <c r="E747" s="977"/>
      <c r="F747" s="119"/>
      <c r="G747" s="119"/>
      <c r="H747" s="119"/>
      <c r="I747" s="119"/>
      <c r="J747" s="119"/>
      <c r="K747" s="117"/>
      <c r="L747" s="117"/>
      <c r="M747" s="2"/>
      <c r="N747" s="2"/>
      <c r="O747" s="2"/>
      <c r="P747" s="2"/>
      <c r="Q747" s="2"/>
      <c r="R747" s="2"/>
      <c r="S747" s="852"/>
      <c r="T747" s="859"/>
      <c r="U747" s="107"/>
      <c r="V747" s="107"/>
      <c r="W747" s="107"/>
      <c r="X747" s="107"/>
      <c r="Y747" s="107"/>
      <c r="Z747" s="107"/>
    </row>
    <row r="748">
      <c r="A748" s="531"/>
      <c r="B748" s="977"/>
      <c r="C748" s="119"/>
      <c r="D748" s="977"/>
      <c r="E748" s="977"/>
      <c r="F748" s="119"/>
      <c r="G748" s="119"/>
      <c r="H748" s="119"/>
      <c r="I748" s="119"/>
      <c r="J748" s="119"/>
      <c r="K748" s="117"/>
      <c r="L748" s="117"/>
      <c r="M748" s="2"/>
      <c r="N748" s="2"/>
      <c r="O748" s="2"/>
      <c r="P748" s="2"/>
      <c r="Q748" s="2"/>
      <c r="R748" s="2"/>
      <c r="S748" s="852"/>
      <c r="T748" s="859"/>
      <c r="U748" s="107"/>
      <c r="V748" s="107"/>
      <c r="W748" s="107"/>
      <c r="X748" s="107"/>
      <c r="Y748" s="107"/>
      <c r="Z748" s="107"/>
    </row>
    <row r="749">
      <c r="A749" s="531"/>
      <c r="B749" s="977"/>
      <c r="C749" s="119"/>
      <c r="D749" s="977"/>
      <c r="E749" s="977"/>
      <c r="F749" s="119"/>
      <c r="G749" s="119"/>
      <c r="H749" s="119"/>
      <c r="I749" s="119"/>
      <c r="J749" s="119"/>
      <c r="K749" s="117"/>
      <c r="L749" s="117"/>
      <c r="M749" s="2"/>
      <c r="N749" s="2"/>
      <c r="O749" s="2"/>
      <c r="P749" s="2"/>
      <c r="Q749" s="2"/>
      <c r="R749" s="2"/>
      <c r="S749" s="852"/>
      <c r="T749" s="859"/>
      <c r="U749" s="107"/>
      <c r="V749" s="107"/>
      <c r="W749" s="107"/>
      <c r="X749" s="107"/>
      <c r="Y749" s="107"/>
      <c r="Z749" s="107"/>
    </row>
    <row r="750">
      <c r="A750" s="531"/>
      <c r="B750" s="977"/>
      <c r="C750" s="119"/>
      <c r="D750" s="977"/>
      <c r="E750" s="977"/>
      <c r="F750" s="119"/>
      <c r="G750" s="119"/>
      <c r="H750" s="119"/>
      <c r="I750" s="119"/>
      <c r="J750" s="119"/>
      <c r="K750" s="117"/>
      <c r="L750" s="117"/>
      <c r="M750" s="2"/>
      <c r="N750" s="2"/>
      <c r="O750" s="2"/>
      <c r="P750" s="2"/>
      <c r="Q750" s="2"/>
      <c r="R750" s="2"/>
      <c r="S750" s="852"/>
      <c r="T750" s="859"/>
      <c r="U750" s="107"/>
      <c r="V750" s="107"/>
      <c r="W750" s="107"/>
      <c r="X750" s="107"/>
      <c r="Y750" s="107"/>
      <c r="Z750" s="107"/>
    </row>
    <row r="751">
      <c r="A751" s="531"/>
      <c r="B751" s="977"/>
      <c r="C751" s="119"/>
      <c r="D751" s="977"/>
      <c r="E751" s="977"/>
      <c r="F751" s="119"/>
      <c r="G751" s="119"/>
      <c r="H751" s="119"/>
      <c r="I751" s="119"/>
      <c r="J751" s="119"/>
      <c r="K751" s="117"/>
      <c r="L751" s="117"/>
      <c r="M751" s="2"/>
      <c r="N751" s="2"/>
      <c r="O751" s="2"/>
      <c r="P751" s="2"/>
      <c r="Q751" s="2"/>
      <c r="R751" s="2"/>
      <c r="S751" s="857"/>
      <c r="T751" s="860"/>
      <c r="U751" s="107"/>
      <c r="V751" s="107"/>
      <c r="W751" s="107"/>
      <c r="X751" s="107"/>
      <c r="Y751" s="107"/>
      <c r="Z751" s="107"/>
    </row>
    <row r="752">
      <c r="A752" s="531"/>
      <c r="B752" s="977"/>
      <c r="C752" s="119"/>
      <c r="D752" s="977"/>
      <c r="E752" s="977"/>
      <c r="F752" s="119"/>
      <c r="G752" s="119"/>
      <c r="H752" s="119"/>
      <c r="I752" s="119"/>
      <c r="J752" s="119"/>
      <c r="K752" s="117"/>
      <c r="L752" s="117"/>
      <c r="M752" s="2"/>
      <c r="N752" s="2"/>
      <c r="O752" s="2"/>
      <c r="P752" s="2"/>
      <c r="Q752" s="2"/>
      <c r="R752" s="2"/>
      <c r="S752" s="861"/>
      <c r="T752" s="111"/>
      <c r="U752" s="2"/>
      <c r="V752" s="2"/>
      <c r="W752" s="2"/>
      <c r="X752" s="2"/>
      <c r="Y752" s="2"/>
      <c r="Z752" s="2"/>
    </row>
    <row r="753">
      <c r="A753" s="531"/>
      <c r="B753" s="977"/>
      <c r="C753" s="119"/>
      <c r="D753" s="977"/>
      <c r="E753" s="977"/>
      <c r="F753" s="119"/>
      <c r="G753" s="119"/>
      <c r="H753" s="119"/>
      <c r="I753" s="119"/>
      <c r="J753" s="119"/>
      <c r="K753" s="117"/>
      <c r="L753" s="117"/>
      <c r="M753" s="2"/>
      <c r="N753" s="2"/>
      <c r="O753" s="2"/>
      <c r="P753" s="2"/>
      <c r="Q753" s="2"/>
      <c r="R753" s="2"/>
      <c r="S753" s="861"/>
      <c r="T753" s="111"/>
      <c r="U753" s="2"/>
      <c r="V753" s="2"/>
      <c r="W753" s="2"/>
      <c r="X753" s="2"/>
      <c r="Y753" s="2"/>
      <c r="Z753" s="2"/>
    </row>
    <row r="754">
      <c r="A754" s="531"/>
      <c r="B754" s="977"/>
      <c r="C754" s="119"/>
      <c r="D754" s="977"/>
      <c r="E754" s="977"/>
      <c r="F754" s="119"/>
      <c r="G754" s="119"/>
      <c r="H754" s="119"/>
      <c r="I754" s="119"/>
      <c r="J754" s="119"/>
      <c r="K754" s="117"/>
      <c r="L754" s="117"/>
      <c r="M754" s="2"/>
      <c r="N754" s="2"/>
      <c r="O754" s="2"/>
      <c r="P754" s="2"/>
      <c r="Q754" s="2"/>
      <c r="R754" s="2"/>
      <c r="S754" s="861"/>
      <c r="T754" s="111"/>
      <c r="U754" s="2"/>
      <c r="V754" s="2"/>
      <c r="W754" s="2"/>
      <c r="X754" s="2"/>
      <c r="Y754" s="2"/>
      <c r="Z754" s="2"/>
    </row>
    <row r="755">
      <c r="A755" s="531"/>
      <c r="B755" s="977"/>
      <c r="C755" s="119"/>
      <c r="D755" s="977"/>
      <c r="E755" s="977"/>
      <c r="F755" s="119"/>
      <c r="G755" s="119"/>
      <c r="H755" s="119"/>
      <c r="I755" s="119"/>
      <c r="J755" s="119"/>
      <c r="K755" s="117"/>
      <c r="L755" s="117"/>
      <c r="M755" s="2"/>
      <c r="N755" s="2"/>
      <c r="O755" s="2"/>
      <c r="P755" s="2"/>
      <c r="Q755" s="2"/>
      <c r="R755" s="2"/>
      <c r="S755" s="861"/>
      <c r="T755" s="111"/>
      <c r="U755" s="2"/>
      <c r="V755" s="2"/>
      <c r="W755" s="2"/>
      <c r="X755" s="2"/>
      <c r="Y755" s="2"/>
      <c r="Z755" s="2"/>
    </row>
    <row r="756">
      <c r="A756" s="531"/>
      <c r="B756" s="977"/>
      <c r="C756" s="119"/>
      <c r="D756" s="977"/>
      <c r="E756" s="977"/>
      <c r="F756" s="119"/>
      <c r="G756" s="119"/>
      <c r="H756" s="119"/>
      <c r="I756" s="119"/>
      <c r="J756" s="119"/>
      <c r="K756" s="117"/>
      <c r="L756" s="117"/>
      <c r="M756" s="2"/>
      <c r="N756" s="2"/>
      <c r="O756" s="2"/>
      <c r="P756" s="2"/>
      <c r="Q756" s="2"/>
      <c r="R756" s="2"/>
      <c r="S756" s="861"/>
      <c r="T756" s="111"/>
      <c r="U756" s="2"/>
      <c r="V756" s="2"/>
      <c r="W756" s="2"/>
      <c r="X756" s="2"/>
      <c r="Y756" s="2"/>
      <c r="Z756" s="2"/>
    </row>
    <row r="757">
      <c r="A757" s="531"/>
      <c r="B757" s="977"/>
      <c r="C757" s="119"/>
      <c r="D757" s="977"/>
      <c r="E757" s="977"/>
      <c r="F757" s="119"/>
      <c r="G757" s="119"/>
      <c r="H757" s="119"/>
      <c r="I757" s="119"/>
      <c r="J757" s="119"/>
      <c r="K757" s="117"/>
      <c r="L757" s="117"/>
      <c r="M757" s="2"/>
      <c r="N757" s="2"/>
      <c r="O757" s="2"/>
      <c r="P757" s="2"/>
      <c r="Q757" s="2"/>
      <c r="R757" s="2"/>
      <c r="S757" s="862"/>
      <c r="T757" s="109"/>
      <c r="U757" s="2"/>
      <c r="V757" s="2"/>
      <c r="W757" s="2"/>
      <c r="X757" s="2"/>
      <c r="Y757" s="2"/>
      <c r="Z757" s="2"/>
    </row>
    <row r="758">
      <c r="A758" s="531"/>
      <c r="B758" s="977"/>
      <c r="C758" s="119"/>
      <c r="D758" s="977"/>
      <c r="E758" s="977"/>
      <c r="F758" s="119"/>
      <c r="G758" s="119"/>
      <c r="H758" s="119"/>
      <c r="I758" s="119"/>
      <c r="J758" s="119"/>
      <c r="K758" s="117"/>
      <c r="L758" s="117"/>
      <c r="M758" s="2"/>
      <c r="N758" s="2"/>
      <c r="O758" s="2"/>
      <c r="P758" s="2"/>
      <c r="Q758" s="2"/>
      <c r="R758" s="2"/>
      <c r="S758" s="861"/>
      <c r="T758" s="111"/>
      <c r="U758" s="2"/>
      <c r="V758" s="2"/>
      <c r="W758" s="2"/>
      <c r="X758" s="2"/>
      <c r="Y758" s="2"/>
      <c r="Z758" s="2"/>
    </row>
    <row r="759">
      <c r="A759" s="531"/>
      <c r="B759" s="977"/>
      <c r="C759" s="119"/>
      <c r="D759" s="977"/>
      <c r="E759" s="977"/>
      <c r="F759" s="119"/>
      <c r="G759" s="119"/>
      <c r="H759" s="119"/>
      <c r="I759" s="119"/>
      <c r="J759" s="119"/>
      <c r="K759" s="117"/>
      <c r="L759" s="117"/>
      <c r="M759" s="2"/>
      <c r="N759" s="2"/>
      <c r="O759" s="2"/>
      <c r="P759" s="2"/>
      <c r="Q759" s="2"/>
      <c r="R759" s="2"/>
      <c r="S759" s="861"/>
      <c r="T759" s="111"/>
      <c r="U759" s="2"/>
      <c r="V759" s="2"/>
      <c r="W759" s="2"/>
      <c r="X759" s="2"/>
      <c r="Y759" s="2"/>
      <c r="Z759" s="2"/>
    </row>
    <row r="760">
      <c r="A760" s="531"/>
      <c r="B760" s="977"/>
      <c r="C760" s="119"/>
      <c r="D760" s="977"/>
      <c r="E760" s="977"/>
      <c r="F760" s="119"/>
      <c r="G760" s="119"/>
      <c r="H760" s="119"/>
      <c r="I760" s="119"/>
      <c r="J760" s="119"/>
      <c r="K760" s="117"/>
      <c r="L760" s="117"/>
      <c r="M760" s="2"/>
      <c r="N760" s="2"/>
      <c r="O760" s="2"/>
      <c r="P760" s="2"/>
      <c r="Q760" s="2"/>
      <c r="R760" s="2"/>
      <c r="S760" s="861"/>
      <c r="T760" s="111"/>
      <c r="U760" s="2"/>
      <c r="V760" s="2"/>
      <c r="W760" s="2"/>
      <c r="X760" s="2"/>
      <c r="Y760" s="2"/>
      <c r="Z760" s="2"/>
    </row>
    <row r="761">
      <c r="A761" s="531"/>
      <c r="B761" s="977"/>
      <c r="C761" s="119"/>
      <c r="D761" s="977"/>
      <c r="E761" s="977"/>
      <c r="F761" s="119"/>
      <c r="G761" s="119"/>
      <c r="H761" s="119"/>
      <c r="I761" s="119"/>
      <c r="J761" s="119"/>
      <c r="K761" s="117"/>
      <c r="L761" s="117"/>
      <c r="M761" s="2"/>
      <c r="N761" s="2"/>
      <c r="O761" s="2"/>
      <c r="P761" s="2"/>
      <c r="Q761" s="2"/>
      <c r="R761" s="2"/>
      <c r="S761" s="861"/>
      <c r="T761" s="111"/>
      <c r="U761" s="2"/>
      <c r="V761" s="2"/>
      <c r="W761" s="2"/>
      <c r="X761" s="2"/>
      <c r="Y761" s="2"/>
      <c r="Z761" s="2"/>
    </row>
    <row r="762">
      <c r="A762" s="531"/>
      <c r="B762" s="977"/>
      <c r="C762" s="119"/>
      <c r="D762" s="977"/>
      <c r="E762" s="977"/>
      <c r="F762" s="119"/>
      <c r="G762" s="119"/>
      <c r="H762" s="119"/>
      <c r="I762" s="119"/>
      <c r="J762" s="119"/>
      <c r="K762" s="117"/>
      <c r="L762" s="117"/>
      <c r="M762" s="2"/>
      <c r="N762" s="2"/>
      <c r="O762" s="2"/>
      <c r="P762" s="2"/>
      <c r="Q762" s="2"/>
      <c r="R762" s="2"/>
      <c r="S762" s="861"/>
      <c r="T762" s="111"/>
      <c r="U762" s="2"/>
      <c r="V762" s="2"/>
      <c r="W762" s="2"/>
      <c r="X762" s="2"/>
      <c r="Y762" s="2"/>
      <c r="Z762" s="2"/>
    </row>
    <row r="763">
      <c r="A763" s="531"/>
      <c r="B763" s="977"/>
      <c r="C763" s="119"/>
      <c r="D763" s="977"/>
      <c r="E763" s="977"/>
      <c r="F763" s="119"/>
      <c r="G763" s="119"/>
      <c r="H763" s="119"/>
      <c r="I763" s="119"/>
      <c r="J763" s="119"/>
      <c r="K763" s="117"/>
      <c r="L763" s="117"/>
      <c r="M763" s="2"/>
      <c r="N763" s="2"/>
      <c r="O763" s="2"/>
      <c r="P763" s="2"/>
      <c r="Q763" s="2"/>
      <c r="R763" s="2"/>
      <c r="S763" s="861"/>
      <c r="T763" s="111"/>
      <c r="U763" s="2"/>
      <c r="V763" s="2"/>
      <c r="W763" s="2"/>
      <c r="X763" s="2"/>
      <c r="Y763" s="2"/>
      <c r="Z763" s="2"/>
    </row>
    <row r="764">
      <c r="A764" s="531"/>
      <c r="B764" s="977"/>
      <c r="C764" s="119"/>
      <c r="D764" s="977"/>
      <c r="E764" s="977"/>
      <c r="F764" s="119"/>
      <c r="G764" s="119"/>
      <c r="H764" s="119"/>
      <c r="I764" s="119"/>
      <c r="J764" s="119"/>
      <c r="K764" s="117"/>
      <c r="L764" s="117"/>
      <c r="M764" s="2"/>
      <c r="N764" s="2"/>
      <c r="O764" s="2"/>
      <c r="P764" s="2"/>
      <c r="Q764" s="2"/>
      <c r="R764" s="2"/>
      <c r="S764" s="861"/>
      <c r="T764" s="111"/>
      <c r="U764" s="2"/>
      <c r="V764" s="2"/>
      <c r="W764" s="2"/>
      <c r="X764" s="2"/>
      <c r="Y764" s="2"/>
      <c r="Z764" s="2"/>
    </row>
    <row r="765">
      <c r="A765" s="531"/>
      <c r="B765" s="977"/>
      <c r="C765" s="119"/>
      <c r="D765" s="977"/>
      <c r="E765" s="977"/>
      <c r="F765" s="119"/>
      <c r="G765" s="119"/>
      <c r="H765" s="119"/>
      <c r="I765" s="119"/>
      <c r="J765" s="119"/>
      <c r="K765" s="117"/>
      <c r="L765" s="117"/>
      <c r="M765" s="2"/>
      <c r="N765" s="2"/>
      <c r="O765" s="2"/>
      <c r="P765" s="2"/>
      <c r="Q765" s="2"/>
      <c r="R765" s="2"/>
      <c r="S765" s="861"/>
      <c r="T765" s="111"/>
      <c r="U765" s="2"/>
      <c r="V765" s="2"/>
      <c r="W765" s="2"/>
      <c r="X765" s="2"/>
      <c r="Y765" s="2"/>
      <c r="Z765" s="2"/>
    </row>
    <row r="766">
      <c r="A766" s="531"/>
      <c r="B766" s="977"/>
      <c r="C766" s="119"/>
      <c r="D766" s="977"/>
      <c r="E766" s="977"/>
      <c r="F766" s="119"/>
      <c r="G766" s="119"/>
      <c r="H766" s="119"/>
      <c r="I766" s="119"/>
      <c r="J766" s="119"/>
      <c r="K766" s="117"/>
      <c r="L766" s="117"/>
      <c r="M766" s="2"/>
      <c r="N766" s="2"/>
      <c r="O766" s="2"/>
      <c r="P766" s="2"/>
      <c r="Q766" s="2"/>
      <c r="R766" s="2"/>
      <c r="S766" s="862"/>
      <c r="T766" s="109"/>
      <c r="U766" s="2"/>
      <c r="V766" s="2"/>
      <c r="W766" s="2"/>
      <c r="X766" s="2"/>
      <c r="Y766" s="2"/>
      <c r="Z766" s="2"/>
    </row>
    <row r="767">
      <c r="A767" s="531"/>
      <c r="B767" s="977"/>
      <c r="C767" s="119"/>
      <c r="D767" s="977"/>
      <c r="E767" s="977"/>
      <c r="F767" s="119"/>
      <c r="G767" s="119"/>
      <c r="H767" s="119"/>
      <c r="I767" s="119"/>
      <c r="J767" s="119"/>
      <c r="K767" s="117"/>
      <c r="L767" s="117"/>
      <c r="M767" s="2"/>
      <c r="N767" s="2"/>
      <c r="O767" s="2"/>
      <c r="P767" s="2"/>
      <c r="Q767" s="2"/>
      <c r="R767" s="2"/>
      <c r="S767" s="862"/>
      <c r="T767" s="109"/>
      <c r="U767" s="54"/>
      <c r="V767" s="54"/>
      <c r="W767" s="54"/>
      <c r="X767" s="54"/>
      <c r="Y767" s="54"/>
      <c r="Z767" s="54"/>
    </row>
    <row r="768">
      <c r="A768" s="531"/>
      <c r="B768" s="977"/>
      <c r="C768" s="119"/>
      <c r="D768" s="977"/>
      <c r="E768" s="977"/>
      <c r="F768" s="119"/>
      <c r="G768" s="119"/>
      <c r="H768" s="119"/>
      <c r="I768" s="119"/>
      <c r="J768" s="119"/>
      <c r="K768" s="117"/>
      <c r="L768" s="117"/>
      <c r="M768" s="2"/>
      <c r="N768" s="2"/>
      <c r="O768" s="2"/>
      <c r="P768" s="2"/>
      <c r="Q768" s="2"/>
      <c r="R768" s="2"/>
      <c r="S768" s="117"/>
      <c r="T768" s="2"/>
      <c r="U768" s="2"/>
      <c r="V768" s="2"/>
      <c r="W768" s="2"/>
      <c r="X768" s="2"/>
      <c r="Y768" s="2"/>
      <c r="Z768" s="2"/>
    </row>
    <row r="769">
      <c r="A769" s="531"/>
      <c r="B769" s="977"/>
      <c r="C769" s="119"/>
      <c r="D769" s="977"/>
      <c r="E769" s="977"/>
      <c r="F769" s="119"/>
      <c r="G769" s="119"/>
      <c r="H769" s="119"/>
      <c r="I769" s="119"/>
      <c r="J769" s="119"/>
      <c r="K769" s="117"/>
      <c r="L769" s="117"/>
      <c r="M769" s="2"/>
      <c r="N769" s="2"/>
      <c r="O769" s="2"/>
      <c r="P769" s="2"/>
      <c r="Q769" s="2"/>
      <c r="R769" s="2"/>
      <c r="S769" s="117"/>
      <c r="T769" s="2"/>
      <c r="U769" s="2"/>
      <c r="V769" s="2"/>
      <c r="W769" s="2"/>
      <c r="X769" s="2"/>
      <c r="Y769" s="2"/>
      <c r="Z769" s="2"/>
    </row>
    <row r="770">
      <c r="A770" s="531"/>
      <c r="B770" s="977"/>
      <c r="C770" s="119"/>
      <c r="D770" s="977"/>
      <c r="E770" s="977"/>
      <c r="F770" s="119"/>
      <c r="G770" s="119"/>
      <c r="H770" s="119"/>
      <c r="I770" s="119"/>
      <c r="J770" s="119"/>
      <c r="K770" s="117"/>
      <c r="L770" s="117"/>
      <c r="M770" s="2"/>
      <c r="N770" s="2"/>
      <c r="O770" s="2"/>
      <c r="P770" s="2"/>
      <c r="Q770" s="2"/>
      <c r="R770" s="2"/>
      <c r="S770" s="847"/>
      <c r="T770" s="847"/>
      <c r="U770" s="116"/>
      <c r="V770" s="116"/>
      <c r="W770" s="116"/>
      <c r="X770" s="116"/>
      <c r="Y770" s="116"/>
      <c r="Z770" s="116"/>
    </row>
    <row r="771">
      <c r="A771" s="531"/>
      <c r="B771" s="977"/>
      <c r="C771" s="119"/>
      <c r="D771" s="977"/>
      <c r="E771" s="977"/>
      <c r="F771" s="119"/>
      <c r="G771" s="119"/>
      <c r="H771" s="119"/>
      <c r="I771" s="119"/>
      <c r="J771" s="119"/>
      <c r="K771" s="117"/>
      <c r="L771" s="117"/>
      <c r="M771" s="2"/>
      <c r="N771" s="2"/>
      <c r="O771" s="2"/>
      <c r="P771" s="2"/>
      <c r="Q771" s="2"/>
      <c r="R771" s="2"/>
      <c r="S771" s="848"/>
      <c r="T771" s="848"/>
      <c r="U771" s="848"/>
      <c r="V771" s="848"/>
      <c r="W771" s="848"/>
      <c r="X771" s="848"/>
      <c r="Y771" s="848"/>
      <c r="Z771" s="848"/>
    </row>
    <row r="772">
      <c r="A772" s="531"/>
      <c r="B772" s="977"/>
      <c r="C772" s="119"/>
      <c r="D772" s="977"/>
      <c r="E772" s="977"/>
      <c r="F772" s="119"/>
      <c r="G772" s="119"/>
      <c r="H772" s="119"/>
      <c r="I772" s="119"/>
      <c r="J772" s="119"/>
      <c r="K772" s="117"/>
      <c r="L772" s="117"/>
      <c r="M772" s="2"/>
      <c r="N772" s="2"/>
      <c r="O772" s="2"/>
      <c r="P772" s="2"/>
      <c r="Q772" s="2"/>
      <c r="R772" s="2"/>
      <c r="S772" s="849"/>
      <c r="T772" s="850"/>
      <c r="U772" s="851"/>
      <c r="V772" s="851"/>
      <c r="W772" s="851"/>
      <c r="X772" s="851"/>
      <c r="Y772" s="851"/>
      <c r="Z772" s="851"/>
    </row>
    <row r="773">
      <c r="A773" s="531"/>
      <c r="B773" s="977"/>
      <c r="C773" s="119"/>
      <c r="D773" s="977"/>
      <c r="E773" s="977"/>
      <c r="F773" s="119"/>
      <c r="G773" s="119"/>
      <c r="H773" s="119"/>
      <c r="I773" s="119"/>
      <c r="J773" s="119"/>
      <c r="K773" s="117"/>
      <c r="L773" s="117"/>
      <c r="M773" s="2"/>
      <c r="N773" s="2"/>
      <c r="O773" s="2"/>
      <c r="P773" s="2"/>
      <c r="Q773" s="2"/>
      <c r="R773" s="2"/>
      <c r="S773" s="852"/>
      <c r="T773" s="853"/>
      <c r="U773" s="854"/>
      <c r="V773" s="854"/>
      <c r="W773" s="854"/>
      <c r="X773" s="854"/>
      <c r="Y773" s="854"/>
      <c r="Z773" s="854"/>
    </row>
    <row r="774">
      <c r="A774" s="531"/>
      <c r="B774" s="977"/>
      <c r="C774" s="119"/>
      <c r="D774" s="977"/>
      <c r="E774" s="977"/>
      <c r="F774" s="119"/>
      <c r="G774" s="119"/>
      <c r="H774" s="119"/>
      <c r="I774" s="119"/>
      <c r="J774" s="119"/>
      <c r="K774" s="117"/>
      <c r="L774" s="117"/>
      <c r="M774" s="2"/>
      <c r="N774" s="2"/>
      <c r="O774" s="2"/>
      <c r="P774" s="2"/>
      <c r="Q774" s="2"/>
      <c r="R774" s="2"/>
      <c r="S774" s="855"/>
      <c r="T774" s="856"/>
      <c r="U774" s="854"/>
      <c r="V774" s="854"/>
      <c r="W774" s="854"/>
      <c r="X774" s="854"/>
      <c r="Y774" s="854"/>
      <c r="Z774" s="854"/>
    </row>
    <row r="775">
      <c r="A775" s="531"/>
      <c r="B775" s="977"/>
      <c r="C775" s="119"/>
      <c r="D775" s="977"/>
      <c r="E775" s="977"/>
      <c r="F775" s="119"/>
      <c r="G775" s="119"/>
      <c r="H775" s="119"/>
      <c r="I775" s="119"/>
      <c r="J775" s="119"/>
      <c r="K775" s="117"/>
      <c r="L775" s="117"/>
      <c r="M775" s="2"/>
      <c r="N775" s="2"/>
      <c r="O775" s="2"/>
      <c r="P775" s="2"/>
      <c r="Q775" s="2"/>
      <c r="R775" s="2"/>
      <c r="S775" s="855"/>
      <c r="T775" s="856"/>
      <c r="U775" s="854"/>
      <c r="V775" s="854"/>
      <c r="W775" s="854"/>
      <c r="X775" s="854"/>
      <c r="Y775" s="854"/>
      <c r="Z775" s="854"/>
    </row>
    <row r="776">
      <c r="A776" s="531"/>
      <c r="B776" s="977"/>
      <c r="C776" s="119"/>
      <c r="D776" s="977"/>
      <c r="E776" s="977"/>
      <c r="F776" s="119"/>
      <c r="G776" s="119"/>
      <c r="H776" s="119"/>
      <c r="I776" s="119"/>
      <c r="J776" s="119"/>
      <c r="K776" s="117"/>
      <c r="L776" s="117"/>
      <c r="M776" s="2"/>
      <c r="N776" s="2"/>
      <c r="O776" s="2"/>
      <c r="P776" s="2"/>
      <c r="Q776" s="2"/>
      <c r="R776" s="2"/>
      <c r="S776" s="852"/>
      <c r="T776" s="853"/>
      <c r="U776" s="854"/>
      <c r="V776" s="854"/>
      <c r="W776" s="854"/>
      <c r="X776" s="854"/>
      <c r="Y776" s="854"/>
      <c r="Z776" s="854"/>
    </row>
    <row r="777">
      <c r="A777" s="531"/>
      <c r="B777" s="977"/>
      <c r="C777" s="119"/>
      <c r="D777" s="977"/>
      <c r="E777" s="977"/>
      <c r="F777" s="119"/>
      <c r="G777" s="119"/>
      <c r="H777" s="119"/>
      <c r="I777" s="119"/>
      <c r="J777" s="119"/>
      <c r="K777" s="117"/>
      <c r="L777" s="117"/>
      <c r="M777" s="2"/>
      <c r="N777" s="2"/>
      <c r="O777" s="2"/>
      <c r="P777" s="2"/>
      <c r="Q777" s="2"/>
      <c r="R777" s="2"/>
      <c r="S777" s="857"/>
      <c r="T777" s="858"/>
      <c r="U777" s="854"/>
      <c r="V777" s="854"/>
      <c r="W777" s="854"/>
      <c r="X777" s="854"/>
      <c r="Y777" s="854"/>
      <c r="Z777" s="854"/>
    </row>
    <row r="778">
      <c r="A778" s="531"/>
      <c r="B778" s="977"/>
      <c r="C778" s="119"/>
      <c r="D778" s="977"/>
      <c r="E778" s="977"/>
      <c r="F778" s="119"/>
      <c r="G778" s="119"/>
      <c r="H778" s="119"/>
      <c r="I778" s="119"/>
      <c r="J778" s="119"/>
      <c r="K778" s="117"/>
      <c r="L778" s="117"/>
      <c r="M778" s="2"/>
      <c r="N778" s="2"/>
      <c r="O778" s="2"/>
      <c r="P778" s="2"/>
      <c r="Q778" s="2"/>
      <c r="R778" s="2"/>
      <c r="S778" s="857"/>
      <c r="T778" s="858"/>
      <c r="U778" s="854"/>
      <c r="V778" s="854"/>
      <c r="W778" s="854"/>
      <c r="X778" s="854"/>
      <c r="Y778" s="854"/>
      <c r="Z778" s="854"/>
    </row>
    <row r="779">
      <c r="A779" s="531"/>
      <c r="B779" s="977"/>
      <c r="C779" s="119"/>
      <c r="D779" s="977"/>
      <c r="E779" s="977"/>
      <c r="F779" s="119"/>
      <c r="G779" s="119"/>
      <c r="H779" s="119"/>
      <c r="I779" s="119"/>
      <c r="J779" s="119"/>
      <c r="K779" s="117"/>
      <c r="L779" s="117"/>
      <c r="M779" s="2"/>
      <c r="N779" s="2"/>
      <c r="O779" s="2"/>
      <c r="P779" s="2"/>
      <c r="Q779" s="2"/>
      <c r="R779" s="2"/>
      <c r="S779" s="857"/>
      <c r="T779" s="858"/>
      <c r="U779" s="854"/>
      <c r="V779" s="854"/>
      <c r="W779" s="854"/>
      <c r="X779" s="854"/>
      <c r="Y779" s="854"/>
      <c r="Z779" s="854"/>
    </row>
    <row r="780">
      <c r="A780" s="531"/>
      <c r="B780" s="977"/>
      <c r="C780" s="119"/>
      <c r="D780" s="977"/>
      <c r="E780" s="977"/>
      <c r="F780" s="119"/>
      <c r="G780" s="119"/>
      <c r="H780" s="119"/>
      <c r="I780" s="119"/>
      <c r="J780" s="119"/>
      <c r="K780" s="117"/>
      <c r="L780" s="117"/>
      <c r="M780" s="2"/>
      <c r="N780" s="2"/>
      <c r="O780" s="2"/>
      <c r="P780" s="2"/>
      <c r="Q780" s="2"/>
      <c r="R780" s="2"/>
      <c r="S780" s="852"/>
      <c r="T780" s="853"/>
      <c r="U780" s="854"/>
      <c r="V780" s="854"/>
      <c r="W780" s="854"/>
      <c r="X780" s="854"/>
      <c r="Y780" s="854"/>
      <c r="Z780" s="854"/>
    </row>
    <row r="781">
      <c r="A781" s="531"/>
      <c r="B781" s="977"/>
      <c r="C781" s="119"/>
      <c r="D781" s="977"/>
      <c r="E781" s="977"/>
      <c r="F781" s="119"/>
      <c r="G781" s="119"/>
      <c r="H781" s="119"/>
      <c r="I781" s="119"/>
      <c r="J781" s="119"/>
      <c r="K781" s="117"/>
      <c r="L781" s="117"/>
      <c r="M781" s="2"/>
      <c r="N781" s="2"/>
      <c r="O781" s="2"/>
      <c r="P781" s="2"/>
      <c r="Q781" s="2"/>
      <c r="R781" s="2"/>
      <c r="S781" s="852"/>
      <c r="T781" s="853"/>
      <c r="U781" s="854"/>
      <c r="V781" s="854"/>
      <c r="W781" s="854"/>
      <c r="X781" s="854"/>
      <c r="Y781" s="854"/>
      <c r="Z781" s="854"/>
    </row>
    <row r="782">
      <c r="A782" s="531"/>
      <c r="B782" s="977"/>
      <c r="C782" s="119"/>
      <c r="D782" s="977"/>
      <c r="E782" s="977"/>
      <c r="F782" s="119"/>
      <c r="G782" s="119"/>
      <c r="H782" s="119"/>
      <c r="I782" s="119"/>
      <c r="J782" s="119"/>
      <c r="K782" s="117"/>
      <c r="L782" s="117"/>
      <c r="M782" s="2"/>
      <c r="N782" s="2"/>
      <c r="O782" s="2"/>
      <c r="P782" s="2"/>
      <c r="Q782" s="2"/>
      <c r="R782" s="2"/>
      <c r="S782" s="852"/>
      <c r="T782" s="853"/>
      <c r="U782" s="854"/>
      <c r="V782" s="854"/>
      <c r="W782" s="854"/>
      <c r="X782" s="854"/>
      <c r="Y782" s="854"/>
      <c r="Z782" s="854"/>
    </row>
    <row r="783">
      <c r="A783" s="531"/>
      <c r="B783" s="977"/>
      <c r="C783" s="119"/>
      <c r="D783" s="977"/>
      <c r="E783" s="977"/>
      <c r="F783" s="119"/>
      <c r="G783" s="119"/>
      <c r="H783" s="119"/>
      <c r="I783" s="119"/>
      <c r="J783" s="119"/>
      <c r="K783" s="117"/>
      <c r="L783" s="117"/>
      <c r="M783" s="2"/>
      <c r="N783" s="2"/>
      <c r="O783" s="2"/>
      <c r="P783" s="2"/>
      <c r="Q783" s="2"/>
      <c r="R783" s="2"/>
      <c r="S783" s="852"/>
      <c r="T783" s="853"/>
      <c r="U783" s="854"/>
      <c r="V783" s="854"/>
      <c r="W783" s="854"/>
      <c r="X783" s="854"/>
      <c r="Y783" s="854"/>
      <c r="Z783" s="854"/>
    </row>
    <row r="784">
      <c r="A784" s="531"/>
      <c r="B784" s="977"/>
      <c r="C784" s="119"/>
      <c r="D784" s="977"/>
      <c r="E784" s="977"/>
      <c r="F784" s="119"/>
      <c r="G784" s="119"/>
      <c r="H784" s="119"/>
      <c r="I784" s="119"/>
      <c r="J784" s="119"/>
      <c r="K784" s="117"/>
      <c r="L784" s="117"/>
      <c r="M784" s="2"/>
      <c r="N784" s="2"/>
      <c r="O784" s="2"/>
      <c r="P784" s="2"/>
      <c r="Q784" s="2"/>
      <c r="R784" s="2"/>
      <c r="S784" s="852"/>
      <c r="T784" s="859"/>
      <c r="U784" s="107"/>
      <c r="V784" s="107"/>
      <c r="W784" s="107"/>
      <c r="X784" s="107"/>
      <c r="Y784" s="107"/>
      <c r="Z784" s="107"/>
    </row>
    <row r="785">
      <c r="A785" s="531"/>
      <c r="B785" s="977"/>
      <c r="C785" s="119"/>
      <c r="D785" s="977"/>
      <c r="E785" s="977"/>
      <c r="F785" s="119"/>
      <c r="G785" s="119"/>
      <c r="H785" s="119"/>
      <c r="I785" s="119"/>
      <c r="J785" s="119"/>
      <c r="K785" s="117"/>
      <c r="L785" s="117"/>
      <c r="M785" s="2"/>
      <c r="N785" s="2"/>
      <c r="O785" s="2"/>
      <c r="P785" s="2"/>
      <c r="Q785" s="2"/>
      <c r="R785" s="2"/>
      <c r="S785" s="852"/>
      <c r="T785" s="859"/>
      <c r="U785" s="107"/>
      <c r="V785" s="107"/>
      <c r="W785" s="107"/>
      <c r="X785" s="107"/>
      <c r="Y785" s="107"/>
      <c r="Z785" s="107"/>
    </row>
    <row r="786">
      <c r="A786" s="531"/>
      <c r="B786" s="977"/>
      <c r="C786" s="119"/>
      <c r="D786" s="977"/>
      <c r="E786" s="977"/>
      <c r="F786" s="119"/>
      <c r="G786" s="119"/>
      <c r="H786" s="119"/>
      <c r="I786" s="119"/>
      <c r="J786" s="119"/>
      <c r="K786" s="117"/>
      <c r="L786" s="117"/>
      <c r="M786" s="2"/>
      <c r="N786" s="2"/>
      <c r="O786" s="2"/>
      <c r="P786" s="2"/>
      <c r="Q786" s="2"/>
      <c r="R786" s="2"/>
      <c r="S786" s="852"/>
      <c r="T786" s="859"/>
      <c r="U786" s="107"/>
      <c r="V786" s="107"/>
      <c r="W786" s="107"/>
      <c r="X786" s="107"/>
      <c r="Y786" s="107"/>
      <c r="Z786" s="107"/>
    </row>
    <row r="787">
      <c r="A787" s="531"/>
      <c r="B787" s="977"/>
      <c r="C787" s="119"/>
      <c r="D787" s="977"/>
      <c r="E787" s="977"/>
      <c r="F787" s="119"/>
      <c r="G787" s="119"/>
      <c r="H787" s="119"/>
      <c r="I787" s="119"/>
      <c r="J787" s="119"/>
      <c r="K787" s="117"/>
      <c r="L787" s="117"/>
      <c r="M787" s="2"/>
      <c r="N787" s="2"/>
      <c r="O787" s="2"/>
      <c r="P787" s="2"/>
      <c r="Q787" s="2"/>
      <c r="R787" s="2"/>
      <c r="S787" s="852"/>
      <c r="T787" s="859"/>
      <c r="U787" s="107"/>
      <c r="V787" s="107"/>
      <c r="W787" s="107"/>
      <c r="X787" s="107"/>
      <c r="Y787" s="107"/>
      <c r="Z787" s="107"/>
    </row>
    <row r="788">
      <c r="A788" s="531"/>
      <c r="B788" s="977"/>
      <c r="C788" s="119"/>
      <c r="D788" s="977"/>
      <c r="E788" s="977"/>
      <c r="F788" s="119"/>
      <c r="G788" s="119"/>
      <c r="H788" s="119"/>
      <c r="I788" s="119"/>
      <c r="J788" s="119"/>
      <c r="K788" s="117"/>
      <c r="L788" s="117"/>
      <c r="M788" s="2"/>
      <c r="N788" s="2"/>
      <c r="O788" s="2"/>
      <c r="P788" s="2"/>
      <c r="Q788" s="2"/>
      <c r="R788" s="2"/>
      <c r="S788" s="852"/>
      <c r="T788" s="859"/>
      <c r="U788" s="107"/>
      <c r="V788" s="107"/>
      <c r="W788" s="107"/>
      <c r="X788" s="107"/>
      <c r="Y788" s="107"/>
      <c r="Z788" s="107"/>
    </row>
    <row r="789">
      <c r="A789" s="531"/>
      <c r="B789" s="977"/>
      <c r="C789" s="119"/>
      <c r="D789" s="977"/>
      <c r="E789" s="977"/>
      <c r="F789" s="119"/>
      <c r="G789" s="119"/>
      <c r="H789" s="119"/>
      <c r="I789" s="119"/>
      <c r="J789" s="119"/>
      <c r="K789" s="117"/>
      <c r="L789" s="117"/>
      <c r="M789" s="2"/>
      <c r="N789" s="2"/>
      <c r="O789" s="2"/>
      <c r="P789" s="2"/>
      <c r="Q789" s="2"/>
      <c r="R789" s="2"/>
      <c r="S789" s="852"/>
      <c r="T789" s="859"/>
      <c r="U789" s="107"/>
      <c r="V789" s="107"/>
      <c r="W789" s="107"/>
      <c r="X789" s="107"/>
      <c r="Y789" s="107"/>
      <c r="Z789" s="107"/>
    </row>
    <row r="790">
      <c r="A790" s="531"/>
      <c r="B790" s="977"/>
      <c r="C790" s="119"/>
      <c r="D790" s="977"/>
      <c r="E790" s="977"/>
      <c r="F790" s="119"/>
      <c r="G790" s="119"/>
      <c r="H790" s="119"/>
      <c r="I790" s="119"/>
      <c r="J790" s="119"/>
      <c r="K790" s="117"/>
      <c r="L790" s="117"/>
      <c r="M790" s="2"/>
      <c r="N790" s="2"/>
      <c r="O790" s="2"/>
      <c r="P790" s="2"/>
      <c r="Q790" s="2"/>
      <c r="R790" s="2"/>
      <c r="S790" s="852"/>
      <c r="T790" s="859"/>
      <c r="U790" s="107"/>
      <c r="V790" s="107"/>
      <c r="W790" s="107"/>
      <c r="X790" s="107"/>
      <c r="Y790" s="107"/>
      <c r="Z790" s="107"/>
    </row>
    <row r="791">
      <c r="A791" s="531"/>
      <c r="B791" s="977"/>
      <c r="C791" s="119"/>
      <c r="D791" s="977"/>
      <c r="E791" s="977"/>
      <c r="F791" s="119"/>
      <c r="G791" s="119"/>
      <c r="H791" s="119"/>
      <c r="I791" s="119"/>
      <c r="J791" s="119"/>
      <c r="K791" s="117"/>
      <c r="L791" s="117"/>
      <c r="M791" s="2"/>
      <c r="N791" s="2"/>
      <c r="O791" s="2"/>
      <c r="P791" s="2"/>
      <c r="Q791" s="2"/>
      <c r="R791" s="2"/>
      <c r="S791" s="852"/>
      <c r="T791" s="859"/>
      <c r="U791" s="107"/>
      <c r="V791" s="107"/>
      <c r="W791" s="107"/>
      <c r="X791" s="107"/>
      <c r="Y791" s="107"/>
      <c r="Z791" s="107"/>
    </row>
    <row r="792">
      <c r="A792" s="531"/>
      <c r="B792" s="977"/>
      <c r="C792" s="119"/>
      <c r="D792" s="977"/>
      <c r="E792" s="977"/>
      <c r="F792" s="119"/>
      <c r="G792" s="119"/>
      <c r="H792" s="119"/>
      <c r="I792" s="119"/>
      <c r="J792" s="119"/>
      <c r="K792" s="117"/>
      <c r="L792" s="117"/>
      <c r="M792" s="2"/>
      <c r="N792" s="2"/>
      <c r="O792" s="2"/>
      <c r="P792" s="2"/>
      <c r="Q792" s="2"/>
      <c r="R792" s="2"/>
      <c r="S792" s="852"/>
      <c r="T792" s="859"/>
      <c r="U792" s="107"/>
      <c r="V792" s="107"/>
      <c r="W792" s="107"/>
      <c r="X792" s="107"/>
      <c r="Y792" s="107"/>
      <c r="Z792" s="107"/>
    </row>
    <row r="793">
      <c r="A793" s="531"/>
      <c r="B793" s="977"/>
      <c r="C793" s="119"/>
      <c r="D793" s="977"/>
      <c r="E793" s="977"/>
      <c r="F793" s="119"/>
      <c r="G793" s="119"/>
      <c r="H793" s="119"/>
      <c r="I793" s="119"/>
      <c r="J793" s="119"/>
      <c r="K793" s="117"/>
      <c r="L793" s="117"/>
      <c r="M793" s="2"/>
      <c r="N793" s="2"/>
      <c r="O793" s="2"/>
      <c r="P793" s="2"/>
      <c r="Q793" s="2"/>
      <c r="R793" s="2"/>
      <c r="S793" s="852"/>
      <c r="T793" s="859"/>
      <c r="U793" s="107"/>
      <c r="V793" s="107"/>
      <c r="W793" s="107"/>
      <c r="X793" s="107"/>
      <c r="Y793" s="107"/>
      <c r="Z793" s="107"/>
    </row>
    <row r="794">
      <c r="A794" s="531"/>
      <c r="B794" s="977"/>
      <c r="C794" s="119"/>
      <c r="D794" s="977"/>
      <c r="E794" s="977"/>
      <c r="F794" s="119"/>
      <c r="G794" s="119"/>
      <c r="H794" s="119"/>
      <c r="I794" s="119"/>
      <c r="J794" s="119"/>
      <c r="K794" s="117"/>
      <c r="L794" s="117"/>
      <c r="M794" s="2"/>
      <c r="N794" s="2"/>
      <c r="O794" s="2"/>
      <c r="P794" s="2"/>
      <c r="Q794" s="2"/>
      <c r="R794" s="2"/>
      <c r="S794" s="857"/>
      <c r="T794" s="860"/>
      <c r="U794" s="107"/>
      <c r="V794" s="107"/>
      <c r="W794" s="107"/>
      <c r="X794" s="107"/>
      <c r="Y794" s="107"/>
      <c r="Z794" s="107"/>
    </row>
    <row r="795">
      <c r="A795" s="531"/>
      <c r="B795" s="977"/>
      <c r="C795" s="119"/>
      <c r="D795" s="977"/>
      <c r="E795" s="977"/>
      <c r="F795" s="119"/>
      <c r="G795" s="119"/>
      <c r="H795" s="119"/>
      <c r="I795" s="119"/>
      <c r="J795" s="119"/>
      <c r="K795" s="117"/>
      <c r="L795" s="117"/>
      <c r="M795" s="2"/>
      <c r="N795" s="2"/>
      <c r="O795" s="2"/>
      <c r="P795" s="2"/>
      <c r="Q795" s="2"/>
      <c r="R795" s="2"/>
      <c r="S795" s="861"/>
      <c r="T795" s="111"/>
      <c r="U795" s="2"/>
      <c r="V795" s="2"/>
      <c r="W795" s="2"/>
      <c r="X795" s="2"/>
      <c r="Y795" s="2"/>
      <c r="Z795" s="2"/>
    </row>
    <row r="796">
      <c r="A796" s="531"/>
      <c r="B796" s="977"/>
      <c r="C796" s="119"/>
      <c r="D796" s="977"/>
      <c r="E796" s="977"/>
      <c r="F796" s="119"/>
      <c r="G796" s="119"/>
      <c r="H796" s="119"/>
      <c r="I796" s="119"/>
      <c r="J796" s="119"/>
      <c r="K796" s="117"/>
      <c r="L796" s="117"/>
      <c r="M796" s="2"/>
      <c r="N796" s="2"/>
      <c r="O796" s="2"/>
      <c r="P796" s="2"/>
      <c r="Q796" s="2"/>
      <c r="R796" s="2"/>
      <c r="S796" s="861"/>
      <c r="T796" s="111"/>
      <c r="U796" s="2"/>
      <c r="V796" s="2"/>
      <c r="W796" s="2"/>
      <c r="X796" s="2"/>
      <c r="Y796" s="2"/>
      <c r="Z796" s="2"/>
    </row>
    <row r="797">
      <c r="A797" s="531"/>
      <c r="B797" s="977"/>
      <c r="C797" s="119"/>
      <c r="D797" s="977"/>
      <c r="E797" s="977"/>
      <c r="F797" s="119"/>
      <c r="G797" s="119"/>
      <c r="H797" s="119"/>
      <c r="I797" s="119"/>
      <c r="J797" s="119"/>
      <c r="K797" s="117"/>
      <c r="L797" s="117"/>
      <c r="M797" s="2"/>
      <c r="N797" s="2"/>
      <c r="O797" s="2"/>
      <c r="P797" s="2"/>
      <c r="Q797" s="2"/>
      <c r="R797" s="2"/>
      <c r="S797" s="861"/>
      <c r="T797" s="111"/>
      <c r="U797" s="2"/>
      <c r="V797" s="2"/>
      <c r="W797" s="2"/>
      <c r="X797" s="2"/>
      <c r="Y797" s="2"/>
      <c r="Z797" s="2"/>
    </row>
    <row r="798">
      <c r="A798" s="531"/>
      <c r="B798" s="977"/>
      <c r="C798" s="119"/>
      <c r="D798" s="977"/>
      <c r="E798" s="977"/>
      <c r="F798" s="119"/>
      <c r="G798" s="119"/>
      <c r="H798" s="119"/>
      <c r="I798" s="119"/>
      <c r="J798" s="119"/>
      <c r="K798" s="117"/>
      <c r="L798" s="117"/>
      <c r="M798" s="2"/>
      <c r="N798" s="2"/>
      <c r="O798" s="2"/>
      <c r="P798" s="2"/>
      <c r="Q798" s="2"/>
      <c r="R798" s="2"/>
      <c r="S798" s="861"/>
      <c r="T798" s="111"/>
      <c r="U798" s="2"/>
      <c r="V798" s="2"/>
      <c r="W798" s="2"/>
      <c r="X798" s="2"/>
      <c r="Y798" s="2"/>
      <c r="Z798" s="2"/>
    </row>
    <row r="799">
      <c r="A799" s="531"/>
      <c r="B799" s="977"/>
      <c r="C799" s="119"/>
      <c r="D799" s="977"/>
      <c r="E799" s="977"/>
      <c r="F799" s="119"/>
      <c r="G799" s="119"/>
      <c r="H799" s="119"/>
      <c r="I799" s="119"/>
      <c r="J799" s="119"/>
      <c r="K799" s="117"/>
      <c r="L799" s="117"/>
      <c r="M799" s="2"/>
      <c r="N799" s="2"/>
      <c r="O799" s="2"/>
      <c r="P799" s="2"/>
      <c r="Q799" s="2"/>
      <c r="R799" s="2"/>
      <c r="S799" s="861"/>
      <c r="T799" s="111"/>
      <c r="U799" s="2"/>
      <c r="V799" s="2"/>
      <c r="W799" s="2"/>
      <c r="X799" s="2"/>
      <c r="Y799" s="2"/>
      <c r="Z799" s="2"/>
    </row>
    <row r="800">
      <c r="A800" s="531"/>
      <c r="B800" s="977"/>
      <c r="C800" s="119"/>
      <c r="D800" s="977"/>
      <c r="E800" s="977"/>
      <c r="F800" s="119"/>
      <c r="G800" s="119"/>
      <c r="H800" s="119"/>
      <c r="I800" s="119"/>
      <c r="J800" s="119"/>
      <c r="K800" s="117"/>
      <c r="L800" s="117"/>
      <c r="M800" s="2"/>
      <c r="N800" s="2"/>
      <c r="O800" s="2"/>
      <c r="P800" s="2"/>
      <c r="Q800" s="2"/>
      <c r="R800" s="2"/>
      <c r="S800" s="862"/>
      <c r="T800" s="109"/>
      <c r="U800" s="2"/>
      <c r="V800" s="2"/>
      <c r="W800" s="2"/>
      <c r="X800" s="2"/>
      <c r="Y800" s="2"/>
      <c r="Z800" s="2"/>
    </row>
    <row r="801">
      <c r="A801" s="531"/>
      <c r="B801" s="977"/>
      <c r="C801" s="119"/>
      <c r="D801" s="977"/>
      <c r="E801" s="977"/>
      <c r="F801" s="119"/>
      <c r="G801" s="119"/>
      <c r="H801" s="119"/>
      <c r="I801" s="119"/>
      <c r="J801" s="119"/>
      <c r="K801" s="117"/>
      <c r="L801" s="117"/>
      <c r="M801" s="2"/>
      <c r="N801" s="2"/>
      <c r="O801" s="2"/>
      <c r="P801" s="2"/>
      <c r="Q801" s="2"/>
      <c r="R801" s="2"/>
      <c r="S801" s="861"/>
      <c r="T801" s="111"/>
      <c r="U801" s="2"/>
      <c r="V801" s="2"/>
      <c r="W801" s="2"/>
      <c r="X801" s="2"/>
      <c r="Y801" s="2"/>
      <c r="Z801" s="2"/>
    </row>
    <row r="802">
      <c r="A802" s="531"/>
      <c r="B802" s="977"/>
      <c r="C802" s="119"/>
      <c r="D802" s="977"/>
      <c r="E802" s="977"/>
      <c r="F802" s="119"/>
      <c r="G802" s="119"/>
      <c r="H802" s="119"/>
      <c r="I802" s="119"/>
      <c r="J802" s="119"/>
      <c r="K802" s="117"/>
      <c r="L802" s="117"/>
      <c r="M802" s="2"/>
      <c r="N802" s="2"/>
      <c r="O802" s="2"/>
      <c r="P802" s="2"/>
      <c r="Q802" s="2"/>
      <c r="R802" s="2"/>
      <c r="S802" s="861"/>
      <c r="T802" s="111"/>
      <c r="U802" s="2"/>
      <c r="V802" s="2"/>
      <c r="W802" s="2"/>
      <c r="X802" s="2"/>
      <c r="Y802" s="2"/>
      <c r="Z802" s="2"/>
    </row>
    <row r="803">
      <c r="A803" s="531"/>
      <c r="B803" s="977"/>
      <c r="C803" s="119"/>
      <c r="D803" s="977"/>
      <c r="E803" s="977"/>
      <c r="F803" s="119"/>
      <c r="G803" s="119"/>
      <c r="H803" s="119"/>
      <c r="I803" s="119"/>
      <c r="J803" s="119"/>
      <c r="K803" s="117"/>
      <c r="L803" s="117"/>
      <c r="M803" s="2"/>
      <c r="N803" s="2"/>
      <c r="O803" s="2"/>
      <c r="P803" s="2"/>
      <c r="Q803" s="2"/>
      <c r="R803" s="2"/>
      <c r="S803" s="861"/>
      <c r="T803" s="111"/>
      <c r="U803" s="2"/>
      <c r="V803" s="2"/>
      <c r="W803" s="2"/>
      <c r="X803" s="2"/>
      <c r="Y803" s="2"/>
      <c r="Z803" s="2"/>
    </row>
    <row r="804">
      <c r="A804" s="531"/>
      <c r="B804" s="977"/>
      <c r="C804" s="119"/>
      <c r="D804" s="977"/>
      <c r="E804" s="977"/>
      <c r="F804" s="119"/>
      <c r="G804" s="119"/>
      <c r="H804" s="119"/>
      <c r="I804" s="119"/>
      <c r="J804" s="119"/>
      <c r="K804" s="117"/>
      <c r="L804" s="117"/>
      <c r="M804" s="2"/>
      <c r="N804" s="2"/>
      <c r="O804" s="2"/>
      <c r="P804" s="2"/>
      <c r="Q804" s="2"/>
      <c r="R804" s="2"/>
      <c r="S804" s="861"/>
      <c r="T804" s="111"/>
      <c r="U804" s="2"/>
      <c r="V804" s="2"/>
      <c r="W804" s="2"/>
      <c r="X804" s="2"/>
      <c r="Y804" s="2"/>
      <c r="Z804" s="2"/>
    </row>
    <row r="805">
      <c r="A805" s="531"/>
      <c r="B805" s="977"/>
      <c r="C805" s="119"/>
      <c r="D805" s="977"/>
      <c r="E805" s="977"/>
      <c r="F805" s="119"/>
      <c r="G805" s="119"/>
      <c r="H805" s="119"/>
      <c r="I805" s="119"/>
      <c r="J805" s="119"/>
      <c r="K805" s="117"/>
      <c r="L805" s="117"/>
      <c r="M805" s="2"/>
      <c r="N805" s="2"/>
      <c r="O805" s="2"/>
      <c r="P805" s="2"/>
      <c r="Q805" s="2"/>
      <c r="R805" s="2"/>
      <c r="S805" s="861"/>
      <c r="T805" s="111"/>
      <c r="U805" s="2"/>
      <c r="V805" s="2"/>
      <c r="W805" s="2"/>
      <c r="X805" s="2"/>
      <c r="Y805" s="2"/>
      <c r="Z805" s="2"/>
    </row>
    <row r="806">
      <c r="A806" s="531"/>
      <c r="B806" s="977"/>
      <c r="C806" s="119"/>
      <c r="D806" s="977"/>
      <c r="E806" s="977"/>
      <c r="F806" s="119"/>
      <c r="G806" s="119"/>
      <c r="H806" s="119"/>
      <c r="I806" s="119"/>
      <c r="J806" s="119"/>
      <c r="K806" s="117"/>
      <c r="L806" s="117"/>
      <c r="M806" s="2"/>
      <c r="N806" s="2"/>
      <c r="O806" s="2"/>
      <c r="P806" s="2"/>
      <c r="Q806" s="2"/>
      <c r="R806" s="2"/>
      <c r="S806" s="861"/>
      <c r="T806" s="111"/>
      <c r="U806" s="2"/>
      <c r="V806" s="2"/>
      <c r="W806" s="2"/>
      <c r="X806" s="2"/>
      <c r="Y806" s="2"/>
      <c r="Z806" s="2"/>
    </row>
    <row r="807">
      <c r="A807" s="531"/>
      <c r="B807" s="977"/>
      <c r="C807" s="119"/>
      <c r="D807" s="977"/>
      <c r="E807" s="977"/>
      <c r="F807" s="119"/>
      <c r="G807" s="119"/>
      <c r="H807" s="119"/>
      <c r="I807" s="119"/>
      <c r="J807" s="119"/>
      <c r="K807" s="117"/>
      <c r="L807" s="117"/>
      <c r="M807" s="2"/>
      <c r="N807" s="2"/>
      <c r="O807" s="2"/>
      <c r="P807" s="2"/>
      <c r="Q807" s="2"/>
      <c r="R807" s="2"/>
      <c r="S807" s="861"/>
      <c r="T807" s="111"/>
      <c r="U807" s="2"/>
      <c r="V807" s="2"/>
      <c r="W807" s="2"/>
      <c r="X807" s="2"/>
      <c r="Y807" s="2"/>
      <c r="Z807" s="2"/>
    </row>
    <row r="808">
      <c r="A808" s="531"/>
      <c r="B808" s="977"/>
      <c r="C808" s="119"/>
      <c r="D808" s="977"/>
      <c r="E808" s="977"/>
      <c r="F808" s="119"/>
      <c r="G808" s="119"/>
      <c r="H808" s="119"/>
      <c r="I808" s="119"/>
      <c r="J808" s="119"/>
      <c r="K808" s="117"/>
      <c r="L808" s="117"/>
      <c r="M808" s="2"/>
      <c r="N808" s="2"/>
      <c r="O808" s="2"/>
      <c r="P808" s="2"/>
      <c r="Q808" s="2"/>
      <c r="R808" s="2"/>
      <c r="S808" s="861"/>
      <c r="T808" s="111"/>
      <c r="U808" s="2"/>
      <c r="V808" s="2"/>
      <c r="W808" s="2"/>
      <c r="X808" s="2"/>
      <c r="Y808" s="2"/>
      <c r="Z808" s="2"/>
    </row>
    <row r="809">
      <c r="A809" s="531"/>
      <c r="B809" s="977"/>
      <c r="C809" s="119"/>
      <c r="D809" s="977"/>
      <c r="E809" s="977"/>
      <c r="F809" s="119"/>
      <c r="G809" s="119"/>
      <c r="H809" s="119"/>
      <c r="I809" s="119"/>
      <c r="J809" s="119"/>
      <c r="K809" s="117"/>
      <c r="L809" s="117"/>
      <c r="M809" s="2"/>
      <c r="N809" s="2"/>
      <c r="O809" s="2"/>
      <c r="P809" s="2"/>
      <c r="Q809" s="2"/>
      <c r="R809" s="2"/>
      <c r="S809" s="862"/>
      <c r="T809" s="109"/>
      <c r="U809" s="2"/>
      <c r="V809" s="2"/>
      <c r="W809" s="2"/>
      <c r="X809" s="2"/>
      <c r="Y809" s="2"/>
      <c r="Z809" s="2"/>
    </row>
    <row r="810">
      <c r="A810" s="531"/>
      <c r="B810" s="977"/>
      <c r="C810" s="119"/>
      <c r="D810" s="977"/>
      <c r="E810" s="977"/>
      <c r="F810" s="119"/>
      <c r="G810" s="119"/>
      <c r="H810" s="119"/>
      <c r="I810" s="119"/>
      <c r="J810" s="119"/>
      <c r="K810" s="117"/>
      <c r="L810" s="117"/>
      <c r="M810" s="2"/>
      <c r="N810" s="2"/>
      <c r="O810" s="2"/>
      <c r="P810" s="2"/>
      <c r="Q810" s="2"/>
      <c r="R810" s="2"/>
      <c r="S810" s="862"/>
      <c r="T810" s="109"/>
      <c r="U810" s="54"/>
      <c r="V810" s="54"/>
      <c r="W810" s="54"/>
      <c r="X810" s="54"/>
      <c r="Y810" s="54"/>
      <c r="Z810" s="54"/>
    </row>
    <row r="811">
      <c r="A811" s="531"/>
      <c r="B811" s="977"/>
      <c r="C811" s="119"/>
      <c r="D811" s="977"/>
      <c r="E811" s="977"/>
      <c r="F811" s="119"/>
      <c r="G811" s="119"/>
      <c r="H811" s="119"/>
      <c r="I811" s="119"/>
      <c r="J811" s="119"/>
      <c r="K811" s="117"/>
      <c r="L811" s="117"/>
      <c r="M811" s="2"/>
      <c r="N811" s="2"/>
      <c r="O811" s="2"/>
      <c r="P811" s="2"/>
      <c r="Q811" s="2"/>
      <c r="R811" s="2"/>
      <c r="S811" s="117"/>
      <c r="T811" s="2"/>
      <c r="U811" s="2"/>
      <c r="V811" s="2"/>
      <c r="W811" s="2"/>
      <c r="X811" s="2"/>
      <c r="Y811" s="2"/>
      <c r="Z811" s="2"/>
    </row>
    <row r="812">
      <c r="A812" s="531"/>
      <c r="B812" s="977"/>
      <c r="C812" s="119"/>
      <c r="D812" s="977"/>
      <c r="E812" s="977"/>
      <c r="F812" s="119"/>
      <c r="G812" s="119"/>
      <c r="H812" s="119"/>
      <c r="I812" s="119"/>
      <c r="J812" s="119"/>
      <c r="K812" s="117"/>
      <c r="L812" s="117"/>
      <c r="M812" s="2"/>
      <c r="N812" s="2"/>
      <c r="O812" s="2"/>
      <c r="P812" s="2"/>
      <c r="Q812" s="2"/>
      <c r="R812" s="2"/>
      <c r="S812" s="117"/>
      <c r="T812" s="2"/>
      <c r="U812" s="2"/>
      <c r="V812" s="2"/>
      <c r="W812" s="2"/>
      <c r="X812" s="2"/>
      <c r="Y812" s="2"/>
      <c r="Z812" s="2"/>
    </row>
    <row r="813">
      <c r="A813" s="531"/>
      <c r="B813" s="977"/>
      <c r="C813" s="119"/>
      <c r="D813" s="977"/>
      <c r="E813" s="977"/>
      <c r="F813" s="119"/>
      <c r="G813" s="119"/>
      <c r="H813" s="119"/>
      <c r="I813" s="119"/>
      <c r="J813" s="119"/>
      <c r="K813" s="117"/>
      <c r="L813" s="117"/>
      <c r="M813" s="2"/>
      <c r="N813" s="2"/>
      <c r="O813" s="2"/>
      <c r="P813" s="2"/>
      <c r="Q813" s="2"/>
      <c r="R813" s="2"/>
      <c r="S813" s="847"/>
      <c r="T813" s="847"/>
      <c r="U813" s="116"/>
      <c r="V813" s="116"/>
      <c r="W813" s="116"/>
      <c r="X813" s="116"/>
      <c r="Y813" s="116"/>
      <c r="Z813" s="116"/>
    </row>
    <row r="814">
      <c r="A814" s="531"/>
      <c r="B814" s="977"/>
      <c r="C814" s="119"/>
      <c r="D814" s="977"/>
      <c r="E814" s="977"/>
      <c r="F814" s="119"/>
      <c r="G814" s="119"/>
      <c r="H814" s="119"/>
      <c r="I814" s="119"/>
      <c r="J814" s="119"/>
      <c r="K814" s="117"/>
      <c r="L814" s="117"/>
      <c r="M814" s="2"/>
      <c r="N814" s="2"/>
      <c r="O814" s="2"/>
      <c r="P814" s="2"/>
      <c r="Q814" s="2"/>
      <c r="R814" s="2"/>
      <c r="S814" s="848"/>
      <c r="T814" s="848"/>
      <c r="U814" s="848"/>
      <c r="V814" s="848"/>
      <c r="W814" s="848"/>
      <c r="X814" s="848"/>
      <c r="Y814" s="848"/>
      <c r="Z814" s="848"/>
    </row>
    <row r="815">
      <c r="A815" s="531"/>
      <c r="B815" s="977"/>
      <c r="C815" s="119"/>
      <c r="D815" s="977"/>
      <c r="E815" s="977"/>
      <c r="F815" s="119"/>
      <c r="G815" s="119"/>
      <c r="H815" s="119"/>
      <c r="I815" s="119"/>
      <c r="J815" s="119"/>
      <c r="K815" s="117"/>
      <c r="L815" s="117"/>
      <c r="M815" s="2"/>
      <c r="N815" s="2"/>
      <c r="O815" s="2"/>
      <c r="P815" s="2"/>
      <c r="Q815" s="2"/>
      <c r="R815" s="2"/>
      <c r="S815" s="849"/>
      <c r="T815" s="850"/>
      <c r="U815" s="851"/>
      <c r="V815" s="851"/>
      <c r="W815" s="851"/>
      <c r="X815" s="851"/>
      <c r="Y815" s="851"/>
      <c r="Z815" s="851"/>
    </row>
    <row r="816">
      <c r="A816" s="531"/>
      <c r="B816" s="977"/>
      <c r="C816" s="119"/>
      <c r="D816" s="977"/>
      <c r="E816" s="977"/>
      <c r="F816" s="119"/>
      <c r="G816" s="119"/>
      <c r="H816" s="119"/>
      <c r="I816" s="119"/>
      <c r="J816" s="119"/>
      <c r="K816" s="117"/>
      <c r="L816" s="117"/>
      <c r="M816" s="2"/>
      <c r="N816" s="2"/>
      <c r="O816" s="2"/>
      <c r="P816" s="2"/>
      <c r="Q816" s="2"/>
      <c r="R816" s="2"/>
      <c r="S816" s="852"/>
      <c r="T816" s="853"/>
      <c r="U816" s="854"/>
      <c r="V816" s="854"/>
      <c r="W816" s="854"/>
      <c r="X816" s="854"/>
      <c r="Y816" s="854"/>
      <c r="Z816" s="854"/>
    </row>
    <row r="817">
      <c r="A817" s="531"/>
      <c r="B817" s="977"/>
      <c r="C817" s="119"/>
      <c r="D817" s="977"/>
      <c r="E817" s="977"/>
      <c r="F817" s="119"/>
      <c r="G817" s="119"/>
      <c r="H817" s="119"/>
      <c r="I817" s="119"/>
      <c r="J817" s="119"/>
      <c r="K817" s="117"/>
      <c r="L817" s="117"/>
      <c r="M817" s="2"/>
      <c r="N817" s="2"/>
      <c r="O817" s="2"/>
      <c r="P817" s="2"/>
      <c r="Q817" s="2"/>
      <c r="R817" s="2"/>
      <c r="S817" s="855"/>
      <c r="T817" s="856"/>
      <c r="U817" s="854"/>
      <c r="V817" s="854"/>
      <c r="W817" s="854"/>
      <c r="X817" s="854"/>
      <c r="Y817" s="854"/>
      <c r="Z817" s="854"/>
    </row>
    <row r="818">
      <c r="A818" s="531"/>
      <c r="B818" s="977"/>
      <c r="C818" s="119"/>
      <c r="D818" s="977"/>
      <c r="E818" s="977"/>
      <c r="F818" s="119"/>
      <c r="G818" s="119"/>
      <c r="H818" s="119"/>
      <c r="I818" s="119"/>
      <c r="J818" s="119"/>
      <c r="K818" s="117"/>
      <c r="L818" s="117"/>
      <c r="M818" s="2"/>
      <c r="N818" s="2"/>
      <c r="O818" s="2"/>
      <c r="P818" s="2"/>
      <c r="Q818" s="2"/>
      <c r="R818" s="2"/>
      <c r="S818" s="855"/>
      <c r="T818" s="856"/>
      <c r="U818" s="854"/>
      <c r="V818" s="854"/>
      <c r="W818" s="854"/>
      <c r="X818" s="854"/>
      <c r="Y818" s="854"/>
      <c r="Z818" s="854"/>
    </row>
    <row r="819">
      <c r="A819" s="531"/>
      <c r="B819" s="977"/>
      <c r="C819" s="119"/>
      <c r="D819" s="977"/>
      <c r="E819" s="977"/>
      <c r="F819" s="119"/>
      <c r="G819" s="119"/>
      <c r="H819" s="119"/>
      <c r="I819" s="119"/>
      <c r="J819" s="119"/>
      <c r="K819" s="117"/>
      <c r="L819" s="117"/>
      <c r="M819" s="2"/>
      <c r="N819" s="2"/>
      <c r="O819" s="2"/>
      <c r="P819" s="2"/>
      <c r="Q819" s="2"/>
      <c r="R819" s="2"/>
      <c r="S819" s="852"/>
      <c r="T819" s="853"/>
      <c r="U819" s="854"/>
      <c r="V819" s="854"/>
      <c r="W819" s="854"/>
      <c r="X819" s="854"/>
      <c r="Y819" s="854"/>
      <c r="Z819" s="854"/>
    </row>
    <row r="820">
      <c r="A820" s="531"/>
      <c r="B820" s="977"/>
      <c r="C820" s="119"/>
      <c r="D820" s="977"/>
      <c r="E820" s="977"/>
      <c r="F820" s="119"/>
      <c r="G820" s="119"/>
      <c r="H820" s="119"/>
      <c r="I820" s="119"/>
      <c r="J820" s="119"/>
      <c r="K820" s="117"/>
      <c r="L820" s="117"/>
      <c r="M820" s="2"/>
      <c r="N820" s="2"/>
      <c r="O820" s="2"/>
      <c r="P820" s="2"/>
      <c r="Q820" s="2"/>
      <c r="R820" s="2"/>
      <c r="S820" s="857"/>
      <c r="T820" s="858"/>
      <c r="U820" s="854"/>
      <c r="V820" s="854"/>
      <c r="W820" s="854"/>
      <c r="X820" s="854"/>
      <c r="Y820" s="854"/>
      <c r="Z820" s="854"/>
    </row>
    <row r="821">
      <c r="A821" s="531"/>
      <c r="B821" s="977"/>
      <c r="C821" s="119"/>
      <c r="D821" s="977"/>
      <c r="E821" s="977"/>
      <c r="F821" s="119"/>
      <c r="G821" s="119"/>
      <c r="H821" s="119"/>
      <c r="I821" s="119"/>
      <c r="J821" s="119"/>
      <c r="K821" s="117"/>
      <c r="L821" s="117"/>
      <c r="M821" s="2"/>
      <c r="N821" s="2"/>
      <c r="O821" s="2"/>
      <c r="P821" s="2"/>
      <c r="Q821" s="2"/>
      <c r="R821" s="2"/>
      <c r="S821" s="857"/>
      <c r="T821" s="858"/>
      <c r="U821" s="854"/>
      <c r="V821" s="854"/>
      <c r="W821" s="854"/>
      <c r="X821" s="854"/>
      <c r="Y821" s="854"/>
      <c r="Z821" s="854"/>
    </row>
    <row r="822">
      <c r="A822" s="531"/>
      <c r="B822" s="977"/>
      <c r="C822" s="119"/>
      <c r="D822" s="977"/>
      <c r="E822" s="977"/>
      <c r="F822" s="119"/>
      <c r="G822" s="119"/>
      <c r="H822" s="119"/>
      <c r="I822" s="119"/>
      <c r="J822" s="119"/>
      <c r="K822" s="117"/>
      <c r="L822" s="117"/>
      <c r="M822" s="2"/>
      <c r="N822" s="2"/>
      <c r="O822" s="2"/>
      <c r="P822" s="2"/>
      <c r="Q822" s="2"/>
      <c r="R822" s="2"/>
      <c r="S822" s="857"/>
      <c r="T822" s="858"/>
      <c r="U822" s="854"/>
      <c r="V822" s="854"/>
      <c r="W822" s="854"/>
      <c r="X822" s="854"/>
      <c r="Y822" s="854"/>
      <c r="Z822" s="854"/>
    </row>
    <row r="823">
      <c r="A823" s="531"/>
      <c r="B823" s="977"/>
      <c r="C823" s="119"/>
      <c r="D823" s="977"/>
      <c r="E823" s="977"/>
      <c r="F823" s="119"/>
      <c r="G823" s="119"/>
      <c r="H823" s="119"/>
      <c r="I823" s="119"/>
      <c r="J823" s="119"/>
      <c r="K823" s="117"/>
      <c r="L823" s="117"/>
      <c r="M823" s="2"/>
      <c r="N823" s="2"/>
      <c r="O823" s="2"/>
      <c r="P823" s="2"/>
      <c r="Q823" s="2"/>
      <c r="R823" s="2"/>
      <c r="S823" s="852"/>
      <c r="T823" s="853"/>
      <c r="U823" s="854"/>
      <c r="V823" s="854"/>
      <c r="W823" s="854"/>
      <c r="X823" s="854"/>
      <c r="Y823" s="854"/>
      <c r="Z823" s="854"/>
    </row>
    <row r="824">
      <c r="A824" s="531"/>
      <c r="B824" s="977"/>
      <c r="C824" s="119"/>
      <c r="D824" s="977"/>
      <c r="E824" s="977"/>
      <c r="F824" s="119"/>
      <c r="G824" s="119"/>
      <c r="H824" s="119"/>
      <c r="I824" s="119"/>
      <c r="J824" s="119"/>
      <c r="K824" s="117"/>
      <c r="L824" s="117"/>
      <c r="M824" s="2"/>
      <c r="N824" s="2"/>
      <c r="O824" s="2"/>
      <c r="P824" s="2"/>
      <c r="Q824" s="2"/>
      <c r="R824" s="2"/>
      <c r="S824" s="852"/>
      <c r="T824" s="853"/>
      <c r="U824" s="854"/>
      <c r="V824" s="854"/>
      <c r="W824" s="854"/>
      <c r="X824" s="854"/>
      <c r="Y824" s="854"/>
      <c r="Z824" s="854"/>
    </row>
    <row r="825">
      <c r="A825" s="531"/>
      <c r="B825" s="977"/>
      <c r="C825" s="119"/>
      <c r="D825" s="977"/>
      <c r="E825" s="977"/>
      <c r="F825" s="119"/>
      <c r="G825" s="119"/>
      <c r="H825" s="119"/>
      <c r="I825" s="119"/>
      <c r="J825" s="119"/>
      <c r="K825" s="117"/>
      <c r="L825" s="117"/>
      <c r="M825" s="2"/>
      <c r="N825" s="2"/>
      <c r="O825" s="2"/>
      <c r="P825" s="2"/>
      <c r="Q825" s="2"/>
      <c r="R825" s="2"/>
      <c r="S825" s="852"/>
      <c r="T825" s="853"/>
      <c r="U825" s="854"/>
      <c r="V825" s="854"/>
      <c r="W825" s="854"/>
      <c r="X825" s="854"/>
      <c r="Y825" s="854"/>
      <c r="Z825" s="854"/>
    </row>
    <row r="826">
      <c r="A826" s="531"/>
      <c r="B826" s="977"/>
      <c r="C826" s="119"/>
      <c r="D826" s="977"/>
      <c r="E826" s="977"/>
      <c r="F826" s="119"/>
      <c r="G826" s="119"/>
      <c r="H826" s="119"/>
      <c r="I826" s="119"/>
      <c r="J826" s="119"/>
      <c r="K826" s="117"/>
      <c r="L826" s="117"/>
      <c r="M826" s="2"/>
      <c r="N826" s="2"/>
      <c r="O826" s="2"/>
      <c r="P826" s="2"/>
      <c r="Q826" s="2"/>
      <c r="R826" s="2"/>
      <c r="S826" s="852"/>
      <c r="T826" s="853"/>
      <c r="U826" s="854"/>
      <c r="V826" s="854"/>
      <c r="W826" s="854"/>
      <c r="X826" s="854"/>
      <c r="Y826" s="854"/>
      <c r="Z826" s="854"/>
    </row>
    <row r="827">
      <c r="A827" s="531"/>
      <c r="B827" s="977"/>
      <c r="C827" s="119"/>
      <c r="D827" s="977"/>
      <c r="E827" s="977"/>
      <c r="F827" s="119"/>
      <c r="G827" s="119"/>
      <c r="H827" s="119"/>
      <c r="I827" s="119"/>
      <c r="J827" s="119"/>
      <c r="K827" s="117"/>
      <c r="L827" s="117"/>
      <c r="M827" s="2"/>
      <c r="N827" s="2"/>
      <c r="O827" s="2"/>
      <c r="P827" s="2"/>
      <c r="Q827" s="2"/>
      <c r="R827" s="2"/>
      <c r="S827" s="852"/>
      <c r="T827" s="859"/>
      <c r="U827" s="107"/>
      <c r="V827" s="107"/>
      <c r="W827" s="107"/>
      <c r="X827" s="107"/>
      <c r="Y827" s="107"/>
      <c r="Z827" s="107"/>
    </row>
    <row r="828">
      <c r="A828" s="531"/>
      <c r="B828" s="977"/>
      <c r="C828" s="119"/>
      <c r="D828" s="977"/>
      <c r="E828" s="977"/>
      <c r="F828" s="119"/>
      <c r="G828" s="119"/>
      <c r="H828" s="119"/>
      <c r="I828" s="119"/>
      <c r="J828" s="119"/>
      <c r="K828" s="117"/>
      <c r="L828" s="117"/>
      <c r="M828" s="2"/>
      <c r="N828" s="2"/>
      <c r="O828" s="2"/>
      <c r="P828" s="2"/>
      <c r="Q828" s="2"/>
      <c r="R828" s="2"/>
      <c r="S828" s="852"/>
      <c r="T828" s="859"/>
      <c r="U828" s="107"/>
      <c r="V828" s="107"/>
      <c r="W828" s="107"/>
      <c r="X828" s="107"/>
      <c r="Y828" s="107"/>
      <c r="Z828" s="107"/>
    </row>
    <row r="829">
      <c r="A829" s="531"/>
      <c r="B829" s="977"/>
      <c r="C829" s="119"/>
      <c r="D829" s="977"/>
      <c r="E829" s="977"/>
      <c r="F829" s="119"/>
      <c r="G829" s="119"/>
      <c r="H829" s="119"/>
      <c r="I829" s="119"/>
      <c r="J829" s="119"/>
      <c r="K829" s="117"/>
      <c r="L829" s="117"/>
      <c r="M829" s="2"/>
      <c r="N829" s="2"/>
      <c r="O829" s="2"/>
      <c r="P829" s="2"/>
      <c r="Q829" s="2"/>
      <c r="R829" s="2"/>
      <c r="S829" s="852"/>
      <c r="T829" s="859"/>
      <c r="U829" s="107"/>
      <c r="V829" s="107"/>
      <c r="W829" s="107"/>
      <c r="X829" s="107"/>
      <c r="Y829" s="107"/>
      <c r="Z829" s="107"/>
    </row>
    <row r="830">
      <c r="A830" s="531"/>
      <c r="B830" s="977"/>
      <c r="C830" s="119"/>
      <c r="D830" s="977"/>
      <c r="E830" s="977"/>
      <c r="F830" s="119"/>
      <c r="G830" s="119"/>
      <c r="H830" s="119"/>
      <c r="I830" s="119"/>
      <c r="J830" s="119"/>
      <c r="K830" s="117"/>
      <c r="L830" s="117"/>
      <c r="M830" s="2"/>
      <c r="N830" s="2"/>
      <c r="O830" s="2"/>
      <c r="P830" s="2"/>
      <c r="Q830" s="2"/>
      <c r="R830" s="2"/>
      <c r="S830" s="852"/>
      <c r="T830" s="859"/>
      <c r="U830" s="107"/>
      <c r="V830" s="107"/>
      <c r="W830" s="107"/>
      <c r="X830" s="107"/>
      <c r="Y830" s="107"/>
      <c r="Z830" s="107"/>
    </row>
    <row r="831">
      <c r="A831" s="531"/>
      <c r="B831" s="977"/>
      <c r="C831" s="119"/>
      <c r="D831" s="977"/>
      <c r="E831" s="977"/>
      <c r="F831" s="119"/>
      <c r="G831" s="119"/>
      <c r="H831" s="119"/>
      <c r="I831" s="119"/>
      <c r="J831" s="119"/>
      <c r="K831" s="117"/>
      <c r="L831" s="117"/>
      <c r="M831" s="2"/>
      <c r="N831" s="2"/>
      <c r="O831" s="2"/>
      <c r="P831" s="2"/>
      <c r="Q831" s="2"/>
      <c r="R831" s="2"/>
      <c r="S831" s="852"/>
      <c r="T831" s="859"/>
      <c r="U831" s="107"/>
      <c r="V831" s="107"/>
      <c r="W831" s="107"/>
      <c r="X831" s="107"/>
      <c r="Y831" s="107"/>
      <c r="Z831" s="107"/>
    </row>
    <row r="832">
      <c r="A832" s="531"/>
      <c r="B832" s="977"/>
      <c r="C832" s="119"/>
      <c r="D832" s="977"/>
      <c r="E832" s="977"/>
      <c r="F832" s="119"/>
      <c r="G832" s="119"/>
      <c r="H832" s="119"/>
      <c r="I832" s="119"/>
      <c r="J832" s="119"/>
      <c r="K832" s="117"/>
      <c r="L832" s="117"/>
      <c r="M832" s="2"/>
      <c r="N832" s="2"/>
      <c r="O832" s="2"/>
      <c r="P832" s="2"/>
      <c r="Q832" s="2"/>
      <c r="R832" s="2"/>
      <c r="S832" s="852"/>
      <c r="T832" s="859"/>
      <c r="U832" s="107"/>
      <c r="V832" s="107"/>
      <c r="W832" s="107"/>
      <c r="X832" s="107"/>
      <c r="Y832" s="107"/>
      <c r="Z832" s="107"/>
    </row>
    <row r="833">
      <c r="A833" s="531"/>
      <c r="B833" s="977"/>
      <c r="C833" s="119"/>
      <c r="D833" s="977"/>
      <c r="E833" s="977"/>
      <c r="F833" s="119"/>
      <c r="G833" s="119"/>
      <c r="H833" s="119"/>
      <c r="I833" s="119"/>
      <c r="J833" s="119"/>
      <c r="K833" s="117"/>
      <c r="L833" s="117"/>
      <c r="M833" s="2"/>
      <c r="N833" s="2"/>
      <c r="O833" s="2"/>
      <c r="P833" s="2"/>
      <c r="Q833" s="2"/>
      <c r="R833" s="2"/>
      <c r="S833" s="852"/>
      <c r="T833" s="859"/>
      <c r="U833" s="107"/>
      <c r="V833" s="107"/>
      <c r="W833" s="107"/>
      <c r="X833" s="107"/>
      <c r="Y833" s="107"/>
      <c r="Z833" s="107"/>
    </row>
    <row r="834">
      <c r="A834" s="531"/>
      <c r="B834" s="977"/>
      <c r="C834" s="119"/>
      <c r="D834" s="977"/>
      <c r="E834" s="977"/>
      <c r="F834" s="119"/>
      <c r="G834" s="119"/>
      <c r="H834" s="119"/>
      <c r="I834" s="119"/>
      <c r="J834" s="119"/>
      <c r="K834" s="117"/>
      <c r="L834" s="117"/>
      <c r="M834" s="2"/>
      <c r="N834" s="2"/>
      <c r="O834" s="2"/>
      <c r="P834" s="2"/>
      <c r="Q834" s="2"/>
      <c r="R834" s="2"/>
      <c r="S834" s="852"/>
      <c r="T834" s="859"/>
      <c r="U834" s="107"/>
      <c r="V834" s="107"/>
      <c r="W834" s="107"/>
      <c r="X834" s="107"/>
      <c r="Y834" s="107"/>
      <c r="Z834" s="107"/>
    </row>
    <row r="835">
      <c r="A835" s="531"/>
      <c r="B835" s="977"/>
      <c r="C835" s="119"/>
      <c r="D835" s="977"/>
      <c r="E835" s="977"/>
      <c r="F835" s="119"/>
      <c r="G835" s="119"/>
      <c r="H835" s="119"/>
      <c r="I835" s="119"/>
      <c r="J835" s="119"/>
      <c r="K835" s="117"/>
      <c r="L835" s="117"/>
      <c r="M835" s="2"/>
      <c r="N835" s="2"/>
      <c r="O835" s="2"/>
      <c r="P835" s="2"/>
      <c r="Q835" s="2"/>
      <c r="R835" s="2"/>
      <c r="S835" s="852"/>
      <c r="T835" s="859"/>
      <c r="U835" s="107"/>
      <c r="V835" s="107"/>
      <c r="W835" s="107"/>
      <c r="X835" s="107"/>
      <c r="Y835" s="107"/>
      <c r="Z835" s="107"/>
    </row>
    <row r="836">
      <c r="A836" s="531"/>
      <c r="B836" s="977"/>
      <c r="C836" s="119"/>
      <c r="D836" s="977"/>
      <c r="E836" s="977"/>
      <c r="F836" s="119"/>
      <c r="G836" s="119"/>
      <c r="H836" s="119"/>
      <c r="I836" s="119"/>
      <c r="J836" s="119"/>
      <c r="K836" s="117"/>
      <c r="L836" s="117"/>
      <c r="M836" s="2"/>
      <c r="N836" s="2"/>
      <c r="O836" s="2"/>
      <c r="P836" s="2"/>
      <c r="Q836" s="2"/>
      <c r="R836" s="2"/>
      <c r="S836" s="852"/>
      <c r="T836" s="859"/>
      <c r="U836" s="107"/>
      <c r="V836" s="107"/>
      <c r="W836" s="107"/>
      <c r="X836" s="107"/>
      <c r="Y836" s="107"/>
      <c r="Z836" s="107"/>
    </row>
    <row r="837">
      <c r="A837" s="531"/>
      <c r="B837" s="977"/>
      <c r="C837" s="119"/>
      <c r="D837" s="977"/>
      <c r="E837" s="977"/>
      <c r="F837" s="119"/>
      <c r="G837" s="119"/>
      <c r="H837" s="119"/>
      <c r="I837" s="119"/>
      <c r="J837" s="119"/>
      <c r="K837" s="117"/>
      <c r="L837" s="117"/>
      <c r="M837" s="2"/>
      <c r="N837" s="2"/>
      <c r="O837" s="2"/>
      <c r="P837" s="2"/>
      <c r="Q837" s="2"/>
      <c r="R837" s="2"/>
      <c r="S837" s="857"/>
      <c r="T837" s="860"/>
      <c r="U837" s="107"/>
      <c r="V837" s="107"/>
      <c r="W837" s="107"/>
      <c r="X837" s="107"/>
      <c r="Y837" s="107"/>
      <c r="Z837" s="107"/>
    </row>
    <row r="838">
      <c r="A838" s="531"/>
      <c r="B838" s="977"/>
      <c r="C838" s="119"/>
      <c r="D838" s="977"/>
      <c r="E838" s="977"/>
      <c r="F838" s="119"/>
      <c r="G838" s="119"/>
      <c r="H838" s="119"/>
      <c r="I838" s="119"/>
      <c r="J838" s="119"/>
      <c r="K838" s="117"/>
      <c r="L838" s="117"/>
      <c r="M838" s="2"/>
      <c r="N838" s="2"/>
      <c r="O838" s="2"/>
      <c r="P838" s="2"/>
      <c r="Q838" s="2"/>
      <c r="R838" s="2"/>
      <c r="S838" s="861"/>
      <c r="T838" s="111"/>
      <c r="U838" s="2"/>
      <c r="V838" s="2"/>
      <c r="W838" s="2"/>
      <c r="X838" s="2"/>
      <c r="Y838" s="2"/>
      <c r="Z838" s="2"/>
    </row>
    <row r="839">
      <c r="A839" s="531"/>
      <c r="B839" s="977"/>
      <c r="C839" s="119"/>
      <c r="D839" s="977"/>
      <c r="E839" s="977"/>
      <c r="F839" s="119"/>
      <c r="G839" s="119"/>
      <c r="H839" s="119"/>
      <c r="I839" s="119"/>
      <c r="J839" s="119"/>
      <c r="K839" s="117"/>
      <c r="L839" s="117"/>
      <c r="M839" s="2"/>
      <c r="N839" s="2"/>
      <c r="O839" s="2"/>
      <c r="P839" s="2"/>
      <c r="Q839" s="2"/>
      <c r="R839" s="2"/>
      <c r="S839" s="861"/>
      <c r="T839" s="111"/>
      <c r="U839" s="2"/>
      <c r="V839" s="2"/>
      <c r="W839" s="2"/>
      <c r="X839" s="2"/>
      <c r="Y839" s="2"/>
      <c r="Z839" s="2"/>
    </row>
    <row r="840">
      <c r="A840" s="531"/>
      <c r="B840" s="977"/>
      <c r="C840" s="119"/>
      <c r="D840" s="977"/>
      <c r="E840" s="977"/>
      <c r="F840" s="119"/>
      <c r="G840" s="119"/>
      <c r="H840" s="119"/>
      <c r="I840" s="119"/>
      <c r="J840" s="119"/>
      <c r="K840" s="117"/>
      <c r="L840" s="117"/>
      <c r="M840" s="2"/>
      <c r="N840" s="2"/>
      <c r="O840" s="2"/>
      <c r="P840" s="2"/>
      <c r="Q840" s="2"/>
      <c r="R840" s="2"/>
      <c r="S840" s="861"/>
      <c r="T840" s="111"/>
      <c r="U840" s="2"/>
      <c r="V840" s="2"/>
      <c r="W840" s="2"/>
      <c r="X840" s="2"/>
      <c r="Y840" s="2"/>
      <c r="Z840" s="2"/>
    </row>
    <row r="841">
      <c r="A841" s="531"/>
      <c r="B841" s="977"/>
      <c r="C841" s="119"/>
      <c r="D841" s="977"/>
      <c r="E841" s="977"/>
      <c r="F841" s="119"/>
      <c r="G841" s="119"/>
      <c r="H841" s="119"/>
      <c r="I841" s="119"/>
      <c r="J841" s="119"/>
      <c r="K841" s="117"/>
      <c r="L841" s="117"/>
      <c r="M841" s="2"/>
      <c r="N841" s="2"/>
      <c r="O841" s="2"/>
      <c r="P841" s="2"/>
      <c r="Q841" s="2"/>
      <c r="R841" s="2"/>
      <c r="S841" s="861"/>
      <c r="T841" s="111"/>
      <c r="U841" s="2"/>
      <c r="V841" s="2"/>
      <c r="W841" s="2"/>
      <c r="X841" s="2"/>
      <c r="Y841" s="2"/>
      <c r="Z841" s="2"/>
    </row>
    <row r="842">
      <c r="A842" s="531"/>
      <c r="B842" s="977"/>
      <c r="C842" s="119"/>
      <c r="D842" s="977"/>
      <c r="E842" s="977"/>
      <c r="F842" s="119"/>
      <c r="G842" s="119"/>
      <c r="H842" s="119"/>
      <c r="I842" s="119"/>
      <c r="J842" s="119"/>
      <c r="K842" s="117"/>
      <c r="L842" s="117"/>
      <c r="M842" s="2"/>
      <c r="N842" s="2"/>
      <c r="O842" s="2"/>
      <c r="P842" s="2"/>
      <c r="Q842" s="2"/>
      <c r="R842" s="2"/>
      <c r="S842" s="861"/>
      <c r="T842" s="111"/>
      <c r="U842" s="2"/>
      <c r="V842" s="2"/>
      <c r="W842" s="2"/>
      <c r="X842" s="2"/>
      <c r="Y842" s="2"/>
      <c r="Z842" s="2"/>
    </row>
    <row r="843">
      <c r="A843" s="531"/>
      <c r="B843" s="977"/>
      <c r="C843" s="119"/>
      <c r="D843" s="977"/>
      <c r="E843" s="977"/>
      <c r="F843" s="119"/>
      <c r="G843" s="119"/>
      <c r="H843" s="119"/>
      <c r="I843" s="119"/>
      <c r="J843" s="119"/>
      <c r="K843" s="117"/>
      <c r="L843" s="117"/>
      <c r="M843" s="2"/>
      <c r="N843" s="2"/>
      <c r="O843" s="2"/>
      <c r="P843" s="2"/>
      <c r="Q843" s="2"/>
      <c r="R843" s="2"/>
      <c r="S843" s="862"/>
      <c r="T843" s="109"/>
      <c r="U843" s="2"/>
      <c r="V843" s="2"/>
      <c r="W843" s="2"/>
      <c r="X843" s="2"/>
      <c r="Y843" s="2"/>
      <c r="Z843" s="2"/>
    </row>
    <row r="844">
      <c r="A844" s="531"/>
      <c r="B844" s="977"/>
      <c r="C844" s="119"/>
      <c r="D844" s="977"/>
      <c r="E844" s="977"/>
      <c r="F844" s="119"/>
      <c r="G844" s="119"/>
      <c r="H844" s="119"/>
      <c r="I844" s="119"/>
      <c r="J844" s="119"/>
      <c r="K844" s="117"/>
      <c r="L844" s="117"/>
      <c r="M844" s="2"/>
      <c r="N844" s="2"/>
      <c r="O844" s="2"/>
      <c r="P844" s="2"/>
      <c r="Q844" s="2"/>
      <c r="R844" s="2"/>
      <c r="S844" s="861"/>
      <c r="T844" s="111"/>
      <c r="U844" s="2"/>
      <c r="V844" s="2"/>
      <c r="W844" s="2"/>
      <c r="X844" s="2"/>
      <c r="Y844" s="2"/>
      <c r="Z844" s="2"/>
    </row>
    <row r="845">
      <c r="A845" s="531"/>
      <c r="B845" s="977"/>
      <c r="C845" s="119"/>
      <c r="D845" s="977"/>
      <c r="E845" s="977"/>
      <c r="F845" s="119"/>
      <c r="G845" s="119"/>
      <c r="H845" s="119"/>
      <c r="I845" s="119"/>
      <c r="J845" s="119"/>
      <c r="K845" s="117"/>
      <c r="L845" s="117"/>
      <c r="M845" s="2"/>
      <c r="N845" s="2"/>
      <c r="O845" s="2"/>
      <c r="P845" s="2"/>
      <c r="Q845" s="2"/>
      <c r="R845" s="2"/>
      <c r="S845" s="861"/>
      <c r="T845" s="111"/>
      <c r="U845" s="2"/>
      <c r="V845" s="2"/>
      <c r="W845" s="2"/>
      <c r="X845" s="2"/>
      <c r="Y845" s="2"/>
      <c r="Z845" s="2"/>
    </row>
    <row r="846">
      <c r="A846" s="531"/>
      <c r="B846" s="977"/>
      <c r="C846" s="119"/>
      <c r="D846" s="977"/>
      <c r="E846" s="977"/>
      <c r="F846" s="119"/>
      <c r="G846" s="119"/>
      <c r="H846" s="119"/>
      <c r="I846" s="119"/>
      <c r="J846" s="119"/>
      <c r="K846" s="117"/>
      <c r="L846" s="117"/>
      <c r="M846" s="2"/>
      <c r="N846" s="2"/>
      <c r="O846" s="2"/>
      <c r="P846" s="2"/>
      <c r="Q846" s="2"/>
      <c r="R846" s="2"/>
      <c r="S846" s="861"/>
      <c r="T846" s="111"/>
      <c r="U846" s="2"/>
      <c r="V846" s="2"/>
      <c r="W846" s="2"/>
      <c r="X846" s="2"/>
      <c r="Y846" s="2"/>
      <c r="Z846" s="2"/>
    </row>
    <row r="847">
      <c r="A847" s="531"/>
      <c r="B847" s="977"/>
      <c r="C847" s="119"/>
      <c r="D847" s="977"/>
      <c r="E847" s="977"/>
      <c r="F847" s="119"/>
      <c r="G847" s="119"/>
      <c r="H847" s="119"/>
      <c r="I847" s="119"/>
      <c r="J847" s="119"/>
      <c r="K847" s="117"/>
      <c r="L847" s="117"/>
      <c r="M847" s="2"/>
      <c r="N847" s="2"/>
      <c r="O847" s="2"/>
      <c r="P847" s="2"/>
      <c r="Q847" s="2"/>
      <c r="R847" s="2"/>
      <c r="S847" s="861"/>
      <c r="T847" s="111"/>
      <c r="U847" s="2"/>
      <c r="V847" s="2"/>
      <c r="W847" s="2"/>
      <c r="X847" s="2"/>
      <c r="Y847" s="2"/>
      <c r="Z847" s="2"/>
    </row>
    <row r="848">
      <c r="A848" s="531"/>
      <c r="B848" s="977"/>
      <c r="C848" s="119"/>
      <c r="D848" s="977"/>
      <c r="E848" s="977"/>
      <c r="F848" s="119"/>
      <c r="G848" s="119"/>
      <c r="H848" s="119"/>
      <c r="I848" s="119"/>
      <c r="J848" s="119"/>
      <c r="K848" s="117"/>
      <c r="L848" s="117"/>
      <c r="M848" s="2"/>
      <c r="N848" s="2"/>
      <c r="O848" s="2"/>
      <c r="P848" s="2"/>
      <c r="Q848" s="2"/>
      <c r="R848" s="2"/>
      <c r="S848" s="861"/>
      <c r="T848" s="111"/>
      <c r="U848" s="2"/>
      <c r="V848" s="2"/>
      <c r="W848" s="2"/>
      <c r="X848" s="2"/>
      <c r="Y848" s="2"/>
      <c r="Z848" s="2"/>
    </row>
    <row r="849">
      <c r="A849" s="531"/>
      <c r="B849" s="977"/>
      <c r="C849" s="119"/>
      <c r="D849" s="977"/>
      <c r="E849" s="977"/>
      <c r="F849" s="119"/>
      <c r="G849" s="119"/>
      <c r="H849" s="119"/>
      <c r="I849" s="119"/>
      <c r="J849" s="119"/>
      <c r="K849" s="117"/>
      <c r="L849" s="117"/>
      <c r="M849" s="2"/>
      <c r="N849" s="2"/>
      <c r="O849" s="2"/>
      <c r="P849" s="2"/>
      <c r="Q849" s="2"/>
      <c r="R849" s="2"/>
      <c r="S849" s="861"/>
      <c r="T849" s="111"/>
      <c r="U849" s="2"/>
      <c r="V849" s="2"/>
      <c r="W849" s="2"/>
      <c r="X849" s="2"/>
      <c r="Y849" s="2"/>
      <c r="Z849" s="2"/>
    </row>
    <row r="850">
      <c r="A850" s="531"/>
      <c r="B850" s="977"/>
      <c r="C850" s="119"/>
      <c r="D850" s="977"/>
      <c r="E850" s="977"/>
      <c r="F850" s="119"/>
      <c r="G850" s="119"/>
      <c r="H850" s="119"/>
      <c r="I850" s="119"/>
      <c r="J850" s="119"/>
      <c r="K850" s="117"/>
      <c r="L850" s="117"/>
      <c r="M850" s="2"/>
      <c r="N850" s="2"/>
      <c r="O850" s="2"/>
      <c r="P850" s="2"/>
      <c r="Q850" s="2"/>
      <c r="R850" s="2"/>
      <c r="S850" s="861"/>
      <c r="T850" s="111"/>
      <c r="U850" s="2"/>
      <c r="V850" s="2"/>
      <c r="W850" s="2"/>
      <c r="X850" s="2"/>
      <c r="Y850" s="2"/>
      <c r="Z850" s="2"/>
    </row>
    <row r="851">
      <c r="A851" s="531"/>
      <c r="B851" s="977"/>
      <c r="C851" s="119"/>
      <c r="D851" s="977"/>
      <c r="E851" s="977"/>
      <c r="F851" s="119"/>
      <c r="G851" s="119"/>
      <c r="H851" s="119"/>
      <c r="I851" s="119"/>
      <c r="J851" s="119"/>
      <c r="K851" s="117"/>
      <c r="L851" s="117"/>
      <c r="M851" s="2"/>
      <c r="N851" s="2"/>
      <c r="O851" s="2"/>
      <c r="P851" s="2"/>
      <c r="Q851" s="2"/>
      <c r="R851" s="2"/>
      <c r="S851" s="861"/>
      <c r="T851" s="111"/>
      <c r="U851" s="2"/>
      <c r="V851" s="2"/>
      <c r="W851" s="2"/>
      <c r="X851" s="2"/>
      <c r="Y851" s="2"/>
      <c r="Z851" s="2"/>
    </row>
    <row r="852">
      <c r="A852" s="531"/>
      <c r="B852" s="977"/>
      <c r="C852" s="119"/>
      <c r="D852" s="977"/>
      <c r="E852" s="977"/>
      <c r="F852" s="119"/>
      <c r="G852" s="119"/>
      <c r="H852" s="119"/>
      <c r="I852" s="119"/>
      <c r="J852" s="119"/>
      <c r="K852" s="117"/>
      <c r="L852" s="117"/>
      <c r="M852" s="2"/>
      <c r="N852" s="2"/>
      <c r="O852" s="2"/>
      <c r="P852" s="2"/>
      <c r="Q852" s="2"/>
      <c r="R852" s="2"/>
      <c r="S852" s="862"/>
      <c r="T852" s="109"/>
      <c r="U852" s="2"/>
      <c r="V852" s="2"/>
      <c r="W852" s="2"/>
      <c r="X852" s="2"/>
      <c r="Y852" s="2"/>
      <c r="Z852" s="2"/>
    </row>
    <row r="853">
      <c r="A853" s="531"/>
      <c r="B853" s="977"/>
      <c r="C853" s="119"/>
      <c r="D853" s="977"/>
      <c r="E853" s="977"/>
      <c r="F853" s="119"/>
      <c r="G853" s="119"/>
      <c r="H853" s="119"/>
      <c r="I853" s="119"/>
      <c r="J853" s="119"/>
      <c r="K853" s="117"/>
      <c r="L853" s="117"/>
      <c r="M853" s="2"/>
      <c r="N853" s="2"/>
      <c r="O853" s="2"/>
      <c r="P853" s="2"/>
      <c r="Q853" s="2"/>
      <c r="R853" s="2"/>
      <c r="S853" s="862"/>
      <c r="T853" s="109"/>
      <c r="U853" s="54"/>
      <c r="V853" s="54"/>
      <c r="W853" s="54"/>
      <c r="X853" s="54"/>
      <c r="Y853" s="54"/>
      <c r="Z853" s="54"/>
    </row>
    <row r="854">
      <c r="A854" s="531"/>
      <c r="B854" s="977"/>
      <c r="C854" s="119"/>
      <c r="D854" s="977"/>
      <c r="E854" s="977"/>
      <c r="F854" s="119"/>
      <c r="G854" s="119"/>
      <c r="H854" s="119"/>
      <c r="I854" s="119"/>
      <c r="J854" s="119"/>
      <c r="K854" s="117"/>
      <c r="L854" s="117"/>
      <c r="M854" s="2"/>
      <c r="N854" s="2"/>
      <c r="O854" s="2"/>
      <c r="P854" s="2"/>
      <c r="Q854" s="2"/>
      <c r="R854" s="2"/>
      <c r="S854" s="117"/>
      <c r="T854" s="2"/>
      <c r="U854" s="2"/>
      <c r="V854" s="2"/>
      <c r="W854" s="2"/>
      <c r="X854" s="2"/>
      <c r="Y854" s="2"/>
      <c r="Z854" s="2"/>
    </row>
    <row r="855">
      <c r="A855" s="531"/>
      <c r="B855" s="977"/>
      <c r="C855" s="119"/>
      <c r="D855" s="977"/>
      <c r="E855" s="977"/>
      <c r="F855" s="119"/>
      <c r="G855" s="119"/>
      <c r="H855" s="119"/>
      <c r="I855" s="119"/>
      <c r="J855" s="119"/>
      <c r="K855" s="117"/>
      <c r="L855" s="117"/>
      <c r="M855" s="2"/>
      <c r="N855" s="2"/>
      <c r="O855" s="2"/>
      <c r="P855" s="2"/>
      <c r="Q855" s="2"/>
      <c r="R855" s="2"/>
      <c r="S855" s="117"/>
      <c r="T855" s="2"/>
      <c r="U855" s="2"/>
      <c r="V855" s="2"/>
      <c r="W855" s="2"/>
      <c r="X855" s="2"/>
      <c r="Y855" s="2"/>
      <c r="Z855" s="2"/>
    </row>
    <row r="856">
      <c r="A856" s="531"/>
      <c r="B856" s="977"/>
      <c r="C856" s="119"/>
      <c r="D856" s="977"/>
      <c r="E856" s="977"/>
      <c r="F856" s="119"/>
      <c r="G856" s="119"/>
      <c r="H856" s="119"/>
      <c r="I856" s="119"/>
      <c r="J856" s="119"/>
      <c r="K856" s="117"/>
      <c r="L856" s="117"/>
      <c r="M856" s="2"/>
      <c r="N856" s="2"/>
      <c r="O856" s="2"/>
      <c r="P856" s="2"/>
      <c r="Q856" s="2"/>
      <c r="R856" s="2"/>
      <c r="S856" s="847"/>
      <c r="T856" s="847"/>
      <c r="U856" s="116"/>
      <c r="V856" s="116"/>
      <c r="W856" s="116"/>
      <c r="X856" s="116"/>
      <c r="Y856" s="116"/>
      <c r="Z856" s="116"/>
    </row>
    <row r="857">
      <c r="A857" s="531"/>
      <c r="B857" s="977"/>
      <c r="C857" s="119"/>
      <c r="D857" s="977"/>
      <c r="E857" s="977"/>
      <c r="F857" s="119"/>
      <c r="G857" s="119"/>
      <c r="H857" s="119"/>
      <c r="I857" s="119"/>
      <c r="J857" s="119"/>
      <c r="K857" s="117"/>
      <c r="L857" s="117"/>
      <c r="M857" s="2"/>
      <c r="N857" s="2"/>
      <c r="O857" s="2"/>
      <c r="P857" s="2"/>
      <c r="Q857" s="2"/>
      <c r="R857" s="2"/>
      <c r="S857" s="848"/>
      <c r="T857" s="848"/>
      <c r="U857" s="848"/>
      <c r="V857" s="848"/>
      <c r="W857" s="848"/>
      <c r="X857" s="848"/>
      <c r="Y857" s="848"/>
      <c r="Z857" s="848"/>
    </row>
    <row r="858">
      <c r="A858" s="531"/>
      <c r="B858" s="977"/>
      <c r="C858" s="119"/>
      <c r="D858" s="977"/>
      <c r="E858" s="977"/>
      <c r="F858" s="119"/>
      <c r="G858" s="119"/>
      <c r="H858" s="119"/>
      <c r="I858" s="119"/>
      <c r="J858" s="119"/>
      <c r="K858" s="117"/>
      <c r="L858" s="117"/>
      <c r="M858" s="2"/>
      <c r="N858" s="2"/>
      <c r="O858" s="2"/>
      <c r="P858" s="2"/>
      <c r="Q858" s="2"/>
      <c r="R858" s="2"/>
      <c r="S858" s="849"/>
      <c r="T858" s="850"/>
      <c r="U858" s="851"/>
      <c r="V858" s="851"/>
      <c r="W858" s="851"/>
      <c r="X858" s="851"/>
      <c r="Y858" s="851"/>
      <c r="Z858" s="851"/>
    </row>
    <row r="859">
      <c r="A859" s="531"/>
      <c r="B859" s="977"/>
      <c r="C859" s="119"/>
      <c r="D859" s="977"/>
      <c r="E859" s="977"/>
      <c r="F859" s="119"/>
      <c r="G859" s="119"/>
      <c r="H859" s="119"/>
      <c r="I859" s="119"/>
      <c r="J859" s="119"/>
      <c r="K859" s="117"/>
      <c r="L859" s="117"/>
      <c r="M859" s="2"/>
      <c r="N859" s="2"/>
      <c r="O859" s="2"/>
      <c r="P859" s="2"/>
      <c r="Q859" s="2"/>
      <c r="R859" s="2"/>
      <c r="S859" s="852"/>
      <c r="T859" s="853"/>
      <c r="U859" s="854"/>
      <c r="V859" s="854"/>
      <c r="W859" s="854"/>
      <c r="X859" s="854"/>
      <c r="Y859" s="854"/>
      <c r="Z859" s="854"/>
    </row>
    <row r="860">
      <c r="A860" s="531"/>
      <c r="B860" s="977"/>
      <c r="C860" s="119"/>
      <c r="D860" s="977"/>
      <c r="E860" s="977"/>
      <c r="F860" s="119"/>
      <c r="G860" s="119"/>
      <c r="H860" s="119"/>
      <c r="I860" s="119"/>
      <c r="J860" s="119"/>
      <c r="K860" s="117"/>
      <c r="L860" s="117"/>
      <c r="M860" s="2"/>
      <c r="N860" s="2"/>
      <c r="O860" s="2"/>
      <c r="P860" s="2"/>
      <c r="Q860" s="2"/>
      <c r="R860" s="2"/>
      <c r="S860" s="855"/>
      <c r="T860" s="856"/>
      <c r="U860" s="854"/>
      <c r="V860" s="854"/>
      <c r="W860" s="854"/>
      <c r="X860" s="854"/>
      <c r="Y860" s="854"/>
      <c r="Z860" s="854"/>
    </row>
    <row r="861">
      <c r="A861" s="531"/>
      <c r="B861" s="977"/>
      <c r="C861" s="119"/>
      <c r="D861" s="977"/>
      <c r="E861" s="977"/>
      <c r="F861" s="119"/>
      <c r="G861" s="119"/>
      <c r="H861" s="119"/>
      <c r="I861" s="119"/>
      <c r="J861" s="119"/>
      <c r="K861" s="117"/>
      <c r="L861" s="117"/>
      <c r="M861" s="2"/>
      <c r="N861" s="2"/>
      <c r="O861" s="2"/>
      <c r="P861" s="2"/>
      <c r="Q861" s="2"/>
      <c r="R861" s="2"/>
      <c r="S861" s="855"/>
      <c r="T861" s="856"/>
      <c r="U861" s="854"/>
      <c r="V861" s="854"/>
      <c r="W861" s="854"/>
      <c r="X861" s="854"/>
      <c r="Y861" s="854"/>
      <c r="Z861" s="854"/>
    </row>
    <row r="862">
      <c r="A862" s="531"/>
      <c r="B862" s="977"/>
      <c r="C862" s="119"/>
      <c r="D862" s="977"/>
      <c r="E862" s="977"/>
      <c r="F862" s="119"/>
      <c r="G862" s="119"/>
      <c r="H862" s="119"/>
      <c r="I862" s="119"/>
      <c r="J862" s="119"/>
      <c r="K862" s="117"/>
      <c r="L862" s="117"/>
      <c r="M862" s="2"/>
      <c r="N862" s="2"/>
      <c r="O862" s="2"/>
      <c r="P862" s="2"/>
      <c r="Q862" s="2"/>
      <c r="R862" s="2"/>
      <c r="S862" s="852"/>
      <c r="T862" s="853"/>
      <c r="U862" s="854"/>
      <c r="V862" s="854"/>
      <c r="W862" s="854"/>
      <c r="X862" s="854"/>
      <c r="Y862" s="854"/>
      <c r="Z862" s="854"/>
    </row>
    <row r="863">
      <c r="A863" s="531"/>
      <c r="B863" s="977"/>
      <c r="C863" s="119"/>
      <c r="D863" s="977"/>
      <c r="E863" s="977"/>
      <c r="F863" s="119"/>
      <c r="G863" s="119"/>
      <c r="H863" s="119"/>
      <c r="I863" s="119"/>
      <c r="J863" s="119"/>
      <c r="K863" s="117"/>
      <c r="L863" s="117"/>
      <c r="M863" s="2"/>
      <c r="N863" s="2"/>
      <c r="O863" s="2"/>
      <c r="P863" s="2"/>
      <c r="Q863" s="2"/>
      <c r="R863" s="2"/>
      <c r="S863" s="857"/>
      <c r="T863" s="858"/>
      <c r="U863" s="854"/>
      <c r="V863" s="854"/>
      <c r="W863" s="854"/>
      <c r="X863" s="854"/>
      <c r="Y863" s="854"/>
      <c r="Z863" s="854"/>
    </row>
    <row r="864">
      <c r="A864" s="531"/>
      <c r="B864" s="977"/>
      <c r="C864" s="119"/>
      <c r="D864" s="977"/>
      <c r="E864" s="977"/>
      <c r="F864" s="119"/>
      <c r="G864" s="119"/>
      <c r="H864" s="119"/>
      <c r="I864" s="119"/>
      <c r="J864" s="119"/>
      <c r="K864" s="117"/>
      <c r="L864" s="117"/>
      <c r="M864" s="2"/>
      <c r="N864" s="2"/>
      <c r="O864" s="2"/>
      <c r="P864" s="2"/>
      <c r="Q864" s="2"/>
      <c r="R864" s="2"/>
      <c r="S864" s="857"/>
      <c r="T864" s="858"/>
      <c r="U864" s="854"/>
      <c r="V864" s="854"/>
      <c r="W864" s="854"/>
      <c r="X864" s="854"/>
      <c r="Y864" s="854"/>
      <c r="Z864" s="854"/>
    </row>
    <row r="865">
      <c r="A865" s="531"/>
      <c r="B865" s="977"/>
      <c r="C865" s="119"/>
      <c r="D865" s="977"/>
      <c r="E865" s="977"/>
      <c r="F865" s="119"/>
      <c r="G865" s="119"/>
      <c r="H865" s="119"/>
      <c r="I865" s="119"/>
      <c r="J865" s="119"/>
      <c r="K865" s="117"/>
      <c r="L865" s="117"/>
      <c r="M865" s="2"/>
      <c r="N865" s="2"/>
      <c r="O865" s="2"/>
      <c r="P865" s="2"/>
      <c r="Q865" s="2"/>
      <c r="R865" s="2"/>
      <c r="S865" s="857"/>
      <c r="T865" s="858"/>
      <c r="U865" s="854"/>
      <c r="V865" s="854"/>
      <c r="W865" s="854"/>
      <c r="X865" s="854"/>
      <c r="Y865" s="854"/>
      <c r="Z865" s="854"/>
    </row>
    <row r="866">
      <c r="A866" s="531"/>
      <c r="B866" s="977"/>
      <c r="C866" s="119"/>
      <c r="D866" s="977"/>
      <c r="E866" s="977"/>
      <c r="F866" s="119"/>
      <c r="G866" s="119"/>
      <c r="H866" s="119"/>
      <c r="I866" s="119"/>
      <c r="J866" s="119"/>
      <c r="K866" s="117"/>
      <c r="L866" s="117"/>
      <c r="M866" s="2"/>
      <c r="N866" s="2"/>
      <c r="O866" s="2"/>
      <c r="P866" s="2"/>
      <c r="Q866" s="2"/>
      <c r="R866" s="2"/>
      <c r="S866" s="852"/>
      <c r="T866" s="853"/>
      <c r="U866" s="854"/>
      <c r="V866" s="854"/>
      <c r="W866" s="854"/>
      <c r="X866" s="854"/>
      <c r="Y866" s="854"/>
      <c r="Z866" s="854"/>
    </row>
    <row r="867">
      <c r="A867" s="531"/>
      <c r="B867" s="977"/>
      <c r="C867" s="119"/>
      <c r="D867" s="977"/>
      <c r="E867" s="977"/>
      <c r="F867" s="119"/>
      <c r="G867" s="119"/>
      <c r="H867" s="119"/>
      <c r="I867" s="119"/>
      <c r="J867" s="119"/>
      <c r="K867" s="117"/>
      <c r="L867" s="117"/>
      <c r="M867" s="2"/>
      <c r="N867" s="2"/>
      <c r="O867" s="2"/>
      <c r="P867" s="2"/>
      <c r="Q867" s="2"/>
      <c r="R867" s="2"/>
      <c r="S867" s="852"/>
      <c r="T867" s="853"/>
      <c r="U867" s="854"/>
      <c r="V867" s="854"/>
      <c r="W867" s="854"/>
      <c r="X867" s="854"/>
      <c r="Y867" s="854"/>
      <c r="Z867" s="854"/>
    </row>
    <row r="868">
      <c r="A868" s="531"/>
      <c r="B868" s="977"/>
      <c r="C868" s="119"/>
      <c r="D868" s="977"/>
      <c r="E868" s="977"/>
      <c r="F868" s="119"/>
      <c r="G868" s="119"/>
      <c r="H868" s="119"/>
      <c r="I868" s="119"/>
      <c r="J868" s="119"/>
      <c r="K868" s="117"/>
      <c r="L868" s="117"/>
      <c r="M868" s="2"/>
      <c r="N868" s="2"/>
      <c r="O868" s="2"/>
      <c r="P868" s="2"/>
      <c r="Q868" s="2"/>
      <c r="R868" s="2"/>
      <c r="S868" s="852"/>
      <c r="T868" s="853"/>
      <c r="U868" s="854"/>
      <c r="V868" s="854"/>
      <c r="W868" s="854"/>
      <c r="X868" s="854"/>
      <c r="Y868" s="854"/>
      <c r="Z868" s="854"/>
    </row>
    <row r="869">
      <c r="A869" s="531"/>
      <c r="B869" s="977"/>
      <c r="C869" s="119"/>
      <c r="D869" s="977"/>
      <c r="E869" s="977"/>
      <c r="F869" s="119"/>
      <c r="G869" s="119"/>
      <c r="H869" s="119"/>
      <c r="I869" s="119"/>
      <c r="J869" s="119"/>
      <c r="K869" s="117"/>
      <c r="L869" s="117"/>
      <c r="M869" s="2"/>
      <c r="N869" s="2"/>
      <c r="O869" s="2"/>
      <c r="P869" s="2"/>
      <c r="Q869" s="2"/>
      <c r="R869" s="2"/>
      <c r="S869" s="852"/>
      <c r="T869" s="853"/>
      <c r="U869" s="854"/>
      <c r="V869" s="854"/>
      <c r="W869" s="854"/>
      <c r="X869" s="854"/>
      <c r="Y869" s="854"/>
      <c r="Z869" s="854"/>
    </row>
    <row r="870">
      <c r="A870" s="531"/>
      <c r="B870" s="977"/>
      <c r="C870" s="119"/>
      <c r="D870" s="977"/>
      <c r="E870" s="977"/>
      <c r="F870" s="119"/>
      <c r="G870" s="119"/>
      <c r="H870" s="119"/>
      <c r="I870" s="119"/>
      <c r="J870" s="119"/>
      <c r="K870" s="117"/>
      <c r="L870" s="117"/>
      <c r="M870" s="2"/>
      <c r="N870" s="2"/>
      <c r="O870" s="2"/>
      <c r="P870" s="2"/>
      <c r="Q870" s="2"/>
      <c r="R870" s="2"/>
      <c r="S870" s="852"/>
      <c r="T870" s="859"/>
      <c r="U870" s="107"/>
      <c r="V870" s="107"/>
      <c r="W870" s="107"/>
      <c r="X870" s="107"/>
      <c r="Y870" s="107"/>
      <c r="Z870" s="107"/>
    </row>
    <row r="871">
      <c r="A871" s="531"/>
      <c r="B871" s="977"/>
      <c r="C871" s="119"/>
      <c r="D871" s="977"/>
      <c r="E871" s="977"/>
      <c r="F871" s="119"/>
      <c r="G871" s="119"/>
      <c r="H871" s="119"/>
      <c r="I871" s="119"/>
      <c r="J871" s="119"/>
      <c r="K871" s="117"/>
      <c r="L871" s="117"/>
      <c r="M871" s="2"/>
      <c r="N871" s="2"/>
      <c r="O871" s="2"/>
      <c r="P871" s="2"/>
      <c r="Q871" s="2"/>
      <c r="R871" s="2"/>
      <c r="S871" s="852"/>
      <c r="T871" s="859"/>
      <c r="U871" s="107"/>
      <c r="V871" s="107"/>
      <c r="W871" s="107"/>
      <c r="X871" s="107"/>
      <c r="Y871" s="107"/>
      <c r="Z871" s="107"/>
    </row>
    <row r="872">
      <c r="A872" s="531"/>
      <c r="B872" s="977"/>
      <c r="C872" s="119"/>
      <c r="D872" s="977"/>
      <c r="E872" s="977"/>
      <c r="F872" s="119"/>
      <c r="G872" s="119"/>
      <c r="H872" s="119"/>
      <c r="I872" s="119"/>
      <c r="J872" s="119"/>
      <c r="K872" s="117"/>
      <c r="L872" s="117"/>
      <c r="M872" s="2"/>
      <c r="N872" s="2"/>
      <c r="O872" s="2"/>
      <c r="P872" s="2"/>
      <c r="Q872" s="2"/>
      <c r="R872" s="2"/>
      <c r="S872" s="852"/>
      <c r="T872" s="859"/>
      <c r="U872" s="107"/>
      <c r="V872" s="107"/>
      <c r="W872" s="107"/>
      <c r="X872" s="107"/>
      <c r="Y872" s="107"/>
      <c r="Z872" s="107"/>
    </row>
    <row r="873">
      <c r="A873" s="531"/>
      <c r="B873" s="977"/>
      <c r="C873" s="119"/>
      <c r="D873" s="977"/>
      <c r="E873" s="977"/>
      <c r="F873" s="119"/>
      <c r="G873" s="119"/>
      <c r="H873" s="119"/>
      <c r="I873" s="119"/>
      <c r="J873" s="119"/>
      <c r="K873" s="117"/>
      <c r="L873" s="117"/>
      <c r="M873" s="2"/>
      <c r="N873" s="2"/>
      <c r="O873" s="2"/>
      <c r="P873" s="2"/>
      <c r="Q873" s="2"/>
      <c r="R873" s="2"/>
      <c r="S873" s="852"/>
      <c r="T873" s="859"/>
      <c r="U873" s="107"/>
      <c r="V873" s="107"/>
      <c r="W873" s="107"/>
      <c r="X873" s="107"/>
      <c r="Y873" s="107"/>
      <c r="Z873" s="107"/>
    </row>
    <row r="874">
      <c r="A874" s="531"/>
      <c r="B874" s="977"/>
      <c r="C874" s="119"/>
      <c r="D874" s="977"/>
      <c r="E874" s="977"/>
      <c r="F874" s="119"/>
      <c r="G874" s="119"/>
      <c r="H874" s="119"/>
      <c r="I874" s="119"/>
      <c r="J874" s="119"/>
      <c r="K874" s="117"/>
      <c r="L874" s="117"/>
      <c r="M874" s="2"/>
      <c r="N874" s="2"/>
      <c r="O874" s="2"/>
      <c r="P874" s="2"/>
      <c r="Q874" s="2"/>
      <c r="R874" s="2"/>
      <c r="S874" s="852"/>
      <c r="T874" s="859"/>
      <c r="U874" s="107"/>
      <c r="V874" s="107"/>
      <c r="W874" s="107"/>
      <c r="X874" s="107"/>
      <c r="Y874" s="107"/>
      <c r="Z874" s="107"/>
    </row>
    <row r="875">
      <c r="A875" s="531"/>
      <c r="B875" s="977"/>
      <c r="C875" s="119"/>
      <c r="D875" s="977"/>
      <c r="E875" s="977"/>
      <c r="F875" s="119"/>
      <c r="G875" s="119"/>
      <c r="H875" s="119"/>
      <c r="I875" s="119"/>
      <c r="J875" s="119"/>
      <c r="K875" s="117"/>
      <c r="L875" s="117"/>
      <c r="M875" s="2"/>
      <c r="N875" s="2"/>
      <c r="O875" s="2"/>
      <c r="P875" s="2"/>
      <c r="Q875" s="2"/>
      <c r="R875" s="2"/>
      <c r="S875" s="852"/>
      <c r="T875" s="859"/>
      <c r="U875" s="107"/>
      <c r="V875" s="107"/>
      <c r="W875" s="107"/>
      <c r="X875" s="107"/>
      <c r="Y875" s="107"/>
      <c r="Z875" s="107"/>
    </row>
    <row r="876">
      <c r="A876" s="531"/>
      <c r="B876" s="977"/>
      <c r="C876" s="119"/>
      <c r="D876" s="977"/>
      <c r="E876" s="977"/>
      <c r="F876" s="119"/>
      <c r="G876" s="119"/>
      <c r="H876" s="119"/>
      <c r="I876" s="119"/>
      <c r="J876" s="119"/>
      <c r="K876" s="117"/>
      <c r="L876" s="117"/>
      <c r="M876" s="2"/>
      <c r="N876" s="2"/>
      <c r="O876" s="2"/>
      <c r="P876" s="2"/>
      <c r="Q876" s="2"/>
      <c r="R876" s="2"/>
      <c r="S876" s="852"/>
      <c r="T876" s="859"/>
      <c r="U876" s="107"/>
      <c r="V876" s="107"/>
      <c r="W876" s="107"/>
      <c r="X876" s="107"/>
      <c r="Y876" s="107"/>
      <c r="Z876" s="107"/>
    </row>
    <row r="877">
      <c r="A877" s="531"/>
      <c r="B877" s="977"/>
      <c r="C877" s="119"/>
      <c r="D877" s="977"/>
      <c r="E877" s="977"/>
      <c r="F877" s="119"/>
      <c r="G877" s="119"/>
      <c r="H877" s="119"/>
      <c r="I877" s="119"/>
      <c r="J877" s="119"/>
      <c r="K877" s="117"/>
      <c r="L877" s="117"/>
      <c r="M877" s="2"/>
      <c r="N877" s="2"/>
      <c r="O877" s="2"/>
      <c r="P877" s="2"/>
      <c r="Q877" s="2"/>
      <c r="R877" s="2"/>
      <c r="S877" s="852"/>
      <c r="T877" s="859"/>
      <c r="U877" s="107"/>
      <c r="V877" s="107"/>
      <c r="W877" s="107"/>
      <c r="X877" s="107"/>
      <c r="Y877" s="107"/>
      <c r="Z877" s="107"/>
    </row>
    <row r="878">
      <c r="A878" s="531"/>
      <c r="B878" s="977"/>
      <c r="C878" s="119"/>
      <c r="D878" s="977"/>
      <c r="E878" s="977"/>
      <c r="F878" s="119"/>
      <c r="G878" s="119"/>
      <c r="H878" s="119"/>
      <c r="I878" s="119"/>
      <c r="J878" s="119"/>
      <c r="K878" s="117"/>
      <c r="L878" s="117"/>
      <c r="M878" s="2"/>
      <c r="N878" s="2"/>
      <c r="O878" s="2"/>
      <c r="P878" s="2"/>
      <c r="Q878" s="2"/>
      <c r="R878" s="2"/>
      <c r="S878" s="852"/>
      <c r="T878" s="859"/>
      <c r="U878" s="107"/>
      <c r="V878" s="107"/>
      <c r="W878" s="107"/>
      <c r="X878" s="107"/>
      <c r="Y878" s="107"/>
      <c r="Z878" s="107"/>
    </row>
    <row r="879">
      <c r="A879" s="531"/>
      <c r="B879" s="977"/>
      <c r="C879" s="119"/>
      <c r="D879" s="977"/>
      <c r="E879" s="977"/>
      <c r="F879" s="119"/>
      <c r="G879" s="119"/>
      <c r="H879" s="119"/>
      <c r="I879" s="119"/>
      <c r="J879" s="119"/>
      <c r="K879" s="117"/>
      <c r="L879" s="117"/>
      <c r="M879" s="2"/>
      <c r="N879" s="2"/>
      <c r="O879" s="2"/>
      <c r="P879" s="2"/>
      <c r="Q879" s="2"/>
      <c r="R879" s="2"/>
      <c r="S879" s="852"/>
      <c r="T879" s="859"/>
      <c r="U879" s="107"/>
      <c r="V879" s="107"/>
      <c r="W879" s="107"/>
      <c r="X879" s="107"/>
      <c r="Y879" s="107"/>
      <c r="Z879" s="107"/>
    </row>
    <row r="880">
      <c r="A880" s="531"/>
      <c r="B880" s="977"/>
      <c r="C880" s="119"/>
      <c r="D880" s="977"/>
      <c r="E880" s="977"/>
      <c r="F880" s="119"/>
      <c r="G880" s="119"/>
      <c r="H880" s="119"/>
      <c r="I880" s="119"/>
      <c r="J880" s="119"/>
      <c r="K880" s="117"/>
      <c r="L880" s="117"/>
      <c r="M880" s="2"/>
      <c r="N880" s="2"/>
      <c r="O880" s="2"/>
      <c r="P880" s="2"/>
      <c r="Q880" s="2"/>
      <c r="R880" s="2"/>
      <c r="S880" s="857"/>
      <c r="T880" s="860"/>
      <c r="U880" s="107"/>
      <c r="V880" s="107"/>
      <c r="W880" s="107"/>
      <c r="X880" s="107"/>
      <c r="Y880" s="107"/>
      <c r="Z880" s="107"/>
    </row>
    <row r="881">
      <c r="A881" s="531"/>
      <c r="B881" s="977"/>
      <c r="C881" s="119"/>
      <c r="D881" s="977"/>
      <c r="E881" s="977"/>
      <c r="F881" s="119"/>
      <c r="G881" s="119"/>
      <c r="H881" s="119"/>
      <c r="I881" s="119"/>
      <c r="J881" s="119"/>
      <c r="K881" s="117"/>
      <c r="L881" s="117"/>
      <c r="M881" s="2"/>
      <c r="N881" s="2"/>
      <c r="O881" s="2"/>
      <c r="P881" s="2"/>
      <c r="Q881" s="2"/>
      <c r="R881" s="2"/>
      <c r="S881" s="861"/>
      <c r="T881" s="111"/>
      <c r="U881" s="2"/>
      <c r="V881" s="2"/>
      <c r="W881" s="2"/>
      <c r="X881" s="2"/>
      <c r="Y881" s="2"/>
      <c r="Z881" s="2"/>
    </row>
    <row r="882">
      <c r="A882" s="531"/>
      <c r="B882" s="977"/>
      <c r="C882" s="119"/>
      <c r="D882" s="977"/>
      <c r="E882" s="977"/>
      <c r="F882" s="119"/>
      <c r="G882" s="119"/>
      <c r="H882" s="119"/>
      <c r="I882" s="119"/>
      <c r="J882" s="119"/>
      <c r="K882" s="117"/>
      <c r="L882" s="117"/>
      <c r="M882" s="2"/>
      <c r="N882" s="2"/>
      <c r="O882" s="2"/>
      <c r="P882" s="2"/>
      <c r="Q882" s="2"/>
      <c r="R882" s="2"/>
      <c r="S882" s="861"/>
      <c r="T882" s="111"/>
      <c r="U882" s="2"/>
      <c r="V882" s="2"/>
      <c r="W882" s="2"/>
      <c r="X882" s="2"/>
      <c r="Y882" s="2"/>
      <c r="Z882" s="2"/>
    </row>
    <row r="883">
      <c r="A883" s="531"/>
      <c r="B883" s="977"/>
      <c r="C883" s="119"/>
      <c r="D883" s="977"/>
      <c r="E883" s="977"/>
      <c r="F883" s="119"/>
      <c r="G883" s="119"/>
      <c r="H883" s="119"/>
      <c r="I883" s="119"/>
      <c r="J883" s="119"/>
      <c r="K883" s="117"/>
      <c r="L883" s="117"/>
      <c r="M883" s="2"/>
      <c r="N883" s="2"/>
      <c r="O883" s="2"/>
      <c r="P883" s="2"/>
      <c r="Q883" s="2"/>
      <c r="R883" s="2"/>
      <c r="S883" s="861"/>
      <c r="T883" s="111"/>
      <c r="U883" s="2"/>
      <c r="V883" s="2"/>
      <c r="W883" s="2"/>
      <c r="X883" s="2"/>
      <c r="Y883" s="2"/>
      <c r="Z883" s="2"/>
    </row>
    <row r="884">
      <c r="A884" s="531"/>
      <c r="B884" s="977"/>
      <c r="C884" s="119"/>
      <c r="D884" s="977"/>
      <c r="E884" s="977"/>
      <c r="F884" s="119"/>
      <c r="G884" s="119"/>
      <c r="H884" s="119"/>
      <c r="I884" s="119"/>
      <c r="J884" s="119"/>
      <c r="K884" s="117"/>
      <c r="L884" s="117"/>
      <c r="M884" s="2"/>
      <c r="N884" s="2"/>
      <c r="O884" s="2"/>
      <c r="P884" s="2"/>
      <c r="Q884" s="2"/>
      <c r="R884" s="2"/>
      <c r="S884" s="861"/>
      <c r="T884" s="111"/>
      <c r="U884" s="2"/>
      <c r="V884" s="2"/>
      <c r="W884" s="2"/>
      <c r="X884" s="2"/>
      <c r="Y884" s="2"/>
      <c r="Z884" s="2"/>
    </row>
    <row r="885">
      <c r="A885" s="531"/>
      <c r="B885" s="977"/>
      <c r="C885" s="119"/>
      <c r="D885" s="977"/>
      <c r="E885" s="977"/>
      <c r="F885" s="119"/>
      <c r="G885" s="119"/>
      <c r="H885" s="119"/>
      <c r="I885" s="119"/>
      <c r="J885" s="119"/>
      <c r="K885" s="117"/>
      <c r="L885" s="117"/>
      <c r="M885" s="2"/>
      <c r="N885" s="2"/>
      <c r="O885" s="2"/>
      <c r="P885" s="2"/>
      <c r="Q885" s="2"/>
      <c r="R885" s="2"/>
      <c r="S885" s="861"/>
      <c r="T885" s="111"/>
      <c r="U885" s="2"/>
      <c r="V885" s="2"/>
      <c r="W885" s="2"/>
      <c r="X885" s="2"/>
      <c r="Y885" s="2"/>
      <c r="Z885" s="2"/>
    </row>
    <row r="886">
      <c r="A886" s="531"/>
      <c r="B886" s="977"/>
      <c r="C886" s="119"/>
      <c r="D886" s="977"/>
      <c r="E886" s="977"/>
      <c r="F886" s="119"/>
      <c r="G886" s="119"/>
      <c r="H886" s="119"/>
      <c r="I886" s="119"/>
      <c r="J886" s="119"/>
      <c r="K886" s="117"/>
      <c r="L886" s="117"/>
      <c r="M886" s="2"/>
      <c r="N886" s="2"/>
      <c r="O886" s="2"/>
      <c r="P886" s="2"/>
      <c r="Q886" s="2"/>
      <c r="R886" s="2"/>
      <c r="S886" s="862"/>
      <c r="T886" s="109"/>
      <c r="U886" s="2"/>
      <c r="V886" s="2"/>
      <c r="W886" s="2"/>
      <c r="X886" s="2"/>
      <c r="Y886" s="2"/>
      <c r="Z886" s="2"/>
    </row>
    <row r="887">
      <c r="A887" s="531"/>
      <c r="B887" s="977"/>
      <c r="C887" s="119"/>
      <c r="D887" s="977"/>
      <c r="E887" s="977"/>
      <c r="F887" s="119"/>
      <c r="G887" s="119"/>
      <c r="H887" s="119"/>
      <c r="I887" s="119"/>
      <c r="J887" s="119"/>
      <c r="K887" s="117"/>
      <c r="L887" s="117"/>
      <c r="M887" s="2"/>
      <c r="N887" s="2"/>
      <c r="O887" s="2"/>
      <c r="P887" s="2"/>
      <c r="Q887" s="2"/>
      <c r="R887" s="2"/>
      <c r="S887" s="861"/>
      <c r="T887" s="111"/>
      <c r="U887" s="2"/>
      <c r="V887" s="2"/>
      <c r="W887" s="2"/>
      <c r="X887" s="2"/>
      <c r="Y887" s="2"/>
      <c r="Z887" s="2"/>
    </row>
    <row r="888">
      <c r="A888" s="531"/>
      <c r="B888" s="977"/>
      <c r="C888" s="119"/>
      <c r="D888" s="977"/>
      <c r="E888" s="977"/>
      <c r="F888" s="119"/>
      <c r="G888" s="119"/>
      <c r="H888" s="119"/>
      <c r="I888" s="119"/>
      <c r="J888" s="119"/>
      <c r="K888" s="117"/>
      <c r="L888" s="117"/>
      <c r="M888" s="2"/>
      <c r="N888" s="2"/>
      <c r="O888" s="2"/>
      <c r="P888" s="2"/>
      <c r="Q888" s="2"/>
      <c r="R888" s="2"/>
      <c r="S888" s="861"/>
      <c r="T888" s="111"/>
      <c r="U888" s="2"/>
      <c r="V888" s="2"/>
      <c r="W888" s="2"/>
      <c r="X888" s="2"/>
      <c r="Y888" s="2"/>
      <c r="Z888" s="2"/>
    </row>
    <row r="889">
      <c r="A889" s="531"/>
      <c r="B889" s="977"/>
      <c r="C889" s="119"/>
      <c r="D889" s="977"/>
      <c r="E889" s="977"/>
      <c r="F889" s="119"/>
      <c r="G889" s="119"/>
      <c r="H889" s="119"/>
      <c r="I889" s="119"/>
      <c r="J889" s="119"/>
      <c r="K889" s="117"/>
      <c r="L889" s="117"/>
      <c r="M889" s="2"/>
      <c r="N889" s="2"/>
      <c r="O889" s="2"/>
      <c r="P889" s="2"/>
      <c r="Q889" s="2"/>
      <c r="R889" s="2"/>
      <c r="S889" s="861"/>
      <c r="T889" s="111"/>
      <c r="U889" s="2"/>
      <c r="V889" s="2"/>
      <c r="W889" s="2"/>
      <c r="X889" s="2"/>
      <c r="Y889" s="2"/>
      <c r="Z889" s="2"/>
    </row>
    <row r="890">
      <c r="A890" s="531"/>
      <c r="B890" s="977"/>
      <c r="C890" s="119"/>
      <c r="D890" s="977"/>
      <c r="E890" s="977"/>
      <c r="F890" s="119"/>
      <c r="G890" s="119"/>
      <c r="H890" s="119"/>
      <c r="I890" s="119"/>
      <c r="J890" s="119"/>
      <c r="K890" s="117"/>
      <c r="L890" s="117"/>
      <c r="M890" s="2"/>
      <c r="N890" s="2"/>
      <c r="O890" s="2"/>
      <c r="P890" s="2"/>
      <c r="Q890" s="2"/>
      <c r="R890" s="2"/>
      <c r="S890" s="861"/>
      <c r="T890" s="111"/>
      <c r="U890" s="2"/>
      <c r="V890" s="2"/>
      <c r="W890" s="2"/>
      <c r="X890" s="2"/>
      <c r="Y890" s="2"/>
      <c r="Z890" s="2"/>
    </row>
    <row r="891">
      <c r="A891" s="531"/>
      <c r="B891" s="977"/>
      <c r="C891" s="119"/>
      <c r="D891" s="977"/>
      <c r="E891" s="977"/>
      <c r="F891" s="119"/>
      <c r="G891" s="119"/>
      <c r="H891" s="119"/>
      <c r="I891" s="119"/>
      <c r="J891" s="119"/>
      <c r="K891" s="117"/>
      <c r="L891" s="117"/>
      <c r="M891" s="2"/>
      <c r="N891" s="2"/>
      <c r="O891" s="2"/>
      <c r="P891" s="2"/>
      <c r="Q891" s="2"/>
      <c r="R891" s="2"/>
      <c r="S891" s="861"/>
      <c r="T891" s="111"/>
      <c r="U891" s="2"/>
      <c r="V891" s="2"/>
      <c r="W891" s="2"/>
      <c r="X891" s="2"/>
      <c r="Y891" s="2"/>
      <c r="Z891" s="2"/>
    </row>
    <row r="892">
      <c r="A892" s="531"/>
      <c r="B892" s="977"/>
      <c r="C892" s="119"/>
      <c r="D892" s="977"/>
      <c r="E892" s="977"/>
      <c r="F892" s="119"/>
      <c r="G892" s="119"/>
      <c r="H892" s="119"/>
      <c r="I892" s="119"/>
      <c r="J892" s="119"/>
      <c r="K892" s="117"/>
      <c r="L892" s="117"/>
      <c r="M892" s="2"/>
      <c r="N892" s="2"/>
      <c r="O892" s="2"/>
      <c r="P892" s="2"/>
      <c r="Q892" s="2"/>
      <c r="R892" s="2"/>
      <c r="S892" s="861"/>
      <c r="T892" s="111"/>
      <c r="U892" s="2"/>
      <c r="V892" s="2"/>
      <c r="W892" s="2"/>
      <c r="X892" s="2"/>
      <c r="Y892" s="2"/>
      <c r="Z892" s="2"/>
    </row>
    <row r="893">
      <c r="A893" s="531"/>
      <c r="B893" s="977"/>
      <c r="C893" s="119"/>
      <c r="D893" s="977"/>
      <c r="E893" s="977"/>
      <c r="F893" s="119"/>
      <c r="G893" s="119"/>
      <c r="H893" s="119"/>
      <c r="I893" s="119"/>
      <c r="J893" s="119"/>
      <c r="K893" s="117"/>
      <c r="L893" s="117"/>
      <c r="M893" s="2"/>
      <c r="N893" s="2"/>
      <c r="O893" s="2"/>
      <c r="P893" s="2"/>
      <c r="Q893" s="2"/>
      <c r="R893" s="2"/>
      <c r="S893" s="861"/>
      <c r="T893" s="111"/>
      <c r="U893" s="2"/>
      <c r="V893" s="2"/>
      <c r="W893" s="2"/>
      <c r="X893" s="2"/>
      <c r="Y893" s="2"/>
      <c r="Z893" s="2"/>
    </row>
    <row r="894">
      <c r="A894" s="531"/>
      <c r="B894" s="977"/>
      <c r="C894" s="119"/>
      <c r="D894" s="977"/>
      <c r="E894" s="977"/>
      <c r="F894" s="119"/>
      <c r="G894" s="119"/>
      <c r="H894" s="119"/>
      <c r="I894" s="119"/>
      <c r="J894" s="119"/>
      <c r="K894" s="117"/>
      <c r="L894" s="117"/>
      <c r="M894" s="2"/>
      <c r="N894" s="2"/>
      <c r="O894" s="2"/>
      <c r="P894" s="2"/>
      <c r="Q894" s="2"/>
      <c r="R894" s="2"/>
      <c r="S894" s="861"/>
      <c r="T894" s="111"/>
      <c r="U894" s="2"/>
      <c r="V894" s="2"/>
      <c r="W894" s="2"/>
      <c r="X894" s="2"/>
      <c r="Y894" s="2"/>
      <c r="Z894" s="2"/>
    </row>
    <row r="895">
      <c r="A895" s="531"/>
      <c r="B895" s="977"/>
      <c r="C895" s="119"/>
      <c r="D895" s="977"/>
      <c r="E895" s="977"/>
      <c r="F895" s="119"/>
      <c r="G895" s="119"/>
      <c r="H895" s="119"/>
      <c r="I895" s="119"/>
      <c r="J895" s="119"/>
      <c r="K895" s="117"/>
      <c r="L895" s="117"/>
      <c r="M895" s="2"/>
      <c r="N895" s="2"/>
      <c r="O895" s="2"/>
      <c r="P895" s="2"/>
      <c r="Q895" s="2"/>
      <c r="R895" s="2"/>
      <c r="S895" s="862"/>
      <c r="T895" s="109"/>
      <c r="U895" s="2"/>
      <c r="V895" s="2"/>
      <c r="W895" s="2"/>
      <c r="X895" s="2"/>
      <c r="Y895" s="2"/>
      <c r="Z895" s="2"/>
    </row>
    <row r="896">
      <c r="A896" s="531"/>
      <c r="B896" s="977"/>
      <c r="C896" s="119"/>
      <c r="D896" s="977"/>
      <c r="E896" s="977"/>
      <c r="F896" s="119"/>
      <c r="G896" s="119"/>
      <c r="H896" s="119"/>
      <c r="I896" s="119"/>
      <c r="J896" s="119"/>
      <c r="K896" s="117"/>
      <c r="L896" s="117"/>
      <c r="M896" s="2"/>
      <c r="N896" s="2"/>
      <c r="O896" s="2"/>
      <c r="P896" s="2"/>
      <c r="Q896" s="2"/>
      <c r="R896" s="2"/>
      <c r="S896" s="862"/>
      <c r="T896" s="109"/>
      <c r="U896" s="54"/>
      <c r="V896" s="54"/>
      <c r="W896" s="54"/>
      <c r="X896" s="54"/>
      <c r="Y896" s="54"/>
      <c r="Z896" s="54"/>
    </row>
    <row r="897">
      <c r="A897" s="531"/>
      <c r="B897" s="977"/>
      <c r="C897" s="119"/>
      <c r="D897" s="977"/>
      <c r="E897" s="977"/>
      <c r="F897" s="119"/>
      <c r="G897" s="119"/>
      <c r="H897" s="119"/>
      <c r="I897" s="119"/>
      <c r="J897" s="119"/>
      <c r="K897" s="117"/>
      <c r="L897" s="117"/>
      <c r="M897" s="2"/>
      <c r="N897" s="2"/>
      <c r="O897" s="2"/>
      <c r="P897" s="2"/>
      <c r="Q897" s="2"/>
      <c r="R897" s="2"/>
      <c r="S897" s="117"/>
      <c r="T897" s="2"/>
      <c r="U897" s="2"/>
      <c r="V897" s="2"/>
      <c r="W897" s="2"/>
      <c r="X897" s="2"/>
      <c r="Y897" s="2"/>
      <c r="Z897" s="2"/>
    </row>
    <row r="898">
      <c r="A898" s="531"/>
      <c r="B898" s="977"/>
      <c r="C898" s="119"/>
      <c r="D898" s="977"/>
      <c r="E898" s="977"/>
      <c r="F898" s="119"/>
      <c r="G898" s="119"/>
      <c r="H898" s="119"/>
      <c r="I898" s="119"/>
      <c r="J898" s="119"/>
      <c r="K898" s="117"/>
      <c r="L898" s="117"/>
      <c r="M898" s="2"/>
      <c r="N898" s="2"/>
      <c r="O898" s="2"/>
      <c r="P898" s="2"/>
      <c r="Q898" s="2"/>
      <c r="R898" s="2"/>
      <c r="S898" s="117"/>
      <c r="T898" s="2"/>
      <c r="U898" s="2"/>
      <c r="V898" s="2"/>
      <c r="W898" s="2"/>
      <c r="X898" s="2"/>
      <c r="Y898" s="2"/>
      <c r="Z898" s="2"/>
    </row>
    <row r="899">
      <c r="A899" s="531"/>
      <c r="B899" s="977"/>
      <c r="C899" s="119"/>
      <c r="D899" s="977"/>
      <c r="E899" s="977"/>
      <c r="F899" s="119"/>
      <c r="G899" s="119"/>
      <c r="H899" s="119"/>
      <c r="I899" s="119"/>
      <c r="J899" s="119"/>
      <c r="K899" s="117"/>
      <c r="L899" s="117"/>
      <c r="M899" s="2"/>
      <c r="N899" s="2"/>
      <c r="O899" s="2"/>
      <c r="P899" s="2"/>
      <c r="Q899" s="2"/>
      <c r="R899" s="2"/>
      <c r="S899" s="847"/>
      <c r="T899" s="847"/>
      <c r="U899" s="116"/>
      <c r="V899" s="116"/>
      <c r="W899" s="116"/>
      <c r="X899" s="116"/>
      <c r="Y899" s="116"/>
      <c r="Z899" s="116"/>
    </row>
    <row r="900">
      <c r="A900" s="531"/>
      <c r="B900" s="977"/>
      <c r="C900" s="119"/>
      <c r="D900" s="977"/>
      <c r="E900" s="977"/>
      <c r="F900" s="119"/>
      <c r="G900" s="119"/>
      <c r="H900" s="119"/>
      <c r="I900" s="119"/>
      <c r="J900" s="119"/>
      <c r="K900" s="117"/>
      <c r="L900" s="117"/>
      <c r="M900" s="2"/>
      <c r="N900" s="2"/>
      <c r="O900" s="2"/>
      <c r="P900" s="2"/>
      <c r="Q900" s="2"/>
      <c r="R900" s="2"/>
      <c r="S900" s="848"/>
      <c r="T900" s="848"/>
      <c r="U900" s="848"/>
      <c r="V900" s="848"/>
      <c r="W900" s="848"/>
      <c r="X900" s="848"/>
      <c r="Y900" s="848"/>
      <c r="Z900" s="848"/>
    </row>
    <row r="901">
      <c r="A901" s="531"/>
      <c r="B901" s="977"/>
      <c r="C901" s="119"/>
      <c r="D901" s="977"/>
      <c r="E901" s="977"/>
      <c r="F901" s="119"/>
      <c r="G901" s="119"/>
      <c r="H901" s="119"/>
      <c r="I901" s="119"/>
      <c r="J901" s="119"/>
      <c r="K901" s="117"/>
      <c r="L901" s="117"/>
      <c r="M901" s="2"/>
      <c r="N901" s="2"/>
      <c r="O901" s="2"/>
      <c r="P901" s="2"/>
      <c r="Q901" s="2"/>
      <c r="R901" s="2"/>
      <c r="S901" s="849"/>
      <c r="T901" s="850"/>
      <c r="U901" s="851"/>
      <c r="V901" s="851"/>
      <c r="W901" s="851"/>
      <c r="X901" s="851"/>
      <c r="Y901" s="851"/>
      <c r="Z901" s="851"/>
    </row>
    <row r="902">
      <c r="A902" s="531"/>
      <c r="B902" s="977"/>
      <c r="C902" s="119"/>
      <c r="D902" s="977"/>
      <c r="E902" s="977"/>
      <c r="F902" s="119"/>
      <c r="G902" s="119"/>
      <c r="H902" s="119"/>
      <c r="I902" s="119"/>
      <c r="J902" s="119"/>
      <c r="K902" s="117"/>
      <c r="L902" s="117"/>
      <c r="M902" s="2"/>
      <c r="N902" s="2"/>
      <c r="O902" s="2"/>
      <c r="P902" s="2"/>
      <c r="Q902" s="2"/>
      <c r="R902" s="2"/>
      <c r="S902" s="852"/>
      <c r="T902" s="853"/>
      <c r="U902" s="854"/>
      <c r="V902" s="854"/>
      <c r="W902" s="854"/>
      <c r="X902" s="854"/>
      <c r="Y902" s="854"/>
      <c r="Z902" s="854"/>
    </row>
    <row r="903">
      <c r="A903" s="531"/>
      <c r="B903" s="977"/>
      <c r="C903" s="119"/>
      <c r="D903" s="977"/>
      <c r="E903" s="977"/>
      <c r="F903" s="119"/>
      <c r="G903" s="119"/>
      <c r="H903" s="119"/>
      <c r="I903" s="119"/>
      <c r="J903" s="119"/>
      <c r="K903" s="117"/>
      <c r="L903" s="117"/>
      <c r="M903" s="2"/>
      <c r="N903" s="2"/>
      <c r="O903" s="2"/>
      <c r="P903" s="2"/>
      <c r="Q903" s="2"/>
      <c r="R903" s="2"/>
      <c r="S903" s="855"/>
      <c r="T903" s="856"/>
      <c r="U903" s="854"/>
      <c r="V903" s="854"/>
      <c r="W903" s="854"/>
      <c r="X903" s="854"/>
      <c r="Y903" s="854"/>
      <c r="Z903" s="854"/>
    </row>
    <row r="904">
      <c r="A904" s="531"/>
      <c r="B904" s="977"/>
      <c r="C904" s="119"/>
      <c r="D904" s="977"/>
      <c r="E904" s="977"/>
      <c r="F904" s="119"/>
      <c r="G904" s="119"/>
      <c r="H904" s="119"/>
      <c r="I904" s="119"/>
      <c r="J904" s="119"/>
      <c r="K904" s="117"/>
      <c r="L904" s="117"/>
      <c r="M904" s="2"/>
      <c r="N904" s="2"/>
      <c r="O904" s="2"/>
      <c r="P904" s="2"/>
      <c r="Q904" s="2"/>
      <c r="R904" s="2"/>
      <c r="S904" s="855"/>
      <c r="T904" s="856"/>
      <c r="U904" s="854"/>
      <c r="V904" s="854"/>
      <c r="W904" s="854"/>
      <c r="X904" s="854"/>
      <c r="Y904" s="854"/>
      <c r="Z904" s="854"/>
    </row>
    <row r="905">
      <c r="A905" s="531"/>
      <c r="B905" s="977"/>
      <c r="C905" s="119"/>
      <c r="D905" s="977"/>
      <c r="E905" s="977"/>
      <c r="F905" s="119"/>
      <c r="G905" s="119"/>
      <c r="H905" s="119"/>
      <c r="I905" s="119"/>
      <c r="J905" s="119"/>
      <c r="K905" s="117"/>
      <c r="L905" s="117"/>
      <c r="M905" s="2"/>
      <c r="N905" s="2"/>
      <c r="O905" s="2"/>
      <c r="P905" s="2"/>
      <c r="Q905" s="2"/>
      <c r="R905" s="2"/>
      <c r="S905" s="852"/>
      <c r="T905" s="853"/>
      <c r="U905" s="854"/>
      <c r="V905" s="854"/>
      <c r="W905" s="854"/>
      <c r="X905" s="854"/>
      <c r="Y905" s="854"/>
      <c r="Z905" s="854"/>
    </row>
    <row r="906">
      <c r="A906" s="531"/>
      <c r="B906" s="977"/>
      <c r="C906" s="119"/>
      <c r="D906" s="977"/>
      <c r="E906" s="977"/>
      <c r="F906" s="119"/>
      <c r="G906" s="119"/>
      <c r="H906" s="119"/>
      <c r="I906" s="119"/>
      <c r="J906" s="119"/>
      <c r="K906" s="117"/>
      <c r="L906" s="117"/>
      <c r="M906" s="2"/>
      <c r="N906" s="2"/>
      <c r="O906" s="2"/>
      <c r="P906" s="2"/>
      <c r="Q906" s="2"/>
      <c r="R906" s="2"/>
      <c r="S906" s="857"/>
      <c r="T906" s="858"/>
      <c r="U906" s="854"/>
      <c r="V906" s="854"/>
      <c r="W906" s="854"/>
      <c r="X906" s="854"/>
      <c r="Y906" s="854"/>
      <c r="Z906" s="854"/>
    </row>
    <row r="907">
      <c r="A907" s="531"/>
      <c r="B907" s="977"/>
      <c r="C907" s="119"/>
      <c r="D907" s="977"/>
      <c r="E907" s="977"/>
      <c r="F907" s="119"/>
      <c r="G907" s="119"/>
      <c r="H907" s="119"/>
      <c r="I907" s="119"/>
      <c r="J907" s="119"/>
      <c r="K907" s="117"/>
      <c r="L907" s="117"/>
      <c r="M907" s="2"/>
      <c r="N907" s="2"/>
      <c r="O907" s="2"/>
      <c r="P907" s="2"/>
      <c r="Q907" s="2"/>
      <c r="R907" s="2"/>
      <c r="S907" s="857"/>
      <c r="T907" s="858"/>
      <c r="U907" s="854"/>
      <c r="V907" s="854"/>
      <c r="W907" s="854"/>
      <c r="X907" s="854"/>
      <c r="Y907" s="854"/>
      <c r="Z907" s="854"/>
    </row>
    <row r="908">
      <c r="A908" s="531"/>
      <c r="B908" s="977"/>
      <c r="C908" s="119"/>
      <c r="D908" s="977"/>
      <c r="E908" s="977"/>
      <c r="F908" s="119"/>
      <c r="G908" s="119"/>
      <c r="H908" s="119"/>
      <c r="I908" s="119"/>
      <c r="J908" s="119"/>
      <c r="K908" s="117"/>
      <c r="L908" s="117"/>
      <c r="M908" s="2"/>
      <c r="N908" s="2"/>
      <c r="O908" s="2"/>
      <c r="P908" s="2"/>
      <c r="Q908" s="2"/>
      <c r="R908" s="2"/>
      <c r="S908" s="857"/>
      <c r="T908" s="858"/>
      <c r="U908" s="854"/>
      <c r="V908" s="854"/>
      <c r="W908" s="854"/>
      <c r="X908" s="854"/>
      <c r="Y908" s="854"/>
      <c r="Z908" s="854"/>
    </row>
    <row r="909">
      <c r="A909" s="531"/>
      <c r="B909" s="977"/>
      <c r="C909" s="119"/>
      <c r="D909" s="977"/>
      <c r="E909" s="977"/>
      <c r="F909" s="119"/>
      <c r="G909" s="119"/>
      <c r="H909" s="119"/>
      <c r="I909" s="119"/>
      <c r="J909" s="119"/>
      <c r="K909" s="117"/>
      <c r="L909" s="117"/>
      <c r="M909" s="2"/>
      <c r="N909" s="2"/>
      <c r="O909" s="2"/>
      <c r="P909" s="2"/>
      <c r="Q909" s="2"/>
      <c r="R909" s="2"/>
      <c r="S909" s="852"/>
      <c r="T909" s="853"/>
      <c r="U909" s="854"/>
      <c r="V909" s="854"/>
      <c r="W909" s="854"/>
      <c r="X909" s="854"/>
      <c r="Y909" s="854"/>
      <c r="Z909" s="854"/>
    </row>
    <row r="910">
      <c r="A910" s="531"/>
      <c r="B910" s="977"/>
      <c r="C910" s="119"/>
      <c r="D910" s="977"/>
      <c r="E910" s="977"/>
      <c r="F910" s="119"/>
      <c r="G910" s="119"/>
      <c r="H910" s="119"/>
      <c r="I910" s="119"/>
      <c r="J910" s="119"/>
      <c r="K910" s="117"/>
      <c r="L910" s="117"/>
      <c r="M910" s="2"/>
      <c r="N910" s="2"/>
      <c r="O910" s="2"/>
      <c r="P910" s="2"/>
      <c r="Q910" s="2"/>
      <c r="R910" s="2"/>
      <c r="S910" s="852"/>
      <c r="T910" s="853"/>
      <c r="U910" s="854"/>
      <c r="V910" s="854"/>
      <c r="W910" s="854"/>
      <c r="X910" s="854"/>
      <c r="Y910" s="854"/>
      <c r="Z910" s="854"/>
    </row>
    <row r="911">
      <c r="A911" s="531"/>
      <c r="B911" s="977"/>
      <c r="C911" s="119"/>
      <c r="D911" s="977"/>
      <c r="E911" s="977"/>
      <c r="F911" s="119"/>
      <c r="G911" s="119"/>
      <c r="H911" s="119"/>
      <c r="I911" s="119"/>
      <c r="J911" s="119"/>
      <c r="K911" s="117"/>
      <c r="L911" s="117"/>
      <c r="M911" s="2"/>
      <c r="N911" s="2"/>
      <c r="O911" s="2"/>
      <c r="P911" s="2"/>
      <c r="Q911" s="2"/>
      <c r="R911" s="2"/>
      <c r="S911" s="852"/>
      <c r="T911" s="853"/>
      <c r="U911" s="854"/>
      <c r="V911" s="854"/>
      <c r="W911" s="854"/>
      <c r="X911" s="854"/>
      <c r="Y911" s="854"/>
      <c r="Z911" s="854"/>
    </row>
    <row r="912">
      <c r="A912" s="531"/>
      <c r="B912" s="977"/>
      <c r="C912" s="119"/>
      <c r="D912" s="977"/>
      <c r="E912" s="977"/>
      <c r="F912" s="119"/>
      <c r="G912" s="119"/>
      <c r="H912" s="119"/>
      <c r="I912" s="119"/>
      <c r="J912" s="119"/>
      <c r="K912" s="117"/>
      <c r="L912" s="117"/>
      <c r="M912" s="2"/>
      <c r="N912" s="2"/>
      <c r="O912" s="2"/>
      <c r="P912" s="2"/>
      <c r="Q912" s="2"/>
      <c r="R912" s="2"/>
      <c r="S912" s="852"/>
      <c r="T912" s="853"/>
      <c r="U912" s="854"/>
      <c r="V912" s="854"/>
      <c r="W912" s="854"/>
      <c r="X912" s="854"/>
      <c r="Y912" s="854"/>
      <c r="Z912" s="854"/>
    </row>
    <row r="913">
      <c r="A913" s="531"/>
      <c r="B913" s="977"/>
      <c r="C913" s="119"/>
      <c r="D913" s="977"/>
      <c r="E913" s="977"/>
      <c r="F913" s="119"/>
      <c r="G913" s="119"/>
      <c r="H913" s="119"/>
      <c r="I913" s="119"/>
      <c r="J913" s="119"/>
      <c r="K913" s="117"/>
      <c r="L913" s="117"/>
      <c r="M913" s="2"/>
      <c r="N913" s="2"/>
      <c r="O913" s="2"/>
      <c r="P913" s="2"/>
      <c r="Q913" s="2"/>
      <c r="R913" s="2"/>
      <c r="S913" s="852"/>
      <c r="T913" s="859"/>
      <c r="U913" s="107"/>
      <c r="V913" s="107"/>
      <c r="W913" s="107"/>
      <c r="X913" s="107"/>
      <c r="Y913" s="107"/>
      <c r="Z913" s="107"/>
    </row>
    <row r="914">
      <c r="A914" s="531"/>
      <c r="B914" s="977"/>
      <c r="C914" s="119"/>
      <c r="D914" s="977"/>
      <c r="E914" s="977"/>
      <c r="F914" s="119"/>
      <c r="G914" s="119"/>
      <c r="H914" s="119"/>
      <c r="I914" s="119"/>
      <c r="J914" s="119"/>
      <c r="K914" s="117"/>
      <c r="L914" s="117"/>
      <c r="M914" s="2"/>
      <c r="N914" s="2"/>
      <c r="O914" s="2"/>
      <c r="P914" s="2"/>
      <c r="Q914" s="2"/>
      <c r="R914" s="2"/>
      <c r="S914" s="852"/>
      <c r="T914" s="859"/>
      <c r="U914" s="107"/>
      <c r="V914" s="107"/>
      <c r="W914" s="107"/>
      <c r="X914" s="107"/>
      <c r="Y914" s="107"/>
      <c r="Z914" s="107"/>
    </row>
    <row r="915">
      <c r="A915" s="531"/>
      <c r="B915" s="977"/>
      <c r="C915" s="119"/>
      <c r="D915" s="977"/>
      <c r="E915" s="977"/>
      <c r="F915" s="119"/>
      <c r="G915" s="119"/>
      <c r="H915" s="119"/>
      <c r="I915" s="119"/>
      <c r="J915" s="119"/>
      <c r="K915" s="117"/>
      <c r="L915" s="117"/>
      <c r="M915" s="2"/>
      <c r="N915" s="2"/>
      <c r="O915" s="2"/>
      <c r="P915" s="2"/>
      <c r="Q915" s="2"/>
      <c r="R915" s="2"/>
      <c r="S915" s="852"/>
      <c r="T915" s="859"/>
      <c r="U915" s="107"/>
      <c r="V915" s="107"/>
      <c r="W915" s="107"/>
      <c r="X915" s="107"/>
      <c r="Y915" s="107"/>
      <c r="Z915" s="107"/>
    </row>
    <row r="916">
      <c r="A916" s="531"/>
      <c r="B916" s="977"/>
      <c r="C916" s="119"/>
      <c r="D916" s="977"/>
      <c r="E916" s="977"/>
      <c r="F916" s="119"/>
      <c r="G916" s="119"/>
      <c r="H916" s="119"/>
      <c r="I916" s="119"/>
      <c r="J916" s="119"/>
      <c r="K916" s="117"/>
      <c r="L916" s="117"/>
      <c r="M916" s="2"/>
      <c r="N916" s="2"/>
      <c r="O916" s="2"/>
      <c r="P916" s="2"/>
      <c r="Q916" s="2"/>
      <c r="R916" s="2"/>
      <c r="S916" s="852"/>
      <c r="T916" s="859"/>
      <c r="U916" s="107"/>
      <c r="V916" s="107"/>
      <c r="W916" s="107"/>
      <c r="X916" s="107"/>
      <c r="Y916" s="107"/>
      <c r="Z916" s="107"/>
    </row>
    <row r="917">
      <c r="A917" s="531"/>
      <c r="B917" s="977"/>
      <c r="C917" s="119"/>
      <c r="D917" s="977"/>
      <c r="E917" s="977"/>
      <c r="F917" s="119"/>
      <c r="G917" s="119"/>
      <c r="H917" s="119"/>
      <c r="I917" s="119"/>
      <c r="J917" s="119"/>
      <c r="K917" s="117"/>
      <c r="L917" s="117"/>
      <c r="M917" s="2"/>
      <c r="N917" s="2"/>
      <c r="O917" s="2"/>
      <c r="P917" s="2"/>
      <c r="Q917" s="2"/>
      <c r="R917" s="2"/>
      <c r="S917" s="852"/>
      <c r="T917" s="859"/>
      <c r="U917" s="107"/>
      <c r="V917" s="107"/>
      <c r="W917" s="107"/>
      <c r="X917" s="107"/>
      <c r="Y917" s="107"/>
      <c r="Z917" s="107"/>
    </row>
    <row r="918">
      <c r="A918" s="531"/>
      <c r="B918" s="977"/>
      <c r="C918" s="119"/>
      <c r="D918" s="977"/>
      <c r="E918" s="977"/>
      <c r="F918" s="119"/>
      <c r="G918" s="119"/>
      <c r="H918" s="119"/>
      <c r="I918" s="119"/>
      <c r="J918" s="119"/>
      <c r="K918" s="117"/>
      <c r="L918" s="117"/>
      <c r="M918" s="2"/>
      <c r="N918" s="2"/>
      <c r="O918" s="2"/>
      <c r="P918" s="2"/>
      <c r="Q918" s="2"/>
      <c r="R918" s="2"/>
      <c r="S918" s="852"/>
      <c r="T918" s="859"/>
      <c r="U918" s="107"/>
      <c r="V918" s="107"/>
      <c r="W918" s="107"/>
      <c r="X918" s="107"/>
      <c r="Y918" s="107"/>
      <c r="Z918" s="107"/>
    </row>
    <row r="919">
      <c r="A919" s="531"/>
      <c r="B919" s="977"/>
      <c r="C919" s="119"/>
      <c r="D919" s="977"/>
      <c r="E919" s="977"/>
      <c r="F919" s="119"/>
      <c r="G919" s="119"/>
      <c r="H919" s="119"/>
      <c r="I919" s="119"/>
      <c r="J919" s="119"/>
      <c r="K919" s="117"/>
      <c r="L919" s="117"/>
      <c r="M919" s="2"/>
      <c r="N919" s="2"/>
      <c r="O919" s="2"/>
      <c r="P919" s="2"/>
      <c r="Q919" s="2"/>
      <c r="R919" s="2"/>
      <c r="S919" s="852"/>
      <c r="T919" s="859"/>
      <c r="U919" s="107"/>
      <c r="V919" s="107"/>
      <c r="W919" s="107"/>
      <c r="X919" s="107"/>
      <c r="Y919" s="107"/>
      <c r="Z919" s="107"/>
    </row>
    <row r="920">
      <c r="A920" s="531"/>
      <c r="B920" s="977"/>
      <c r="C920" s="119"/>
      <c r="D920" s="977"/>
      <c r="E920" s="977"/>
      <c r="F920" s="119"/>
      <c r="G920" s="119"/>
      <c r="H920" s="119"/>
      <c r="I920" s="119"/>
      <c r="J920" s="119"/>
      <c r="K920" s="117"/>
      <c r="L920" s="117"/>
      <c r="M920" s="2"/>
      <c r="N920" s="2"/>
      <c r="O920" s="2"/>
      <c r="P920" s="2"/>
      <c r="Q920" s="2"/>
      <c r="R920" s="2"/>
      <c r="S920" s="852"/>
      <c r="T920" s="859"/>
      <c r="U920" s="107"/>
      <c r="V920" s="107"/>
      <c r="W920" s="107"/>
      <c r="X920" s="107"/>
      <c r="Y920" s="107"/>
      <c r="Z920" s="107"/>
    </row>
    <row r="921">
      <c r="A921" s="531"/>
      <c r="B921" s="977"/>
      <c r="C921" s="119"/>
      <c r="D921" s="977"/>
      <c r="E921" s="977"/>
      <c r="F921" s="119"/>
      <c r="G921" s="119"/>
      <c r="H921" s="119"/>
      <c r="I921" s="119"/>
      <c r="J921" s="119"/>
      <c r="K921" s="117"/>
      <c r="L921" s="117"/>
      <c r="M921" s="2"/>
      <c r="N921" s="2"/>
      <c r="O921" s="2"/>
      <c r="P921" s="2"/>
      <c r="Q921" s="2"/>
      <c r="R921" s="2"/>
      <c r="S921" s="852"/>
      <c r="T921" s="859"/>
      <c r="U921" s="107"/>
      <c r="V921" s="107"/>
      <c r="W921" s="107"/>
      <c r="X921" s="107"/>
      <c r="Y921" s="107"/>
      <c r="Z921" s="107"/>
    </row>
    <row r="922">
      <c r="A922" s="531"/>
      <c r="B922" s="977"/>
      <c r="C922" s="119"/>
      <c r="D922" s="977"/>
      <c r="E922" s="977"/>
      <c r="F922" s="119"/>
      <c r="G922" s="119"/>
      <c r="H922" s="119"/>
      <c r="I922" s="119"/>
      <c r="J922" s="119"/>
      <c r="K922" s="117"/>
      <c r="L922" s="117"/>
      <c r="M922" s="2"/>
      <c r="N922" s="2"/>
      <c r="O922" s="2"/>
      <c r="P922" s="2"/>
      <c r="Q922" s="2"/>
      <c r="R922" s="2"/>
      <c r="S922" s="852"/>
      <c r="T922" s="859"/>
      <c r="U922" s="107"/>
      <c r="V922" s="107"/>
      <c r="W922" s="107"/>
      <c r="X922" s="107"/>
      <c r="Y922" s="107"/>
      <c r="Z922" s="107"/>
    </row>
    <row r="923">
      <c r="A923" s="531"/>
      <c r="B923" s="977"/>
      <c r="C923" s="119"/>
      <c r="D923" s="977"/>
      <c r="E923" s="977"/>
      <c r="F923" s="119"/>
      <c r="G923" s="119"/>
      <c r="H923" s="119"/>
      <c r="I923" s="119"/>
      <c r="J923" s="119"/>
      <c r="K923" s="117"/>
      <c r="L923" s="117"/>
      <c r="M923" s="2"/>
      <c r="N923" s="2"/>
      <c r="O923" s="2"/>
      <c r="P923" s="2"/>
      <c r="Q923" s="2"/>
      <c r="R923" s="2"/>
      <c r="S923" s="857"/>
      <c r="T923" s="860"/>
      <c r="U923" s="107"/>
      <c r="V923" s="107"/>
      <c r="W923" s="107"/>
      <c r="X923" s="107"/>
      <c r="Y923" s="107"/>
      <c r="Z923" s="107"/>
    </row>
    <row r="924">
      <c r="A924" s="531"/>
      <c r="B924" s="977"/>
      <c r="C924" s="119"/>
      <c r="D924" s="977"/>
      <c r="E924" s="977"/>
      <c r="F924" s="119"/>
      <c r="G924" s="119"/>
      <c r="H924" s="119"/>
      <c r="I924" s="119"/>
      <c r="J924" s="119"/>
      <c r="K924" s="117"/>
      <c r="L924" s="117"/>
      <c r="M924" s="2"/>
      <c r="N924" s="2"/>
      <c r="O924" s="2"/>
      <c r="P924" s="2"/>
      <c r="Q924" s="2"/>
      <c r="R924" s="2"/>
      <c r="S924" s="861"/>
      <c r="T924" s="111"/>
      <c r="U924" s="2"/>
      <c r="V924" s="2"/>
      <c r="W924" s="2"/>
      <c r="X924" s="2"/>
      <c r="Y924" s="2"/>
      <c r="Z924" s="2"/>
    </row>
    <row r="925">
      <c r="A925" s="531"/>
      <c r="B925" s="977"/>
      <c r="C925" s="119"/>
      <c r="D925" s="977"/>
      <c r="E925" s="977"/>
      <c r="F925" s="119"/>
      <c r="G925" s="119"/>
      <c r="H925" s="119"/>
      <c r="I925" s="119"/>
      <c r="J925" s="119"/>
      <c r="K925" s="117"/>
      <c r="L925" s="117"/>
      <c r="M925" s="2"/>
      <c r="N925" s="2"/>
      <c r="O925" s="2"/>
      <c r="P925" s="2"/>
      <c r="Q925" s="2"/>
      <c r="R925" s="2"/>
      <c r="S925" s="861"/>
      <c r="T925" s="111"/>
      <c r="U925" s="2"/>
      <c r="V925" s="2"/>
      <c r="W925" s="2"/>
      <c r="X925" s="2"/>
      <c r="Y925" s="2"/>
      <c r="Z925" s="2"/>
    </row>
    <row r="926">
      <c r="A926" s="531"/>
      <c r="B926" s="977"/>
      <c r="C926" s="119"/>
      <c r="D926" s="977"/>
      <c r="E926" s="977"/>
      <c r="F926" s="119"/>
      <c r="G926" s="119"/>
      <c r="H926" s="119"/>
      <c r="I926" s="119"/>
      <c r="J926" s="119"/>
      <c r="K926" s="117"/>
      <c r="L926" s="117"/>
      <c r="M926" s="2"/>
      <c r="N926" s="2"/>
      <c r="O926" s="2"/>
      <c r="P926" s="2"/>
      <c r="Q926" s="2"/>
      <c r="R926" s="2"/>
      <c r="S926" s="861"/>
      <c r="T926" s="111"/>
      <c r="U926" s="2"/>
      <c r="V926" s="2"/>
      <c r="W926" s="2"/>
      <c r="X926" s="2"/>
      <c r="Y926" s="2"/>
      <c r="Z926" s="2"/>
    </row>
    <row r="927">
      <c r="A927" s="531"/>
      <c r="B927" s="977"/>
      <c r="C927" s="119"/>
      <c r="D927" s="977"/>
      <c r="E927" s="977"/>
      <c r="F927" s="119"/>
      <c r="G927" s="119"/>
      <c r="H927" s="119"/>
      <c r="I927" s="119"/>
      <c r="J927" s="119"/>
      <c r="K927" s="117"/>
      <c r="L927" s="117"/>
      <c r="M927" s="2"/>
      <c r="N927" s="2"/>
      <c r="O927" s="2"/>
      <c r="P927" s="2"/>
      <c r="Q927" s="2"/>
      <c r="R927" s="2"/>
      <c r="S927" s="861"/>
      <c r="T927" s="111"/>
      <c r="U927" s="2"/>
      <c r="V927" s="2"/>
      <c r="W927" s="2"/>
      <c r="X927" s="2"/>
      <c r="Y927" s="2"/>
      <c r="Z927" s="2"/>
    </row>
    <row r="928">
      <c r="A928" s="531"/>
      <c r="B928" s="977"/>
      <c r="C928" s="119"/>
      <c r="D928" s="977"/>
      <c r="E928" s="977"/>
      <c r="F928" s="119"/>
      <c r="G928" s="119"/>
      <c r="H928" s="119"/>
      <c r="I928" s="119"/>
      <c r="J928" s="119"/>
      <c r="K928" s="117"/>
      <c r="L928" s="117"/>
      <c r="M928" s="2"/>
      <c r="N928" s="2"/>
      <c r="O928" s="2"/>
      <c r="P928" s="2"/>
      <c r="Q928" s="2"/>
      <c r="R928" s="2"/>
      <c r="S928" s="861"/>
      <c r="T928" s="111"/>
      <c r="U928" s="2"/>
      <c r="V928" s="2"/>
      <c r="W928" s="2"/>
      <c r="X928" s="2"/>
      <c r="Y928" s="2"/>
      <c r="Z928" s="2"/>
    </row>
    <row r="929">
      <c r="A929" s="531"/>
      <c r="B929" s="977"/>
      <c r="C929" s="119"/>
      <c r="D929" s="977"/>
      <c r="E929" s="977"/>
      <c r="F929" s="119"/>
      <c r="G929" s="119"/>
      <c r="H929" s="119"/>
      <c r="I929" s="119"/>
      <c r="J929" s="119"/>
      <c r="K929" s="117"/>
      <c r="L929" s="117"/>
      <c r="M929" s="2"/>
      <c r="N929" s="2"/>
      <c r="O929" s="2"/>
      <c r="P929" s="2"/>
      <c r="Q929" s="2"/>
      <c r="R929" s="2"/>
      <c r="S929" s="862"/>
      <c r="T929" s="109"/>
      <c r="U929" s="2"/>
      <c r="V929" s="2"/>
      <c r="W929" s="2"/>
      <c r="X929" s="2"/>
      <c r="Y929" s="2"/>
      <c r="Z929" s="2"/>
    </row>
    <row r="930">
      <c r="A930" s="531"/>
      <c r="B930" s="977"/>
      <c r="C930" s="119"/>
      <c r="D930" s="977"/>
      <c r="E930" s="977"/>
      <c r="F930" s="119"/>
      <c r="G930" s="119"/>
      <c r="H930" s="119"/>
      <c r="I930" s="119"/>
      <c r="J930" s="119"/>
      <c r="K930" s="117"/>
      <c r="L930" s="117"/>
      <c r="M930" s="2"/>
      <c r="N930" s="2"/>
      <c r="O930" s="2"/>
      <c r="P930" s="2"/>
      <c r="Q930" s="2"/>
      <c r="R930" s="2"/>
      <c r="S930" s="861"/>
      <c r="T930" s="111"/>
      <c r="U930" s="2"/>
      <c r="V930" s="2"/>
      <c r="W930" s="2"/>
      <c r="X930" s="2"/>
      <c r="Y930" s="2"/>
      <c r="Z930" s="2"/>
    </row>
    <row r="931">
      <c r="A931" s="531"/>
      <c r="B931" s="977"/>
      <c r="C931" s="119"/>
      <c r="D931" s="977"/>
      <c r="E931" s="977"/>
      <c r="F931" s="119"/>
      <c r="G931" s="119"/>
      <c r="H931" s="119"/>
      <c r="I931" s="119"/>
      <c r="J931" s="119"/>
      <c r="K931" s="117"/>
      <c r="L931" s="117"/>
      <c r="M931" s="2"/>
      <c r="N931" s="2"/>
      <c r="O931" s="2"/>
      <c r="P931" s="2"/>
      <c r="Q931" s="2"/>
      <c r="R931" s="2"/>
      <c r="S931" s="861"/>
      <c r="T931" s="111"/>
      <c r="U931" s="2"/>
      <c r="V931" s="2"/>
      <c r="W931" s="2"/>
      <c r="X931" s="2"/>
      <c r="Y931" s="2"/>
      <c r="Z931" s="2"/>
    </row>
    <row r="932">
      <c r="A932" s="531"/>
      <c r="B932" s="977"/>
      <c r="C932" s="119"/>
      <c r="D932" s="977"/>
      <c r="E932" s="977"/>
      <c r="F932" s="119"/>
      <c r="G932" s="119"/>
      <c r="H932" s="119"/>
      <c r="I932" s="119"/>
      <c r="J932" s="119"/>
      <c r="K932" s="117"/>
      <c r="L932" s="117"/>
      <c r="M932" s="2"/>
      <c r="N932" s="2"/>
      <c r="O932" s="2"/>
      <c r="P932" s="2"/>
      <c r="Q932" s="2"/>
      <c r="R932" s="2"/>
      <c r="S932" s="861"/>
      <c r="T932" s="111"/>
      <c r="U932" s="2"/>
      <c r="V932" s="2"/>
      <c r="W932" s="2"/>
      <c r="X932" s="2"/>
      <c r="Y932" s="2"/>
      <c r="Z932" s="2"/>
    </row>
    <row r="933">
      <c r="A933" s="531"/>
      <c r="B933" s="977"/>
      <c r="C933" s="119"/>
      <c r="D933" s="977"/>
      <c r="E933" s="977"/>
      <c r="F933" s="119"/>
      <c r="G933" s="119"/>
      <c r="H933" s="119"/>
      <c r="I933" s="119"/>
      <c r="J933" s="119"/>
      <c r="K933" s="117"/>
      <c r="L933" s="117"/>
      <c r="M933" s="2"/>
      <c r="N933" s="2"/>
      <c r="O933" s="2"/>
      <c r="P933" s="2"/>
      <c r="Q933" s="2"/>
      <c r="R933" s="2"/>
      <c r="S933" s="861"/>
      <c r="T933" s="111"/>
      <c r="U933" s="2"/>
      <c r="V933" s="2"/>
      <c r="W933" s="2"/>
      <c r="X933" s="2"/>
      <c r="Y933" s="2"/>
      <c r="Z933" s="2"/>
    </row>
    <row r="934">
      <c r="A934" s="531"/>
      <c r="B934" s="977"/>
      <c r="C934" s="119"/>
      <c r="D934" s="977"/>
      <c r="E934" s="977"/>
      <c r="F934" s="119"/>
      <c r="G934" s="119"/>
      <c r="H934" s="119"/>
      <c r="I934" s="119"/>
      <c r="J934" s="119"/>
      <c r="K934" s="117"/>
      <c r="L934" s="117"/>
      <c r="M934" s="2"/>
      <c r="N934" s="2"/>
      <c r="O934" s="2"/>
      <c r="P934" s="2"/>
      <c r="Q934" s="2"/>
      <c r="R934" s="2"/>
      <c r="S934" s="861"/>
      <c r="T934" s="111"/>
      <c r="U934" s="2"/>
      <c r="V934" s="2"/>
      <c r="W934" s="2"/>
      <c r="X934" s="2"/>
      <c r="Y934" s="2"/>
      <c r="Z934" s="2"/>
    </row>
    <row r="935">
      <c r="A935" s="531"/>
      <c r="B935" s="977"/>
      <c r="C935" s="119"/>
      <c r="D935" s="977"/>
      <c r="E935" s="977"/>
      <c r="F935" s="119"/>
      <c r="G935" s="119"/>
      <c r="H935" s="119"/>
      <c r="I935" s="119"/>
      <c r="J935" s="119"/>
      <c r="K935" s="117"/>
      <c r="L935" s="117"/>
      <c r="M935" s="2"/>
      <c r="N935" s="2"/>
      <c r="O935" s="2"/>
      <c r="P935" s="2"/>
      <c r="Q935" s="2"/>
      <c r="R935" s="2"/>
      <c r="S935" s="861"/>
      <c r="T935" s="111"/>
      <c r="U935" s="2"/>
      <c r="V935" s="2"/>
      <c r="W935" s="2"/>
      <c r="X935" s="2"/>
      <c r="Y935" s="2"/>
      <c r="Z935" s="2"/>
    </row>
    <row r="936">
      <c r="A936" s="531"/>
      <c r="B936" s="977"/>
      <c r="C936" s="119"/>
      <c r="D936" s="977"/>
      <c r="E936" s="977"/>
      <c r="F936" s="119"/>
      <c r="G936" s="119"/>
      <c r="H936" s="119"/>
      <c r="I936" s="119"/>
      <c r="J936" s="119"/>
      <c r="K936" s="117"/>
      <c r="L936" s="117"/>
      <c r="M936" s="2"/>
      <c r="N936" s="2"/>
      <c r="O936" s="2"/>
      <c r="P936" s="2"/>
      <c r="Q936" s="2"/>
      <c r="R936" s="2"/>
      <c r="S936" s="861"/>
      <c r="T936" s="111"/>
      <c r="U936" s="2"/>
      <c r="V936" s="2"/>
      <c r="W936" s="2"/>
      <c r="X936" s="2"/>
      <c r="Y936" s="2"/>
      <c r="Z936" s="2"/>
    </row>
    <row r="937">
      <c r="A937" s="531"/>
      <c r="B937" s="977"/>
      <c r="C937" s="119"/>
      <c r="D937" s="977"/>
      <c r="E937" s="977"/>
      <c r="F937" s="119"/>
      <c r="G937" s="119"/>
      <c r="H937" s="119"/>
      <c r="I937" s="119"/>
      <c r="J937" s="119"/>
      <c r="K937" s="117"/>
      <c r="L937" s="117"/>
      <c r="M937" s="2"/>
      <c r="N937" s="2"/>
      <c r="O937" s="2"/>
      <c r="P937" s="2"/>
      <c r="Q937" s="2"/>
      <c r="R937" s="2"/>
      <c r="S937" s="861"/>
      <c r="T937" s="111"/>
      <c r="U937" s="2"/>
      <c r="V937" s="2"/>
      <c r="W937" s="2"/>
      <c r="X937" s="2"/>
      <c r="Y937" s="2"/>
      <c r="Z937" s="2"/>
    </row>
    <row r="938">
      <c r="A938" s="531"/>
      <c r="B938" s="977"/>
      <c r="C938" s="119"/>
      <c r="D938" s="977"/>
      <c r="E938" s="977"/>
      <c r="F938" s="119"/>
      <c r="G938" s="119"/>
      <c r="H938" s="119"/>
      <c r="I938" s="119"/>
      <c r="J938" s="119"/>
      <c r="K938" s="117"/>
      <c r="L938" s="117"/>
      <c r="M938" s="2"/>
      <c r="N938" s="2"/>
      <c r="O938" s="2"/>
      <c r="P938" s="2"/>
      <c r="Q938" s="2"/>
      <c r="R938" s="2"/>
      <c r="S938" s="862"/>
      <c r="T938" s="109"/>
      <c r="U938" s="2"/>
      <c r="V938" s="2"/>
      <c r="W938" s="2"/>
      <c r="X938" s="2"/>
      <c r="Y938" s="2"/>
      <c r="Z938" s="2"/>
    </row>
    <row r="939">
      <c r="A939" s="531"/>
      <c r="B939" s="977"/>
      <c r="C939" s="119"/>
      <c r="D939" s="977"/>
      <c r="E939" s="977"/>
      <c r="F939" s="119"/>
      <c r="G939" s="119"/>
      <c r="H939" s="119"/>
      <c r="I939" s="119"/>
      <c r="J939" s="119"/>
      <c r="K939" s="117"/>
      <c r="L939" s="117"/>
      <c r="M939" s="2"/>
      <c r="N939" s="2"/>
      <c r="O939" s="2"/>
      <c r="P939" s="2"/>
      <c r="Q939" s="2"/>
      <c r="R939" s="2"/>
      <c r="S939" s="862"/>
      <c r="T939" s="109"/>
      <c r="U939" s="54"/>
      <c r="V939" s="54"/>
      <c r="W939" s="54"/>
      <c r="X939" s="54"/>
      <c r="Y939" s="54"/>
      <c r="Z939" s="54"/>
    </row>
    <row r="940">
      <c r="A940" s="531"/>
      <c r="B940" s="977"/>
      <c r="C940" s="119"/>
      <c r="D940" s="977"/>
      <c r="E940" s="977"/>
      <c r="F940" s="119"/>
      <c r="G940" s="119"/>
      <c r="H940" s="119"/>
      <c r="I940" s="119"/>
      <c r="J940" s="119"/>
      <c r="K940" s="117"/>
      <c r="L940" s="117"/>
      <c r="M940" s="2"/>
      <c r="N940" s="2"/>
      <c r="O940" s="2"/>
      <c r="P940" s="2"/>
      <c r="Q940" s="2"/>
      <c r="R940" s="2"/>
      <c r="S940" s="117"/>
      <c r="T940" s="2"/>
      <c r="U940" s="2"/>
      <c r="V940" s="2"/>
      <c r="W940" s="2"/>
      <c r="X940" s="2"/>
      <c r="Y940" s="2"/>
      <c r="Z940" s="2"/>
    </row>
    <row r="941">
      <c r="A941" s="531"/>
      <c r="B941" s="977"/>
      <c r="C941" s="119"/>
      <c r="D941" s="977"/>
      <c r="E941" s="977"/>
      <c r="F941" s="119"/>
      <c r="G941" s="119"/>
      <c r="H941" s="119"/>
      <c r="I941" s="119"/>
      <c r="J941" s="119"/>
      <c r="K941" s="117"/>
      <c r="L941" s="117"/>
      <c r="M941" s="2"/>
      <c r="N941" s="2"/>
      <c r="O941" s="2"/>
      <c r="P941" s="2"/>
      <c r="Q941" s="2"/>
      <c r="R941" s="2"/>
      <c r="S941" s="117"/>
      <c r="T941" s="2"/>
      <c r="U941" s="2"/>
      <c r="V941" s="2"/>
      <c r="W941" s="2"/>
      <c r="X941" s="2"/>
      <c r="Y941" s="2"/>
      <c r="Z941" s="2"/>
    </row>
    <row r="942">
      <c r="A942" s="531"/>
      <c r="B942" s="977"/>
      <c r="C942" s="119"/>
      <c r="D942" s="977"/>
      <c r="E942" s="977"/>
      <c r="F942" s="119"/>
      <c r="G942" s="119"/>
      <c r="H942" s="119"/>
      <c r="I942" s="119"/>
      <c r="J942" s="119"/>
      <c r="K942" s="117"/>
      <c r="L942" s="117"/>
      <c r="M942" s="2"/>
      <c r="N942" s="2"/>
      <c r="O942" s="2"/>
      <c r="P942" s="2"/>
      <c r="Q942" s="2"/>
      <c r="R942" s="2"/>
      <c r="S942" s="847"/>
      <c r="T942" s="847"/>
      <c r="U942" s="116"/>
      <c r="V942" s="116"/>
      <c r="W942" s="116"/>
      <c r="X942" s="116"/>
      <c r="Y942" s="116"/>
      <c r="Z942" s="116"/>
    </row>
    <row r="943">
      <c r="A943" s="531"/>
      <c r="B943" s="977"/>
      <c r="C943" s="119"/>
      <c r="D943" s="977"/>
      <c r="E943" s="977"/>
      <c r="F943" s="119"/>
      <c r="G943" s="119"/>
      <c r="H943" s="119"/>
      <c r="I943" s="119"/>
      <c r="J943" s="119"/>
      <c r="K943" s="117"/>
      <c r="L943" s="117"/>
      <c r="M943" s="2"/>
      <c r="N943" s="2"/>
      <c r="O943" s="2"/>
      <c r="P943" s="2"/>
      <c r="Q943" s="2"/>
      <c r="R943" s="2"/>
      <c r="S943" s="848"/>
      <c r="T943" s="848"/>
      <c r="U943" s="848"/>
      <c r="V943" s="848"/>
      <c r="W943" s="848"/>
      <c r="X943" s="848"/>
      <c r="Y943" s="848"/>
      <c r="Z943" s="848"/>
    </row>
    <row r="944">
      <c r="A944" s="531"/>
      <c r="B944" s="977"/>
      <c r="C944" s="119"/>
      <c r="D944" s="977"/>
      <c r="E944" s="977"/>
      <c r="F944" s="119"/>
      <c r="G944" s="119"/>
      <c r="H944" s="119"/>
      <c r="I944" s="119"/>
      <c r="J944" s="119"/>
      <c r="K944" s="117"/>
      <c r="L944" s="117"/>
      <c r="M944" s="2"/>
      <c r="N944" s="2"/>
      <c r="O944" s="2"/>
      <c r="P944" s="2"/>
      <c r="Q944" s="2"/>
      <c r="R944" s="2"/>
      <c r="S944" s="849"/>
      <c r="T944" s="850"/>
      <c r="U944" s="851"/>
      <c r="V944" s="851"/>
      <c r="W944" s="851"/>
      <c r="X944" s="851"/>
      <c r="Y944" s="851"/>
      <c r="Z944" s="851"/>
    </row>
    <row r="945">
      <c r="A945" s="531"/>
      <c r="B945" s="977"/>
      <c r="C945" s="119"/>
      <c r="D945" s="977"/>
      <c r="E945" s="977"/>
      <c r="F945" s="119"/>
      <c r="G945" s="119"/>
      <c r="H945" s="119"/>
      <c r="I945" s="119"/>
      <c r="J945" s="119"/>
      <c r="K945" s="117"/>
      <c r="L945" s="117"/>
      <c r="M945" s="2"/>
      <c r="N945" s="2"/>
      <c r="O945" s="2"/>
      <c r="P945" s="2"/>
      <c r="Q945" s="2"/>
      <c r="R945" s="2"/>
      <c r="S945" s="852"/>
      <c r="T945" s="853"/>
      <c r="U945" s="854"/>
      <c r="V945" s="854"/>
      <c r="W945" s="854"/>
      <c r="X945" s="854"/>
      <c r="Y945" s="854"/>
      <c r="Z945" s="854"/>
    </row>
    <row r="946">
      <c r="A946" s="531"/>
      <c r="B946" s="977"/>
      <c r="C946" s="119"/>
      <c r="D946" s="977"/>
      <c r="E946" s="977"/>
      <c r="F946" s="119"/>
      <c r="G946" s="119"/>
      <c r="H946" s="119"/>
      <c r="I946" s="119"/>
      <c r="J946" s="119"/>
      <c r="K946" s="117"/>
      <c r="L946" s="117"/>
      <c r="M946" s="2"/>
      <c r="N946" s="2"/>
      <c r="O946" s="2"/>
      <c r="P946" s="2"/>
      <c r="Q946" s="2"/>
      <c r="R946" s="2"/>
      <c r="S946" s="855"/>
      <c r="T946" s="856"/>
      <c r="U946" s="854"/>
      <c r="V946" s="854"/>
      <c r="W946" s="854"/>
      <c r="X946" s="854"/>
      <c r="Y946" s="854"/>
      <c r="Z946" s="854"/>
    </row>
    <row r="947">
      <c r="A947" s="531"/>
      <c r="B947" s="977"/>
      <c r="C947" s="119"/>
      <c r="D947" s="977"/>
      <c r="E947" s="977"/>
      <c r="F947" s="119"/>
      <c r="G947" s="119"/>
      <c r="H947" s="119"/>
      <c r="I947" s="119"/>
      <c r="J947" s="119"/>
      <c r="K947" s="117"/>
      <c r="L947" s="117"/>
      <c r="M947" s="2"/>
      <c r="N947" s="2"/>
      <c r="O947" s="2"/>
      <c r="P947" s="2"/>
      <c r="Q947" s="2"/>
      <c r="R947" s="2"/>
      <c r="S947" s="855"/>
      <c r="T947" s="856"/>
      <c r="U947" s="854"/>
      <c r="V947" s="854"/>
      <c r="W947" s="854"/>
      <c r="X947" s="854"/>
      <c r="Y947" s="854"/>
      <c r="Z947" s="854"/>
    </row>
    <row r="948">
      <c r="A948" s="531"/>
      <c r="B948" s="977"/>
      <c r="C948" s="119"/>
      <c r="D948" s="977"/>
      <c r="E948" s="977"/>
      <c r="F948" s="119"/>
      <c r="G948" s="119"/>
      <c r="H948" s="119"/>
      <c r="I948" s="119"/>
      <c r="J948" s="119"/>
      <c r="K948" s="117"/>
      <c r="L948" s="117"/>
      <c r="M948" s="2"/>
      <c r="N948" s="2"/>
      <c r="O948" s="2"/>
      <c r="P948" s="2"/>
      <c r="Q948" s="2"/>
      <c r="R948" s="2"/>
      <c r="S948" s="852"/>
      <c r="T948" s="853"/>
      <c r="U948" s="854"/>
      <c r="V948" s="854"/>
      <c r="W948" s="854"/>
      <c r="X948" s="854"/>
      <c r="Y948" s="854"/>
      <c r="Z948" s="854"/>
    </row>
    <row r="949">
      <c r="A949" s="531"/>
      <c r="B949" s="977"/>
      <c r="C949" s="119"/>
      <c r="D949" s="977"/>
      <c r="E949" s="977"/>
      <c r="F949" s="119"/>
      <c r="G949" s="119"/>
      <c r="H949" s="119"/>
      <c r="I949" s="119"/>
      <c r="J949" s="119"/>
      <c r="K949" s="117"/>
      <c r="L949" s="117"/>
      <c r="M949" s="2"/>
      <c r="N949" s="2"/>
      <c r="O949" s="2"/>
      <c r="P949" s="2"/>
      <c r="Q949" s="2"/>
      <c r="R949" s="2"/>
      <c r="S949" s="857"/>
      <c r="T949" s="858"/>
      <c r="U949" s="854"/>
      <c r="V949" s="854"/>
      <c r="W949" s="854"/>
      <c r="X949" s="854"/>
      <c r="Y949" s="854"/>
      <c r="Z949" s="854"/>
    </row>
    <row r="950">
      <c r="A950" s="531"/>
      <c r="B950" s="977"/>
      <c r="C950" s="119"/>
      <c r="D950" s="977"/>
      <c r="E950" s="977"/>
      <c r="F950" s="119"/>
      <c r="G950" s="119"/>
      <c r="H950" s="119"/>
      <c r="I950" s="119"/>
      <c r="J950" s="119"/>
      <c r="K950" s="117"/>
      <c r="L950" s="117"/>
      <c r="M950" s="2"/>
      <c r="N950" s="2"/>
      <c r="O950" s="2"/>
      <c r="P950" s="2"/>
      <c r="Q950" s="2"/>
      <c r="R950" s="2"/>
      <c r="S950" s="857"/>
      <c r="T950" s="858"/>
      <c r="U950" s="854"/>
      <c r="V950" s="854"/>
      <c r="W950" s="854"/>
      <c r="X950" s="854"/>
      <c r="Y950" s="854"/>
      <c r="Z950" s="854"/>
    </row>
    <row r="951">
      <c r="A951" s="531"/>
      <c r="B951" s="977"/>
      <c r="C951" s="119"/>
      <c r="D951" s="977"/>
      <c r="E951" s="977"/>
      <c r="F951" s="119"/>
      <c r="G951" s="119"/>
      <c r="H951" s="119"/>
      <c r="I951" s="119"/>
      <c r="J951" s="119"/>
      <c r="K951" s="117"/>
      <c r="L951" s="117"/>
      <c r="M951" s="2"/>
      <c r="N951" s="2"/>
      <c r="O951" s="2"/>
      <c r="P951" s="2"/>
      <c r="Q951" s="2"/>
      <c r="R951" s="2"/>
      <c r="S951" s="857"/>
      <c r="T951" s="858"/>
      <c r="U951" s="854"/>
      <c r="V951" s="854"/>
      <c r="W951" s="854"/>
      <c r="X951" s="854"/>
      <c r="Y951" s="854"/>
      <c r="Z951" s="854"/>
    </row>
    <row r="952">
      <c r="A952" s="531"/>
      <c r="B952" s="977"/>
      <c r="C952" s="119"/>
      <c r="D952" s="977"/>
      <c r="E952" s="977"/>
      <c r="F952" s="119"/>
      <c r="G952" s="119"/>
      <c r="H952" s="119"/>
      <c r="I952" s="119"/>
      <c r="J952" s="119"/>
      <c r="K952" s="117"/>
      <c r="L952" s="117"/>
      <c r="M952" s="2"/>
      <c r="N952" s="2"/>
      <c r="O952" s="2"/>
      <c r="P952" s="2"/>
      <c r="Q952" s="2"/>
      <c r="R952" s="2"/>
      <c r="S952" s="852"/>
      <c r="T952" s="853"/>
      <c r="U952" s="854"/>
      <c r="V952" s="854"/>
      <c r="W952" s="854"/>
      <c r="X952" s="854"/>
      <c r="Y952" s="854"/>
      <c r="Z952" s="854"/>
    </row>
    <row r="953">
      <c r="A953" s="531"/>
      <c r="B953" s="977"/>
      <c r="C953" s="119"/>
      <c r="D953" s="977"/>
      <c r="E953" s="977"/>
      <c r="F953" s="119"/>
      <c r="G953" s="119"/>
      <c r="H953" s="119"/>
      <c r="I953" s="119"/>
      <c r="J953" s="119"/>
      <c r="K953" s="117"/>
      <c r="L953" s="117"/>
      <c r="M953" s="2"/>
      <c r="N953" s="2"/>
      <c r="O953" s="2"/>
      <c r="P953" s="2"/>
      <c r="Q953" s="2"/>
      <c r="R953" s="2"/>
      <c r="S953" s="852"/>
      <c r="T953" s="853"/>
      <c r="U953" s="854"/>
      <c r="V953" s="854"/>
      <c r="W953" s="854"/>
      <c r="X953" s="854"/>
      <c r="Y953" s="854"/>
      <c r="Z953" s="854"/>
    </row>
    <row r="954">
      <c r="A954" s="531"/>
      <c r="B954" s="977"/>
      <c r="C954" s="119"/>
      <c r="D954" s="977"/>
      <c r="E954" s="977"/>
      <c r="F954" s="119"/>
      <c r="G954" s="119"/>
      <c r="H954" s="119"/>
      <c r="I954" s="119"/>
      <c r="J954" s="119"/>
      <c r="K954" s="117"/>
      <c r="L954" s="117"/>
      <c r="M954" s="2"/>
      <c r="N954" s="2"/>
      <c r="O954" s="2"/>
      <c r="P954" s="2"/>
      <c r="Q954" s="2"/>
      <c r="R954" s="2"/>
      <c r="S954" s="852"/>
      <c r="T954" s="853"/>
      <c r="U954" s="854"/>
      <c r="V954" s="854"/>
      <c r="W954" s="854"/>
      <c r="X954" s="854"/>
      <c r="Y954" s="854"/>
      <c r="Z954" s="854"/>
    </row>
    <row r="955">
      <c r="A955" s="531"/>
      <c r="B955" s="977"/>
      <c r="C955" s="119"/>
      <c r="D955" s="977"/>
      <c r="E955" s="977"/>
      <c r="F955" s="119"/>
      <c r="G955" s="119"/>
      <c r="H955" s="119"/>
      <c r="I955" s="119"/>
      <c r="J955" s="119"/>
      <c r="K955" s="117"/>
      <c r="L955" s="117"/>
      <c r="M955" s="2"/>
      <c r="N955" s="2"/>
      <c r="O955" s="2"/>
      <c r="P955" s="2"/>
      <c r="Q955" s="2"/>
      <c r="R955" s="2"/>
      <c r="S955" s="852"/>
      <c r="T955" s="853"/>
      <c r="U955" s="854"/>
      <c r="V955" s="854"/>
      <c r="W955" s="854"/>
      <c r="X955" s="854"/>
      <c r="Y955" s="854"/>
      <c r="Z955" s="854"/>
    </row>
    <row r="956">
      <c r="A956" s="531"/>
      <c r="B956" s="977"/>
      <c r="C956" s="119"/>
      <c r="D956" s="977"/>
      <c r="E956" s="977"/>
      <c r="F956" s="119"/>
      <c r="G956" s="119"/>
      <c r="H956" s="119"/>
      <c r="I956" s="119"/>
      <c r="J956" s="119"/>
      <c r="K956" s="117"/>
      <c r="L956" s="117"/>
      <c r="M956" s="2"/>
      <c r="N956" s="2"/>
      <c r="O956" s="2"/>
      <c r="P956" s="2"/>
      <c r="Q956" s="2"/>
      <c r="R956" s="2"/>
      <c r="S956" s="852"/>
      <c r="T956" s="859"/>
      <c r="U956" s="107"/>
      <c r="V956" s="107"/>
      <c r="W956" s="107"/>
      <c r="X956" s="107"/>
      <c r="Y956" s="107"/>
      <c r="Z956" s="107"/>
    </row>
    <row r="957">
      <c r="A957" s="531"/>
      <c r="B957" s="977"/>
      <c r="C957" s="119"/>
      <c r="D957" s="977"/>
      <c r="E957" s="977"/>
      <c r="F957" s="119"/>
      <c r="G957" s="119"/>
      <c r="H957" s="119"/>
      <c r="I957" s="119"/>
      <c r="J957" s="119"/>
      <c r="K957" s="117"/>
      <c r="L957" s="117"/>
      <c r="M957" s="2"/>
      <c r="N957" s="2"/>
      <c r="O957" s="2"/>
      <c r="P957" s="2"/>
      <c r="Q957" s="2"/>
      <c r="R957" s="2"/>
      <c r="S957" s="852"/>
      <c r="T957" s="859"/>
      <c r="U957" s="107"/>
      <c r="V957" s="107"/>
      <c r="W957" s="107"/>
      <c r="X957" s="107"/>
      <c r="Y957" s="107"/>
      <c r="Z957" s="107"/>
    </row>
    <row r="958">
      <c r="A958" s="531"/>
      <c r="B958" s="977"/>
      <c r="C958" s="119"/>
      <c r="D958" s="977"/>
      <c r="E958" s="977"/>
      <c r="F958" s="119"/>
      <c r="G958" s="119"/>
      <c r="H958" s="119"/>
      <c r="I958" s="119"/>
      <c r="J958" s="119"/>
      <c r="K958" s="117"/>
      <c r="L958" s="117"/>
      <c r="M958" s="2"/>
      <c r="N958" s="2"/>
      <c r="O958" s="2"/>
      <c r="P958" s="2"/>
      <c r="Q958" s="2"/>
      <c r="R958" s="2"/>
      <c r="S958" s="852"/>
      <c r="T958" s="859"/>
      <c r="U958" s="107"/>
      <c r="V958" s="107"/>
      <c r="W958" s="107"/>
      <c r="X958" s="107"/>
      <c r="Y958" s="107"/>
      <c r="Z958" s="107"/>
    </row>
    <row r="959">
      <c r="A959" s="531"/>
      <c r="B959" s="977"/>
      <c r="C959" s="119"/>
      <c r="D959" s="977"/>
      <c r="E959" s="977"/>
      <c r="F959" s="119"/>
      <c r="G959" s="119"/>
      <c r="H959" s="119"/>
      <c r="I959" s="119"/>
      <c r="J959" s="119"/>
      <c r="K959" s="117"/>
      <c r="L959" s="117"/>
      <c r="M959" s="2"/>
      <c r="N959" s="2"/>
      <c r="O959" s="2"/>
      <c r="P959" s="2"/>
      <c r="Q959" s="2"/>
      <c r="R959" s="2"/>
      <c r="S959" s="852"/>
      <c r="T959" s="859"/>
      <c r="U959" s="107"/>
      <c r="V959" s="107"/>
      <c r="W959" s="107"/>
      <c r="X959" s="107"/>
      <c r="Y959" s="107"/>
      <c r="Z959" s="107"/>
    </row>
    <row r="960">
      <c r="A960" s="531"/>
      <c r="B960" s="977"/>
      <c r="C960" s="119"/>
      <c r="D960" s="977"/>
      <c r="E960" s="977"/>
      <c r="F960" s="119"/>
      <c r="G960" s="119"/>
      <c r="H960" s="119"/>
      <c r="I960" s="119"/>
      <c r="J960" s="119"/>
      <c r="K960" s="117"/>
      <c r="L960" s="117"/>
      <c r="M960" s="2"/>
      <c r="N960" s="2"/>
      <c r="O960" s="2"/>
      <c r="P960" s="2"/>
      <c r="Q960" s="2"/>
      <c r="R960" s="2"/>
      <c r="S960" s="852"/>
      <c r="T960" s="859"/>
      <c r="U960" s="107"/>
      <c r="V960" s="107"/>
      <c r="W960" s="107"/>
      <c r="X960" s="107"/>
      <c r="Y960" s="107"/>
      <c r="Z960" s="107"/>
    </row>
    <row r="961">
      <c r="A961" s="531"/>
      <c r="B961" s="977"/>
      <c r="C961" s="119"/>
      <c r="D961" s="977"/>
      <c r="E961" s="977"/>
      <c r="F961" s="119"/>
      <c r="G961" s="119"/>
      <c r="H961" s="119"/>
      <c r="I961" s="119"/>
      <c r="J961" s="119"/>
      <c r="K961" s="117"/>
      <c r="L961" s="117"/>
      <c r="M961" s="2"/>
      <c r="N961" s="2"/>
      <c r="O961" s="2"/>
      <c r="P961" s="2"/>
      <c r="Q961" s="2"/>
      <c r="R961" s="2"/>
      <c r="S961" s="852"/>
      <c r="T961" s="859"/>
      <c r="U961" s="107"/>
      <c r="V961" s="107"/>
      <c r="W961" s="107"/>
      <c r="X961" s="107"/>
      <c r="Y961" s="107"/>
      <c r="Z961" s="107"/>
    </row>
    <row r="962">
      <c r="A962" s="531"/>
      <c r="B962" s="977"/>
      <c r="C962" s="119"/>
      <c r="D962" s="977"/>
      <c r="E962" s="977"/>
      <c r="F962" s="119"/>
      <c r="G962" s="119"/>
      <c r="H962" s="119"/>
      <c r="I962" s="119"/>
      <c r="J962" s="119"/>
      <c r="K962" s="117"/>
      <c r="L962" s="117"/>
      <c r="M962" s="2"/>
      <c r="N962" s="2"/>
      <c r="O962" s="2"/>
      <c r="P962" s="2"/>
      <c r="Q962" s="2"/>
      <c r="R962" s="2"/>
      <c r="S962" s="852"/>
      <c r="T962" s="859"/>
      <c r="U962" s="107"/>
      <c r="V962" s="107"/>
      <c r="W962" s="107"/>
      <c r="X962" s="107"/>
      <c r="Y962" s="107"/>
      <c r="Z962" s="107"/>
    </row>
    <row r="963">
      <c r="A963" s="531"/>
      <c r="B963" s="977"/>
      <c r="C963" s="119"/>
      <c r="D963" s="977"/>
      <c r="E963" s="977"/>
      <c r="F963" s="119"/>
      <c r="G963" s="119"/>
      <c r="H963" s="119"/>
      <c r="I963" s="119"/>
      <c r="J963" s="119"/>
      <c r="K963" s="117"/>
      <c r="L963" s="117"/>
      <c r="M963" s="2"/>
      <c r="N963" s="2"/>
      <c r="O963" s="2"/>
      <c r="P963" s="2"/>
      <c r="Q963" s="2"/>
      <c r="R963" s="2"/>
      <c r="S963" s="852"/>
      <c r="T963" s="859"/>
      <c r="U963" s="107"/>
      <c r="V963" s="107"/>
      <c r="W963" s="107"/>
      <c r="X963" s="107"/>
      <c r="Y963" s="107"/>
      <c r="Z963" s="107"/>
    </row>
    <row r="964">
      <c r="A964" s="531"/>
      <c r="B964" s="977"/>
      <c r="C964" s="119"/>
      <c r="D964" s="977"/>
      <c r="E964" s="977"/>
      <c r="F964" s="119"/>
      <c r="G964" s="119"/>
      <c r="H964" s="119"/>
      <c r="I964" s="119"/>
      <c r="J964" s="119"/>
      <c r="K964" s="117"/>
      <c r="L964" s="117"/>
      <c r="M964" s="2"/>
      <c r="N964" s="2"/>
      <c r="O964" s="2"/>
      <c r="P964" s="2"/>
      <c r="Q964" s="2"/>
      <c r="R964" s="2"/>
      <c r="S964" s="852"/>
      <c r="T964" s="859"/>
      <c r="U964" s="107"/>
      <c r="V964" s="107"/>
      <c r="W964" s="107"/>
      <c r="X964" s="107"/>
      <c r="Y964" s="107"/>
      <c r="Z964" s="107"/>
    </row>
    <row r="965">
      <c r="A965" s="531"/>
      <c r="B965" s="977"/>
      <c r="C965" s="119"/>
      <c r="D965" s="977"/>
      <c r="E965" s="977"/>
      <c r="F965" s="119"/>
      <c r="G965" s="119"/>
      <c r="H965" s="119"/>
      <c r="I965" s="119"/>
      <c r="J965" s="119"/>
      <c r="K965" s="117"/>
      <c r="L965" s="117"/>
      <c r="M965" s="2"/>
      <c r="N965" s="2"/>
      <c r="O965" s="2"/>
      <c r="P965" s="2"/>
      <c r="Q965" s="2"/>
      <c r="R965" s="2"/>
      <c r="S965" s="852"/>
      <c r="T965" s="859"/>
      <c r="U965" s="107"/>
      <c r="V965" s="107"/>
      <c r="W965" s="107"/>
      <c r="X965" s="107"/>
      <c r="Y965" s="107"/>
      <c r="Z965" s="107"/>
    </row>
    <row r="966">
      <c r="A966" s="531"/>
      <c r="B966" s="977"/>
      <c r="C966" s="119"/>
      <c r="D966" s="977"/>
      <c r="E966" s="977"/>
      <c r="F966" s="119"/>
      <c r="G966" s="119"/>
      <c r="H966" s="119"/>
      <c r="I966" s="119"/>
      <c r="J966" s="119"/>
      <c r="K966" s="117"/>
      <c r="L966" s="117"/>
      <c r="M966" s="2"/>
      <c r="N966" s="2"/>
      <c r="O966" s="2"/>
      <c r="P966" s="2"/>
      <c r="Q966" s="2"/>
      <c r="R966" s="2"/>
      <c r="S966" s="857"/>
      <c r="T966" s="860"/>
      <c r="U966" s="107"/>
      <c r="V966" s="107"/>
      <c r="W966" s="107"/>
      <c r="X966" s="107"/>
      <c r="Y966" s="107"/>
      <c r="Z966" s="107"/>
    </row>
    <row r="967">
      <c r="A967" s="531"/>
      <c r="B967" s="977"/>
      <c r="C967" s="119"/>
      <c r="D967" s="977"/>
      <c r="E967" s="977"/>
      <c r="F967" s="119"/>
      <c r="G967" s="119"/>
      <c r="H967" s="119"/>
      <c r="I967" s="119"/>
      <c r="J967" s="119"/>
      <c r="K967" s="117"/>
      <c r="L967" s="117"/>
      <c r="M967" s="2"/>
      <c r="N967" s="2"/>
      <c r="O967" s="2"/>
      <c r="P967" s="2"/>
      <c r="Q967" s="2"/>
      <c r="R967" s="2"/>
      <c r="S967" s="861"/>
      <c r="T967" s="111"/>
      <c r="U967" s="2"/>
      <c r="V967" s="2"/>
      <c r="W967" s="2"/>
      <c r="X967" s="2"/>
      <c r="Y967" s="2"/>
      <c r="Z967" s="2"/>
    </row>
    <row r="968">
      <c r="A968" s="531"/>
      <c r="B968" s="977"/>
      <c r="C968" s="119"/>
      <c r="D968" s="977"/>
      <c r="E968" s="977"/>
      <c r="F968" s="119"/>
      <c r="G968" s="119"/>
      <c r="H968" s="119"/>
      <c r="I968" s="119"/>
      <c r="J968" s="119"/>
      <c r="K968" s="117"/>
      <c r="L968" s="117"/>
      <c r="M968" s="2"/>
      <c r="N968" s="2"/>
      <c r="O968" s="2"/>
      <c r="P968" s="2"/>
      <c r="Q968" s="2"/>
      <c r="R968" s="2"/>
      <c r="S968" s="861"/>
      <c r="T968" s="111"/>
      <c r="U968" s="2"/>
      <c r="V968" s="2"/>
      <c r="W968" s="2"/>
      <c r="X968" s="2"/>
      <c r="Y968" s="2"/>
      <c r="Z968" s="2"/>
    </row>
    <row r="969">
      <c r="A969" s="531"/>
      <c r="B969" s="977"/>
      <c r="C969" s="119"/>
      <c r="D969" s="977"/>
      <c r="E969" s="977"/>
      <c r="F969" s="119"/>
      <c r="G969" s="119"/>
      <c r="H969" s="119"/>
      <c r="I969" s="119"/>
      <c r="J969" s="119"/>
      <c r="K969" s="117"/>
      <c r="L969" s="117"/>
      <c r="M969" s="2"/>
      <c r="N969" s="2"/>
      <c r="O969" s="2"/>
      <c r="P969" s="2"/>
      <c r="Q969" s="2"/>
      <c r="R969" s="2"/>
      <c r="S969" s="861"/>
      <c r="T969" s="111"/>
      <c r="U969" s="2"/>
      <c r="V969" s="2"/>
      <c r="W969" s="2"/>
      <c r="X969" s="2"/>
      <c r="Y969" s="2"/>
      <c r="Z969" s="2"/>
    </row>
    <row r="970">
      <c r="A970" s="531"/>
      <c r="B970" s="977"/>
      <c r="C970" s="119"/>
      <c r="D970" s="977"/>
      <c r="E970" s="977"/>
      <c r="F970" s="119"/>
      <c r="G970" s="119"/>
      <c r="H970" s="119"/>
      <c r="I970" s="119"/>
      <c r="J970" s="119"/>
      <c r="K970" s="117"/>
      <c r="L970" s="117"/>
      <c r="M970" s="2"/>
      <c r="N970" s="2"/>
      <c r="O970" s="2"/>
      <c r="P970" s="2"/>
      <c r="Q970" s="2"/>
      <c r="R970" s="2"/>
      <c r="S970" s="861"/>
      <c r="T970" s="111"/>
      <c r="U970" s="2"/>
      <c r="V970" s="2"/>
      <c r="W970" s="2"/>
      <c r="X970" s="2"/>
      <c r="Y970" s="2"/>
      <c r="Z970" s="2"/>
    </row>
    <row r="971">
      <c r="A971" s="531"/>
      <c r="B971" s="977"/>
      <c r="C971" s="119"/>
      <c r="D971" s="977"/>
      <c r="E971" s="977"/>
      <c r="F971" s="119"/>
      <c r="G971" s="119"/>
      <c r="H971" s="119"/>
      <c r="I971" s="119"/>
      <c r="J971" s="119"/>
      <c r="K971" s="117"/>
      <c r="L971" s="117"/>
      <c r="M971" s="2"/>
      <c r="N971" s="2"/>
      <c r="O971" s="2"/>
      <c r="P971" s="2"/>
      <c r="Q971" s="2"/>
      <c r="R971" s="2"/>
      <c r="S971" s="861"/>
      <c r="T971" s="111"/>
      <c r="U971" s="2"/>
      <c r="V971" s="2"/>
      <c r="W971" s="2"/>
      <c r="X971" s="2"/>
      <c r="Y971" s="2"/>
      <c r="Z971" s="2"/>
    </row>
    <row r="972">
      <c r="A972" s="531"/>
      <c r="B972" s="977"/>
      <c r="C972" s="119"/>
      <c r="D972" s="977"/>
      <c r="E972" s="977"/>
      <c r="F972" s="119"/>
      <c r="G972" s="119"/>
      <c r="H972" s="119"/>
      <c r="I972" s="119"/>
      <c r="J972" s="119"/>
      <c r="K972" s="117"/>
      <c r="L972" s="117"/>
      <c r="M972" s="2"/>
      <c r="N972" s="2"/>
      <c r="O972" s="2"/>
      <c r="P972" s="2"/>
      <c r="Q972" s="2"/>
      <c r="R972" s="2"/>
      <c r="S972" s="862"/>
      <c r="T972" s="109"/>
      <c r="U972" s="2"/>
      <c r="V972" s="2"/>
      <c r="W972" s="2"/>
      <c r="X972" s="2"/>
      <c r="Y972" s="2"/>
      <c r="Z972" s="2"/>
    </row>
    <row r="973">
      <c r="A973" s="531"/>
      <c r="B973" s="977"/>
      <c r="C973" s="119"/>
      <c r="D973" s="977"/>
      <c r="E973" s="977"/>
      <c r="F973" s="119"/>
      <c r="G973" s="119"/>
      <c r="H973" s="119"/>
      <c r="I973" s="119"/>
      <c r="J973" s="119"/>
      <c r="K973" s="117"/>
      <c r="L973" s="117"/>
      <c r="M973" s="2"/>
      <c r="N973" s="2"/>
      <c r="O973" s="2"/>
      <c r="P973" s="2"/>
      <c r="Q973" s="2"/>
      <c r="R973" s="2"/>
      <c r="S973" s="861"/>
      <c r="T973" s="111"/>
      <c r="U973" s="2"/>
      <c r="V973" s="2"/>
      <c r="W973" s="2"/>
      <c r="X973" s="2"/>
      <c r="Y973" s="2"/>
      <c r="Z973" s="2"/>
    </row>
    <row r="974">
      <c r="A974" s="531"/>
      <c r="B974" s="977"/>
      <c r="C974" s="119"/>
      <c r="D974" s="977"/>
      <c r="E974" s="977"/>
      <c r="F974" s="119"/>
      <c r="G974" s="119"/>
      <c r="H974" s="119"/>
      <c r="I974" s="119"/>
      <c r="J974" s="119"/>
      <c r="K974" s="117"/>
      <c r="L974" s="117"/>
      <c r="M974" s="2"/>
      <c r="N974" s="2"/>
      <c r="O974" s="2"/>
      <c r="P974" s="2"/>
      <c r="Q974" s="2"/>
      <c r="R974" s="2"/>
      <c r="S974" s="861"/>
      <c r="T974" s="111"/>
      <c r="U974" s="2"/>
      <c r="V974" s="2"/>
      <c r="W974" s="2"/>
      <c r="X974" s="2"/>
      <c r="Y974" s="2"/>
      <c r="Z974" s="2"/>
    </row>
    <row r="975">
      <c r="A975" s="531"/>
      <c r="B975" s="977"/>
      <c r="C975" s="119"/>
      <c r="D975" s="977"/>
      <c r="E975" s="977"/>
      <c r="F975" s="119"/>
      <c r="G975" s="119"/>
      <c r="H975" s="119"/>
      <c r="I975" s="119"/>
      <c r="J975" s="119"/>
      <c r="K975" s="117"/>
      <c r="L975" s="117"/>
      <c r="M975" s="2"/>
      <c r="N975" s="2"/>
      <c r="O975" s="2"/>
      <c r="P975" s="2"/>
      <c r="Q975" s="2"/>
      <c r="R975" s="2"/>
      <c r="S975" s="861"/>
      <c r="T975" s="111"/>
      <c r="U975" s="2"/>
      <c r="V975" s="2"/>
      <c r="W975" s="2"/>
      <c r="X975" s="2"/>
      <c r="Y975" s="2"/>
      <c r="Z975" s="2"/>
    </row>
    <row r="976">
      <c r="A976" s="531"/>
      <c r="B976" s="977"/>
      <c r="C976" s="119"/>
      <c r="D976" s="977"/>
      <c r="E976" s="977"/>
      <c r="F976" s="119"/>
      <c r="G976" s="119"/>
      <c r="H976" s="119"/>
      <c r="I976" s="119"/>
      <c r="J976" s="119"/>
      <c r="K976" s="117"/>
      <c r="L976" s="117"/>
      <c r="M976" s="2"/>
      <c r="N976" s="2"/>
      <c r="O976" s="2"/>
      <c r="P976" s="2"/>
      <c r="Q976" s="2"/>
      <c r="R976" s="2"/>
      <c r="S976" s="861"/>
      <c r="T976" s="111"/>
      <c r="U976" s="2"/>
      <c r="V976" s="2"/>
      <c r="W976" s="2"/>
      <c r="X976" s="2"/>
      <c r="Y976" s="2"/>
      <c r="Z976" s="2"/>
    </row>
    <row r="977">
      <c r="A977" s="531"/>
      <c r="B977" s="977"/>
      <c r="C977" s="119"/>
      <c r="D977" s="977"/>
      <c r="E977" s="977"/>
      <c r="F977" s="119"/>
      <c r="G977" s="119"/>
      <c r="H977" s="119"/>
      <c r="I977" s="119"/>
      <c r="J977" s="119"/>
      <c r="K977" s="117"/>
      <c r="L977" s="117"/>
      <c r="M977" s="2"/>
      <c r="N977" s="2"/>
      <c r="O977" s="2"/>
      <c r="P977" s="2"/>
      <c r="Q977" s="2"/>
      <c r="R977" s="2"/>
      <c r="S977" s="861"/>
      <c r="T977" s="111"/>
      <c r="U977" s="2"/>
      <c r="V977" s="2"/>
      <c r="W977" s="2"/>
      <c r="X977" s="2"/>
      <c r="Y977" s="2"/>
      <c r="Z977" s="2"/>
    </row>
    <row r="978">
      <c r="A978" s="531"/>
      <c r="B978" s="977"/>
      <c r="C978" s="119"/>
      <c r="D978" s="977"/>
      <c r="E978" s="977"/>
      <c r="F978" s="119"/>
      <c r="G978" s="119"/>
      <c r="H978" s="119"/>
      <c r="I978" s="119"/>
      <c r="J978" s="119"/>
      <c r="K978" s="117"/>
      <c r="L978" s="117"/>
      <c r="M978" s="2"/>
      <c r="N978" s="2"/>
      <c r="O978" s="2"/>
      <c r="P978" s="2"/>
      <c r="Q978" s="2"/>
      <c r="R978" s="2"/>
      <c r="S978" s="861"/>
      <c r="T978" s="111"/>
      <c r="U978" s="2"/>
      <c r="V978" s="2"/>
      <c r="W978" s="2"/>
      <c r="X978" s="2"/>
      <c r="Y978" s="2"/>
      <c r="Z978" s="2"/>
    </row>
    <row r="979">
      <c r="A979" s="531"/>
      <c r="B979" s="977"/>
      <c r="C979" s="119"/>
      <c r="D979" s="977"/>
      <c r="E979" s="977"/>
      <c r="F979" s="119"/>
      <c r="G979" s="119"/>
      <c r="H979" s="119"/>
      <c r="I979" s="119"/>
      <c r="J979" s="119"/>
      <c r="K979" s="117"/>
      <c r="L979" s="117"/>
      <c r="M979" s="2"/>
      <c r="N979" s="2"/>
      <c r="O979" s="2"/>
      <c r="P979" s="2"/>
      <c r="Q979" s="2"/>
      <c r="R979" s="2"/>
      <c r="S979" s="861"/>
      <c r="T979" s="111"/>
      <c r="U979" s="2"/>
      <c r="V979" s="2"/>
      <c r="W979" s="2"/>
      <c r="X979" s="2"/>
      <c r="Y979" s="2"/>
      <c r="Z979" s="2"/>
    </row>
    <row r="980">
      <c r="A980" s="531"/>
      <c r="B980" s="977"/>
      <c r="C980" s="119"/>
      <c r="D980" s="977"/>
      <c r="E980" s="977"/>
      <c r="F980" s="119"/>
      <c r="G980" s="119"/>
      <c r="H980" s="119"/>
      <c r="I980" s="119"/>
      <c r="J980" s="119"/>
      <c r="K980" s="117"/>
      <c r="L980" s="117"/>
      <c r="M980" s="2"/>
      <c r="N980" s="2"/>
      <c r="O980" s="2"/>
      <c r="P980" s="2"/>
      <c r="Q980" s="2"/>
      <c r="R980" s="2"/>
      <c r="S980" s="861"/>
      <c r="T980" s="111"/>
      <c r="U980" s="2"/>
      <c r="V980" s="2"/>
      <c r="W980" s="2"/>
      <c r="X980" s="2"/>
      <c r="Y980" s="2"/>
      <c r="Z980" s="2"/>
    </row>
    <row r="981">
      <c r="A981" s="531"/>
      <c r="B981" s="977"/>
      <c r="C981" s="119"/>
      <c r="D981" s="977"/>
      <c r="E981" s="977"/>
      <c r="F981" s="119"/>
      <c r="G981" s="119"/>
      <c r="H981" s="119"/>
      <c r="I981" s="119"/>
      <c r="J981" s="119"/>
      <c r="K981" s="117"/>
      <c r="L981" s="117"/>
      <c r="M981" s="2"/>
      <c r="N981" s="2"/>
      <c r="O981" s="2"/>
      <c r="P981" s="2"/>
      <c r="Q981" s="2"/>
      <c r="R981" s="2"/>
      <c r="S981" s="862"/>
      <c r="T981" s="109"/>
      <c r="U981" s="2"/>
      <c r="V981" s="2"/>
      <c r="W981" s="2"/>
      <c r="X981" s="2"/>
      <c r="Y981" s="2"/>
      <c r="Z981" s="2"/>
    </row>
    <row r="982">
      <c r="A982" s="531"/>
      <c r="B982" s="977"/>
      <c r="C982" s="119"/>
      <c r="D982" s="977"/>
      <c r="E982" s="977"/>
      <c r="F982" s="119"/>
      <c r="G982" s="119"/>
      <c r="H982" s="119"/>
      <c r="I982" s="119"/>
      <c r="J982" s="119"/>
      <c r="K982" s="117"/>
      <c r="L982" s="117"/>
      <c r="M982" s="2"/>
      <c r="N982" s="2"/>
      <c r="O982" s="2"/>
      <c r="P982" s="2"/>
      <c r="Q982" s="2"/>
      <c r="R982" s="2"/>
      <c r="S982" s="862"/>
      <c r="T982" s="109"/>
      <c r="U982" s="54"/>
      <c r="V982" s="54"/>
      <c r="W982" s="54"/>
      <c r="X982" s="54"/>
      <c r="Y982" s="54"/>
      <c r="Z982" s="54"/>
    </row>
    <row r="983">
      <c r="A983" s="531"/>
      <c r="B983" s="977"/>
      <c r="C983" s="119"/>
      <c r="D983" s="977"/>
      <c r="E983" s="977"/>
      <c r="F983" s="119"/>
      <c r="G983" s="119"/>
      <c r="H983" s="119"/>
      <c r="I983" s="119"/>
      <c r="J983" s="119"/>
      <c r="K983" s="117"/>
      <c r="L983" s="117"/>
      <c r="M983" s="2"/>
      <c r="N983" s="2"/>
      <c r="O983" s="2"/>
      <c r="P983" s="2"/>
      <c r="Q983" s="2"/>
      <c r="R983" s="2"/>
      <c r="S983" s="117"/>
      <c r="T983" s="2"/>
      <c r="U983" s="2"/>
      <c r="V983" s="2"/>
      <c r="W983" s="2"/>
      <c r="X983" s="2"/>
      <c r="Y983" s="2"/>
      <c r="Z983" s="2"/>
    </row>
    <row r="984">
      <c r="A984" s="531"/>
      <c r="B984" s="977"/>
      <c r="C984" s="119"/>
      <c r="D984" s="977"/>
      <c r="E984" s="977"/>
      <c r="F984" s="119"/>
      <c r="G984" s="119"/>
      <c r="H984" s="119"/>
      <c r="I984" s="119"/>
      <c r="J984" s="119"/>
      <c r="K984" s="117"/>
      <c r="L984" s="117"/>
      <c r="M984" s="2"/>
      <c r="N984" s="2"/>
      <c r="O984" s="2"/>
      <c r="P984" s="2"/>
      <c r="Q984" s="2"/>
      <c r="R984" s="2"/>
      <c r="S984" s="117"/>
      <c r="T984" s="2"/>
      <c r="U984" s="2"/>
      <c r="V984" s="2"/>
      <c r="W984" s="2"/>
      <c r="X984" s="2"/>
      <c r="Y984" s="2"/>
      <c r="Z984" s="2"/>
    </row>
    <row r="985">
      <c r="A985" s="531"/>
      <c r="B985" s="977"/>
      <c r="C985" s="119"/>
      <c r="D985" s="977"/>
      <c r="E985" s="977"/>
      <c r="F985" s="119"/>
      <c r="G985" s="119"/>
      <c r="H985" s="119"/>
      <c r="I985" s="119"/>
      <c r="J985" s="119"/>
      <c r="K985" s="117"/>
      <c r="L985" s="11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31"/>
      <c r="B986" s="977"/>
      <c r="C986" s="119"/>
      <c r="D986" s="977"/>
      <c r="E986" s="977"/>
      <c r="F986" s="119"/>
      <c r="G986" s="119"/>
      <c r="H986" s="119"/>
      <c r="I986" s="119"/>
      <c r="J986" s="119"/>
      <c r="K986" s="117"/>
      <c r="L986" s="117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31"/>
      <c r="B987" s="977"/>
      <c r="C987" s="119"/>
      <c r="D987" s="977"/>
      <c r="E987" s="977"/>
      <c r="F987" s="119"/>
      <c r="G987" s="119"/>
      <c r="H987" s="119"/>
      <c r="I987" s="119"/>
      <c r="J987" s="119"/>
      <c r="K987" s="117"/>
      <c r="L987" s="117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31"/>
      <c r="B988" s="977"/>
      <c r="C988" s="119"/>
      <c r="D988" s="977"/>
      <c r="E988" s="977"/>
      <c r="F988" s="119"/>
      <c r="G988" s="119"/>
      <c r="H988" s="119"/>
      <c r="I988" s="119"/>
      <c r="J988" s="119"/>
      <c r="K988" s="117"/>
      <c r="L988" s="117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drawing r:id="rId1"/>
</worksheet>
</file>